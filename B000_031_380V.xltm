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2" codeName="{8C4F1C90-05EB-6A55-5F09-09C24B55AC0B}"/>
  <workbookPr codeName="ThisWorkbook" defaultThemeVersion="124226"/>
  <bookViews>
    <workbookView xWindow="-60" yWindow="3180" windowWidth="15480" windowHeight="4095"/>
  </bookViews>
  <sheets>
    <sheet name="功能码" sheetId="1" r:id="rId1"/>
    <sheet name="输入输出端子功能 " sheetId="6" r:id="rId2"/>
    <sheet name="功能码地址分配" sheetId="3" r:id="rId3"/>
    <sheet name="功能码单位" sheetId="5" r:id="rId4"/>
  </sheets>
  <functionGroups builtInGroupCount="17"/>
  <definedNames>
    <definedName name="_xlnm._FilterDatabase" localSheetId="0" hidden="1">功能码!$F$1:$F$843</definedName>
    <definedName name="OLE_LINK3" localSheetId="0">功能码!$D$751</definedName>
  </definedNames>
  <calcPr calcId="144525" fullPrecision="0"/>
</workbook>
</file>

<file path=xl/calcChain.xml><?xml version="1.0" encoding="utf-8"?>
<calcChain xmlns="http://schemas.openxmlformats.org/spreadsheetml/2006/main">
  <c r="A578" i="1" l="1"/>
  <c r="A577" i="1"/>
  <c r="A576" i="1"/>
  <c r="A575" i="1"/>
  <c r="A574" i="1"/>
  <c r="A573" i="1"/>
  <c r="A572" i="1"/>
  <c r="A571" i="1"/>
  <c r="A570" i="1"/>
  <c r="A569" i="1"/>
  <c r="A568" i="1"/>
  <c r="A567" i="1"/>
  <c r="A566" i="1"/>
  <c r="A565" i="1"/>
  <c r="A564" i="1"/>
  <c r="A563" i="1"/>
  <c r="A562" i="1"/>
  <c r="A561" i="1"/>
  <c r="A560" i="1"/>
  <c r="A559" i="1"/>
  <c r="A558" i="1"/>
  <c r="A557" i="1"/>
  <c r="A556" i="1"/>
  <c r="A555" i="1"/>
  <c r="A554" i="1"/>
  <c r="A854" i="1"/>
  <c r="A853" i="1"/>
  <c r="A852" i="1"/>
  <c r="A851" i="1"/>
  <c r="A850" i="1"/>
  <c r="A849" i="1"/>
  <c r="A848" i="1"/>
  <c r="A847" i="1"/>
  <c r="A846" i="1"/>
  <c r="A845" i="1"/>
  <c r="A844" i="1"/>
  <c r="A843" i="1"/>
  <c r="A842" i="1"/>
  <c r="A841" i="1"/>
  <c r="A840" i="1"/>
  <c r="A839" i="1"/>
  <c r="A838" i="1"/>
  <c r="A837" i="1"/>
  <c r="A836" i="1"/>
  <c r="A835" i="1"/>
  <c r="A834" i="1"/>
  <c r="A833" i="1"/>
  <c r="A832" i="1"/>
  <c r="A831" i="1"/>
  <c r="A830" i="1"/>
  <c r="A829" i="1"/>
  <c r="A828" i="1"/>
  <c r="A827" i="1"/>
  <c r="A826" i="1"/>
  <c r="A825" i="1"/>
  <c r="A824" i="1"/>
  <c r="A823" i="1"/>
  <c r="A822" i="1"/>
  <c r="A821" i="1"/>
  <c r="A820" i="1"/>
  <c r="A819" i="1"/>
  <c r="A818" i="1"/>
  <c r="A817" i="1"/>
  <c r="A816" i="1"/>
  <c r="A815" i="1"/>
  <c r="A814" i="1"/>
  <c r="A813" i="1"/>
  <c r="A812" i="1"/>
  <c r="A811" i="1"/>
  <c r="A810" i="1"/>
  <c r="A809" i="1"/>
  <c r="A808" i="1"/>
  <c r="A807" i="1"/>
  <c r="A806" i="1"/>
  <c r="A805" i="1"/>
  <c r="A804" i="1"/>
  <c r="A803" i="1"/>
  <c r="A802" i="1"/>
  <c r="A801" i="1"/>
  <c r="A800" i="1"/>
  <c r="A799" i="1"/>
  <c r="A798" i="1"/>
  <c r="A797" i="1"/>
  <c r="A796" i="1"/>
  <c r="A795" i="1"/>
  <c r="A794" i="1"/>
  <c r="A793" i="1"/>
  <c r="A792" i="1"/>
  <c r="A791" i="1"/>
  <c r="A790" i="1"/>
  <c r="A789" i="1"/>
  <c r="A788" i="1"/>
  <c r="A787" i="1"/>
  <c r="A786" i="1"/>
  <c r="A785" i="1"/>
  <c r="A784" i="1"/>
  <c r="A783" i="1"/>
  <c r="A782" i="1"/>
  <c r="A781" i="1"/>
  <c r="A780" i="1"/>
  <c r="A779" i="1"/>
  <c r="A778" i="1"/>
  <c r="A777" i="1"/>
  <c r="A776" i="1"/>
  <c r="A775" i="1"/>
  <c r="A774" i="1"/>
  <c r="A773" i="1"/>
  <c r="A772" i="1"/>
  <c r="A771" i="1"/>
  <c r="A770" i="1"/>
  <c r="A769" i="1"/>
  <c r="A768" i="1"/>
  <c r="A767" i="1"/>
  <c r="A766" i="1"/>
  <c r="A765" i="1"/>
  <c r="A764" i="1"/>
  <c r="A763" i="1"/>
  <c r="A762" i="1"/>
  <c r="A761" i="1"/>
  <c r="A760" i="1"/>
  <c r="A759" i="1"/>
  <c r="A758" i="1"/>
  <c r="A757" i="1"/>
  <c r="A756" i="1"/>
  <c r="A755" i="1"/>
  <c r="A754" i="1"/>
  <c r="A753" i="1"/>
  <c r="A752" i="1"/>
  <c r="A751" i="1"/>
  <c r="A750" i="1"/>
  <c r="A749" i="1"/>
  <c r="A748" i="1"/>
  <c r="A747" i="1"/>
  <c r="A746" i="1"/>
  <c r="A745" i="1"/>
  <c r="A744" i="1"/>
  <c r="A743" i="1"/>
  <c r="A742" i="1"/>
  <c r="A741" i="1"/>
  <c r="A740" i="1"/>
  <c r="A739" i="1"/>
  <c r="A738" i="1"/>
  <c r="A737" i="1"/>
  <c r="A736" i="1"/>
  <c r="A735" i="1"/>
  <c r="A734" i="1"/>
  <c r="A733" i="1"/>
  <c r="A732" i="1"/>
  <c r="A731" i="1"/>
  <c r="A730" i="1"/>
  <c r="A729" i="1"/>
  <c r="A728" i="1"/>
  <c r="A727" i="1"/>
  <c r="A726" i="1"/>
  <c r="A725" i="1"/>
  <c r="A724" i="1"/>
  <c r="A723" i="1"/>
  <c r="A722" i="1"/>
  <c r="A721" i="1"/>
  <c r="A720" i="1"/>
  <c r="A719" i="1"/>
  <c r="A718" i="1"/>
  <c r="A717" i="1"/>
  <c r="A716" i="1"/>
  <c r="A715" i="1"/>
  <c r="A714" i="1"/>
  <c r="A713" i="1"/>
  <c r="A712" i="1"/>
  <c r="A711" i="1"/>
  <c r="A710" i="1"/>
  <c r="A709" i="1"/>
  <c r="A708" i="1"/>
  <c r="A707" i="1"/>
  <c r="A706" i="1"/>
  <c r="A705" i="1"/>
  <c r="A704" i="1"/>
  <c r="A703" i="1"/>
  <c r="A702" i="1"/>
  <c r="A701" i="1"/>
  <c r="A700" i="1"/>
  <c r="A699" i="1"/>
  <c r="A698" i="1"/>
  <c r="A697" i="1"/>
  <c r="A696" i="1"/>
  <c r="A695" i="1"/>
  <c r="A694" i="1"/>
  <c r="A693" i="1"/>
  <c r="A692" i="1"/>
  <c r="A691" i="1"/>
  <c r="A690" i="1"/>
  <c r="A689" i="1"/>
  <c r="A688" i="1"/>
  <c r="A687" i="1"/>
  <c r="A686" i="1"/>
  <c r="A685" i="1"/>
  <c r="A684" i="1"/>
  <c r="A683" i="1"/>
  <c r="A682" i="1"/>
  <c r="A681" i="1"/>
  <c r="A680" i="1"/>
  <c r="A679" i="1"/>
  <c r="A678" i="1"/>
  <c r="A677" i="1"/>
  <c r="A676" i="1"/>
  <c r="A675" i="1"/>
  <c r="A674" i="1"/>
  <c r="A673" i="1"/>
  <c r="A672" i="1"/>
  <c r="A671" i="1"/>
  <c r="A670" i="1"/>
  <c r="A669" i="1"/>
  <c r="A668" i="1"/>
  <c r="A667" i="1"/>
  <c r="A666" i="1"/>
  <c r="A665" i="1"/>
  <c r="A664" i="1"/>
  <c r="A663" i="1"/>
  <c r="A662" i="1"/>
  <c r="A661" i="1"/>
  <c r="A660" i="1"/>
  <c r="A659" i="1"/>
  <c r="A658" i="1"/>
  <c r="A657" i="1"/>
  <c r="A656" i="1"/>
  <c r="A655" i="1"/>
  <c r="A654" i="1"/>
  <c r="A653" i="1"/>
  <c r="A652" i="1"/>
  <c r="A651" i="1"/>
  <c r="A650" i="1"/>
  <c r="A649" i="1"/>
  <c r="A648" i="1"/>
  <c r="A647" i="1"/>
  <c r="A646" i="1"/>
  <c r="A645" i="1"/>
  <c r="A644" i="1"/>
  <c r="A643" i="1"/>
  <c r="A642" i="1"/>
  <c r="A641" i="1"/>
  <c r="A640" i="1"/>
  <c r="A639" i="1"/>
  <c r="A638" i="1"/>
  <c r="A637" i="1"/>
  <c r="A636" i="1"/>
  <c r="A635" i="1"/>
  <c r="A634" i="1"/>
  <c r="A633" i="1"/>
  <c r="A632" i="1"/>
  <c r="A631" i="1"/>
  <c r="A630" i="1"/>
  <c r="A629" i="1"/>
  <c r="A628" i="1"/>
  <c r="A627" i="1"/>
  <c r="A626" i="1"/>
  <c r="A625" i="1"/>
  <c r="A624" i="1"/>
  <c r="A623" i="1"/>
  <c r="A622" i="1"/>
  <c r="A621" i="1"/>
  <c r="A620" i="1"/>
  <c r="A619" i="1"/>
  <c r="A618" i="1"/>
  <c r="A617" i="1"/>
  <c r="A616" i="1"/>
  <c r="A615" i="1"/>
  <c r="A614" i="1"/>
  <c r="A613" i="1"/>
  <c r="A612" i="1"/>
  <c r="A611" i="1"/>
  <c r="A610" i="1"/>
  <c r="A609" i="1"/>
  <c r="A608" i="1"/>
  <c r="A607" i="1"/>
  <c r="A606" i="1"/>
  <c r="A605" i="1"/>
  <c r="A604" i="1"/>
  <c r="A603" i="1"/>
  <c r="A602" i="1"/>
  <c r="A601" i="1"/>
  <c r="A600" i="1"/>
  <c r="A599" i="1"/>
  <c r="A598" i="1"/>
  <c r="A597" i="1"/>
  <c r="A596" i="1"/>
  <c r="A595" i="1"/>
  <c r="A594" i="1"/>
  <c r="A593" i="1"/>
  <c r="A592" i="1"/>
  <c r="A591" i="1"/>
  <c r="A590" i="1"/>
  <c r="A589" i="1"/>
  <c r="A588" i="1"/>
  <c r="A587" i="1"/>
  <c r="A586" i="1"/>
  <c r="A585" i="1"/>
  <c r="A584" i="1"/>
  <c r="A583" i="1"/>
  <c r="A582" i="1"/>
  <c r="A581" i="1"/>
  <c r="A580" i="1"/>
  <c r="A579" i="1"/>
  <c r="A553" i="1"/>
  <c r="A552" i="1"/>
  <c r="A551" i="1"/>
  <c r="A550" i="1"/>
  <c r="A549" i="1"/>
  <c r="A548" i="1"/>
  <c r="A547" i="1"/>
  <c r="A546" i="1"/>
  <c r="A545" i="1"/>
  <c r="A544" i="1"/>
  <c r="A543" i="1"/>
  <c r="A542" i="1"/>
  <c r="A541" i="1"/>
  <c r="A540" i="1"/>
  <c r="A539" i="1"/>
  <c r="A538" i="1"/>
  <c r="A537" i="1"/>
  <c r="A536" i="1"/>
  <c r="A535" i="1"/>
  <c r="A534" i="1"/>
  <c r="A533" i="1"/>
  <c r="A532" i="1"/>
  <c r="A531" i="1"/>
  <c r="A530" i="1"/>
  <c r="A529" i="1"/>
  <c r="A528" i="1"/>
  <c r="A527" i="1"/>
  <c r="A526" i="1"/>
  <c r="A525" i="1"/>
  <c r="A524" i="1"/>
  <c r="A523" i="1"/>
  <c r="A522" i="1"/>
  <c r="A521" i="1"/>
  <c r="A520" i="1"/>
  <c r="A519" i="1"/>
  <c r="A518" i="1"/>
  <c r="A517" i="1"/>
  <c r="A516" i="1"/>
  <c r="A515" i="1"/>
  <c r="A514" i="1"/>
  <c r="A513" i="1"/>
  <c r="A512" i="1"/>
  <c r="A511" i="1"/>
  <c r="A510" i="1"/>
  <c r="A509" i="1"/>
  <c r="A508" i="1"/>
  <c r="A507" i="1"/>
  <c r="A506" i="1"/>
  <c r="A505" i="1"/>
  <c r="A504" i="1"/>
  <c r="A503" i="1"/>
  <c r="A502" i="1"/>
  <c r="A501" i="1"/>
  <c r="A500" i="1"/>
  <c r="A499" i="1"/>
  <c r="A498" i="1"/>
  <c r="A497" i="1"/>
  <c r="A496" i="1"/>
  <c r="A495" i="1"/>
  <c r="A494" i="1"/>
  <c r="A493" i="1"/>
  <c r="A492" i="1"/>
  <c r="A491" i="1"/>
  <c r="A490" i="1"/>
  <c r="A489" i="1"/>
  <c r="A488" i="1"/>
  <c r="A487" i="1"/>
  <c r="A486" i="1"/>
  <c r="A485" i="1"/>
  <c r="A484" i="1"/>
  <c r="A483" i="1"/>
  <c r="A482" i="1"/>
  <c r="A481" i="1"/>
  <c r="A480" i="1"/>
  <c r="A479" i="1"/>
  <c r="A478" i="1"/>
  <c r="A477" i="1"/>
  <c r="A476" i="1"/>
  <c r="A475" i="1"/>
  <c r="A474" i="1"/>
  <c r="A473" i="1"/>
  <c r="A472" i="1"/>
  <c r="A471" i="1"/>
  <c r="A470" i="1"/>
  <c r="A469" i="1"/>
  <c r="A468" i="1"/>
  <c r="A467" i="1"/>
  <c r="A466" i="1"/>
  <c r="A465" i="1"/>
  <c r="A464" i="1"/>
  <c r="A463" i="1"/>
  <c r="A462" i="1"/>
  <c r="A461" i="1"/>
  <c r="A460" i="1"/>
  <c r="A459" i="1"/>
  <c r="A458" i="1"/>
  <c r="A457" i="1"/>
  <c r="A456" i="1"/>
  <c r="A455" i="1"/>
  <c r="A454" i="1"/>
  <c r="A453" i="1"/>
  <c r="A452" i="1"/>
  <c r="A451" i="1"/>
  <c r="A450" i="1"/>
  <c r="A449" i="1"/>
  <c r="A448" i="1"/>
  <c r="A447" i="1"/>
  <c r="A446" i="1"/>
  <c r="A445" i="1"/>
  <c r="A444" i="1"/>
  <c r="A443" i="1"/>
  <c r="A442" i="1"/>
  <c r="A441" i="1"/>
  <c r="A440" i="1"/>
  <c r="A439" i="1"/>
  <c r="A438" i="1"/>
  <c r="A437" i="1"/>
  <c r="A436" i="1"/>
  <c r="A435" i="1"/>
  <c r="A434" i="1"/>
  <c r="A433" i="1"/>
  <c r="A432" i="1"/>
  <c r="A431" i="1"/>
  <c r="A430" i="1"/>
  <c r="A429" i="1"/>
  <c r="A428" i="1"/>
  <c r="A427" i="1"/>
  <c r="A426" i="1"/>
  <c r="A425" i="1"/>
  <c r="A424" i="1"/>
  <c r="A423" i="1"/>
  <c r="A422" i="1"/>
  <c r="A421" i="1"/>
  <c r="A420" i="1"/>
  <c r="A419" i="1"/>
  <c r="A418" i="1"/>
  <c r="A417" i="1"/>
  <c r="A416" i="1"/>
  <c r="A415" i="1"/>
  <c r="A414" i="1"/>
  <c r="A413" i="1"/>
  <c r="A412" i="1"/>
  <c r="A411" i="1"/>
  <c r="A410" i="1"/>
  <c r="A409" i="1"/>
  <c r="A408" i="1"/>
  <c r="A407" i="1"/>
  <c r="A406" i="1"/>
  <c r="A405" i="1"/>
  <c r="A404" i="1"/>
  <c r="A403" i="1"/>
  <c r="A402" i="1"/>
  <c r="A401" i="1"/>
  <c r="A400" i="1"/>
  <c r="A399" i="1"/>
  <c r="A398" i="1"/>
  <c r="A397" i="1"/>
  <c r="A396" i="1"/>
  <c r="A395" i="1"/>
  <c r="A394" i="1"/>
  <c r="A393" i="1"/>
  <c r="A392" i="1"/>
  <c r="A391" i="1"/>
  <c r="A390" i="1"/>
  <c r="A389" i="1"/>
  <c r="A388" i="1"/>
  <c r="A387" i="1"/>
  <c r="A386" i="1"/>
  <c r="A385" i="1"/>
  <c r="A384" i="1"/>
  <c r="A383" i="1"/>
  <c r="A382" i="1"/>
  <c r="A381" i="1"/>
  <c r="A380" i="1"/>
  <c r="A379" i="1"/>
  <c r="A378" i="1"/>
  <c r="A377" i="1"/>
  <c r="A376" i="1"/>
  <c r="A375" i="1"/>
  <c r="A374" i="1"/>
  <c r="A373" i="1"/>
  <c r="A372" i="1"/>
  <c r="A371" i="1"/>
  <c r="A370" i="1"/>
  <c r="A369" i="1"/>
  <c r="A368" i="1"/>
  <c r="A367" i="1"/>
  <c r="A366" i="1"/>
  <c r="A365" i="1"/>
  <c r="A364" i="1"/>
  <c r="A363" i="1"/>
  <c r="A362" i="1"/>
  <c r="A361" i="1"/>
  <c r="A360" i="1"/>
  <c r="A359" i="1"/>
  <c r="A358" i="1"/>
  <c r="A357" i="1"/>
  <c r="A356" i="1"/>
  <c r="A355" i="1"/>
  <c r="A354" i="1"/>
  <c r="A353" i="1"/>
  <c r="A352" i="1"/>
  <c r="A351" i="1"/>
  <c r="A350" i="1"/>
  <c r="A349" i="1"/>
  <c r="A348" i="1"/>
  <c r="A347" i="1"/>
  <c r="A346" i="1"/>
  <c r="A345" i="1"/>
  <c r="A344" i="1"/>
  <c r="A343" i="1"/>
  <c r="A342" i="1"/>
  <c r="A341" i="1"/>
  <c r="A340" i="1"/>
  <c r="A339" i="1"/>
  <c r="A338" i="1"/>
  <c r="A337" i="1"/>
  <c r="A336" i="1"/>
  <c r="A335" i="1"/>
  <c r="A334" i="1"/>
  <c r="A333" i="1"/>
  <c r="A332" i="1"/>
  <c r="A331" i="1"/>
  <c r="A330" i="1"/>
  <c r="A329" i="1"/>
  <c r="A328" i="1"/>
  <c r="A327" i="1"/>
  <c r="A326" i="1"/>
  <c r="A325" i="1"/>
  <c r="A324" i="1"/>
  <c r="A323" i="1"/>
  <c r="A322" i="1"/>
  <c r="A321" i="1"/>
  <c r="A320" i="1"/>
  <c r="A319" i="1"/>
  <c r="A318" i="1"/>
  <c r="A317" i="1"/>
  <c r="A316" i="1"/>
  <c r="A315" i="1"/>
  <c r="A314" i="1"/>
  <c r="A313" i="1"/>
  <c r="A312" i="1"/>
  <c r="A311" i="1"/>
  <c r="A310" i="1"/>
  <c r="A309" i="1"/>
  <c r="A308" i="1"/>
  <c r="A307" i="1"/>
  <c r="A306" i="1"/>
  <c r="A305" i="1"/>
  <c r="A304" i="1"/>
  <c r="A303" i="1"/>
  <c r="A302" i="1"/>
  <c r="A301" i="1"/>
  <c r="A300" i="1"/>
  <c r="A299" i="1"/>
  <c r="A298" i="1"/>
  <c r="A297" i="1"/>
  <c r="A296" i="1"/>
  <c r="A295" i="1"/>
  <c r="A294" i="1"/>
  <c r="A293" i="1"/>
  <c r="A292" i="1"/>
  <c r="A291" i="1"/>
  <c r="A290" i="1"/>
  <c r="A289" i="1"/>
  <c r="A288" i="1"/>
  <c r="A287" i="1"/>
  <c r="A286" i="1"/>
  <c r="A285" i="1"/>
  <c r="A284" i="1"/>
  <c r="A283" i="1"/>
  <c r="A282" i="1"/>
  <c r="A281" i="1"/>
  <c r="A280" i="1"/>
  <c r="A279" i="1"/>
  <c r="A278" i="1"/>
  <c r="A277" i="1"/>
  <c r="A276" i="1"/>
  <c r="A275" i="1"/>
  <c r="A274" i="1"/>
  <c r="A273" i="1"/>
  <c r="A272" i="1"/>
  <c r="A271" i="1"/>
  <c r="A270" i="1"/>
  <c r="A269" i="1"/>
  <c r="A268" i="1"/>
  <c r="A267" i="1"/>
  <c r="A266" i="1"/>
  <c r="A265" i="1"/>
  <c r="A264" i="1"/>
  <c r="A263" i="1"/>
  <c r="A262" i="1"/>
  <c r="A261" i="1"/>
  <c r="A260" i="1"/>
  <c r="A259" i="1"/>
  <c r="A258" i="1"/>
  <c r="A257" i="1"/>
  <c r="A256" i="1"/>
  <c r="A255" i="1"/>
  <c r="A254" i="1"/>
  <c r="A253" i="1"/>
  <c r="A252" i="1"/>
  <c r="A251" i="1"/>
  <c r="A250" i="1"/>
  <c r="A249" i="1"/>
  <c r="A248" i="1"/>
  <c r="A247" i="1"/>
  <c r="A246" i="1"/>
  <c r="A245" i="1"/>
  <c r="A244" i="1"/>
  <c r="A243" i="1"/>
  <c r="A242" i="1"/>
  <c r="A241" i="1"/>
  <c r="A240" i="1"/>
  <c r="A239" i="1"/>
  <c r="A238" i="1"/>
  <c r="A237" i="1"/>
  <c r="A236" i="1"/>
  <c r="A235" i="1"/>
  <c r="A234" i="1"/>
  <c r="A233" i="1"/>
  <c r="A232" i="1"/>
  <c r="A231" i="1"/>
  <c r="A230" i="1"/>
  <c r="A229" i="1"/>
  <c r="A228" i="1"/>
  <c r="A227" i="1"/>
  <c r="A226" i="1"/>
  <c r="A225" i="1"/>
  <c r="A224" i="1"/>
  <c r="A223" i="1"/>
  <c r="A222" i="1"/>
  <c r="A221" i="1"/>
  <c r="A220" i="1"/>
  <c r="A219" i="1"/>
  <c r="A218" i="1"/>
  <c r="A217" i="1"/>
  <c r="A216" i="1"/>
  <c r="A215" i="1"/>
  <c r="A214" i="1"/>
  <c r="A213" i="1"/>
  <c r="A212" i="1"/>
  <c r="A211" i="1"/>
  <c r="A210" i="1"/>
  <c r="A209" i="1"/>
  <c r="A208" i="1"/>
  <c r="A207" i="1"/>
  <c r="A206" i="1"/>
  <c r="A205" i="1"/>
  <c r="A204" i="1"/>
  <c r="A203" i="1"/>
  <c r="A202" i="1"/>
  <c r="A201" i="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8" i="1"/>
  <c r="AC719" i="1"/>
  <c r="AB719" i="1"/>
  <c r="AA719" i="1"/>
  <c r="Z719" i="1"/>
  <c r="Y719" i="1"/>
  <c r="W719" i="1"/>
  <c r="V719" i="1"/>
  <c r="AH3" i="1"/>
  <c r="A3" i="1" s="1"/>
  <c r="AH4" i="1"/>
  <c r="A4" i="1" s="1"/>
  <c r="AH5" i="1"/>
  <c r="A5" i="1" s="1"/>
  <c r="AH6" i="1"/>
  <c r="A6" i="1" s="1"/>
  <c r="AH7" i="1"/>
  <c r="A7" i="1" s="1"/>
  <c r="AH8" i="1"/>
  <c r="A8" i="1" s="1"/>
  <c r="AH9" i="1"/>
  <c r="A9" i="1" s="1"/>
  <c r="AH10" i="1"/>
  <c r="A10" i="1" s="1"/>
  <c r="AH11" i="1"/>
  <c r="A11" i="1" s="1"/>
  <c r="AH12" i="1"/>
  <c r="A12" i="1" s="1"/>
  <c r="AH13" i="1"/>
  <c r="A13" i="1" s="1"/>
  <c r="AH14" i="1"/>
  <c r="A14" i="1" s="1"/>
  <c r="AH15" i="1"/>
  <c r="A15" i="1" s="1"/>
  <c r="AH16" i="1"/>
  <c r="A16" i="1" s="1"/>
  <c r="AH17" i="1"/>
  <c r="W759" i="1"/>
  <c r="AC782" i="1"/>
  <c r="AB782" i="1"/>
  <c r="AA782" i="1"/>
  <c r="Z782" i="1"/>
  <c r="Y782" i="1"/>
  <c r="W782" i="1"/>
  <c r="V782" i="1"/>
  <c r="W758" i="1"/>
  <c r="AC48" i="1"/>
  <c r="AB48" i="1"/>
  <c r="AA48" i="1"/>
  <c r="Z48" i="1"/>
  <c r="Y48" i="1"/>
  <c r="W48" i="1"/>
  <c r="V48" i="1"/>
  <c r="W507" i="1"/>
  <c r="AC504" i="1"/>
  <c r="AB504" i="1"/>
  <c r="AA504" i="1"/>
  <c r="Z504" i="1"/>
  <c r="Y504" i="1"/>
  <c r="W504" i="1"/>
  <c r="V2" i="1"/>
  <c r="V3" i="1"/>
  <c r="V4" i="1"/>
  <c r="V5" i="1"/>
  <c r="V6" i="1"/>
  <c r="V7" i="1"/>
  <c r="V8" i="1"/>
  <c r="V9" i="1"/>
  <c r="V10" i="1"/>
  <c r="V11" i="1"/>
  <c r="V12" i="1"/>
  <c r="V13" i="1"/>
  <c r="V14" i="1"/>
  <c r="V15" i="1"/>
  <c r="V16" i="1"/>
  <c r="V17" i="1"/>
  <c r="V18" i="1"/>
  <c r="V19" i="1"/>
  <c r="V20" i="1"/>
  <c r="V21" i="1"/>
  <c r="V22" i="1"/>
  <c r="V23" i="1"/>
  <c r="V24" i="1"/>
  <c r="V25" i="1"/>
  <c r="V26" i="1"/>
  <c r="V27" i="1"/>
  <c r="V28" i="1"/>
  <c r="V29" i="1"/>
  <c r="V30" i="1"/>
  <c r="V31" i="1"/>
  <c r="V32" i="1"/>
  <c r="V33" i="1"/>
  <c r="V34" i="1"/>
  <c r="V35" i="1"/>
  <c r="V36" i="1"/>
  <c r="V37" i="1"/>
  <c r="V38" i="1"/>
  <c r="V39" i="1"/>
  <c r="V40" i="1"/>
  <c r="V41" i="1"/>
  <c r="V42" i="1"/>
  <c r="V43" i="1"/>
  <c r="V44" i="1"/>
  <c r="V45" i="1"/>
  <c r="V46" i="1"/>
  <c r="V47" i="1"/>
  <c r="V49" i="1"/>
  <c r="V50" i="1"/>
  <c r="V51" i="1"/>
  <c r="V52" i="1"/>
  <c r="V53" i="1"/>
  <c r="V54" i="1"/>
  <c r="V55" i="1"/>
  <c r="V56" i="1"/>
  <c r="V57" i="1"/>
  <c r="V58" i="1"/>
  <c r="V59" i="1"/>
  <c r="V60" i="1"/>
  <c r="V61" i="1"/>
  <c r="V62" i="1"/>
  <c r="V63" i="1"/>
  <c r="V64" i="1"/>
  <c r="V65" i="1"/>
  <c r="V66" i="1"/>
  <c r="V67" i="1"/>
  <c r="V68" i="1"/>
  <c r="V70" i="1"/>
  <c r="V71" i="1"/>
  <c r="V72" i="1"/>
  <c r="V73" i="1"/>
  <c r="V74" i="1"/>
  <c r="V75" i="1"/>
  <c r="V76" i="1"/>
  <c r="V77" i="1"/>
  <c r="V78" i="1"/>
  <c r="V79" i="1"/>
  <c r="V80" i="1"/>
  <c r="V81" i="1"/>
  <c r="V82" i="1"/>
  <c r="V83" i="1"/>
  <c r="V84" i="1"/>
  <c r="V85" i="1"/>
  <c r="V86" i="1"/>
  <c r="V87" i="1"/>
  <c r="V88" i="1"/>
  <c r="V89" i="1"/>
  <c r="V90" i="1"/>
  <c r="V91" i="1"/>
  <c r="V92" i="1"/>
  <c r="V93" i="1"/>
  <c r="V94" i="1"/>
  <c r="V95" i="1"/>
  <c r="V96" i="1"/>
  <c r="V97" i="1"/>
  <c r="V98" i="1"/>
  <c r="V99" i="1"/>
  <c r="V100" i="1"/>
  <c r="V101" i="1"/>
  <c r="V102" i="1"/>
  <c r="V103" i="1"/>
  <c r="V104" i="1"/>
  <c r="V105" i="1"/>
  <c r="V106" i="1"/>
  <c r="V107" i="1"/>
  <c r="V108" i="1"/>
  <c r="V109" i="1"/>
  <c r="V110" i="1"/>
  <c r="V111" i="1"/>
  <c r="V112" i="1"/>
  <c r="V113" i="1"/>
  <c r="V114" i="1"/>
  <c r="V115" i="1"/>
  <c r="V116" i="1"/>
  <c r="V117" i="1"/>
  <c r="V118" i="1"/>
  <c r="V119" i="1"/>
  <c r="V120" i="1"/>
  <c r="V121" i="1"/>
  <c r="V122" i="1"/>
  <c r="V123" i="1"/>
  <c r="V124" i="1"/>
  <c r="V125" i="1"/>
  <c r="V126" i="1"/>
  <c r="V127" i="1"/>
  <c r="V128" i="1"/>
  <c r="V129" i="1"/>
  <c r="V130" i="1"/>
  <c r="V131" i="1"/>
  <c r="V132" i="1"/>
  <c r="V133" i="1"/>
  <c r="V134" i="1"/>
  <c r="V135" i="1"/>
  <c r="V136" i="1"/>
  <c r="V137" i="1"/>
  <c r="V138" i="1"/>
  <c r="V139" i="1"/>
  <c r="V140" i="1"/>
  <c r="V141" i="1"/>
  <c r="V142" i="1"/>
  <c r="V143" i="1"/>
  <c r="V144" i="1"/>
  <c r="V145" i="1"/>
  <c r="V146" i="1"/>
  <c r="V147" i="1"/>
  <c r="V148" i="1"/>
  <c r="V149" i="1"/>
  <c r="V150" i="1"/>
  <c r="V151" i="1"/>
  <c r="V152" i="1"/>
  <c r="V153" i="1"/>
  <c r="V154" i="1"/>
  <c r="V155" i="1"/>
  <c r="V156" i="1"/>
  <c r="V157" i="1"/>
  <c r="V158" i="1"/>
  <c r="V159" i="1"/>
  <c r="V160" i="1"/>
  <c r="V161" i="1"/>
  <c r="V162" i="1"/>
  <c r="V163" i="1"/>
  <c r="V164" i="1"/>
  <c r="V165" i="1"/>
  <c r="V166" i="1"/>
  <c r="V167" i="1"/>
  <c r="V168" i="1"/>
  <c r="V169" i="1"/>
  <c r="V170" i="1"/>
  <c r="V171" i="1"/>
  <c r="V172" i="1"/>
  <c r="V173" i="1"/>
  <c r="V174" i="1"/>
  <c r="V175" i="1"/>
  <c r="V176" i="1"/>
  <c r="V177" i="1"/>
  <c r="V178" i="1"/>
  <c r="V179" i="1"/>
  <c r="V180" i="1"/>
  <c r="V181" i="1"/>
  <c r="V182" i="1"/>
  <c r="V183" i="1"/>
  <c r="V184" i="1"/>
  <c r="V186" i="1"/>
  <c r="V185" i="1"/>
  <c r="V188" i="1"/>
  <c r="V191" i="1"/>
  <c r="V194" i="1"/>
  <c r="V193" i="1"/>
  <c r="V196" i="1"/>
  <c r="V195" i="1"/>
  <c r="V198" i="1"/>
  <c r="V197" i="1"/>
  <c r="V200" i="1"/>
  <c r="V199" i="1"/>
  <c r="V201" i="1"/>
  <c r="V202" i="1"/>
  <c r="V203" i="1"/>
  <c r="V204" i="1"/>
  <c r="V205" i="1"/>
  <c r="V206" i="1"/>
  <c r="V207" i="1"/>
  <c r="V208" i="1"/>
  <c r="V209" i="1"/>
  <c r="V210" i="1"/>
  <c r="V211" i="1"/>
  <c r="V212" i="1"/>
  <c r="V213" i="1"/>
  <c r="V214" i="1"/>
  <c r="V215" i="1"/>
  <c r="V216" i="1"/>
  <c r="V217" i="1"/>
  <c r="V218" i="1"/>
  <c r="V219" i="1"/>
  <c r="V220" i="1"/>
  <c r="V221" i="1"/>
  <c r="V222" i="1"/>
  <c r="V223" i="1"/>
  <c r="V224" i="1"/>
  <c r="V225" i="1"/>
  <c r="V226" i="1"/>
  <c r="V227" i="1"/>
  <c r="V228" i="1"/>
  <c r="V229" i="1"/>
  <c r="V230" i="1"/>
  <c r="V231" i="1"/>
  <c r="V232" i="1"/>
  <c r="V233" i="1"/>
  <c r="V234" i="1"/>
  <c r="V235" i="1"/>
  <c r="V236" i="1"/>
  <c r="V237" i="1"/>
  <c r="V238" i="1"/>
  <c r="V239" i="1"/>
  <c r="V240" i="1"/>
  <c r="V241" i="1"/>
  <c r="V242" i="1"/>
  <c r="V243" i="1"/>
  <c r="V244" i="1"/>
  <c r="V245" i="1"/>
  <c r="V246" i="1"/>
  <c r="V247" i="1"/>
  <c r="V248" i="1"/>
  <c r="V249" i="1"/>
  <c r="V250" i="1"/>
  <c r="V251" i="1"/>
  <c r="V252" i="1"/>
  <c r="V253" i="1"/>
  <c r="V254" i="1"/>
  <c r="V255" i="1"/>
  <c r="V256" i="1"/>
  <c r="V257" i="1"/>
  <c r="V258" i="1"/>
  <c r="V259" i="1"/>
  <c r="V260" i="1"/>
  <c r="V261" i="1"/>
  <c r="V262" i="1"/>
  <c r="V263" i="1"/>
  <c r="V264" i="1"/>
  <c r="V265" i="1"/>
  <c r="V266" i="1"/>
  <c r="V267" i="1"/>
  <c r="V268" i="1"/>
  <c r="V269" i="1"/>
  <c r="V270" i="1"/>
  <c r="V271" i="1"/>
  <c r="V272" i="1"/>
  <c r="V273" i="1"/>
  <c r="V274" i="1"/>
  <c r="V275" i="1"/>
  <c r="V276" i="1"/>
  <c r="V277" i="1"/>
  <c r="V278" i="1"/>
  <c r="V279" i="1"/>
  <c r="V280" i="1"/>
  <c r="V281" i="1"/>
  <c r="V282" i="1"/>
  <c r="V283" i="1"/>
  <c r="V284" i="1"/>
  <c r="V285" i="1"/>
  <c r="V286" i="1"/>
  <c r="V287" i="1"/>
  <c r="V288" i="1"/>
  <c r="V289" i="1"/>
  <c r="V290" i="1"/>
  <c r="V291" i="1"/>
  <c r="V292" i="1"/>
  <c r="V293" i="1"/>
  <c r="V294" i="1"/>
  <c r="V295" i="1"/>
  <c r="V296" i="1"/>
  <c r="V297" i="1"/>
  <c r="V303" i="1"/>
  <c r="V304" i="1"/>
  <c r="V305" i="1"/>
  <c r="V306" i="1"/>
  <c r="V307" i="1"/>
  <c r="V308" i="1"/>
  <c r="V309" i="1"/>
  <c r="V310" i="1"/>
  <c r="V311" i="1"/>
  <c r="V312" i="1"/>
  <c r="V313" i="1"/>
  <c r="V314" i="1"/>
  <c r="V315" i="1"/>
  <c r="V316" i="1"/>
  <c r="V317" i="1"/>
  <c r="V318" i="1"/>
  <c r="V319" i="1"/>
  <c r="V320" i="1"/>
  <c r="V321" i="1"/>
  <c r="V322" i="1"/>
  <c r="V323" i="1"/>
  <c r="V324" i="1"/>
  <c r="V325" i="1"/>
  <c r="V326" i="1"/>
  <c r="V327" i="1"/>
  <c r="V328" i="1"/>
  <c r="V329" i="1"/>
  <c r="V330" i="1"/>
  <c r="V331" i="1"/>
  <c r="V332" i="1"/>
  <c r="V333" i="1"/>
  <c r="V334" i="1"/>
  <c r="V335" i="1"/>
  <c r="V336" i="1"/>
  <c r="V337" i="1"/>
  <c r="V338" i="1"/>
  <c r="V339" i="1"/>
  <c r="V340" i="1"/>
  <c r="V341" i="1"/>
  <c r="V342" i="1"/>
  <c r="V343" i="1"/>
  <c r="V344" i="1"/>
  <c r="V345" i="1"/>
  <c r="V346" i="1"/>
  <c r="V347" i="1"/>
  <c r="V348" i="1"/>
  <c r="V349" i="1"/>
  <c r="V350" i="1"/>
  <c r="V351" i="1"/>
  <c r="V352" i="1"/>
  <c r="V353" i="1"/>
  <c r="V354" i="1"/>
  <c r="V355" i="1"/>
  <c r="V356" i="1"/>
  <c r="V357" i="1"/>
  <c r="V358" i="1"/>
  <c r="V359" i="1"/>
  <c r="V360" i="1"/>
  <c r="V361" i="1"/>
  <c r="V362" i="1"/>
  <c r="V363" i="1"/>
  <c r="V364" i="1"/>
  <c r="V365" i="1"/>
  <c r="V366" i="1"/>
  <c r="V367" i="1"/>
  <c r="V368" i="1"/>
  <c r="V369" i="1"/>
  <c r="V370" i="1"/>
  <c r="V371" i="1"/>
  <c r="V372" i="1"/>
  <c r="V373" i="1"/>
  <c r="V374" i="1"/>
  <c r="V375" i="1"/>
  <c r="V376" i="1"/>
  <c r="V377" i="1"/>
  <c r="V378" i="1"/>
  <c r="V379" i="1"/>
  <c r="V380" i="1"/>
  <c r="V381" i="1"/>
  <c r="V382" i="1"/>
  <c r="V383" i="1"/>
  <c r="V384" i="1"/>
  <c r="V385" i="1"/>
  <c r="V386" i="1"/>
  <c r="V387" i="1"/>
  <c r="V388" i="1"/>
  <c r="V389" i="1"/>
  <c r="V390" i="1"/>
  <c r="V391" i="1"/>
  <c r="V392" i="1"/>
  <c r="V393" i="1"/>
  <c r="V394" i="1"/>
  <c r="V395" i="1"/>
  <c r="V396" i="1"/>
  <c r="V397" i="1"/>
  <c r="V398" i="1"/>
  <c r="V399" i="1"/>
  <c r="V400" i="1"/>
  <c r="V401" i="1"/>
  <c r="V402" i="1"/>
  <c r="V403" i="1"/>
  <c r="V404" i="1"/>
  <c r="V405" i="1"/>
  <c r="V406" i="1"/>
  <c r="V407" i="1"/>
  <c r="V408" i="1"/>
  <c r="V409" i="1"/>
  <c r="V410" i="1"/>
  <c r="V411" i="1"/>
  <c r="V412" i="1"/>
  <c r="V413" i="1"/>
  <c r="V414" i="1"/>
  <c r="V415" i="1"/>
  <c r="V416" i="1"/>
  <c r="V417" i="1"/>
  <c r="V418" i="1"/>
  <c r="V419" i="1"/>
  <c r="V420" i="1"/>
  <c r="V421" i="1"/>
  <c r="V422" i="1"/>
  <c r="V423" i="1"/>
  <c r="V424" i="1"/>
  <c r="V425" i="1"/>
  <c r="V426" i="1"/>
  <c r="V427" i="1"/>
  <c r="V428" i="1"/>
  <c r="V429" i="1"/>
  <c r="V430" i="1"/>
  <c r="V431" i="1"/>
  <c r="V432" i="1"/>
  <c r="V433" i="1"/>
  <c r="V434" i="1"/>
  <c r="V435" i="1"/>
  <c r="V436" i="1"/>
  <c r="V437" i="1"/>
  <c r="V438" i="1"/>
  <c r="V439" i="1"/>
  <c r="V440" i="1"/>
  <c r="V441" i="1"/>
  <c r="V442" i="1"/>
  <c r="V443" i="1"/>
  <c r="V444" i="1"/>
  <c r="V445" i="1"/>
  <c r="V446" i="1"/>
  <c r="V447" i="1"/>
  <c r="V448" i="1"/>
  <c r="V449" i="1"/>
  <c r="V450" i="1"/>
  <c r="V451" i="1"/>
  <c r="V452" i="1"/>
  <c r="V453" i="1"/>
  <c r="V454" i="1"/>
  <c r="V455" i="1"/>
  <c r="V456" i="1"/>
  <c r="V457" i="1"/>
  <c r="V458" i="1"/>
  <c r="V459" i="1"/>
  <c r="V460" i="1"/>
  <c r="V461" i="1"/>
  <c r="V462" i="1"/>
  <c r="V463" i="1"/>
  <c r="V464" i="1"/>
  <c r="V465" i="1"/>
  <c r="V466" i="1"/>
  <c r="V467" i="1"/>
  <c r="V468" i="1"/>
  <c r="V469" i="1"/>
  <c r="V470" i="1"/>
  <c r="V471" i="1"/>
  <c r="V472" i="1"/>
  <c r="V473" i="1"/>
  <c r="V474" i="1"/>
  <c r="V475" i="1"/>
  <c r="V476" i="1"/>
  <c r="V477" i="1"/>
  <c r="V478" i="1"/>
  <c r="V479" i="1"/>
  <c r="V480" i="1"/>
  <c r="V481" i="1"/>
  <c r="V482" i="1"/>
  <c r="V483" i="1"/>
  <c r="V484" i="1"/>
  <c r="V485" i="1"/>
  <c r="V486" i="1"/>
  <c r="V487" i="1"/>
  <c r="V488" i="1"/>
  <c r="V489" i="1"/>
  <c r="V490" i="1"/>
  <c r="V491" i="1"/>
  <c r="V492" i="1"/>
  <c r="V493" i="1"/>
  <c r="V494" i="1"/>
  <c r="V495" i="1"/>
  <c r="V496" i="1"/>
  <c r="V497" i="1"/>
  <c r="V498" i="1"/>
  <c r="V499" i="1"/>
  <c r="V500" i="1"/>
  <c r="V501" i="1"/>
  <c r="V502" i="1"/>
  <c r="V503" i="1"/>
  <c r="V505" i="1"/>
  <c r="V506" i="1"/>
  <c r="V508" i="1"/>
  <c r="V509" i="1"/>
  <c r="V510" i="1"/>
  <c r="V511" i="1"/>
  <c r="V512" i="1"/>
  <c r="V513" i="1"/>
  <c r="V514" i="1"/>
  <c r="V515" i="1"/>
  <c r="V516" i="1"/>
  <c r="V517" i="1"/>
  <c r="V518" i="1"/>
  <c r="V519" i="1"/>
  <c r="V520" i="1"/>
  <c r="V521" i="1"/>
  <c r="V522" i="1"/>
  <c r="V523" i="1"/>
  <c r="V524" i="1"/>
  <c r="V525" i="1"/>
  <c r="V526" i="1"/>
  <c r="V527" i="1"/>
  <c r="V528" i="1"/>
  <c r="V529" i="1"/>
  <c r="V530" i="1"/>
  <c r="V531" i="1"/>
  <c r="V532" i="1"/>
  <c r="V533" i="1"/>
  <c r="V534" i="1"/>
  <c r="V535" i="1"/>
  <c r="V536" i="1"/>
  <c r="V537" i="1"/>
  <c r="V538" i="1"/>
  <c r="V539" i="1"/>
  <c r="V540" i="1"/>
  <c r="V541" i="1"/>
  <c r="V542" i="1"/>
  <c r="V543" i="1"/>
  <c r="V544" i="1"/>
  <c r="V545" i="1"/>
  <c r="V546" i="1"/>
  <c r="V547" i="1"/>
  <c r="V548" i="1"/>
  <c r="V549" i="1"/>
  <c r="V550" i="1"/>
  <c r="V551" i="1"/>
  <c r="V552" i="1"/>
  <c r="V553" i="1"/>
  <c r="V554" i="1"/>
  <c r="V555" i="1"/>
  <c r="V556" i="1"/>
  <c r="V557" i="1"/>
  <c r="V558" i="1"/>
  <c r="V559" i="1"/>
  <c r="V560" i="1"/>
  <c r="V561" i="1"/>
  <c r="V562" i="1"/>
  <c r="V563" i="1"/>
  <c r="V564" i="1"/>
  <c r="V565" i="1"/>
  <c r="V566" i="1"/>
  <c r="V567" i="1"/>
  <c r="V568" i="1"/>
  <c r="V569" i="1"/>
  <c r="V570" i="1"/>
  <c r="V571" i="1"/>
  <c r="V572" i="1"/>
  <c r="V573" i="1"/>
  <c r="V574" i="1"/>
  <c r="V575" i="1"/>
  <c r="V576" i="1"/>
  <c r="V577" i="1"/>
  <c r="V578" i="1"/>
  <c r="V579" i="1"/>
  <c r="V580" i="1"/>
  <c r="V581" i="1"/>
  <c r="V582" i="1"/>
  <c r="V583" i="1"/>
  <c r="V584" i="1"/>
  <c r="V585" i="1"/>
  <c r="V586" i="1"/>
  <c r="V587" i="1"/>
  <c r="V588" i="1"/>
  <c r="V589" i="1"/>
  <c r="V590" i="1"/>
  <c r="V591" i="1"/>
  <c r="V592" i="1"/>
  <c r="V593" i="1"/>
  <c r="V594" i="1"/>
  <c r="V595" i="1"/>
  <c r="V596" i="1"/>
  <c r="V597" i="1"/>
  <c r="V598" i="1"/>
  <c r="V599" i="1"/>
  <c r="V600" i="1"/>
  <c r="V601" i="1"/>
  <c r="V602" i="1"/>
  <c r="V603" i="1"/>
  <c r="V604" i="1"/>
  <c r="V605" i="1"/>
  <c r="V606" i="1"/>
  <c r="V607" i="1"/>
  <c r="V608" i="1"/>
  <c r="V609" i="1"/>
  <c r="V610" i="1"/>
  <c r="V611" i="1"/>
  <c r="V612" i="1"/>
  <c r="V613" i="1"/>
  <c r="V614" i="1"/>
  <c r="V615" i="1"/>
  <c r="V616" i="1"/>
  <c r="V617" i="1"/>
  <c r="V618" i="1"/>
  <c r="V619" i="1"/>
  <c r="V620" i="1"/>
  <c r="V621" i="1"/>
  <c r="V622" i="1"/>
  <c r="V623" i="1"/>
  <c r="V624" i="1"/>
  <c r="V625" i="1"/>
  <c r="V626" i="1"/>
  <c r="V627" i="1"/>
  <c r="V628" i="1"/>
  <c r="V629" i="1"/>
  <c r="V630" i="1"/>
  <c r="V631" i="1"/>
  <c r="V632" i="1"/>
  <c r="V633" i="1"/>
  <c r="V634" i="1"/>
  <c r="V635" i="1"/>
  <c r="V636" i="1"/>
  <c r="V637" i="1"/>
  <c r="V638" i="1"/>
  <c r="V639" i="1"/>
  <c r="V640" i="1"/>
  <c r="V641" i="1"/>
  <c r="V642" i="1"/>
  <c r="V643" i="1"/>
  <c r="V644" i="1"/>
  <c r="V645" i="1"/>
  <c r="V646" i="1"/>
  <c r="V647" i="1"/>
  <c r="V648" i="1"/>
  <c r="V649" i="1"/>
  <c r="V650" i="1"/>
  <c r="V651" i="1"/>
  <c r="V652" i="1"/>
  <c r="V653" i="1"/>
  <c r="V654" i="1"/>
  <c r="V655" i="1"/>
  <c r="V656" i="1"/>
  <c r="V657" i="1"/>
  <c r="V658" i="1"/>
  <c r="V659" i="1"/>
  <c r="V660" i="1"/>
  <c r="V661" i="1"/>
  <c r="V662" i="1"/>
  <c r="V663" i="1"/>
  <c r="V664" i="1"/>
  <c r="V665" i="1"/>
  <c r="V666" i="1"/>
  <c r="V667" i="1"/>
  <c r="V668" i="1"/>
  <c r="V669" i="1"/>
  <c r="V670" i="1"/>
  <c r="V671" i="1"/>
  <c r="V672" i="1"/>
  <c r="V673" i="1"/>
  <c r="V674" i="1"/>
  <c r="V675" i="1"/>
  <c r="V676" i="1"/>
  <c r="V677" i="1"/>
  <c r="V678" i="1"/>
  <c r="V679" i="1"/>
  <c r="V680" i="1"/>
  <c r="V681" i="1"/>
  <c r="V682" i="1"/>
  <c r="V683" i="1"/>
  <c r="V684" i="1"/>
  <c r="V685" i="1"/>
  <c r="V686" i="1"/>
  <c r="V687" i="1"/>
  <c r="V688" i="1"/>
  <c r="V689" i="1"/>
  <c r="V690" i="1"/>
  <c r="V691" i="1"/>
  <c r="V692" i="1"/>
  <c r="V693" i="1"/>
  <c r="V694" i="1"/>
  <c r="V695" i="1"/>
  <c r="V696" i="1"/>
  <c r="V697" i="1"/>
  <c r="V698" i="1"/>
  <c r="V699" i="1"/>
  <c r="V700" i="1"/>
  <c r="V701" i="1"/>
  <c r="V702" i="1"/>
  <c r="V703" i="1"/>
  <c r="V704" i="1"/>
  <c r="V705" i="1"/>
  <c r="V706" i="1"/>
  <c r="V707" i="1"/>
  <c r="V708" i="1"/>
  <c r="V709" i="1"/>
  <c r="V710" i="1"/>
  <c r="V711" i="1"/>
  <c r="V712" i="1"/>
  <c r="V714" i="1"/>
  <c r="V715" i="1"/>
  <c r="V716" i="1"/>
  <c r="V717" i="1"/>
  <c r="V718" i="1"/>
  <c r="V720" i="1"/>
  <c r="V721" i="1"/>
  <c r="V722" i="1"/>
  <c r="V723" i="1"/>
  <c r="V724" i="1"/>
  <c r="V725" i="1"/>
  <c r="V726" i="1"/>
  <c r="V727" i="1"/>
  <c r="V728" i="1"/>
  <c r="V729" i="1"/>
  <c r="V730" i="1"/>
  <c r="V731" i="1"/>
  <c r="V732" i="1"/>
  <c r="V733" i="1"/>
  <c r="V734" i="1"/>
  <c r="V735" i="1"/>
  <c r="V736" i="1"/>
  <c r="V737" i="1"/>
  <c r="V738" i="1"/>
  <c r="V739" i="1"/>
  <c r="V740" i="1"/>
  <c r="V741" i="1"/>
  <c r="V742" i="1"/>
  <c r="V743" i="1"/>
  <c r="V744" i="1"/>
  <c r="V745" i="1"/>
  <c r="V746" i="1"/>
  <c r="V747" i="1"/>
  <c r="V748" i="1"/>
  <c r="V749" i="1"/>
  <c r="V750" i="1"/>
  <c r="V751" i="1"/>
  <c r="V752" i="1"/>
  <c r="V753" i="1"/>
  <c r="V754" i="1"/>
  <c r="V755" i="1"/>
  <c r="V756" i="1"/>
  <c r="V757" i="1"/>
  <c r="V760" i="1"/>
  <c r="V763" i="1"/>
  <c r="V764" i="1"/>
  <c r="V765" i="1"/>
  <c r="V766" i="1"/>
  <c r="V767" i="1"/>
  <c r="V768" i="1"/>
  <c r="V769" i="1"/>
  <c r="V770" i="1"/>
  <c r="V771" i="1"/>
  <c r="V772" i="1"/>
  <c r="V773" i="1"/>
  <c r="V774" i="1"/>
  <c r="V775" i="1"/>
  <c r="V776" i="1"/>
  <c r="V777" i="1"/>
  <c r="V778" i="1"/>
  <c r="V779" i="1"/>
  <c r="V780" i="1"/>
  <c r="V781" i="1"/>
  <c r="V783" i="1"/>
  <c r="V784" i="1"/>
  <c r="V785" i="1"/>
  <c r="V786" i="1"/>
  <c r="V787" i="1"/>
  <c r="V788" i="1"/>
  <c r="V789" i="1"/>
  <c r="AD3" i="1"/>
  <c r="AD2" i="1"/>
  <c r="AC2" i="1"/>
  <c r="AB2" i="1"/>
  <c r="AA2" i="1"/>
  <c r="Z2" i="1"/>
  <c r="Y2" i="1"/>
  <c r="W2" i="1"/>
  <c r="AB4" i="1"/>
  <c r="AB5" i="1"/>
  <c r="AB6" i="1"/>
  <c r="AB7" i="1"/>
  <c r="AB8" i="1"/>
  <c r="AB9" i="1"/>
  <c r="AB10" i="1"/>
  <c r="AB11" i="1"/>
  <c r="AB12" i="1"/>
  <c r="AB13" i="1"/>
  <c r="AB14" i="1"/>
  <c r="AB15" i="1"/>
  <c r="AB16" i="1"/>
  <c r="AB17" i="1"/>
  <c r="AB18" i="1"/>
  <c r="AB19" i="1"/>
  <c r="AB20" i="1"/>
  <c r="AB21" i="1"/>
  <c r="AB22" i="1"/>
  <c r="AB23" i="1"/>
  <c r="AB24" i="1"/>
  <c r="AB25" i="1"/>
  <c r="AB26" i="1"/>
  <c r="AB27" i="1"/>
  <c r="AB28" i="1"/>
  <c r="AB29" i="1"/>
  <c r="AB30" i="1"/>
  <c r="AB31" i="1"/>
  <c r="AB32" i="1"/>
  <c r="AB33" i="1"/>
  <c r="AB34" i="1"/>
  <c r="AB35" i="1"/>
  <c r="AB36" i="1"/>
  <c r="AB37" i="1"/>
  <c r="AB38" i="1"/>
  <c r="AB39" i="1"/>
  <c r="AB40" i="1"/>
  <c r="AB41" i="1"/>
  <c r="AB42" i="1"/>
  <c r="AB43" i="1"/>
  <c r="AB44" i="1"/>
  <c r="AB45" i="1"/>
  <c r="AB46" i="1"/>
  <c r="AB47" i="1"/>
  <c r="AB49" i="1"/>
  <c r="AB50" i="1"/>
  <c r="AB51" i="1"/>
  <c r="AB52" i="1"/>
  <c r="AB53" i="1"/>
  <c r="AB54" i="1"/>
  <c r="AB55" i="1"/>
  <c r="AB56" i="1"/>
  <c r="AB57" i="1"/>
  <c r="AB58" i="1"/>
  <c r="AB59" i="1"/>
  <c r="AB60" i="1"/>
  <c r="AB61" i="1"/>
  <c r="AB62" i="1"/>
  <c r="AB63" i="1"/>
  <c r="AB64" i="1"/>
  <c r="AB65" i="1"/>
  <c r="AB66" i="1"/>
  <c r="AB67" i="1"/>
  <c r="AB68" i="1"/>
  <c r="AB70" i="1"/>
  <c r="AB71" i="1"/>
  <c r="AB72" i="1"/>
  <c r="AB73" i="1"/>
  <c r="AB74" i="1"/>
  <c r="AB75" i="1"/>
  <c r="AB76" i="1"/>
  <c r="AB77" i="1"/>
  <c r="AB78" i="1"/>
  <c r="AB79" i="1"/>
  <c r="AB80" i="1"/>
  <c r="AB81" i="1"/>
  <c r="AB82" i="1"/>
  <c r="AB83" i="1"/>
  <c r="AB84" i="1"/>
  <c r="AB85" i="1"/>
  <c r="AB86" i="1"/>
  <c r="AB87" i="1"/>
  <c r="AB88" i="1"/>
  <c r="AB89" i="1"/>
  <c r="AB90" i="1"/>
  <c r="AB91" i="1"/>
  <c r="AB92" i="1"/>
  <c r="AB93" i="1"/>
  <c r="AB94" i="1"/>
  <c r="AB95" i="1"/>
  <c r="AB96" i="1"/>
  <c r="AB97" i="1"/>
  <c r="AB98" i="1"/>
  <c r="AB99" i="1"/>
  <c r="AB100" i="1"/>
  <c r="AB101" i="1"/>
  <c r="AB102" i="1"/>
  <c r="AB103" i="1"/>
  <c r="AB104" i="1"/>
  <c r="AB105" i="1"/>
  <c r="AB106" i="1"/>
  <c r="AB107" i="1"/>
  <c r="AB108" i="1"/>
  <c r="AB109" i="1"/>
  <c r="AB110" i="1"/>
  <c r="AB111" i="1"/>
  <c r="AB112" i="1"/>
  <c r="AB113" i="1"/>
  <c r="AB114" i="1"/>
  <c r="AB115" i="1"/>
  <c r="AB116" i="1"/>
  <c r="AB117" i="1"/>
  <c r="AB118" i="1"/>
  <c r="AB119" i="1"/>
  <c r="AB120" i="1"/>
  <c r="AB121" i="1"/>
  <c r="AB122" i="1"/>
  <c r="AB123" i="1"/>
  <c r="AB124" i="1"/>
  <c r="AB125" i="1"/>
  <c r="AB126" i="1"/>
  <c r="AB127" i="1"/>
  <c r="AB128" i="1"/>
  <c r="AB129" i="1"/>
  <c r="AB130" i="1"/>
  <c r="AB131" i="1"/>
  <c r="AB132" i="1"/>
  <c r="AB133" i="1"/>
  <c r="AB134" i="1"/>
  <c r="AB135" i="1"/>
  <c r="AB136" i="1"/>
  <c r="AB137" i="1"/>
  <c r="AB138" i="1"/>
  <c r="AB139" i="1"/>
  <c r="AB140" i="1"/>
  <c r="AB141" i="1"/>
  <c r="AB142" i="1"/>
  <c r="AB143" i="1"/>
  <c r="AB144" i="1"/>
  <c r="AB145" i="1"/>
  <c r="AB146" i="1"/>
  <c r="AB147" i="1"/>
  <c r="AB148" i="1"/>
  <c r="AB149" i="1"/>
  <c r="AB150" i="1"/>
  <c r="AB151" i="1"/>
  <c r="AB152" i="1"/>
  <c r="AB153" i="1"/>
  <c r="AB154" i="1"/>
  <c r="AB155" i="1"/>
  <c r="AB156" i="1"/>
  <c r="AB157" i="1"/>
  <c r="AB158" i="1"/>
  <c r="AB159" i="1"/>
  <c r="AB160" i="1"/>
  <c r="AB161" i="1"/>
  <c r="AB162" i="1"/>
  <c r="AB163" i="1"/>
  <c r="AB164" i="1"/>
  <c r="AB165" i="1"/>
  <c r="AB166" i="1"/>
  <c r="AB167" i="1"/>
  <c r="AB168" i="1"/>
  <c r="AB169" i="1"/>
  <c r="AB170" i="1"/>
  <c r="AB171" i="1"/>
  <c r="AB172" i="1"/>
  <c r="AB173" i="1"/>
  <c r="AB174" i="1"/>
  <c r="AB175" i="1"/>
  <c r="AB176" i="1"/>
  <c r="AB177" i="1"/>
  <c r="AB178" i="1"/>
  <c r="AB179" i="1"/>
  <c r="AB180" i="1"/>
  <c r="AB181" i="1"/>
  <c r="AB182" i="1"/>
  <c r="AB183" i="1"/>
  <c r="AB184" i="1"/>
  <c r="AB186" i="1"/>
  <c r="AB185" i="1"/>
  <c r="AB188" i="1"/>
  <c r="AB191" i="1"/>
  <c r="AB194" i="1"/>
  <c r="AB193" i="1"/>
  <c r="AB196" i="1"/>
  <c r="AB195" i="1"/>
  <c r="AB198" i="1"/>
  <c r="AB197" i="1"/>
  <c r="AB200" i="1"/>
  <c r="AB199" i="1"/>
  <c r="AB201" i="1"/>
  <c r="AB202" i="1"/>
  <c r="AB203" i="1"/>
  <c r="AB204" i="1"/>
  <c r="AB205" i="1"/>
  <c r="AB206" i="1"/>
  <c r="AB207" i="1"/>
  <c r="AB208" i="1"/>
  <c r="AB209" i="1"/>
  <c r="AB210" i="1"/>
  <c r="AB211" i="1"/>
  <c r="AB212" i="1"/>
  <c r="AB213" i="1"/>
  <c r="AB214" i="1"/>
  <c r="AB215" i="1"/>
  <c r="AB216" i="1"/>
  <c r="AB217" i="1"/>
  <c r="AB218" i="1"/>
  <c r="AB219" i="1"/>
  <c r="AB220" i="1"/>
  <c r="AB221" i="1"/>
  <c r="AB222" i="1"/>
  <c r="AB223" i="1"/>
  <c r="AB224" i="1"/>
  <c r="AB225" i="1"/>
  <c r="AB226" i="1"/>
  <c r="AB227" i="1"/>
  <c r="AB228" i="1"/>
  <c r="AB229" i="1"/>
  <c r="AB230" i="1"/>
  <c r="AB231" i="1"/>
  <c r="AB232" i="1"/>
  <c r="AB233" i="1"/>
  <c r="AB234" i="1"/>
  <c r="AB235" i="1"/>
  <c r="AB236" i="1"/>
  <c r="AB237" i="1"/>
  <c r="AB238" i="1"/>
  <c r="AB239" i="1"/>
  <c r="AB240" i="1"/>
  <c r="AB241" i="1"/>
  <c r="AB242" i="1"/>
  <c r="AB243" i="1"/>
  <c r="AB244" i="1"/>
  <c r="AB245" i="1"/>
  <c r="AB246" i="1"/>
  <c r="AB247" i="1"/>
  <c r="AB248" i="1"/>
  <c r="AB249" i="1"/>
  <c r="AB250" i="1"/>
  <c r="AB251" i="1"/>
  <c r="AB252" i="1"/>
  <c r="AB253" i="1"/>
  <c r="AB254" i="1"/>
  <c r="AB255" i="1"/>
  <c r="AB256" i="1"/>
  <c r="AB257" i="1"/>
  <c r="AB258" i="1"/>
  <c r="AB259" i="1"/>
  <c r="AB260" i="1"/>
  <c r="AB261" i="1"/>
  <c r="AB262" i="1"/>
  <c r="AB263" i="1"/>
  <c r="AB264" i="1"/>
  <c r="AB265" i="1"/>
  <c r="AB266" i="1"/>
  <c r="AB267" i="1"/>
  <c r="AB268" i="1"/>
  <c r="AB269" i="1"/>
  <c r="AB270" i="1"/>
  <c r="AB271" i="1"/>
  <c r="AB272" i="1"/>
  <c r="AB273" i="1"/>
  <c r="AB274" i="1"/>
  <c r="AB275" i="1"/>
  <c r="AB276" i="1"/>
  <c r="AB277" i="1"/>
  <c r="AB278" i="1"/>
  <c r="AB279" i="1"/>
  <c r="AB280" i="1"/>
  <c r="AB281" i="1"/>
  <c r="AB282" i="1"/>
  <c r="AB283" i="1"/>
  <c r="AB284" i="1"/>
  <c r="AB285" i="1"/>
  <c r="AB286" i="1"/>
  <c r="AB287" i="1"/>
  <c r="AB288" i="1"/>
  <c r="AB289" i="1"/>
  <c r="AB290" i="1"/>
  <c r="AB291" i="1"/>
  <c r="AB292" i="1"/>
  <c r="AB293" i="1"/>
  <c r="AB294" i="1"/>
  <c r="AB295" i="1"/>
  <c r="AB296" i="1"/>
  <c r="AB297" i="1"/>
  <c r="AB303" i="1"/>
  <c r="AB304" i="1"/>
  <c r="AB305" i="1"/>
  <c r="AB306" i="1"/>
  <c r="AB307" i="1"/>
  <c r="AB308" i="1"/>
  <c r="AB309" i="1"/>
  <c r="AB310" i="1"/>
  <c r="AB311" i="1"/>
  <c r="AB312" i="1"/>
  <c r="AB313" i="1"/>
  <c r="AB314" i="1"/>
  <c r="AB315" i="1"/>
  <c r="AB316" i="1"/>
  <c r="AB317" i="1"/>
  <c r="AB318" i="1"/>
  <c r="AB319" i="1"/>
  <c r="AB320" i="1"/>
  <c r="AB321" i="1"/>
  <c r="AB322" i="1"/>
  <c r="AB323" i="1"/>
  <c r="AB324" i="1"/>
  <c r="AB325" i="1"/>
  <c r="AB326" i="1"/>
  <c r="AB327" i="1"/>
  <c r="AB328" i="1"/>
  <c r="AB329" i="1"/>
  <c r="AB330" i="1"/>
  <c r="AB331" i="1"/>
  <c r="AB332" i="1"/>
  <c r="AB333" i="1"/>
  <c r="AB334" i="1"/>
  <c r="AB335" i="1"/>
  <c r="AB336" i="1"/>
  <c r="AB337" i="1"/>
  <c r="AB338" i="1"/>
  <c r="AB339" i="1"/>
  <c r="AB340" i="1"/>
  <c r="AB341" i="1"/>
  <c r="AB342" i="1"/>
  <c r="AB343" i="1"/>
  <c r="AB344" i="1"/>
  <c r="AB345" i="1"/>
  <c r="AB346" i="1"/>
  <c r="AB347" i="1"/>
  <c r="AB348" i="1"/>
  <c r="AB349" i="1"/>
  <c r="AB350" i="1"/>
  <c r="AB351" i="1"/>
  <c r="AB352" i="1"/>
  <c r="AB353" i="1"/>
  <c r="AB354" i="1"/>
  <c r="AB355" i="1"/>
  <c r="AB356" i="1"/>
  <c r="AB357" i="1"/>
  <c r="AB358" i="1"/>
  <c r="AB359" i="1"/>
  <c r="AB360" i="1"/>
  <c r="AB361" i="1"/>
  <c r="AB362" i="1"/>
  <c r="AB363" i="1"/>
  <c r="AB364" i="1"/>
  <c r="AB365" i="1"/>
  <c r="AB366" i="1"/>
  <c r="AB367" i="1"/>
  <c r="AB368" i="1"/>
  <c r="AB369" i="1"/>
  <c r="AB370" i="1"/>
  <c r="AB371" i="1"/>
  <c r="AB372" i="1"/>
  <c r="AB373" i="1"/>
  <c r="AB374" i="1"/>
  <c r="AB375" i="1"/>
  <c r="AB376" i="1"/>
  <c r="AB377" i="1"/>
  <c r="AB378" i="1"/>
  <c r="AB379" i="1"/>
  <c r="AB380" i="1"/>
  <c r="AB381" i="1"/>
  <c r="AB382" i="1"/>
  <c r="AB383" i="1"/>
  <c r="AB384" i="1"/>
  <c r="AB385" i="1"/>
  <c r="AB386" i="1"/>
  <c r="AB387" i="1"/>
  <c r="AB388" i="1"/>
  <c r="AB389" i="1"/>
  <c r="AB390" i="1"/>
  <c r="AB391" i="1"/>
  <c r="AB392" i="1"/>
  <c r="AB393" i="1"/>
  <c r="AB394" i="1"/>
  <c r="AB395" i="1"/>
  <c r="AB396" i="1"/>
  <c r="AB397" i="1"/>
  <c r="AB398" i="1"/>
  <c r="AB399" i="1"/>
  <c r="AB400" i="1"/>
  <c r="AB401" i="1"/>
  <c r="AB402" i="1"/>
  <c r="AB403" i="1"/>
  <c r="AB404" i="1"/>
  <c r="AB405" i="1"/>
  <c r="AB406" i="1"/>
  <c r="AB407" i="1"/>
  <c r="AB408" i="1"/>
  <c r="AB409" i="1"/>
  <c r="AB410" i="1"/>
  <c r="AB411" i="1"/>
  <c r="AB412" i="1"/>
  <c r="AB413" i="1"/>
  <c r="AB414" i="1"/>
  <c r="AB415" i="1"/>
  <c r="AB416" i="1"/>
  <c r="AB417" i="1"/>
  <c r="AB418" i="1"/>
  <c r="AB419" i="1"/>
  <c r="AB420" i="1"/>
  <c r="AB421" i="1"/>
  <c r="AB422" i="1"/>
  <c r="AB423" i="1"/>
  <c r="AB424" i="1"/>
  <c r="AB425" i="1"/>
  <c r="AB426" i="1"/>
  <c r="AB427" i="1"/>
  <c r="AB428" i="1"/>
  <c r="AB429" i="1"/>
  <c r="AB430" i="1"/>
  <c r="AB431" i="1"/>
  <c r="AB432" i="1"/>
  <c r="AB433" i="1"/>
  <c r="AB434" i="1"/>
  <c r="AB435" i="1"/>
  <c r="AB436" i="1"/>
  <c r="AB437" i="1"/>
  <c r="AB438" i="1"/>
  <c r="AB439" i="1"/>
  <c r="AB440" i="1"/>
  <c r="AB441" i="1"/>
  <c r="AB442" i="1"/>
  <c r="AB443" i="1"/>
  <c r="AB444" i="1"/>
  <c r="AB445" i="1"/>
  <c r="AB446" i="1"/>
  <c r="AB447" i="1"/>
  <c r="AB448" i="1"/>
  <c r="AB449" i="1"/>
  <c r="AB450" i="1"/>
  <c r="AB451" i="1"/>
  <c r="AB452" i="1"/>
  <c r="AB453" i="1"/>
  <c r="AB454" i="1"/>
  <c r="AB455" i="1"/>
  <c r="AB456" i="1"/>
  <c r="AB457" i="1"/>
  <c r="AB458" i="1"/>
  <c r="AB459" i="1"/>
  <c r="AB460" i="1"/>
  <c r="AB461" i="1"/>
  <c r="AB462" i="1"/>
  <c r="AB463" i="1"/>
  <c r="AB464" i="1"/>
  <c r="AB465" i="1"/>
  <c r="AB466" i="1"/>
  <c r="AB467" i="1"/>
  <c r="AB468" i="1"/>
  <c r="AB469" i="1"/>
  <c r="AB470" i="1"/>
  <c r="AB471" i="1"/>
  <c r="AB472" i="1"/>
  <c r="AB473" i="1"/>
  <c r="AB474" i="1"/>
  <c r="AB475" i="1"/>
  <c r="AB476" i="1"/>
  <c r="AB477" i="1"/>
  <c r="AB478" i="1"/>
  <c r="AB479" i="1"/>
  <c r="AB480" i="1"/>
  <c r="AB481" i="1"/>
  <c r="AB482" i="1"/>
  <c r="AB483" i="1"/>
  <c r="AB484" i="1"/>
  <c r="AB485" i="1"/>
  <c r="AB486" i="1"/>
  <c r="AB487" i="1"/>
  <c r="AB488" i="1"/>
  <c r="AB489" i="1"/>
  <c r="AB490" i="1"/>
  <c r="AB491" i="1"/>
  <c r="AB492" i="1"/>
  <c r="AB493" i="1"/>
  <c r="AB494" i="1"/>
  <c r="AB495" i="1"/>
  <c r="AB496" i="1"/>
  <c r="AB497" i="1"/>
  <c r="AB498" i="1"/>
  <c r="AB499" i="1"/>
  <c r="AB500" i="1"/>
  <c r="AB501" i="1"/>
  <c r="AB502" i="1"/>
  <c r="AB503" i="1"/>
  <c r="AB505" i="1"/>
  <c r="AB506" i="1"/>
  <c r="AB508" i="1"/>
  <c r="AB509" i="1"/>
  <c r="AB510" i="1"/>
  <c r="AB511" i="1"/>
  <c r="AB512" i="1"/>
  <c r="AB513" i="1"/>
  <c r="AB514" i="1"/>
  <c r="AB515" i="1"/>
  <c r="AB516" i="1"/>
  <c r="AB517" i="1"/>
  <c r="AB518" i="1"/>
  <c r="AB519" i="1"/>
  <c r="AB520" i="1"/>
  <c r="AB521" i="1"/>
  <c r="AB522" i="1"/>
  <c r="AB523" i="1"/>
  <c r="AB524" i="1"/>
  <c r="AB525" i="1"/>
  <c r="AB526" i="1"/>
  <c r="AB527" i="1"/>
  <c r="AB528" i="1"/>
  <c r="AB529" i="1"/>
  <c r="AB530" i="1"/>
  <c r="AB531" i="1"/>
  <c r="AB532" i="1"/>
  <c r="AB533" i="1"/>
  <c r="AB534" i="1"/>
  <c r="AB535" i="1"/>
  <c r="AB536" i="1"/>
  <c r="AB537" i="1"/>
  <c r="AB538" i="1"/>
  <c r="AB539" i="1"/>
  <c r="AB540" i="1"/>
  <c r="AB541" i="1"/>
  <c r="AB542" i="1"/>
  <c r="AB543" i="1"/>
  <c r="AB544" i="1"/>
  <c r="AB545" i="1"/>
  <c r="AB546" i="1"/>
  <c r="AB547" i="1"/>
  <c r="AB548" i="1"/>
  <c r="AB549" i="1"/>
  <c r="AB550" i="1"/>
  <c r="AB551" i="1"/>
  <c r="AB552" i="1"/>
  <c r="AB553" i="1"/>
  <c r="AB554" i="1"/>
  <c r="AB555" i="1"/>
  <c r="AB556" i="1"/>
  <c r="AB557" i="1"/>
  <c r="AB558" i="1"/>
  <c r="AB559" i="1"/>
  <c r="AB560" i="1"/>
  <c r="AB561" i="1"/>
  <c r="AB562" i="1"/>
  <c r="AB563" i="1"/>
  <c r="AB564" i="1"/>
  <c r="AB565" i="1"/>
  <c r="AB566" i="1"/>
  <c r="AB567" i="1"/>
  <c r="AB568" i="1"/>
  <c r="AB569" i="1"/>
  <c r="AB570" i="1"/>
  <c r="AB571" i="1"/>
  <c r="AB572" i="1"/>
  <c r="AB573" i="1"/>
  <c r="AB574" i="1"/>
  <c r="AB575" i="1"/>
  <c r="AB576" i="1"/>
  <c r="AB577" i="1"/>
  <c r="AB578" i="1"/>
  <c r="AB579" i="1"/>
  <c r="AB580" i="1"/>
  <c r="AB581" i="1"/>
  <c r="AB582" i="1"/>
  <c r="AB583" i="1"/>
  <c r="AB584" i="1"/>
  <c r="AB585" i="1"/>
  <c r="AB586" i="1"/>
  <c r="AB587" i="1"/>
  <c r="AB588" i="1"/>
  <c r="AB589" i="1"/>
  <c r="AB590" i="1"/>
  <c r="AB591" i="1"/>
  <c r="AB592" i="1"/>
  <c r="AB593" i="1"/>
  <c r="AB594" i="1"/>
  <c r="AB595" i="1"/>
  <c r="AB596" i="1"/>
  <c r="AB597" i="1"/>
  <c r="AB598" i="1"/>
  <c r="AB599" i="1"/>
  <c r="AB600" i="1"/>
  <c r="AB601" i="1"/>
  <c r="AB602" i="1"/>
  <c r="AB603" i="1"/>
  <c r="AB604" i="1"/>
  <c r="AB605" i="1"/>
  <c r="AB606" i="1"/>
  <c r="AB607" i="1"/>
  <c r="AB608" i="1"/>
  <c r="AB609" i="1"/>
  <c r="AB610" i="1"/>
  <c r="AB611" i="1"/>
  <c r="AB612" i="1"/>
  <c r="AB613" i="1"/>
  <c r="AB614" i="1"/>
  <c r="AB615" i="1"/>
  <c r="AB616" i="1"/>
  <c r="AB617" i="1"/>
  <c r="AB618" i="1"/>
  <c r="AB619" i="1"/>
  <c r="AB620" i="1"/>
  <c r="AB621" i="1"/>
  <c r="AB622" i="1"/>
  <c r="AB623" i="1"/>
  <c r="AB624" i="1"/>
  <c r="AB625" i="1"/>
  <c r="AB626" i="1"/>
  <c r="AB627" i="1"/>
  <c r="AB628" i="1"/>
  <c r="AB629" i="1"/>
  <c r="AB630" i="1"/>
  <c r="AB631" i="1"/>
  <c r="AB632" i="1"/>
  <c r="AB633" i="1"/>
  <c r="AB634" i="1"/>
  <c r="AB635" i="1"/>
  <c r="AB636" i="1"/>
  <c r="AB637" i="1"/>
  <c r="AB638" i="1"/>
  <c r="AB639" i="1"/>
  <c r="AB640" i="1"/>
  <c r="AB641" i="1"/>
  <c r="AB642" i="1"/>
  <c r="AB643" i="1"/>
  <c r="AB644" i="1"/>
  <c r="AB645" i="1"/>
  <c r="AB646" i="1"/>
  <c r="AB647" i="1"/>
  <c r="AB648" i="1"/>
  <c r="AB649" i="1"/>
  <c r="AB650" i="1"/>
  <c r="AB651" i="1"/>
  <c r="AB652" i="1"/>
  <c r="AB653" i="1"/>
  <c r="AB654" i="1"/>
  <c r="AB655" i="1"/>
  <c r="AB656" i="1"/>
  <c r="AB657" i="1"/>
  <c r="AB658" i="1"/>
  <c r="AB659" i="1"/>
  <c r="AB660" i="1"/>
  <c r="AB661" i="1"/>
  <c r="AB662" i="1"/>
  <c r="AB663" i="1"/>
  <c r="AB664" i="1"/>
  <c r="AB665" i="1"/>
  <c r="AB666" i="1"/>
  <c r="AB667" i="1"/>
  <c r="AB668" i="1"/>
  <c r="AB669" i="1"/>
  <c r="AB670" i="1"/>
  <c r="AB671" i="1"/>
  <c r="AB672" i="1"/>
  <c r="AB673" i="1"/>
  <c r="AB674" i="1"/>
  <c r="AB675" i="1"/>
  <c r="AB676" i="1"/>
  <c r="AB677" i="1"/>
  <c r="AB678" i="1"/>
  <c r="AB679" i="1"/>
  <c r="AB680" i="1"/>
  <c r="AB681" i="1"/>
  <c r="AB682" i="1"/>
  <c r="AB683" i="1"/>
  <c r="AB684" i="1"/>
  <c r="AB685" i="1"/>
  <c r="AB686" i="1"/>
  <c r="AB687" i="1"/>
  <c r="AB688" i="1"/>
  <c r="AB689" i="1"/>
  <c r="AB690" i="1"/>
  <c r="AB691" i="1"/>
  <c r="AB692" i="1"/>
  <c r="AB693" i="1"/>
  <c r="AB694" i="1"/>
  <c r="AB695" i="1"/>
  <c r="AB696" i="1"/>
  <c r="AB697" i="1"/>
  <c r="AB698" i="1"/>
  <c r="AB699" i="1"/>
  <c r="AB700" i="1"/>
  <c r="AB701" i="1"/>
  <c r="AB702" i="1"/>
  <c r="AB703" i="1"/>
  <c r="AB704" i="1"/>
  <c r="AB705" i="1"/>
  <c r="AB706" i="1"/>
  <c r="AB707" i="1"/>
  <c r="AB708" i="1"/>
  <c r="AB709" i="1"/>
  <c r="AB710" i="1"/>
  <c r="AB711" i="1"/>
  <c r="AB712" i="1"/>
  <c r="AB714" i="1"/>
  <c r="AB715" i="1"/>
  <c r="AB716" i="1"/>
  <c r="AB717" i="1"/>
  <c r="AB718" i="1"/>
  <c r="AB720" i="1"/>
  <c r="AB721" i="1"/>
  <c r="AB722" i="1"/>
  <c r="AB723" i="1"/>
  <c r="AB724" i="1"/>
  <c r="AB725" i="1"/>
  <c r="AB726" i="1"/>
  <c r="AB727" i="1"/>
  <c r="AB728" i="1"/>
  <c r="AB729" i="1"/>
  <c r="AB730" i="1"/>
  <c r="AB731" i="1"/>
  <c r="AB732" i="1"/>
  <c r="AB733" i="1"/>
  <c r="AB734" i="1"/>
  <c r="AB735" i="1"/>
  <c r="AB736" i="1"/>
  <c r="AB737" i="1"/>
  <c r="AB738" i="1"/>
  <c r="AB739" i="1"/>
  <c r="AB740" i="1"/>
  <c r="AB741" i="1"/>
  <c r="AB742" i="1"/>
  <c r="AB743" i="1"/>
  <c r="AB744" i="1"/>
  <c r="AB745" i="1"/>
  <c r="AB746" i="1"/>
  <c r="AB747" i="1"/>
  <c r="AB748" i="1"/>
  <c r="AB749" i="1"/>
  <c r="AB750" i="1"/>
  <c r="AB751" i="1"/>
  <c r="AB752" i="1"/>
  <c r="AB753" i="1"/>
  <c r="AB754" i="1"/>
  <c r="AB755" i="1"/>
  <c r="AB756" i="1"/>
  <c r="AB757" i="1"/>
  <c r="AB760" i="1"/>
  <c r="AB763" i="1"/>
  <c r="AB764" i="1"/>
  <c r="AB765" i="1"/>
  <c r="AB766" i="1"/>
  <c r="AB767" i="1"/>
  <c r="AB768" i="1"/>
  <c r="AB769" i="1"/>
  <c r="AB770" i="1"/>
  <c r="AB771" i="1"/>
  <c r="AB772" i="1"/>
  <c r="AB773" i="1"/>
  <c r="AB774" i="1"/>
  <c r="AB775" i="1"/>
  <c r="AB776" i="1"/>
  <c r="AB777" i="1"/>
  <c r="AB778" i="1"/>
  <c r="AB779" i="1"/>
  <c r="AB780" i="1"/>
  <c r="AB781" i="1"/>
  <c r="AB783" i="1"/>
  <c r="AB784" i="1"/>
  <c r="AB785" i="1"/>
  <c r="AB786" i="1"/>
  <c r="AB787" i="1"/>
  <c r="AB788" i="1"/>
  <c r="AB789" i="1"/>
  <c r="AB3" i="1"/>
  <c r="AC3" i="1"/>
  <c r="AC4" i="1"/>
  <c r="AC5" i="1"/>
  <c r="AC6" i="1"/>
  <c r="AC7" i="1"/>
  <c r="AC8" i="1"/>
  <c r="AC9" i="1"/>
  <c r="AC10" i="1"/>
  <c r="AC11" i="1"/>
  <c r="AC12" i="1"/>
  <c r="AC13" i="1"/>
  <c r="AC14" i="1"/>
  <c r="AC15" i="1"/>
  <c r="AC16" i="1"/>
  <c r="AC17" i="1"/>
  <c r="AC18" i="1"/>
  <c r="AC19" i="1"/>
  <c r="AC20" i="1"/>
  <c r="AC21" i="1"/>
  <c r="AC22" i="1"/>
  <c r="AC23" i="1"/>
  <c r="AC24" i="1"/>
  <c r="AC25" i="1"/>
  <c r="AC26" i="1"/>
  <c r="AC27" i="1"/>
  <c r="AC28" i="1"/>
  <c r="AC29" i="1"/>
  <c r="AC30" i="1"/>
  <c r="AC31" i="1"/>
  <c r="AC32" i="1"/>
  <c r="AC33" i="1"/>
  <c r="AC34" i="1"/>
  <c r="AC35" i="1"/>
  <c r="AC36" i="1"/>
  <c r="AC37" i="1"/>
  <c r="AC38" i="1"/>
  <c r="AC39" i="1"/>
  <c r="AC40" i="1"/>
  <c r="AC41" i="1"/>
  <c r="AC42" i="1"/>
  <c r="AC43" i="1"/>
  <c r="AC44" i="1"/>
  <c r="AC45" i="1"/>
  <c r="AC46" i="1"/>
  <c r="AC47" i="1"/>
  <c r="AC49" i="1"/>
  <c r="AC50" i="1"/>
  <c r="AC51" i="1"/>
  <c r="AC52" i="1"/>
  <c r="AC53" i="1"/>
  <c r="AC54" i="1"/>
  <c r="AC55" i="1"/>
  <c r="AC56" i="1"/>
  <c r="AC57" i="1"/>
  <c r="AC58" i="1"/>
  <c r="AC59" i="1"/>
  <c r="AC60" i="1"/>
  <c r="AC61" i="1"/>
  <c r="AC62" i="1"/>
  <c r="AC63" i="1"/>
  <c r="AC64" i="1"/>
  <c r="AC65" i="1"/>
  <c r="AC66" i="1"/>
  <c r="AC67" i="1"/>
  <c r="AC68" i="1"/>
  <c r="AC70" i="1"/>
  <c r="AC71" i="1"/>
  <c r="AC72" i="1"/>
  <c r="AC73" i="1"/>
  <c r="AC74" i="1"/>
  <c r="AC75" i="1"/>
  <c r="AC76" i="1"/>
  <c r="AC77" i="1"/>
  <c r="AC78" i="1"/>
  <c r="AC79" i="1"/>
  <c r="AC80" i="1"/>
  <c r="AC81" i="1"/>
  <c r="AC82" i="1"/>
  <c r="AC83" i="1"/>
  <c r="AC84" i="1"/>
  <c r="AC85" i="1"/>
  <c r="AC86" i="1"/>
  <c r="AC87" i="1"/>
  <c r="AC88" i="1"/>
  <c r="AC89" i="1"/>
  <c r="AC90" i="1"/>
  <c r="AC91" i="1"/>
  <c r="AC92" i="1"/>
  <c r="AC93" i="1"/>
  <c r="AC94" i="1"/>
  <c r="AC95" i="1"/>
  <c r="AC96" i="1"/>
  <c r="AC97" i="1"/>
  <c r="AC98" i="1"/>
  <c r="AC99" i="1"/>
  <c r="AC100" i="1"/>
  <c r="AC101" i="1"/>
  <c r="AC102" i="1"/>
  <c r="AC103" i="1"/>
  <c r="AC104" i="1"/>
  <c r="AC105" i="1"/>
  <c r="AC106" i="1"/>
  <c r="AC107" i="1"/>
  <c r="AC108" i="1"/>
  <c r="AC109" i="1"/>
  <c r="AC110" i="1"/>
  <c r="AC111" i="1"/>
  <c r="AC112" i="1"/>
  <c r="AC113" i="1"/>
  <c r="AC114" i="1"/>
  <c r="AC115" i="1"/>
  <c r="AC116" i="1"/>
  <c r="AC117" i="1"/>
  <c r="AC118" i="1"/>
  <c r="AC119" i="1"/>
  <c r="AC120" i="1"/>
  <c r="AC121" i="1"/>
  <c r="AC122" i="1"/>
  <c r="AC123" i="1"/>
  <c r="AC124" i="1"/>
  <c r="AC125" i="1"/>
  <c r="AC126" i="1"/>
  <c r="AC127" i="1"/>
  <c r="AC128" i="1"/>
  <c r="AC129" i="1"/>
  <c r="AC130" i="1"/>
  <c r="AC131" i="1"/>
  <c r="AC132" i="1"/>
  <c r="AC133" i="1"/>
  <c r="AC134" i="1"/>
  <c r="AC135" i="1"/>
  <c r="AC136" i="1"/>
  <c r="AC137" i="1"/>
  <c r="AC138" i="1"/>
  <c r="AC139" i="1"/>
  <c r="AC140" i="1"/>
  <c r="AC141" i="1"/>
  <c r="AC142" i="1"/>
  <c r="AC143" i="1"/>
  <c r="AC144" i="1"/>
  <c r="AC145" i="1"/>
  <c r="AC146" i="1"/>
  <c r="AC147" i="1"/>
  <c r="AC148" i="1"/>
  <c r="AC149" i="1"/>
  <c r="AC150" i="1"/>
  <c r="AC151" i="1"/>
  <c r="AC152" i="1"/>
  <c r="AC153" i="1"/>
  <c r="AC154" i="1"/>
  <c r="AC155" i="1"/>
  <c r="AC156" i="1"/>
  <c r="AC157" i="1"/>
  <c r="AC158" i="1"/>
  <c r="AC159" i="1"/>
  <c r="AC160" i="1"/>
  <c r="AC161" i="1"/>
  <c r="AC162" i="1"/>
  <c r="AC163" i="1"/>
  <c r="AC164" i="1"/>
  <c r="AC165" i="1"/>
  <c r="AC166" i="1"/>
  <c r="AC167" i="1"/>
  <c r="AC168" i="1"/>
  <c r="AC169" i="1"/>
  <c r="AC170" i="1"/>
  <c r="AC171" i="1"/>
  <c r="AC172" i="1"/>
  <c r="AC173" i="1"/>
  <c r="AC174" i="1"/>
  <c r="AC175" i="1"/>
  <c r="AC176" i="1"/>
  <c r="AC177" i="1"/>
  <c r="AC178" i="1"/>
  <c r="AC179" i="1"/>
  <c r="AC180" i="1"/>
  <c r="AC181" i="1"/>
  <c r="AC182" i="1"/>
  <c r="AC183" i="1"/>
  <c r="AC184" i="1"/>
  <c r="AC186" i="1"/>
  <c r="AC185" i="1"/>
  <c r="AC188" i="1"/>
  <c r="AC191" i="1"/>
  <c r="AC194" i="1"/>
  <c r="AC193" i="1"/>
  <c r="AC196" i="1"/>
  <c r="AC195" i="1"/>
  <c r="AC198" i="1"/>
  <c r="AC197" i="1"/>
  <c r="AC200" i="1"/>
  <c r="AC199" i="1"/>
  <c r="AC201" i="1"/>
  <c r="AC202" i="1"/>
  <c r="AC203" i="1"/>
  <c r="AC204" i="1"/>
  <c r="AC205" i="1"/>
  <c r="AC206" i="1"/>
  <c r="AC207" i="1"/>
  <c r="AC208" i="1"/>
  <c r="AC209" i="1"/>
  <c r="AC210" i="1"/>
  <c r="AC211" i="1"/>
  <c r="AC212" i="1"/>
  <c r="AC213" i="1"/>
  <c r="AC214" i="1"/>
  <c r="AC215" i="1"/>
  <c r="AC216" i="1"/>
  <c r="AC217" i="1"/>
  <c r="AC218" i="1"/>
  <c r="AC219" i="1"/>
  <c r="AC220" i="1"/>
  <c r="AC221" i="1"/>
  <c r="AC222" i="1"/>
  <c r="AC223" i="1"/>
  <c r="AC224" i="1"/>
  <c r="AC225" i="1"/>
  <c r="AC226" i="1"/>
  <c r="AC227" i="1"/>
  <c r="AC228" i="1"/>
  <c r="AC229" i="1"/>
  <c r="AC230" i="1"/>
  <c r="AC231" i="1"/>
  <c r="AC232" i="1"/>
  <c r="AC233" i="1"/>
  <c r="AC234" i="1"/>
  <c r="AC235" i="1"/>
  <c r="AC236" i="1"/>
  <c r="AC237" i="1"/>
  <c r="AC238" i="1"/>
  <c r="AC239" i="1"/>
  <c r="AC240" i="1"/>
  <c r="AC241" i="1"/>
  <c r="AC242" i="1"/>
  <c r="AC243" i="1"/>
  <c r="AC244" i="1"/>
  <c r="AC245" i="1"/>
  <c r="AC246" i="1"/>
  <c r="AC247" i="1"/>
  <c r="AC248" i="1"/>
  <c r="AC249" i="1"/>
  <c r="AC250" i="1"/>
  <c r="AC251" i="1"/>
  <c r="AC252" i="1"/>
  <c r="AC253" i="1"/>
  <c r="AC254" i="1"/>
  <c r="AC255" i="1"/>
  <c r="AC256" i="1"/>
  <c r="AC257" i="1"/>
  <c r="AC258" i="1"/>
  <c r="AC259" i="1"/>
  <c r="AC260" i="1"/>
  <c r="AC261" i="1"/>
  <c r="AC262" i="1"/>
  <c r="AC263" i="1"/>
  <c r="AC264" i="1"/>
  <c r="AC265" i="1"/>
  <c r="AC266" i="1"/>
  <c r="AC267" i="1"/>
  <c r="AC268" i="1"/>
  <c r="AC269" i="1"/>
  <c r="AC270" i="1"/>
  <c r="AC271" i="1"/>
  <c r="AC272" i="1"/>
  <c r="AC273" i="1"/>
  <c r="AC274" i="1"/>
  <c r="AC275" i="1"/>
  <c r="AC276" i="1"/>
  <c r="AC277" i="1"/>
  <c r="AC278" i="1"/>
  <c r="AC279" i="1"/>
  <c r="AC280" i="1"/>
  <c r="AC281" i="1"/>
  <c r="AC282" i="1"/>
  <c r="AC283" i="1"/>
  <c r="AC284" i="1"/>
  <c r="AC285" i="1"/>
  <c r="AC286" i="1"/>
  <c r="AC287" i="1"/>
  <c r="AC288" i="1"/>
  <c r="AC289" i="1"/>
  <c r="AC290" i="1"/>
  <c r="AC291" i="1"/>
  <c r="AC292" i="1"/>
  <c r="AC293" i="1"/>
  <c r="AC294" i="1"/>
  <c r="AC295" i="1"/>
  <c r="AC296" i="1"/>
  <c r="AC297" i="1"/>
  <c r="AC303" i="1"/>
  <c r="AC304" i="1"/>
  <c r="AC305" i="1"/>
  <c r="AC306" i="1"/>
  <c r="AC307" i="1"/>
  <c r="AC308" i="1"/>
  <c r="AC309" i="1"/>
  <c r="AC310" i="1"/>
  <c r="AC311" i="1"/>
  <c r="AC312" i="1"/>
  <c r="AC313" i="1"/>
  <c r="AC314" i="1"/>
  <c r="AC315" i="1"/>
  <c r="AC316" i="1"/>
  <c r="AC317" i="1"/>
  <c r="AC318" i="1"/>
  <c r="AC319" i="1"/>
  <c r="AC320" i="1"/>
  <c r="AC321" i="1"/>
  <c r="AC322" i="1"/>
  <c r="AC323" i="1"/>
  <c r="AC324" i="1"/>
  <c r="AC325" i="1"/>
  <c r="AC326" i="1"/>
  <c r="AC327" i="1"/>
  <c r="AC328" i="1"/>
  <c r="AC329" i="1"/>
  <c r="AC330" i="1"/>
  <c r="AC331" i="1"/>
  <c r="AC332" i="1"/>
  <c r="AC333" i="1"/>
  <c r="AC334" i="1"/>
  <c r="AC335" i="1"/>
  <c r="AC336" i="1"/>
  <c r="AC337" i="1"/>
  <c r="AC338" i="1"/>
  <c r="AC339" i="1"/>
  <c r="AC340" i="1"/>
  <c r="AC341" i="1"/>
  <c r="AC342" i="1"/>
  <c r="AC343" i="1"/>
  <c r="AC344" i="1"/>
  <c r="AC345" i="1"/>
  <c r="AC346" i="1"/>
  <c r="AC347" i="1"/>
  <c r="AC348" i="1"/>
  <c r="AC349" i="1"/>
  <c r="AC350" i="1"/>
  <c r="AC351" i="1"/>
  <c r="AC352" i="1"/>
  <c r="AC353" i="1"/>
  <c r="AC354" i="1"/>
  <c r="AC355" i="1"/>
  <c r="AC356" i="1"/>
  <c r="AC357" i="1"/>
  <c r="AC358" i="1"/>
  <c r="AC359" i="1"/>
  <c r="AC360" i="1"/>
  <c r="AC361" i="1"/>
  <c r="AC362" i="1"/>
  <c r="AC363" i="1"/>
  <c r="AC364" i="1"/>
  <c r="AC365" i="1"/>
  <c r="AC366" i="1"/>
  <c r="AC367" i="1"/>
  <c r="AC368" i="1"/>
  <c r="AC369" i="1"/>
  <c r="AC370" i="1"/>
  <c r="AC371" i="1"/>
  <c r="AC372" i="1"/>
  <c r="AC373" i="1"/>
  <c r="AC374" i="1"/>
  <c r="AC375" i="1"/>
  <c r="AC376" i="1"/>
  <c r="AC377" i="1"/>
  <c r="AC378" i="1"/>
  <c r="AC379" i="1"/>
  <c r="AC380" i="1"/>
  <c r="AC381" i="1"/>
  <c r="AC382" i="1"/>
  <c r="AC383" i="1"/>
  <c r="AC384" i="1"/>
  <c r="AC385" i="1"/>
  <c r="AC386" i="1"/>
  <c r="AC387" i="1"/>
  <c r="AC388" i="1"/>
  <c r="AC389" i="1"/>
  <c r="AC390" i="1"/>
  <c r="AC391" i="1"/>
  <c r="AC392" i="1"/>
  <c r="AC393" i="1"/>
  <c r="AC394" i="1"/>
  <c r="AC395" i="1"/>
  <c r="AC396" i="1"/>
  <c r="AC397" i="1"/>
  <c r="AC398" i="1"/>
  <c r="AC399" i="1"/>
  <c r="AC400" i="1"/>
  <c r="AC401" i="1"/>
  <c r="AC402" i="1"/>
  <c r="AC403" i="1"/>
  <c r="AC404" i="1"/>
  <c r="AC405" i="1"/>
  <c r="AC406" i="1"/>
  <c r="AC407" i="1"/>
  <c r="AC408" i="1"/>
  <c r="AC409" i="1"/>
  <c r="AC410" i="1"/>
  <c r="AC411" i="1"/>
  <c r="AC412" i="1"/>
  <c r="AC413" i="1"/>
  <c r="AC414" i="1"/>
  <c r="AC415" i="1"/>
  <c r="AC416" i="1"/>
  <c r="AC417" i="1"/>
  <c r="AC418" i="1"/>
  <c r="AC419" i="1"/>
  <c r="AC420" i="1"/>
  <c r="AC421" i="1"/>
  <c r="AC422" i="1"/>
  <c r="AC423" i="1"/>
  <c r="AC424" i="1"/>
  <c r="AC425" i="1"/>
  <c r="AC426" i="1"/>
  <c r="AC427" i="1"/>
  <c r="AC428" i="1"/>
  <c r="AC429" i="1"/>
  <c r="AC430" i="1"/>
  <c r="AC431" i="1"/>
  <c r="AC432" i="1"/>
  <c r="AC433" i="1"/>
  <c r="AC434" i="1"/>
  <c r="AC435" i="1"/>
  <c r="AC436" i="1"/>
  <c r="AC437" i="1"/>
  <c r="AC438" i="1"/>
  <c r="AC439" i="1"/>
  <c r="AC440" i="1"/>
  <c r="AC441" i="1"/>
  <c r="AC442" i="1"/>
  <c r="AC443" i="1"/>
  <c r="AC444" i="1"/>
  <c r="AC445" i="1"/>
  <c r="AC446" i="1"/>
  <c r="AC447" i="1"/>
  <c r="AC448" i="1"/>
  <c r="AC449" i="1"/>
  <c r="AC450" i="1"/>
  <c r="AC451" i="1"/>
  <c r="AC452" i="1"/>
  <c r="AC453" i="1"/>
  <c r="AC454" i="1"/>
  <c r="AC455" i="1"/>
  <c r="AC456" i="1"/>
  <c r="AC457" i="1"/>
  <c r="AC458" i="1"/>
  <c r="AC459" i="1"/>
  <c r="AC460" i="1"/>
  <c r="AC461" i="1"/>
  <c r="AC462" i="1"/>
  <c r="AC463" i="1"/>
  <c r="AC464" i="1"/>
  <c r="AC465" i="1"/>
  <c r="AC466" i="1"/>
  <c r="AC467" i="1"/>
  <c r="AC468" i="1"/>
  <c r="AC469" i="1"/>
  <c r="AC470" i="1"/>
  <c r="AC471" i="1"/>
  <c r="AC472" i="1"/>
  <c r="AC473" i="1"/>
  <c r="AC474" i="1"/>
  <c r="AC475" i="1"/>
  <c r="AC476" i="1"/>
  <c r="AC477" i="1"/>
  <c r="AC478" i="1"/>
  <c r="AC479" i="1"/>
  <c r="AC480" i="1"/>
  <c r="AC481" i="1"/>
  <c r="AC482" i="1"/>
  <c r="AC483" i="1"/>
  <c r="AC484" i="1"/>
  <c r="AC485" i="1"/>
  <c r="AC486" i="1"/>
  <c r="AC487" i="1"/>
  <c r="AC488" i="1"/>
  <c r="AC489" i="1"/>
  <c r="AC490" i="1"/>
  <c r="AC491" i="1"/>
  <c r="AC492" i="1"/>
  <c r="AC493" i="1"/>
  <c r="AC494" i="1"/>
  <c r="AC495" i="1"/>
  <c r="AC496" i="1"/>
  <c r="AC497" i="1"/>
  <c r="AC498" i="1"/>
  <c r="AC499" i="1"/>
  <c r="AC500" i="1"/>
  <c r="AC501" i="1"/>
  <c r="AC502" i="1"/>
  <c r="AC503" i="1"/>
  <c r="AC505" i="1"/>
  <c r="AC506" i="1"/>
  <c r="AC508" i="1"/>
  <c r="AC509" i="1"/>
  <c r="AC510" i="1"/>
  <c r="AC511" i="1"/>
  <c r="AC512" i="1"/>
  <c r="AC513" i="1"/>
  <c r="AC514" i="1"/>
  <c r="AC515" i="1"/>
  <c r="AC516" i="1"/>
  <c r="AC517" i="1"/>
  <c r="AC518" i="1"/>
  <c r="AC519" i="1"/>
  <c r="AC520" i="1"/>
  <c r="AC521" i="1"/>
  <c r="AC522" i="1"/>
  <c r="AC523" i="1"/>
  <c r="AC524" i="1"/>
  <c r="AC525" i="1"/>
  <c r="AC526" i="1"/>
  <c r="AC527" i="1"/>
  <c r="AC528" i="1"/>
  <c r="AC529" i="1"/>
  <c r="AC530" i="1"/>
  <c r="AC531" i="1"/>
  <c r="AC532" i="1"/>
  <c r="AC533" i="1"/>
  <c r="AC534" i="1"/>
  <c r="AC535" i="1"/>
  <c r="AC536" i="1"/>
  <c r="AC537" i="1"/>
  <c r="AC538" i="1"/>
  <c r="AC539" i="1"/>
  <c r="AC540" i="1"/>
  <c r="AC541" i="1"/>
  <c r="AC542" i="1"/>
  <c r="AC543" i="1"/>
  <c r="AC544" i="1"/>
  <c r="AC545" i="1"/>
  <c r="AC546" i="1"/>
  <c r="AC547" i="1"/>
  <c r="AC548" i="1"/>
  <c r="AC549" i="1"/>
  <c r="AC550" i="1"/>
  <c r="AC551" i="1"/>
  <c r="AC552" i="1"/>
  <c r="AC553" i="1"/>
  <c r="AC554" i="1"/>
  <c r="AC555" i="1"/>
  <c r="AC556" i="1"/>
  <c r="AC557" i="1"/>
  <c r="AC558" i="1"/>
  <c r="AC559" i="1"/>
  <c r="AC560" i="1"/>
  <c r="AC561" i="1"/>
  <c r="AC562" i="1"/>
  <c r="AC563" i="1"/>
  <c r="AC564" i="1"/>
  <c r="AC565" i="1"/>
  <c r="AC566" i="1"/>
  <c r="AC567" i="1"/>
  <c r="AC568" i="1"/>
  <c r="AC569" i="1"/>
  <c r="AC570" i="1"/>
  <c r="AC571" i="1"/>
  <c r="AC572" i="1"/>
  <c r="AC573" i="1"/>
  <c r="AC574" i="1"/>
  <c r="AC575" i="1"/>
  <c r="AC576" i="1"/>
  <c r="AC577" i="1"/>
  <c r="AC578" i="1"/>
  <c r="AC579" i="1"/>
  <c r="AC580" i="1"/>
  <c r="AC581" i="1"/>
  <c r="AC582" i="1"/>
  <c r="AC583" i="1"/>
  <c r="AC584" i="1"/>
  <c r="AC585" i="1"/>
  <c r="AC586" i="1"/>
  <c r="AC587" i="1"/>
  <c r="AC588" i="1"/>
  <c r="AC589" i="1"/>
  <c r="AC590" i="1"/>
  <c r="AC591" i="1"/>
  <c r="AC592" i="1"/>
  <c r="AC593" i="1"/>
  <c r="AC594" i="1"/>
  <c r="AC595" i="1"/>
  <c r="AC596" i="1"/>
  <c r="AC597" i="1"/>
  <c r="AC598" i="1"/>
  <c r="AC599" i="1"/>
  <c r="AC600" i="1"/>
  <c r="AC601" i="1"/>
  <c r="AC602" i="1"/>
  <c r="AC603" i="1"/>
  <c r="AC604" i="1"/>
  <c r="AC605" i="1"/>
  <c r="AC606" i="1"/>
  <c r="AC607" i="1"/>
  <c r="AC608" i="1"/>
  <c r="AC609" i="1"/>
  <c r="AC610" i="1"/>
  <c r="AC611" i="1"/>
  <c r="AC612" i="1"/>
  <c r="AC613" i="1"/>
  <c r="AC614" i="1"/>
  <c r="AC615" i="1"/>
  <c r="AC616" i="1"/>
  <c r="AC617" i="1"/>
  <c r="AC618" i="1"/>
  <c r="AC619" i="1"/>
  <c r="AC620" i="1"/>
  <c r="AC621" i="1"/>
  <c r="AC622" i="1"/>
  <c r="AC623" i="1"/>
  <c r="AC624" i="1"/>
  <c r="AC625" i="1"/>
  <c r="AC626" i="1"/>
  <c r="AC627" i="1"/>
  <c r="AC628" i="1"/>
  <c r="AC629" i="1"/>
  <c r="AC630" i="1"/>
  <c r="AC631" i="1"/>
  <c r="AC632" i="1"/>
  <c r="AC633" i="1"/>
  <c r="AC634" i="1"/>
  <c r="AC635" i="1"/>
  <c r="AC636" i="1"/>
  <c r="AC637" i="1"/>
  <c r="AC638" i="1"/>
  <c r="AC639" i="1"/>
  <c r="AC640" i="1"/>
  <c r="AC641" i="1"/>
  <c r="AC642" i="1"/>
  <c r="AC643" i="1"/>
  <c r="AC644" i="1"/>
  <c r="AC645" i="1"/>
  <c r="AC646" i="1"/>
  <c r="AC647" i="1"/>
  <c r="AC648" i="1"/>
  <c r="AC649" i="1"/>
  <c r="AC650" i="1"/>
  <c r="AC651" i="1"/>
  <c r="AC652" i="1"/>
  <c r="AC653" i="1"/>
  <c r="AC654" i="1"/>
  <c r="AC655" i="1"/>
  <c r="AC656" i="1"/>
  <c r="AC657" i="1"/>
  <c r="AC658" i="1"/>
  <c r="AC659" i="1"/>
  <c r="AC660" i="1"/>
  <c r="AC661" i="1"/>
  <c r="AC662" i="1"/>
  <c r="AC663" i="1"/>
  <c r="AC664" i="1"/>
  <c r="AC665" i="1"/>
  <c r="AC666" i="1"/>
  <c r="AC667" i="1"/>
  <c r="AC668" i="1"/>
  <c r="AC669" i="1"/>
  <c r="AC670" i="1"/>
  <c r="AC671" i="1"/>
  <c r="AC672" i="1"/>
  <c r="AC673" i="1"/>
  <c r="AC674" i="1"/>
  <c r="AC675" i="1"/>
  <c r="AC676" i="1"/>
  <c r="AC677" i="1"/>
  <c r="AC678" i="1"/>
  <c r="AC679" i="1"/>
  <c r="AC680" i="1"/>
  <c r="AC681" i="1"/>
  <c r="AC682" i="1"/>
  <c r="AC683" i="1"/>
  <c r="AC684" i="1"/>
  <c r="AC685" i="1"/>
  <c r="AC686" i="1"/>
  <c r="AC687" i="1"/>
  <c r="AC688" i="1"/>
  <c r="AC689" i="1"/>
  <c r="AC690" i="1"/>
  <c r="AC691" i="1"/>
  <c r="AC692" i="1"/>
  <c r="AC693" i="1"/>
  <c r="AC694" i="1"/>
  <c r="AC695" i="1"/>
  <c r="AC696" i="1"/>
  <c r="AC697" i="1"/>
  <c r="AC698" i="1"/>
  <c r="AC699" i="1"/>
  <c r="AC700" i="1"/>
  <c r="AC701" i="1"/>
  <c r="AC702" i="1"/>
  <c r="AC703" i="1"/>
  <c r="AC704" i="1"/>
  <c r="AC705" i="1"/>
  <c r="AC706" i="1"/>
  <c r="AC707" i="1"/>
  <c r="AC708" i="1"/>
  <c r="AC709" i="1"/>
  <c r="AC710" i="1"/>
  <c r="AC711" i="1"/>
  <c r="AC712" i="1"/>
  <c r="AC714" i="1"/>
  <c r="AC715" i="1"/>
  <c r="AC716" i="1"/>
  <c r="AC717" i="1"/>
  <c r="AC718" i="1"/>
  <c r="AC720" i="1"/>
  <c r="AC721" i="1"/>
  <c r="AC722" i="1"/>
  <c r="AC723" i="1"/>
  <c r="AC724" i="1"/>
  <c r="AC725" i="1"/>
  <c r="AC726" i="1"/>
  <c r="AC727" i="1"/>
  <c r="AC728" i="1"/>
  <c r="AC729" i="1"/>
  <c r="AC730" i="1"/>
  <c r="AC731" i="1"/>
  <c r="AC732" i="1"/>
  <c r="AC733" i="1"/>
  <c r="AC734" i="1"/>
  <c r="AC735" i="1"/>
  <c r="AC736" i="1"/>
  <c r="AC737" i="1"/>
  <c r="AC738" i="1"/>
  <c r="AC739" i="1"/>
  <c r="AC740" i="1"/>
  <c r="AC741" i="1"/>
  <c r="AC742" i="1"/>
  <c r="AC743" i="1"/>
  <c r="AC744" i="1"/>
  <c r="AC745" i="1"/>
  <c r="AC746" i="1"/>
  <c r="AC747" i="1"/>
  <c r="AC748" i="1"/>
  <c r="AC749" i="1"/>
  <c r="AC750" i="1"/>
  <c r="AC751" i="1"/>
  <c r="AC752" i="1"/>
  <c r="AC753" i="1"/>
  <c r="AC754" i="1"/>
  <c r="AC755" i="1"/>
  <c r="AC756" i="1"/>
  <c r="AC757" i="1"/>
  <c r="AC760" i="1"/>
  <c r="AC763" i="1"/>
  <c r="AC764" i="1"/>
  <c r="AC765" i="1"/>
  <c r="AC766" i="1"/>
  <c r="AC767" i="1"/>
  <c r="AC768" i="1"/>
  <c r="AC769" i="1"/>
  <c r="AC770" i="1"/>
  <c r="AC771" i="1"/>
  <c r="AC772" i="1"/>
  <c r="AC773" i="1"/>
  <c r="AC774" i="1"/>
  <c r="AC775" i="1"/>
  <c r="AC776" i="1"/>
  <c r="AC777" i="1"/>
  <c r="AC778" i="1"/>
  <c r="AC779" i="1"/>
  <c r="AC780" i="1"/>
  <c r="AC781" i="1"/>
  <c r="AC783" i="1"/>
  <c r="AC784" i="1"/>
  <c r="AC785" i="1"/>
  <c r="AC786" i="1"/>
  <c r="AC787" i="1"/>
  <c r="AC788" i="1"/>
  <c r="AC789" i="1"/>
  <c r="AA3" i="1"/>
  <c r="AA4" i="1"/>
  <c r="AA5" i="1"/>
  <c r="AA6" i="1"/>
  <c r="AA7" i="1"/>
  <c r="AA8" i="1"/>
  <c r="AA9" i="1"/>
  <c r="AA10" i="1"/>
  <c r="AA11" i="1"/>
  <c r="AA12" i="1"/>
  <c r="AA13" i="1"/>
  <c r="AA14" i="1"/>
  <c r="AA15" i="1"/>
  <c r="AA16" i="1"/>
  <c r="AA17" i="1"/>
  <c r="AA18" i="1"/>
  <c r="AA19" i="1"/>
  <c r="AA20" i="1"/>
  <c r="AA21" i="1"/>
  <c r="AA22" i="1"/>
  <c r="AA23" i="1"/>
  <c r="AA24" i="1"/>
  <c r="AA25" i="1"/>
  <c r="AA26" i="1"/>
  <c r="AA27" i="1"/>
  <c r="AA28" i="1"/>
  <c r="AA29" i="1"/>
  <c r="AA30" i="1"/>
  <c r="AA31" i="1"/>
  <c r="AA32" i="1"/>
  <c r="AA33" i="1"/>
  <c r="AA34" i="1"/>
  <c r="AA35" i="1"/>
  <c r="AA36" i="1"/>
  <c r="AA37" i="1"/>
  <c r="AA38" i="1"/>
  <c r="AA39" i="1"/>
  <c r="AA40" i="1"/>
  <c r="AA41" i="1"/>
  <c r="AA42" i="1"/>
  <c r="AA43" i="1"/>
  <c r="AA44" i="1"/>
  <c r="AA45" i="1"/>
  <c r="AA46" i="1"/>
  <c r="AA47" i="1"/>
  <c r="AA49" i="1"/>
  <c r="AA50" i="1"/>
  <c r="AA51" i="1"/>
  <c r="AA52" i="1"/>
  <c r="AA53" i="1"/>
  <c r="AA54" i="1"/>
  <c r="AA55" i="1"/>
  <c r="AA56" i="1"/>
  <c r="AA57" i="1"/>
  <c r="AA58" i="1"/>
  <c r="AA59" i="1"/>
  <c r="AA60" i="1"/>
  <c r="AA61" i="1"/>
  <c r="AA62" i="1"/>
  <c r="AA63" i="1"/>
  <c r="AA64" i="1"/>
  <c r="AA65" i="1"/>
  <c r="AA66" i="1"/>
  <c r="AA67" i="1"/>
  <c r="AA68" i="1"/>
  <c r="AA70" i="1"/>
  <c r="AA71" i="1"/>
  <c r="AA72" i="1"/>
  <c r="AA73" i="1"/>
  <c r="AA74" i="1"/>
  <c r="AA75" i="1"/>
  <c r="AA76" i="1"/>
  <c r="AA77" i="1"/>
  <c r="AA78" i="1"/>
  <c r="AA79" i="1"/>
  <c r="AA80" i="1"/>
  <c r="AA81" i="1"/>
  <c r="AA82" i="1"/>
  <c r="AA83" i="1"/>
  <c r="AA84" i="1"/>
  <c r="AA85" i="1"/>
  <c r="AA86" i="1"/>
  <c r="AA87" i="1"/>
  <c r="AA88" i="1"/>
  <c r="AA89" i="1"/>
  <c r="AA90" i="1"/>
  <c r="AA91" i="1"/>
  <c r="AA92" i="1"/>
  <c r="AA93" i="1"/>
  <c r="AA94" i="1"/>
  <c r="AA95" i="1"/>
  <c r="AA96" i="1"/>
  <c r="AA97" i="1"/>
  <c r="AA98" i="1"/>
  <c r="AA99" i="1"/>
  <c r="AA100" i="1"/>
  <c r="AA101" i="1"/>
  <c r="AA102" i="1"/>
  <c r="AA103" i="1"/>
  <c r="AA104" i="1"/>
  <c r="AA105" i="1"/>
  <c r="AA106" i="1"/>
  <c r="AA107" i="1"/>
  <c r="AA108" i="1"/>
  <c r="AA109" i="1"/>
  <c r="AA110" i="1"/>
  <c r="AA111" i="1"/>
  <c r="AA112" i="1"/>
  <c r="AA113" i="1"/>
  <c r="AA114" i="1"/>
  <c r="AA115" i="1"/>
  <c r="AA116" i="1"/>
  <c r="AA117" i="1"/>
  <c r="AA118" i="1"/>
  <c r="AA119" i="1"/>
  <c r="AA120" i="1"/>
  <c r="AA121" i="1"/>
  <c r="AA122" i="1"/>
  <c r="AA123" i="1"/>
  <c r="AA124" i="1"/>
  <c r="AA125" i="1"/>
  <c r="AA126" i="1"/>
  <c r="AA127" i="1"/>
  <c r="AA128" i="1"/>
  <c r="AA129" i="1"/>
  <c r="AA130" i="1"/>
  <c r="AA131" i="1"/>
  <c r="AA132" i="1"/>
  <c r="AA133" i="1"/>
  <c r="AA134" i="1"/>
  <c r="AA135" i="1"/>
  <c r="AA136" i="1"/>
  <c r="AA137" i="1"/>
  <c r="AA138" i="1"/>
  <c r="AA139" i="1"/>
  <c r="AA140" i="1"/>
  <c r="AA141" i="1"/>
  <c r="AA142" i="1"/>
  <c r="AA143" i="1"/>
  <c r="AA144" i="1"/>
  <c r="AA145" i="1"/>
  <c r="AA146" i="1"/>
  <c r="AA147" i="1"/>
  <c r="AA148" i="1"/>
  <c r="AA149" i="1"/>
  <c r="AA150" i="1"/>
  <c r="AA151" i="1"/>
  <c r="AA152" i="1"/>
  <c r="AA153" i="1"/>
  <c r="AA154" i="1"/>
  <c r="AA155" i="1"/>
  <c r="AA156" i="1"/>
  <c r="AA157" i="1"/>
  <c r="AA158" i="1"/>
  <c r="AA159" i="1"/>
  <c r="AA160" i="1"/>
  <c r="AA161" i="1"/>
  <c r="AA162" i="1"/>
  <c r="AA163" i="1"/>
  <c r="AA164" i="1"/>
  <c r="AA165" i="1"/>
  <c r="AA166" i="1"/>
  <c r="AA167" i="1"/>
  <c r="AA168" i="1"/>
  <c r="AA169" i="1"/>
  <c r="AA170" i="1"/>
  <c r="AA171" i="1"/>
  <c r="AA172" i="1"/>
  <c r="AA173" i="1"/>
  <c r="AA174" i="1"/>
  <c r="AA175" i="1"/>
  <c r="AA176" i="1"/>
  <c r="AA177" i="1"/>
  <c r="AA178" i="1"/>
  <c r="AA179" i="1"/>
  <c r="AA180" i="1"/>
  <c r="AA181" i="1"/>
  <c r="AA182" i="1"/>
  <c r="AA183" i="1"/>
  <c r="AA184" i="1"/>
  <c r="AA186" i="1"/>
  <c r="AA185" i="1"/>
  <c r="AA188" i="1"/>
  <c r="AA191" i="1"/>
  <c r="AA194" i="1"/>
  <c r="AA193" i="1"/>
  <c r="AA196" i="1"/>
  <c r="AA195" i="1"/>
  <c r="AA198" i="1"/>
  <c r="AA197" i="1"/>
  <c r="AA200" i="1"/>
  <c r="AA199" i="1"/>
  <c r="AA201" i="1"/>
  <c r="AA202" i="1"/>
  <c r="AA203" i="1"/>
  <c r="AA204" i="1"/>
  <c r="AA205" i="1"/>
  <c r="AA206" i="1"/>
  <c r="AA207" i="1"/>
  <c r="AA208" i="1"/>
  <c r="AA209" i="1"/>
  <c r="AA210" i="1"/>
  <c r="AA211" i="1"/>
  <c r="AA212" i="1"/>
  <c r="AA213" i="1"/>
  <c r="AA214" i="1"/>
  <c r="AA215" i="1"/>
  <c r="AA216" i="1"/>
  <c r="AA217" i="1"/>
  <c r="AA218" i="1"/>
  <c r="AA219" i="1"/>
  <c r="AA220" i="1"/>
  <c r="AA221" i="1"/>
  <c r="AA222" i="1"/>
  <c r="AA223" i="1"/>
  <c r="AA224" i="1"/>
  <c r="AA225" i="1"/>
  <c r="AA226" i="1"/>
  <c r="AA227" i="1"/>
  <c r="AA228" i="1"/>
  <c r="AA229" i="1"/>
  <c r="AA230" i="1"/>
  <c r="AA231" i="1"/>
  <c r="AA232" i="1"/>
  <c r="AA233" i="1"/>
  <c r="AA234" i="1"/>
  <c r="AA235" i="1"/>
  <c r="AA236" i="1"/>
  <c r="AA237" i="1"/>
  <c r="AA238" i="1"/>
  <c r="AA239" i="1"/>
  <c r="AA240" i="1"/>
  <c r="AA241" i="1"/>
  <c r="AA242" i="1"/>
  <c r="AA243" i="1"/>
  <c r="AA244" i="1"/>
  <c r="AA245" i="1"/>
  <c r="AA246" i="1"/>
  <c r="AA247" i="1"/>
  <c r="AA248" i="1"/>
  <c r="AA249" i="1"/>
  <c r="AA250" i="1"/>
  <c r="AA251" i="1"/>
  <c r="AA252" i="1"/>
  <c r="AA253" i="1"/>
  <c r="AA254" i="1"/>
  <c r="AA255" i="1"/>
  <c r="AA256" i="1"/>
  <c r="AA257" i="1"/>
  <c r="AA258" i="1"/>
  <c r="AA259" i="1"/>
  <c r="AA260" i="1"/>
  <c r="AA261" i="1"/>
  <c r="AA262" i="1"/>
  <c r="AA263" i="1"/>
  <c r="AA264" i="1"/>
  <c r="AA265" i="1"/>
  <c r="AA266" i="1"/>
  <c r="AA267" i="1"/>
  <c r="AA268" i="1"/>
  <c r="AA269" i="1"/>
  <c r="AA270" i="1"/>
  <c r="AA271" i="1"/>
  <c r="AA272" i="1"/>
  <c r="AA273" i="1"/>
  <c r="AA274" i="1"/>
  <c r="AA275" i="1"/>
  <c r="AA276" i="1"/>
  <c r="AA277" i="1"/>
  <c r="AA278" i="1"/>
  <c r="AA279" i="1"/>
  <c r="AA280" i="1"/>
  <c r="AA281" i="1"/>
  <c r="AA282" i="1"/>
  <c r="AA283" i="1"/>
  <c r="AA284" i="1"/>
  <c r="AA285" i="1"/>
  <c r="AA286" i="1"/>
  <c r="AA287" i="1"/>
  <c r="AA288" i="1"/>
  <c r="AA289" i="1"/>
  <c r="AA290" i="1"/>
  <c r="AA291" i="1"/>
  <c r="AA292" i="1"/>
  <c r="AA293" i="1"/>
  <c r="AA294" i="1"/>
  <c r="AA295" i="1"/>
  <c r="AA296" i="1"/>
  <c r="AA297" i="1"/>
  <c r="AA303" i="1"/>
  <c r="AA304" i="1"/>
  <c r="AA305" i="1"/>
  <c r="AA306" i="1"/>
  <c r="AA307" i="1"/>
  <c r="AA308" i="1"/>
  <c r="AA309" i="1"/>
  <c r="AA310" i="1"/>
  <c r="AA311" i="1"/>
  <c r="AA312" i="1"/>
  <c r="AA313" i="1"/>
  <c r="AA314" i="1"/>
  <c r="AA315" i="1"/>
  <c r="AA316" i="1"/>
  <c r="AA317" i="1"/>
  <c r="AA318" i="1"/>
  <c r="AA319" i="1"/>
  <c r="AA320" i="1"/>
  <c r="AA321" i="1"/>
  <c r="AA322" i="1"/>
  <c r="AA323" i="1"/>
  <c r="AA324" i="1"/>
  <c r="AA325" i="1"/>
  <c r="AA326" i="1"/>
  <c r="AA327" i="1"/>
  <c r="AA328" i="1"/>
  <c r="AA329" i="1"/>
  <c r="AA330" i="1"/>
  <c r="AA331" i="1"/>
  <c r="AA332" i="1"/>
  <c r="AA333" i="1"/>
  <c r="AA334" i="1"/>
  <c r="AA335" i="1"/>
  <c r="AA336" i="1"/>
  <c r="AA337" i="1"/>
  <c r="AA338" i="1"/>
  <c r="AA339" i="1"/>
  <c r="AA340" i="1"/>
  <c r="AA341" i="1"/>
  <c r="AA342" i="1"/>
  <c r="AA343" i="1"/>
  <c r="AA344" i="1"/>
  <c r="AA345" i="1"/>
  <c r="AA346" i="1"/>
  <c r="AA347" i="1"/>
  <c r="AA348" i="1"/>
  <c r="AA349" i="1"/>
  <c r="AA350" i="1"/>
  <c r="AA351" i="1"/>
  <c r="AA352" i="1"/>
  <c r="AA353" i="1"/>
  <c r="AA354" i="1"/>
  <c r="AA355" i="1"/>
  <c r="AA356" i="1"/>
  <c r="AA357" i="1"/>
  <c r="AA358" i="1"/>
  <c r="AA359" i="1"/>
  <c r="AA360" i="1"/>
  <c r="AA361" i="1"/>
  <c r="AA362" i="1"/>
  <c r="AA363" i="1"/>
  <c r="AA364" i="1"/>
  <c r="AA365" i="1"/>
  <c r="AA366" i="1"/>
  <c r="AA367" i="1"/>
  <c r="AA368" i="1"/>
  <c r="AA369" i="1"/>
  <c r="AA370" i="1"/>
  <c r="AA371" i="1"/>
  <c r="AA372" i="1"/>
  <c r="AA373" i="1"/>
  <c r="AA374" i="1"/>
  <c r="AA375" i="1"/>
  <c r="AA376" i="1"/>
  <c r="AA377" i="1"/>
  <c r="AA378" i="1"/>
  <c r="AA379" i="1"/>
  <c r="AA380" i="1"/>
  <c r="AA381" i="1"/>
  <c r="AA382" i="1"/>
  <c r="AA383" i="1"/>
  <c r="AA384" i="1"/>
  <c r="AA385" i="1"/>
  <c r="AA386" i="1"/>
  <c r="AA387" i="1"/>
  <c r="AA388" i="1"/>
  <c r="AA389" i="1"/>
  <c r="AA390" i="1"/>
  <c r="AA391" i="1"/>
  <c r="AA392" i="1"/>
  <c r="AA393" i="1"/>
  <c r="AA394" i="1"/>
  <c r="AA395" i="1"/>
  <c r="AA396" i="1"/>
  <c r="AA397" i="1"/>
  <c r="AA398" i="1"/>
  <c r="AA399" i="1"/>
  <c r="AA400" i="1"/>
  <c r="AA401" i="1"/>
  <c r="AA402" i="1"/>
  <c r="AA403" i="1"/>
  <c r="AA404" i="1"/>
  <c r="AA405" i="1"/>
  <c r="AA406" i="1"/>
  <c r="AA407" i="1"/>
  <c r="AA408" i="1"/>
  <c r="AA409" i="1"/>
  <c r="AA410" i="1"/>
  <c r="AA411" i="1"/>
  <c r="AA412" i="1"/>
  <c r="AA413" i="1"/>
  <c r="AA414" i="1"/>
  <c r="AA415" i="1"/>
  <c r="AA416" i="1"/>
  <c r="AA417" i="1"/>
  <c r="AA418" i="1"/>
  <c r="AA419" i="1"/>
  <c r="AA420" i="1"/>
  <c r="AA421" i="1"/>
  <c r="AA422" i="1"/>
  <c r="AA423" i="1"/>
  <c r="AA424" i="1"/>
  <c r="AA425" i="1"/>
  <c r="AA426" i="1"/>
  <c r="AA427" i="1"/>
  <c r="AA428" i="1"/>
  <c r="AA429" i="1"/>
  <c r="AA430" i="1"/>
  <c r="AA431" i="1"/>
  <c r="AA432" i="1"/>
  <c r="AA433" i="1"/>
  <c r="AA434" i="1"/>
  <c r="AA435" i="1"/>
  <c r="AA436" i="1"/>
  <c r="AA437" i="1"/>
  <c r="AA438" i="1"/>
  <c r="AA439" i="1"/>
  <c r="AA440" i="1"/>
  <c r="AA441" i="1"/>
  <c r="AA442" i="1"/>
  <c r="AA443" i="1"/>
  <c r="AA444" i="1"/>
  <c r="AA445" i="1"/>
  <c r="AA446" i="1"/>
  <c r="AA447" i="1"/>
  <c r="AA448" i="1"/>
  <c r="AA449" i="1"/>
  <c r="AA450" i="1"/>
  <c r="AA451" i="1"/>
  <c r="AA452" i="1"/>
  <c r="AA453" i="1"/>
  <c r="AA454" i="1"/>
  <c r="AA455" i="1"/>
  <c r="AA456" i="1"/>
  <c r="AA457" i="1"/>
  <c r="AA458" i="1"/>
  <c r="AA459" i="1"/>
  <c r="AA460" i="1"/>
  <c r="AA461" i="1"/>
  <c r="AA462" i="1"/>
  <c r="AA463" i="1"/>
  <c r="AA464" i="1"/>
  <c r="AA465" i="1"/>
  <c r="AA466" i="1"/>
  <c r="AA467" i="1"/>
  <c r="AA468" i="1"/>
  <c r="AA469" i="1"/>
  <c r="AA470" i="1"/>
  <c r="AA471" i="1"/>
  <c r="AA472" i="1"/>
  <c r="AA473" i="1"/>
  <c r="AA474" i="1"/>
  <c r="AA475" i="1"/>
  <c r="AA476" i="1"/>
  <c r="AA477" i="1"/>
  <c r="AA478" i="1"/>
  <c r="AA479" i="1"/>
  <c r="AA480" i="1"/>
  <c r="AA481" i="1"/>
  <c r="AA482" i="1"/>
  <c r="AA483" i="1"/>
  <c r="AA484" i="1"/>
  <c r="AA485" i="1"/>
  <c r="AA486" i="1"/>
  <c r="AA487" i="1"/>
  <c r="AA488" i="1"/>
  <c r="AA489" i="1"/>
  <c r="AA490" i="1"/>
  <c r="AA491" i="1"/>
  <c r="AA492" i="1"/>
  <c r="AA493" i="1"/>
  <c r="AA494" i="1"/>
  <c r="AA495" i="1"/>
  <c r="AA496" i="1"/>
  <c r="AA497" i="1"/>
  <c r="AA498" i="1"/>
  <c r="AA499" i="1"/>
  <c r="AA500" i="1"/>
  <c r="AA501" i="1"/>
  <c r="AA502" i="1"/>
  <c r="AA503" i="1"/>
  <c r="AA505" i="1"/>
  <c r="AA506" i="1"/>
  <c r="AA508" i="1"/>
  <c r="AA509" i="1"/>
  <c r="AA510" i="1"/>
  <c r="AA511" i="1"/>
  <c r="AA512" i="1"/>
  <c r="AA513" i="1"/>
  <c r="AA514" i="1"/>
  <c r="AA515" i="1"/>
  <c r="AA516" i="1"/>
  <c r="AA517" i="1"/>
  <c r="AA518" i="1"/>
  <c r="AA519" i="1"/>
  <c r="AA520" i="1"/>
  <c r="AA521" i="1"/>
  <c r="AA522" i="1"/>
  <c r="AA523" i="1"/>
  <c r="AA524" i="1"/>
  <c r="AA525" i="1"/>
  <c r="AA526" i="1"/>
  <c r="AA527" i="1"/>
  <c r="AA528" i="1"/>
  <c r="AA529" i="1"/>
  <c r="AA530" i="1"/>
  <c r="AA531" i="1"/>
  <c r="AA532" i="1"/>
  <c r="AA533" i="1"/>
  <c r="AA534" i="1"/>
  <c r="AA535" i="1"/>
  <c r="AA536" i="1"/>
  <c r="AA537" i="1"/>
  <c r="AA538" i="1"/>
  <c r="AA539" i="1"/>
  <c r="AA540" i="1"/>
  <c r="AA541" i="1"/>
  <c r="AA542" i="1"/>
  <c r="AA543" i="1"/>
  <c r="AA544" i="1"/>
  <c r="AA545" i="1"/>
  <c r="AA546" i="1"/>
  <c r="AA547" i="1"/>
  <c r="AA548" i="1"/>
  <c r="AA549" i="1"/>
  <c r="AA550" i="1"/>
  <c r="AA551" i="1"/>
  <c r="AA552" i="1"/>
  <c r="AA553" i="1"/>
  <c r="AA554" i="1"/>
  <c r="AA555" i="1"/>
  <c r="AA556" i="1"/>
  <c r="AA557" i="1"/>
  <c r="AA558" i="1"/>
  <c r="AA559" i="1"/>
  <c r="AA560" i="1"/>
  <c r="AA561" i="1"/>
  <c r="AA562" i="1"/>
  <c r="AA563" i="1"/>
  <c r="AA564" i="1"/>
  <c r="AA565" i="1"/>
  <c r="AA566" i="1"/>
  <c r="AA567" i="1"/>
  <c r="AA568" i="1"/>
  <c r="AA569" i="1"/>
  <c r="AA570" i="1"/>
  <c r="AA571" i="1"/>
  <c r="AA572" i="1"/>
  <c r="AA573" i="1"/>
  <c r="AA574" i="1"/>
  <c r="AA575" i="1"/>
  <c r="AA576" i="1"/>
  <c r="AA577" i="1"/>
  <c r="AA578" i="1"/>
  <c r="AA579" i="1"/>
  <c r="AA580" i="1"/>
  <c r="AA581" i="1"/>
  <c r="AA582" i="1"/>
  <c r="AA583" i="1"/>
  <c r="AA584" i="1"/>
  <c r="AA585" i="1"/>
  <c r="AA586" i="1"/>
  <c r="AA587" i="1"/>
  <c r="AA588" i="1"/>
  <c r="AA589" i="1"/>
  <c r="AA590" i="1"/>
  <c r="AA591" i="1"/>
  <c r="AA592" i="1"/>
  <c r="AA593" i="1"/>
  <c r="AA594" i="1"/>
  <c r="AA595" i="1"/>
  <c r="AA596" i="1"/>
  <c r="AA597" i="1"/>
  <c r="AA598" i="1"/>
  <c r="AA599" i="1"/>
  <c r="AA600" i="1"/>
  <c r="AA601" i="1"/>
  <c r="AA602" i="1"/>
  <c r="AA603" i="1"/>
  <c r="AA604" i="1"/>
  <c r="AA605" i="1"/>
  <c r="AA606" i="1"/>
  <c r="AA607" i="1"/>
  <c r="AA608" i="1"/>
  <c r="AA609" i="1"/>
  <c r="AA610" i="1"/>
  <c r="AA611" i="1"/>
  <c r="AA612" i="1"/>
  <c r="AA613" i="1"/>
  <c r="AA614" i="1"/>
  <c r="AA615" i="1"/>
  <c r="AA616" i="1"/>
  <c r="AA617" i="1"/>
  <c r="AA618" i="1"/>
  <c r="AA619" i="1"/>
  <c r="AA620" i="1"/>
  <c r="AA621" i="1"/>
  <c r="AA622" i="1"/>
  <c r="AA623" i="1"/>
  <c r="AA624" i="1"/>
  <c r="AA625" i="1"/>
  <c r="AA626" i="1"/>
  <c r="AA627" i="1"/>
  <c r="AA628" i="1"/>
  <c r="AA629" i="1"/>
  <c r="AA630" i="1"/>
  <c r="AA631" i="1"/>
  <c r="AA632" i="1"/>
  <c r="AA633" i="1"/>
  <c r="AA634" i="1"/>
  <c r="AA635" i="1"/>
  <c r="AA636" i="1"/>
  <c r="AA637" i="1"/>
  <c r="AA638" i="1"/>
  <c r="AA639" i="1"/>
  <c r="AA640" i="1"/>
  <c r="AA641" i="1"/>
  <c r="AA642" i="1"/>
  <c r="AA643" i="1"/>
  <c r="AA644" i="1"/>
  <c r="AA645" i="1"/>
  <c r="AA646" i="1"/>
  <c r="AA647" i="1"/>
  <c r="AA648" i="1"/>
  <c r="AA649" i="1"/>
  <c r="AA650" i="1"/>
  <c r="AA651" i="1"/>
  <c r="AA652" i="1"/>
  <c r="AA653" i="1"/>
  <c r="AA654" i="1"/>
  <c r="AA655" i="1"/>
  <c r="AA656" i="1"/>
  <c r="AA657" i="1"/>
  <c r="AA658" i="1"/>
  <c r="AA659" i="1"/>
  <c r="AA660" i="1"/>
  <c r="AA661" i="1"/>
  <c r="AA662" i="1"/>
  <c r="AA663" i="1"/>
  <c r="AA664" i="1"/>
  <c r="AA665" i="1"/>
  <c r="AA666" i="1"/>
  <c r="AA667" i="1"/>
  <c r="AA668" i="1"/>
  <c r="AA669" i="1"/>
  <c r="AA670" i="1"/>
  <c r="AA671" i="1"/>
  <c r="AA672" i="1"/>
  <c r="AA673" i="1"/>
  <c r="AA674" i="1"/>
  <c r="AA675" i="1"/>
  <c r="AA676" i="1"/>
  <c r="AA677" i="1"/>
  <c r="AA678" i="1"/>
  <c r="AA679" i="1"/>
  <c r="AA680" i="1"/>
  <c r="AA681" i="1"/>
  <c r="AA682" i="1"/>
  <c r="AA683" i="1"/>
  <c r="AA684" i="1"/>
  <c r="AA685" i="1"/>
  <c r="AA686" i="1"/>
  <c r="AA687" i="1"/>
  <c r="AA688" i="1"/>
  <c r="AA689" i="1"/>
  <c r="AA690" i="1"/>
  <c r="AA691" i="1"/>
  <c r="AA692" i="1"/>
  <c r="AA693" i="1"/>
  <c r="AA694" i="1"/>
  <c r="AA695" i="1"/>
  <c r="AA696" i="1"/>
  <c r="AA697" i="1"/>
  <c r="AA698" i="1"/>
  <c r="AA699" i="1"/>
  <c r="AA700" i="1"/>
  <c r="AA701" i="1"/>
  <c r="AA702" i="1"/>
  <c r="AA703" i="1"/>
  <c r="AA704" i="1"/>
  <c r="AA705" i="1"/>
  <c r="AA706" i="1"/>
  <c r="AA707" i="1"/>
  <c r="AA708" i="1"/>
  <c r="AA709" i="1"/>
  <c r="AA710" i="1"/>
  <c r="AA711" i="1"/>
  <c r="AA712" i="1"/>
  <c r="AA714" i="1"/>
  <c r="AA715" i="1"/>
  <c r="AA716" i="1"/>
  <c r="AA717" i="1"/>
  <c r="AA718" i="1"/>
  <c r="AA720" i="1"/>
  <c r="AA721" i="1"/>
  <c r="AA722" i="1"/>
  <c r="AA723" i="1"/>
  <c r="AA724" i="1"/>
  <c r="AA725" i="1"/>
  <c r="AA726" i="1"/>
  <c r="AA727" i="1"/>
  <c r="AA728" i="1"/>
  <c r="AA729" i="1"/>
  <c r="AA730" i="1"/>
  <c r="AA731" i="1"/>
  <c r="AA732" i="1"/>
  <c r="AA733" i="1"/>
  <c r="AA734" i="1"/>
  <c r="AA735" i="1"/>
  <c r="AA736" i="1"/>
  <c r="AA737" i="1"/>
  <c r="AA738" i="1"/>
  <c r="AA739" i="1"/>
  <c r="AA740" i="1"/>
  <c r="AA741" i="1"/>
  <c r="AA742" i="1"/>
  <c r="AA743" i="1"/>
  <c r="AA744" i="1"/>
  <c r="AA745" i="1"/>
  <c r="AA746" i="1"/>
  <c r="AA747" i="1"/>
  <c r="AA748" i="1"/>
  <c r="AA749" i="1"/>
  <c r="AA750" i="1"/>
  <c r="AA751" i="1"/>
  <c r="AA752" i="1"/>
  <c r="AA753" i="1"/>
  <c r="AA754" i="1"/>
  <c r="AA755" i="1"/>
  <c r="AA756" i="1"/>
  <c r="AA757" i="1"/>
  <c r="AA760" i="1"/>
  <c r="AA763" i="1"/>
  <c r="AA764" i="1"/>
  <c r="AA765" i="1"/>
  <c r="AA766" i="1"/>
  <c r="AA767" i="1"/>
  <c r="AA768" i="1"/>
  <c r="AA769" i="1"/>
  <c r="AA770" i="1"/>
  <c r="AA771" i="1"/>
  <c r="AA772" i="1"/>
  <c r="AA773" i="1"/>
  <c r="AA774" i="1"/>
  <c r="AA775" i="1"/>
  <c r="AA776" i="1"/>
  <c r="AA777" i="1"/>
  <c r="AA778" i="1"/>
  <c r="AA779" i="1"/>
  <c r="AA780" i="1"/>
  <c r="AA781" i="1"/>
  <c r="AA783" i="1"/>
  <c r="AA784" i="1"/>
  <c r="AA785" i="1"/>
  <c r="AA786" i="1"/>
  <c r="AA787" i="1"/>
  <c r="AA788" i="1"/>
  <c r="AA789" i="1"/>
  <c r="Z5" i="1"/>
  <c r="Z6" i="1"/>
  <c r="Z7" i="1"/>
  <c r="Z8" i="1"/>
  <c r="Z9" i="1"/>
  <c r="Z10" i="1"/>
  <c r="Z11" i="1"/>
  <c r="Z12" i="1"/>
  <c r="Z13" i="1"/>
  <c r="Z14" i="1"/>
  <c r="Z15" i="1"/>
  <c r="Z16" i="1"/>
  <c r="Z17" i="1"/>
  <c r="Z18" i="1"/>
  <c r="Z19" i="1"/>
  <c r="Z20" i="1"/>
  <c r="Z21" i="1"/>
  <c r="Z22" i="1"/>
  <c r="Z23" i="1"/>
  <c r="Z24" i="1"/>
  <c r="Z25" i="1"/>
  <c r="Z26" i="1"/>
  <c r="Z27" i="1"/>
  <c r="Z28" i="1"/>
  <c r="Z29" i="1"/>
  <c r="Z30" i="1"/>
  <c r="Z31" i="1"/>
  <c r="Z32" i="1"/>
  <c r="Z33" i="1"/>
  <c r="Z34" i="1"/>
  <c r="Z35" i="1"/>
  <c r="Z36" i="1"/>
  <c r="Z37" i="1"/>
  <c r="Z38" i="1"/>
  <c r="Z39" i="1"/>
  <c r="Z40" i="1"/>
  <c r="Z41" i="1"/>
  <c r="Z42" i="1"/>
  <c r="Z43" i="1"/>
  <c r="Z44" i="1"/>
  <c r="Z45" i="1"/>
  <c r="Z46" i="1"/>
  <c r="Z47" i="1"/>
  <c r="Z49" i="1"/>
  <c r="Z50" i="1"/>
  <c r="Z51" i="1"/>
  <c r="Z52" i="1"/>
  <c r="Z53" i="1"/>
  <c r="Z54" i="1"/>
  <c r="Z55" i="1"/>
  <c r="Z56" i="1"/>
  <c r="Z57" i="1"/>
  <c r="Z58" i="1"/>
  <c r="Z59" i="1"/>
  <c r="Z60" i="1"/>
  <c r="Z61" i="1"/>
  <c r="Z62" i="1"/>
  <c r="Z63" i="1"/>
  <c r="Z64" i="1"/>
  <c r="Z65" i="1"/>
  <c r="Z66" i="1"/>
  <c r="Z67" i="1"/>
  <c r="Z68" i="1"/>
  <c r="Z70" i="1"/>
  <c r="Z71" i="1"/>
  <c r="Z72" i="1"/>
  <c r="Z73" i="1"/>
  <c r="Z74" i="1"/>
  <c r="Z75" i="1"/>
  <c r="Z76" i="1"/>
  <c r="Z77" i="1"/>
  <c r="Z78" i="1"/>
  <c r="Z79" i="1"/>
  <c r="Z80" i="1"/>
  <c r="Z81" i="1"/>
  <c r="Z82" i="1"/>
  <c r="Z83" i="1"/>
  <c r="Z84" i="1"/>
  <c r="Z85" i="1"/>
  <c r="Z86" i="1"/>
  <c r="Z87" i="1"/>
  <c r="Z88" i="1"/>
  <c r="Z89" i="1"/>
  <c r="Z90" i="1"/>
  <c r="Z91" i="1"/>
  <c r="Z92" i="1"/>
  <c r="Z93" i="1"/>
  <c r="Z94" i="1"/>
  <c r="Z95" i="1"/>
  <c r="Z96" i="1"/>
  <c r="Z97" i="1"/>
  <c r="Z98" i="1"/>
  <c r="Z99" i="1"/>
  <c r="Z100" i="1"/>
  <c r="Z101" i="1"/>
  <c r="Z102" i="1"/>
  <c r="Z103" i="1"/>
  <c r="Z104" i="1"/>
  <c r="Z105" i="1"/>
  <c r="Z106" i="1"/>
  <c r="Z107" i="1"/>
  <c r="Z108" i="1"/>
  <c r="Z109" i="1"/>
  <c r="Z110" i="1"/>
  <c r="Z111" i="1"/>
  <c r="Z112" i="1"/>
  <c r="Z113" i="1"/>
  <c r="Z114" i="1"/>
  <c r="Z115" i="1"/>
  <c r="Z116" i="1"/>
  <c r="Z117" i="1"/>
  <c r="Z118" i="1"/>
  <c r="Z119" i="1"/>
  <c r="Z120" i="1"/>
  <c r="Z121" i="1"/>
  <c r="Z122" i="1"/>
  <c r="Z123" i="1"/>
  <c r="Z124" i="1"/>
  <c r="Z125" i="1"/>
  <c r="Z126" i="1"/>
  <c r="Z127" i="1"/>
  <c r="Z128" i="1"/>
  <c r="Z129" i="1"/>
  <c r="Z130" i="1"/>
  <c r="Z131" i="1"/>
  <c r="Z132" i="1"/>
  <c r="Z133" i="1"/>
  <c r="Z134" i="1"/>
  <c r="Z135" i="1"/>
  <c r="Z136" i="1"/>
  <c r="Z137" i="1"/>
  <c r="Z138" i="1"/>
  <c r="Z139" i="1"/>
  <c r="Z140" i="1"/>
  <c r="Z141" i="1"/>
  <c r="Z142" i="1"/>
  <c r="Z143" i="1"/>
  <c r="Z144" i="1"/>
  <c r="Z145" i="1"/>
  <c r="Z146" i="1"/>
  <c r="Z147" i="1"/>
  <c r="Z148" i="1"/>
  <c r="Z149" i="1"/>
  <c r="Z150" i="1"/>
  <c r="Z151" i="1"/>
  <c r="Z152" i="1"/>
  <c r="Z153" i="1"/>
  <c r="Z154" i="1"/>
  <c r="Z155" i="1"/>
  <c r="Z156" i="1"/>
  <c r="Z157" i="1"/>
  <c r="Z158" i="1"/>
  <c r="Z159" i="1"/>
  <c r="Z160" i="1"/>
  <c r="Z161" i="1"/>
  <c r="Z162" i="1"/>
  <c r="Z163" i="1"/>
  <c r="Z164" i="1"/>
  <c r="Z165" i="1"/>
  <c r="Z166" i="1"/>
  <c r="Z167" i="1"/>
  <c r="Z168" i="1"/>
  <c r="Z169" i="1"/>
  <c r="Z170" i="1"/>
  <c r="Z171" i="1"/>
  <c r="Z172" i="1"/>
  <c r="Z173" i="1"/>
  <c r="Z174" i="1"/>
  <c r="Z175" i="1"/>
  <c r="Z176" i="1"/>
  <c r="Z177" i="1"/>
  <c r="Z178" i="1"/>
  <c r="Z179" i="1"/>
  <c r="Z180" i="1"/>
  <c r="Z181" i="1"/>
  <c r="Z182" i="1"/>
  <c r="Z183" i="1"/>
  <c r="Z184" i="1"/>
  <c r="Z186" i="1"/>
  <c r="Z185" i="1"/>
  <c r="Z188" i="1"/>
  <c r="Z191" i="1"/>
  <c r="Z194" i="1"/>
  <c r="Z193" i="1"/>
  <c r="Z196" i="1"/>
  <c r="Z195" i="1"/>
  <c r="Z198" i="1"/>
  <c r="Z197" i="1"/>
  <c r="Z200" i="1"/>
  <c r="Z199" i="1"/>
  <c r="Z201" i="1"/>
  <c r="Z202" i="1"/>
  <c r="Z203" i="1"/>
  <c r="Z204" i="1"/>
  <c r="Z205" i="1"/>
  <c r="Z206" i="1"/>
  <c r="Z207" i="1"/>
  <c r="Z208" i="1"/>
  <c r="Z209" i="1"/>
  <c r="Z210" i="1"/>
  <c r="Z211" i="1"/>
  <c r="Z212" i="1"/>
  <c r="Z213" i="1"/>
  <c r="Z214" i="1"/>
  <c r="Z215" i="1"/>
  <c r="Z216" i="1"/>
  <c r="Z217" i="1"/>
  <c r="Z218" i="1"/>
  <c r="Z219" i="1"/>
  <c r="Z220" i="1"/>
  <c r="Z221" i="1"/>
  <c r="Z222" i="1"/>
  <c r="Z223" i="1"/>
  <c r="Z224" i="1"/>
  <c r="Z225" i="1"/>
  <c r="Z226" i="1"/>
  <c r="Z227" i="1"/>
  <c r="Z228" i="1"/>
  <c r="Z229" i="1"/>
  <c r="Z230" i="1"/>
  <c r="Z231" i="1"/>
  <c r="Z232" i="1"/>
  <c r="Z233" i="1"/>
  <c r="Z234" i="1"/>
  <c r="Z235" i="1"/>
  <c r="Z236" i="1"/>
  <c r="Z237" i="1"/>
  <c r="Z238" i="1"/>
  <c r="Z239" i="1"/>
  <c r="Z240" i="1"/>
  <c r="Z241" i="1"/>
  <c r="Z242" i="1"/>
  <c r="Z243" i="1"/>
  <c r="Z244" i="1"/>
  <c r="Z245" i="1"/>
  <c r="Z246" i="1"/>
  <c r="Z247" i="1"/>
  <c r="Z248" i="1"/>
  <c r="Z249" i="1"/>
  <c r="Z250" i="1"/>
  <c r="Z251" i="1"/>
  <c r="Z252" i="1"/>
  <c r="Z253" i="1"/>
  <c r="Z254" i="1"/>
  <c r="Z255" i="1"/>
  <c r="Z256" i="1"/>
  <c r="Z257" i="1"/>
  <c r="Z258" i="1"/>
  <c r="Z259" i="1"/>
  <c r="Z260" i="1"/>
  <c r="Z261" i="1"/>
  <c r="Z262" i="1"/>
  <c r="Z263" i="1"/>
  <c r="Z264" i="1"/>
  <c r="Z265" i="1"/>
  <c r="Z266" i="1"/>
  <c r="Z267" i="1"/>
  <c r="Z268" i="1"/>
  <c r="Z269" i="1"/>
  <c r="Z270" i="1"/>
  <c r="Z271" i="1"/>
  <c r="Z272" i="1"/>
  <c r="Z273" i="1"/>
  <c r="Z274" i="1"/>
  <c r="Z275" i="1"/>
  <c r="Z276" i="1"/>
  <c r="Z277" i="1"/>
  <c r="Z278" i="1"/>
  <c r="Z279" i="1"/>
  <c r="Z280" i="1"/>
  <c r="Z281" i="1"/>
  <c r="Z282" i="1"/>
  <c r="Z283" i="1"/>
  <c r="Z284" i="1"/>
  <c r="Z285" i="1"/>
  <c r="Z286" i="1"/>
  <c r="Z287" i="1"/>
  <c r="Z288" i="1"/>
  <c r="Z289" i="1"/>
  <c r="Z290" i="1"/>
  <c r="Z291" i="1"/>
  <c r="Z292" i="1"/>
  <c r="Z293" i="1"/>
  <c r="Z294" i="1"/>
  <c r="Z295" i="1"/>
  <c r="Z296" i="1"/>
  <c r="Z297" i="1"/>
  <c r="Z303" i="1"/>
  <c r="Z304" i="1"/>
  <c r="Z305" i="1"/>
  <c r="Z306" i="1"/>
  <c r="Z307" i="1"/>
  <c r="Z308" i="1"/>
  <c r="Z309" i="1"/>
  <c r="Z310" i="1"/>
  <c r="Z311" i="1"/>
  <c r="Z312" i="1"/>
  <c r="Z313" i="1"/>
  <c r="Z314" i="1"/>
  <c r="Z315" i="1"/>
  <c r="Z316" i="1"/>
  <c r="Z317" i="1"/>
  <c r="Z318" i="1"/>
  <c r="Z319" i="1"/>
  <c r="Z320" i="1"/>
  <c r="Z321" i="1"/>
  <c r="Z322" i="1"/>
  <c r="Z323" i="1"/>
  <c r="Z324" i="1"/>
  <c r="Z325" i="1"/>
  <c r="Z326" i="1"/>
  <c r="Z327" i="1"/>
  <c r="Z328" i="1"/>
  <c r="Z329" i="1"/>
  <c r="Z330" i="1"/>
  <c r="Z331" i="1"/>
  <c r="Z332" i="1"/>
  <c r="Z333" i="1"/>
  <c r="Z334" i="1"/>
  <c r="Z335" i="1"/>
  <c r="Z336" i="1"/>
  <c r="Z337" i="1"/>
  <c r="Z338" i="1"/>
  <c r="Z339" i="1"/>
  <c r="Z340" i="1"/>
  <c r="Z341" i="1"/>
  <c r="Z342" i="1"/>
  <c r="Z343" i="1"/>
  <c r="Z344" i="1"/>
  <c r="Z345" i="1"/>
  <c r="Z346" i="1"/>
  <c r="Z347" i="1"/>
  <c r="Z348" i="1"/>
  <c r="Z349" i="1"/>
  <c r="Z350" i="1"/>
  <c r="Z351" i="1"/>
  <c r="Z352" i="1"/>
  <c r="Z353" i="1"/>
  <c r="Z354" i="1"/>
  <c r="Z355" i="1"/>
  <c r="Z356" i="1"/>
  <c r="Z357" i="1"/>
  <c r="Z358" i="1"/>
  <c r="Z359" i="1"/>
  <c r="Z360" i="1"/>
  <c r="Z361" i="1"/>
  <c r="Z362" i="1"/>
  <c r="Z363" i="1"/>
  <c r="Z364" i="1"/>
  <c r="Z365" i="1"/>
  <c r="Z366" i="1"/>
  <c r="Z367" i="1"/>
  <c r="Z368" i="1"/>
  <c r="Z369" i="1"/>
  <c r="Z370" i="1"/>
  <c r="Z371" i="1"/>
  <c r="Z372" i="1"/>
  <c r="Z373" i="1"/>
  <c r="Z374" i="1"/>
  <c r="Z375" i="1"/>
  <c r="Z376" i="1"/>
  <c r="Z377" i="1"/>
  <c r="Z378" i="1"/>
  <c r="Z379" i="1"/>
  <c r="Z380" i="1"/>
  <c r="Z381" i="1"/>
  <c r="Z382" i="1"/>
  <c r="Z383" i="1"/>
  <c r="Z384" i="1"/>
  <c r="Z385" i="1"/>
  <c r="Z386" i="1"/>
  <c r="Z387" i="1"/>
  <c r="Z388" i="1"/>
  <c r="Z389" i="1"/>
  <c r="Z390" i="1"/>
  <c r="Z391" i="1"/>
  <c r="Z392" i="1"/>
  <c r="Z393" i="1"/>
  <c r="Z394" i="1"/>
  <c r="Z395" i="1"/>
  <c r="Z396" i="1"/>
  <c r="Z397" i="1"/>
  <c r="Z398" i="1"/>
  <c r="Z399" i="1"/>
  <c r="Z400" i="1"/>
  <c r="Z401" i="1"/>
  <c r="Z402" i="1"/>
  <c r="Z403" i="1"/>
  <c r="Z404" i="1"/>
  <c r="Z405" i="1"/>
  <c r="Z406" i="1"/>
  <c r="Z407" i="1"/>
  <c r="Z408" i="1"/>
  <c r="Z409" i="1"/>
  <c r="Z410" i="1"/>
  <c r="Z411" i="1"/>
  <c r="Z412" i="1"/>
  <c r="Z413" i="1"/>
  <c r="Z414" i="1"/>
  <c r="Z415" i="1"/>
  <c r="Z416" i="1"/>
  <c r="Z417" i="1"/>
  <c r="Z418" i="1"/>
  <c r="Z419" i="1"/>
  <c r="Z420" i="1"/>
  <c r="Z421" i="1"/>
  <c r="Z422" i="1"/>
  <c r="Z423" i="1"/>
  <c r="Z424" i="1"/>
  <c r="Z425" i="1"/>
  <c r="Z426" i="1"/>
  <c r="Z427" i="1"/>
  <c r="Z428" i="1"/>
  <c r="Z429" i="1"/>
  <c r="Z430" i="1"/>
  <c r="Z431" i="1"/>
  <c r="Z432" i="1"/>
  <c r="Z433" i="1"/>
  <c r="Z434" i="1"/>
  <c r="Z435" i="1"/>
  <c r="Z436" i="1"/>
  <c r="Z437" i="1"/>
  <c r="Z438" i="1"/>
  <c r="Z439" i="1"/>
  <c r="Z440" i="1"/>
  <c r="Z441" i="1"/>
  <c r="Z442" i="1"/>
  <c r="Z443" i="1"/>
  <c r="Z444" i="1"/>
  <c r="Z445" i="1"/>
  <c r="Z446" i="1"/>
  <c r="Z447" i="1"/>
  <c r="Z448" i="1"/>
  <c r="Z449" i="1"/>
  <c r="Z450" i="1"/>
  <c r="Z451" i="1"/>
  <c r="Z452" i="1"/>
  <c r="Z453" i="1"/>
  <c r="Z454" i="1"/>
  <c r="Z455" i="1"/>
  <c r="Z456" i="1"/>
  <c r="Z457" i="1"/>
  <c r="Z458" i="1"/>
  <c r="Z459" i="1"/>
  <c r="Z460" i="1"/>
  <c r="Z461" i="1"/>
  <c r="Z462" i="1"/>
  <c r="Z463" i="1"/>
  <c r="Z464" i="1"/>
  <c r="Z465" i="1"/>
  <c r="Z466" i="1"/>
  <c r="Z467" i="1"/>
  <c r="Z468" i="1"/>
  <c r="Z469" i="1"/>
  <c r="Z470" i="1"/>
  <c r="Z471" i="1"/>
  <c r="Z472" i="1"/>
  <c r="Z473" i="1"/>
  <c r="Z474" i="1"/>
  <c r="Z475" i="1"/>
  <c r="Z476" i="1"/>
  <c r="Z477" i="1"/>
  <c r="Z478" i="1"/>
  <c r="Z479" i="1"/>
  <c r="Z480" i="1"/>
  <c r="Z481" i="1"/>
  <c r="Z482" i="1"/>
  <c r="Z483" i="1"/>
  <c r="Z484" i="1"/>
  <c r="Z485" i="1"/>
  <c r="Z486" i="1"/>
  <c r="Z487" i="1"/>
  <c r="Z488" i="1"/>
  <c r="Z489" i="1"/>
  <c r="Z490" i="1"/>
  <c r="Z491" i="1"/>
  <c r="Z492" i="1"/>
  <c r="Z493" i="1"/>
  <c r="Z494" i="1"/>
  <c r="Z495" i="1"/>
  <c r="Z496" i="1"/>
  <c r="Z497" i="1"/>
  <c r="Z498" i="1"/>
  <c r="Z499" i="1"/>
  <c r="Z500" i="1"/>
  <c r="Z501" i="1"/>
  <c r="Z502" i="1"/>
  <c r="Z503" i="1"/>
  <c r="Z505" i="1"/>
  <c r="Z506" i="1"/>
  <c r="Z508" i="1"/>
  <c r="Z509" i="1"/>
  <c r="Z510" i="1"/>
  <c r="Z511" i="1"/>
  <c r="Z512" i="1"/>
  <c r="Z513" i="1"/>
  <c r="Z514" i="1"/>
  <c r="Z515" i="1"/>
  <c r="Z516" i="1"/>
  <c r="Z517" i="1"/>
  <c r="Z518" i="1"/>
  <c r="Z519" i="1"/>
  <c r="Z520" i="1"/>
  <c r="Z521" i="1"/>
  <c r="Z522" i="1"/>
  <c r="Z523" i="1"/>
  <c r="Z524" i="1"/>
  <c r="Z525" i="1"/>
  <c r="Z526" i="1"/>
  <c r="Z527" i="1"/>
  <c r="Z528" i="1"/>
  <c r="Z529" i="1"/>
  <c r="Z530" i="1"/>
  <c r="Z531" i="1"/>
  <c r="Z532" i="1"/>
  <c r="Z533" i="1"/>
  <c r="Z534" i="1"/>
  <c r="Z535" i="1"/>
  <c r="Z536" i="1"/>
  <c r="Z537" i="1"/>
  <c r="Z538" i="1"/>
  <c r="Z539" i="1"/>
  <c r="Z540" i="1"/>
  <c r="Z541" i="1"/>
  <c r="Z542" i="1"/>
  <c r="Z543" i="1"/>
  <c r="Z544" i="1"/>
  <c r="Z545" i="1"/>
  <c r="Z546" i="1"/>
  <c r="Z547" i="1"/>
  <c r="Z548" i="1"/>
  <c r="Z549" i="1"/>
  <c r="Z550" i="1"/>
  <c r="Z551" i="1"/>
  <c r="Z552" i="1"/>
  <c r="Z553" i="1"/>
  <c r="Z554" i="1"/>
  <c r="Z555" i="1"/>
  <c r="Z556" i="1"/>
  <c r="Z557" i="1"/>
  <c r="Z558" i="1"/>
  <c r="Z559" i="1"/>
  <c r="Z560" i="1"/>
  <c r="Z561" i="1"/>
  <c r="Z562" i="1"/>
  <c r="Z563" i="1"/>
  <c r="Z564" i="1"/>
  <c r="Z565" i="1"/>
  <c r="Z566" i="1"/>
  <c r="Z567" i="1"/>
  <c r="Z568" i="1"/>
  <c r="Z569" i="1"/>
  <c r="Z570" i="1"/>
  <c r="Z571" i="1"/>
  <c r="Z572" i="1"/>
  <c r="Z573" i="1"/>
  <c r="Z574" i="1"/>
  <c r="Z575" i="1"/>
  <c r="Z576" i="1"/>
  <c r="Z577" i="1"/>
  <c r="Z578" i="1"/>
  <c r="Z579" i="1"/>
  <c r="Z580" i="1"/>
  <c r="Z581" i="1"/>
  <c r="Z582" i="1"/>
  <c r="Z583" i="1"/>
  <c r="Z584" i="1"/>
  <c r="Z585" i="1"/>
  <c r="Z586" i="1"/>
  <c r="Z587" i="1"/>
  <c r="Z588" i="1"/>
  <c r="Z589" i="1"/>
  <c r="Z590" i="1"/>
  <c r="Z591" i="1"/>
  <c r="Z592" i="1"/>
  <c r="Z593" i="1"/>
  <c r="Z594" i="1"/>
  <c r="Z595" i="1"/>
  <c r="Z596" i="1"/>
  <c r="Z597" i="1"/>
  <c r="Z598" i="1"/>
  <c r="Z599" i="1"/>
  <c r="Z600" i="1"/>
  <c r="Z601" i="1"/>
  <c r="Z602" i="1"/>
  <c r="Z603" i="1"/>
  <c r="Z604" i="1"/>
  <c r="Z605" i="1"/>
  <c r="Z606" i="1"/>
  <c r="Z607" i="1"/>
  <c r="Z608" i="1"/>
  <c r="Z609" i="1"/>
  <c r="Z610" i="1"/>
  <c r="Z611" i="1"/>
  <c r="Z612" i="1"/>
  <c r="Z613" i="1"/>
  <c r="Z614" i="1"/>
  <c r="Z615" i="1"/>
  <c r="Z616" i="1"/>
  <c r="Z617" i="1"/>
  <c r="Z618" i="1"/>
  <c r="Z619" i="1"/>
  <c r="Z620" i="1"/>
  <c r="Z621" i="1"/>
  <c r="Z622" i="1"/>
  <c r="Z623" i="1"/>
  <c r="Z624" i="1"/>
  <c r="Z625" i="1"/>
  <c r="Z626" i="1"/>
  <c r="Z627" i="1"/>
  <c r="Z628" i="1"/>
  <c r="Z629" i="1"/>
  <c r="Z630" i="1"/>
  <c r="Z631" i="1"/>
  <c r="Z632" i="1"/>
  <c r="Z633" i="1"/>
  <c r="Z634" i="1"/>
  <c r="Z635" i="1"/>
  <c r="Z636" i="1"/>
  <c r="Z637" i="1"/>
  <c r="Z638" i="1"/>
  <c r="Z639" i="1"/>
  <c r="Z640" i="1"/>
  <c r="Z641" i="1"/>
  <c r="Z642" i="1"/>
  <c r="Z643" i="1"/>
  <c r="Z644" i="1"/>
  <c r="Z645" i="1"/>
  <c r="Z646" i="1"/>
  <c r="Z647" i="1"/>
  <c r="Z648" i="1"/>
  <c r="Z649" i="1"/>
  <c r="Z650" i="1"/>
  <c r="Z651" i="1"/>
  <c r="Z652" i="1"/>
  <c r="Z653" i="1"/>
  <c r="Z654" i="1"/>
  <c r="Z655" i="1"/>
  <c r="Z656" i="1"/>
  <c r="Z657" i="1"/>
  <c r="Z658" i="1"/>
  <c r="Z659" i="1"/>
  <c r="Z660" i="1"/>
  <c r="Z661" i="1"/>
  <c r="Z662" i="1"/>
  <c r="Z663" i="1"/>
  <c r="Z664" i="1"/>
  <c r="Z665" i="1"/>
  <c r="Z666" i="1"/>
  <c r="Z667" i="1"/>
  <c r="Z668" i="1"/>
  <c r="Z669" i="1"/>
  <c r="Z670" i="1"/>
  <c r="Z671" i="1"/>
  <c r="Z672" i="1"/>
  <c r="Z673" i="1"/>
  <c r="Z674" i="1"/>
  <c r="Z675" i="1"/>
  <c r="Z676" i="1"/>
  <c r="Z677" i="1"/>
  <c r="Z678" i="1"/>
  <c r="Z679" i="1"/>
  <c r="Z680" i="1"/>
  <c r="Z681" i="1"/>
  <c r="Z682" i="1"/>
  <c r="Z683" i="1"/>
  <c r="Z684" i="1"/>
  <c r="Z685" i="1"/>
  <c r="Z686" i="1"/>
  <c r="Z687" i="1"/>
  <c r="Z688" i="1"/>
  <c r="Z689" i="1"/>
  <c r="Z690" i="1"/>
  <c r="Z691" i="1"/>
  <c r="Z692" i="1"/>
  <c r="Z693" i="1"/>
  <c r="Z694" i="1"/>
  <c r="Z695" i="1"/>
  <c r="Z696" i="1"/>
  <c r="Z697" i="1"/>
  <c r="Z698" i="1"/>
  <c r="Z699" i="1"/>
  <c r="Z700" i="1"/>
  <c r="Z701" i="1"/>
  <c r="Z702" i="1"/>
  <c r="Z703" i="1"/>
  <c r="Z704" i="1"/>
  <c r="Z705" i="1"/>
  <c r="Z706" i="1"/>
  <c r="Z707" i="1"/>
  <c r="Z708" i="1"/>
  <c r="Z709" i="1"/>
  <c r="Z710" i="1"/>
  <c r="Z711" i="1"/>
  <c r="Z712" i="1"/>
  <c r="Z714" i="1"/>
  <c r="Z715" i="1"/>
  <c r="Z716" i="1"/>
  <c r="Z717" i="1"/>
  <c r="Z718" i="1"/>
  <c r="Z720" i="1"/>
  <c r="Z721" i="1"/>
  <c r="Z722" i="1"/>
  <c r="Z723" i="1"/>
  <c r="Z724" i="1"/>
  <c r="Z725" i="1"/>
  <c r="Z726" i="1"/>
  <c r="Z727" i="1"/>
  <c r="Z728" i="1"/>
  <c r="Z729" i="1"/>
  <c r="Z730" i="1"/>
  <c r="Z731" i="1"/>
  <c r="Z732" i="1"/>
  <c r="Z733" i="1"/>
  <c r="Z734" i="1"/>
  <c r="Z735" i="1"/>
  <c r="Z736" i="1"/>
  <c r="Z737" i="1"/>
  <c r="Z738" i="1"/>
  <c r="Z739" i="1"/>
  <c r="Z740" i="1"/>
  <c r="Z741" i="1"/>
  <c r="Z742" i="1"/>
  <c r="Z743" i="1"/>
  <c r="Z744" i="1"/>
  <c r="Z745" i="1"/>
  <c r="Z746" i="1"/>
  <c r="Z747" i="1"/>
  <c r="Z748" i="1"/>
  <c r="Z749" i="1"/>
  <c r="Z750" i="1"/>
  <c r="Z751" i="1"/>
  <c r="Z752" i="1"/>
  <c r="Z753" i="1"/>
  <c r="Z754" i="1"/>
  <c r="Z755" i="1"/>
  <c r="Z756" i="1"/>
  <c r="Z757" i="1"/>
  <c r="Z760" i="1"/>
  <c r="Z763" i="1"/>
  <c r="Z764" i="1"/>
  <c r="Z765" i="1"/>
  <c r="Z766" i="1"/>
  <c r="Z767" i="1"/>
  <c r="Z768" i="1"/>
  <c r="Z769" i="1"/>
  <c r="Z770" i="1"/>
  <c r="Z771" i="1"/>
  <c r="Z772" i="1"/>
  <c r="Z773" i="1"/>
  <c r="Z774" i="1"/>
  <c r="Z775" i="1"/>
  <c r="Z776" i="1"/>
  <c r="Z777" i="1"/>
  <c r="Z778" i="1"/>
  <c r="Z779" i="1"/>
  <c r="Z780" i="1"/>
  <c r="Z781" i="1"/>
  <c r="Z783" i="1"/>
  <c r="Z784" i="1"/>
  <c r="Z785" i="1"/>
  <c r="Z786" i="1"/>
  <c r="Z787" i="1"/>
  <c r="Z788" i="1"/>
  <c r="Z789" i="1"/>
  <c r="Z3" i="1"/>
  <c r="Z4" i="1"/>
  <c r="Y3" i="1"/>
  <c r="Y4" i="1"/>
  <c r="Y5" i="1"/>
  <c r="Y6" i="1"/>
  <c r="Y7" i="1"/>
  <c r="Y8" i="1"/>
  <c r="Y9" i="1"/>
  <c r="Y10"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9" i="1"/>
  <c r="Y50" i="1"/>
  <c r="Y51" i="1"/>
  <c r="Y52" i="1"/>
  <c r="Y53" i="1"/>
  <c r="Y54" i="1"/>
  <c r="Y55" i="1"/>
  <c r="Y56" i="1"/>
  <c r="Y57" i="1"/>
  <c r="Y58" i="1"/>
  <c r="Y59" i="1"/>
  <c r="Y60" i="1"/>
  <c r="Y61" i="1"/>
  <c r="Y62" i="1"/>
  <c r="Y63" i="1"/>
  <c r="Y64" i="1"/>
  <c r="Y65" i="1"/>
  <c r="Y66" i="1"/>
  <c r="Y67" i="1"/>
  <c r="Y68"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6" i="1"/>
  <c r="Y185" i="1"/>
  <c r="Y188" i="1"/>
  <c r="Y191" i="1"/>
  <c r="Y194" i="1"/>
  <c r="Y193" i="1"/>
  <c r="Y196" i="1"/>
  <c r="Y195" i="1"/>
  <c r="Y198" i="1"/>
  <c r="Y197" i="1"/>
  <c r="Y200" i="1"/>
  <c r="Y199"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5" i="1"/>
  <c r="Y506"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4" i="1"/>
  <c r="Y715" i="1"/>
  <c r="Y716" i="1"/>
  <c r="Y717" i="1"/>
  <c r="Y718"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60" i="1"/>
  <c r="Y763" i="1"/>
  <c r="Y764" i="1"/>
  <c r="Y765" i="1"/>
  <c r="Y766" i="1"/>
  <c r="Y767" i="1"/>
  <c r="Y768" i="1"/>
  <c r="Y769" i="1"/>
  <c r="Y770" i="1"/>
  <c r="Y771" i="1"/>
  <c r="Y772" i="1"/>
  <c r="Y773" i="1"/>
  <c r="Y774" i="1"/>
  <c r="Y775" i="1"/>
  <c r="Y776" i="1"/>
  <c r="Y777" i="1"/>
  <c r="Y778" i="1"/>
  <c r="Y779" i="1"/>
  <c r="Y780" i="1"/>
  <c r="Y781" i="1"/>
  <c r="Y783" i="1"/>
  <c r="Y784" i="1"/>
  <c r="Y785" i="1"/>
  <c r="Y786" i="1"/>
  <c r="Y787" i="1"/>
  <c r="Y788" i="1"/>
  <c r="Y789" i="1"/>
  <c r="X747" i="1"/>
  <c r="X746" i="1"/>
  <c r="X711" i="1"/>
  <c r="X710" i="1"/>
  <c r="X756" i="1"/>
  <c r="X755" i="1"/>
  <c r="X738" i="1"/>
  <c r="X737" i="1"/>
  <c r="X387" i="1"/>
  <c r="X776" i="1"/>
  <c r="X775" i="1"/>
  <c r="X707" i="1"/>
  <c r="X703" i="1"/>
  <c r="X702" i="1"/>
  <c r="X694" i="1"/>
  <c r="X693" i="1"/>
  <c r="X684" i="1"/>
  <c r="X683" i="1"/>
  <c r="X532" i="1"/>
  <c r="X465" i="1"/>
  <c r="X463" i="1"/>
  <c r="X462" i="1"/>
  <c r="X406" i="1"/>
  <c r="X407" i="1"/>
  <c r="X405" i="1"/>
  <c r="X403" i="1"/>
  <c r="X389" i="1"/>
  <c r="X378" i="1"/>
  <c r="X375" i="1"/>
  <c r="X369" i="1"/>
  <c r="X348" i="1"/>
  <c r="X349" i="1"/>
  <c r="X350" i="1"/>
  <c r="X351" i="1"/>
  <c r="X347" i="1"/>
  <c r="X334" i="1"/>
  <c r="X330" i="1"/>
  <c r="X329" i="1"/>
  <c r="X328" i="1"/>
  <c r="X325" i="1"/>
  <c r="X324" i="1"/>
  <c r="X323" i="1"/>
  <c r="X321" i="1"/>
  <c r="X319" i="1"/>
  <c r="X307" i="1"/>
  <c r="X294" i="1"/>
  <c r="X295" i="1"/>
  <c r="X296" i="1"/>
  <c r="X297" i="1"/>
  <c r="X293" i="1"/>
  <c r="X279" i="1"/>
  <c r="X280" i="1"/>
  <c r="X278" i="1"/>
  <c r="X272" i="1"/>
  <c r="X269" i="1"/>
  <c r="X267" i="1"/>
  <c r="X262" i="1"/>
  <c r="X263" i="1"/>
  <c r="X264" i="1"/>
  <c r="X265" i="1"/>
  <c r="X261" i="1"/>
  <c r="X245" i="1"/>
  <c r="X240" i="1"/>
  <c r="X241" i="1"/>
  <c r="X239" i="1"/>
  <c r="X235" i="1"/>
  <c r="X236" i="1"/>
  <c r="X234" i="1"/>
  <c r="X232" i="1"/>
  <c r="X230" i="1"/>
  <c r="X228" i="1"/>
  <c r="X218" i="1"/>
  <c r="X210" i="1"/>
  <c r="X211" i="1"/>
  <c r="X212" i="1"/>
  <c r="X213" i="1"/>
  <c r="X209" i="1"/>
  <c r="X167" i="1"/>
  <c r="X166" i="1"/>
  <c r="X164" i="1"/>
  <c r="X163" i="1"/>
  <c r="X158" i="1"/>
  <c r="X156" i="1"/>
  <c r="X138" i="1"/>
  <c r="X139" i="1"/>
  <c r="X140" i="1"/>
  <c r="X141" i="1"/>
  <c r="X142" i="1"/>
  <c r="X143" i="1"/>
  <c r="X144" i="1"/>
  <c r="X145" i="1"/>
  <c r="X146" i="1"/>
  <c r="X147" i="1"/>
  <c r="X148" i="1"/>
  <c r="X149" i="1"/>
  <c r="X150" i="1"/>
  <c r="X151" i="1"/>
  <c r="X133" i="1"/>
  <c r="X134" i="1"/>
  <c r="X135" i="1"/>
  <c r="X136" i="1"/>
  <c r="X137" i="1"/>
  <c r="X132" i="1"/>
  <c r="X129" i="1"/>
  <c r="X70" i="1"/>
  <c r="X63" i="1"/>
  <c r="X41" i="1"/>
  <c r="X317" i="1"/>
  <c r="AH2" i="1"/>
  <c r="A2" i="1" s="1"/>
  <c r="W3" i="1"/>
  <c r="W4" i="1"/>
  <c r="W5" i="1"/>
  <c r="W6" i="1"/>
  <c r="W7" i="1"/>
  <c r="W8" i="1"/>
  <c r="W9" i="1"/>
  <c r="W10" i="1"/>
  <c r="W11" i="1"/>
  <c r="W12" i="1"/>
  <c r="W13" i="1"/>
  <c r="W14" i="1"/>
  <c r="W15" i="1"/>
  <c r="W16" i="1"/>
  <c r="W17" i="1"/>
  <c r="W18" i="1"/>
  <c r="W19" i="1"/>
  <c r="W20" i="1"/>
  <c r="W21" i="1"/>
  <c r="W22" i="1"/>
  <c r="W23" i="1"/>
  <c r="W24" i="1"/>
  <c r="W25" i="1"/>
  <c r="W26" i="1"/>
  <c r="W27" i="1"/>
  <c r="W28" i="1"/>
  <c r="W29" i="1"/>
  <c r="W30" i="1"/>
  <c r="W31" i="1"/>
  <c r="W32" i="1"/>
  <c r="W33" i="1"/>
  <c r="W34" i="1"/>
  <c r="W35" i="1"/>
  <c r="W36" i="1"/>
  <c r="W37" i="1"/>
  <c r="W38" i="1"/>
  <c r="W39" i="1"/>
  <c r="W40" i="1"/>
  <c r="W41" i="1"/>
  <c r="W42" i="1"/>
  <c r="W43" i="1"/>
  <c r="W44" i="1"/>
  <c r="W45" i="1"/>
  <c r="W46" i="1"/>
  <c r="W47" i="1"/>
  <c r="W49" i="1"/>
  <c r="W50" i="1"/>
  <c r="W51" i="1"/>
  <c r="W52" i="1"/>
  <c r="W53" i="1"/>
  <c r="W54" i="1"/>
  <c r="W55" i="1"/>
  <c r="W56" i="1"/>
  <c r="W57" i="1"/>
  <c r="W58" i="1"/>
  <c r="W59" i="1"/>
  <c r="W60" i="1"/>
  <c r="W61" i="1"/>
  <c r="W62" i="1"/>
  <c r="W63" i="1"/>
  <c r="W64" i="1"/>
  <c r="W65" i="1"/>
  <c r="W66" i="1"/>
  <c r="W67" i="1"/>
  <c r="W68" i="1"/>
  <c r="W70" i="1"/>
  <c r="W71" i="1"/>
  <c r="W72" i="1"/>
  <c r="W73" i="1"/>
  <c r="W74" i="1"/>
  <c r="W75" i="1"/>
  <c r="W76" i="1"/>
  <c r="W77" i="1"/>
  <c r="W78" i="1"/>
  <c r="W79" i="1"/>
  <c r="W80" i="1"/>
  <c r="W81" i="1"/>
  <c r="W82" i="1"/>
  <c r="W83" i="1"/>
  <c r="W84" i="1"/>
  <c r="W85" i="1"/>
  <c r="W86" i="1"/>
  <c r="W87" i="1"/>
  <c r="W88" i="1"/>
  <c r="W89" i="1"/>
  <c r="W90" i="1"/>
  <c r="W91" i="1"/>
  <c r="W92" i="1"/>
  <c r="W93" i="1"/>
  <c r="W94" i="1"/>
  <c r="W95" i="1"/>
  <c r="W96" i="1"/>
  <c r="W97" i="1"/>
  <c r="W98" i="1"/>
  <c r="W99" i="1"/>
  <c r="W100" i="1"/>
  <c r="W101" i="1"/>
  <c r="W102" i="1"/>
  <c r="W103" i="1"/>
  <c r="W104" i="1"/>
  <c r="W105" i="1"/>
  <c r="W106" i="1"/>
  <c r="W107" i="1"/>
  <c r="W108" i="1"/>
  <c r="W109" i="1"/>
  <c r="W110" i="1"/>
  <c r="W111" i="1"/>
  <c r="W112" i="1"/>
  <c r="W113" i="1"/>
  <c r="W114" i="1"/>
  <c r="W115" i="1"/>
  <c r="W116" i="1"/>
  <c r="W117" i="1"/>
  <c r="W118" i="1"/>
  <c r="W119" i="1"/>
  <c r="W120" i="1"/>
  <c r="W121" i="1"/>
  <c r="W122" i="1"/>
  <c r="W123" i="1"/>
  <c r="W124" i="1"/>
  <c r="W125" i="1"/>
  <c r="W126" i="1"/>
  <c r="W127" i="1"/>
  <c r="W128" i="1"/>
  <c r="W129" i="1"/>
  <c r="W130" i="1"/>
  <c r="W131" i="1"/>
  <c r="W132" i="1"/>
  <c r="W133" i="1"/>
  <c r="W134" i="1"/>
  <c r="W135" i="1"/>
  <c r="W136" i="1"/>
  <c r="W137" i="1"/>
  <c r="W138" i="1"/>
  <c r="W139" i="1"/>
  <c r="W140" i="1"/>
  <c r="W141" i="1"/>
  <c r="W142" i="1"/>
  <c r="W143" i="1"/>
  <c r="W144" i="1"/>
  <c r="W145" i="1"/>
  <c r="W146" i="1"/>
  <c r="W147" i="1"/>
  <c r="W148" i="1"/>
  <c r="W149" i="1"/>
  <c r="W150" i="1"/>
  <c r="W151" i="1"/>
  <c r="W152" i="1"/>
  <c r="W153" i="1"/>
  <c r="W154" i="1"/>
  <c r="W155" i="1"/>
  <c r="W156" i="1"/>
  <c r="W157" i="1"/>
  <c r="W158" i="1"/>
  <c r="W159" i="1"/>
  <c r="W160" i="1"/>
  <c r="W161" i="1"/>
  <c r="W162" i="1"/>
  <c r="W163" i="1"/>
  <c r="W164" i="1"/>
  <c r="W165" i="1"/>
  <c r="W166" i="1"/>
  <c r="W167" i="1"/>
  <c r="W168" i="1"/>
  <c r="W169" i="1"/>
  <c r="W170" i="1"/>
  <c r="W171" i="1"/>
  <c r="W172" i="1"/>
  <c r="W173" i="1"/>
  <c r="W174" i="1"/>
  <c r="W175" i="1"/>
  <c r="W176" i="1"/>
  <c r="W177" i="1"/>
  <c r="W178" i="1"/>
  <c r="W179" i="1"/>
  <c r="W180" i="1"/>
  <c r="W181" i="1"/>
  <c r="W182" i="1"/>
  <c r="W183" i="1"/>
  <c r="W184" i="1"/>
  <c r="W186" i="1"/>
  <c r="W185" i="1"/>
  <c r="W188" i="1"/>
  <c r="W191" i="1"/>
  <c r="W194" i="1"/>
  <c r="W193" i="1"/>
  <c r="W196" i="1"/>
  <c r="W195" i="1"/>
  <c r="W198" i="1"/>
  <c r="W197" i="1"/>
  <c r="W200" i="1"/>
  <c r="W199" i="1"/>
  <c r="W201" i="1"/>
  <c r="W202" i="1"/>
  <c r="W203" i="1"/>
  <c r="W204" i="1"/>
  <c r="W205" i="1"/>
  <c r="W206" i="1"/>
  <c r="W207" i="1"/>
  <c r="W208" i="1"/>
  <c r="W209" i="1"/>
  <c r="W210" i="1"/>
  <c r="W211" i="1"/>
  <c r="W212" i="1"/>
  <c r="W213" i="1"/>
  <c r="W214" i="1"/>
  <c r="W215" i="1"/>
  <c r="W216" i="1"/>
  <c r="W217" i="1"/>
  <c r="W218" i="1"/>
  <c r="W219" i="1"/>
  <c r="W220" i="1"/>
  <c r="W221" i="1"/>
  <c r="W222" i="1"/>
  <c r="W223" i="1"/>
  <c r="W224" i="1"/>
  <c r="W225" i="1"/>
  <c r="W226" i="1"/>
  <c r="W227" i="1"/>
  <c r="W228" i="1"/>
  <c r="W229" i="1"/>
  <c r="W230" i="1"/>
  <c r="W231" i="1"/>
  <c r="W232" i="1"/>
  <c r="W233" i="1"/>
  <c r="W234" i="1"/>
  <c r="W235" i="1"/>
  <c r="W236" i="1"/>
  <c r="W237" i="1"/>
  <c r="W238" i="1"/>
  <c r="W239" i="1"/>
  <c r="W240" i="1"/>
  <c r="W241" i="1"/>
  <c r="W242" i="1"/>
  <c r="W243" i="1"/>
  <c r="W244" i="1"/>
  <c r="W245" i="1"/>
  <c r="W246" i="1"/>
  <c r="W247" i="1"/>
  <c r="W248" i="1"/>
  <c r="W249" i="1"/>
  <c r="W250" i="1"/>
  <c r="W251" i="1"/>
  <c r="W252" i="1"/>
  <c r="W253" i="1"/>
  <c r="W254" i="1"/>
  <c r="W255" i="1"/>
  <c r="W256" i="1"/>
  <c r="W257" i="1"/>
  <c r="W258" i="1"/>
  <c r="W259" i="1"/>
  <c r="W260" i="1"/>
  <c r="W261" i="1"/>
  <c r="W262" i="1"/>
  <c r="W263" i="1"/>
  <c r="W264" i="1"/>
  <c r="W265" i="1"/>
  <c r="W266" i="1"/>
  <c r="W267" i="1"/>
  <c r="W268" i="1"/>
  <c r="W269" i="1"/>
  <c r="W270" i="1"/>
  <c r="W271" i="1"/>
  <c r="W272" i="1"/>
  <c r="W273" i="1"/>
  <c r="W274" i="1"/>
  <c r="W275" i="1"/>
  <c r="W276" i="1"/>
  <c r="W277" i="1"/>
  <c r="W278" i="1"/>
  <c r="W279" i="1"/>
  <c r="W280" i="1"/>
  <c r="W281" i="1"/>
  <c r="W282" i="1"/>
  <c r="W283" i="1"/>
  <c r="W284" i="1"/>
  <c r="W285" i="1"/>
  <c r="W286" i="1"/>
  <c r="W287" i="1"/>
  <c r="W288" i="1"/>
  <c r="W289" i="1"/>
  <c r="W290" i="1"/>
  <c r="W291" i="1"/>
  <c r="W292" i="1"/>
  <c r="W293" i="1"/>
  <c r="W294" i="1"/>
  <c r="W295" i="1"/>
  <c r="W296" i="1"/>
  <c r="W297" i="1"/>
  <c r="W303" i="1"/>
  <c r="W304" i="1"/>
  <c r="W305" i="1"/>
  <c r="W306" i="1"/>
  <c r="W307" i="1"/>
  <c r="W308" i="1"/>
  <c r="W309" i="1"/>
  <c r="W310" i="1"/>
  <c r="W311" i="1"/>
  <c r="W312" i="1"/>
  <c r="W313" i="1"/>
  <c r="W314" i="1"/>
  <c r="W315" i="1"/>
  <c r="W316" i="1"/>
  <c r="W317" i="1"/>
  <c r="W318" i="1"/>
  <c r="W319" i="1"/>
  <c r="W320" i="1"/>
  <c r="W321" i="1"/>
  <c r="W322" i="1"/>
  <c r="W323" i="1"/>
  <c r="W324" i="1"/>
  <c r="W325" i="1"/>
  <c r="W326" i="1"/>
  <c r="W327" i="1"/>
  <c r="W328" i="1"/>
  <c r="W329" i="1"/>
  <c r="W330" i="1"/>
  <c r="W331" i="1"/>
  <c r="W332" i="1"/>
  <c r="W333" i="1"/>
  <c r="W334" i="1"/>
  <c r="W335" i="1"/>
  <c r="W336" i="1"/>
  <c r="W337" i="1"/>
  <c r="W338" i="1"/>
  <c r="W339" i="1"/>
  <c r="W340" i="1"/>
  <c r="W341" i="1"/>
  <c r="W342" i="1"/>
  <c r="W343" i="1"/>
  <c r="W344" i="1"/>
  <c r="W345" i="1"/>
  <c r="W346" i="1"/>
  <c r="W347" i="1"/>
  <c r="W348" i="1"/>
  <c r="W349" i="1"/>
  <c r="W350" i="1"/>
  <c r="W351" i="1"/>
  <c r="W352" i="1"/>
  <c r="W353" i="1"/>
  <c r="W354" i="1"/>
  <c r="W355" i="1"/>
  <c r="W356" i="1"/>
  <c r="W357" i="1"/>
  <c r="W358" i="1"/>
  <c r="W359" i="1"/>
  <c r="W360" i="1"/>
  <c r="W361" i="1"/>
  <c r="W362" i="1"/>
  <c r="W363" i="1"/>
  <c r="W364" i="1"/>
  <c r="W365" i="1"/>
  <c r="W366" i="1"/>
  <c r="W367" i="1"/>
  <c r="W368" i="1"/>
  <c r="W369" i="1"/>
  <c r="W370" i="1"/>
  <c r="W371" i="1"/>
  <c r="W372" i="1"/>
  <c r="W373" i="1"/>
  <c r="W374" i="1"/>
  <c r="W375" i="1"/>
  <c r="W376" i="1"/>
  <c r="W377" i="1"/>
  <c r="W378" i="1"/>
  <c r="W379" i="1"/>
  <c r="W380" i="1"/>
  <c r="W381" i="1"/>
  <c r="W382" i="1"/>
  <c r="W383" i="1"/>
  <c r="W384" i="1"/>
  <c r="W385" i="1"/>
  <c r="W386" i="1"/>
  <c r="W387" i="1"/>
  <c r="W388" i="1"/>
  <c r="W389" i="1"/>
  <c r="W390" i="1"/>
  <c r="W391" i="1"/>
  <c r="W392" i="1"/>
  <c r="W393" i="1"/>
  <c r="W394" i="1"/>
  <c r="W395" i="1"/>
  <c r="W396" i="1"/>
  <c r="W397" i="1"/>
  <c r="W398" i="1"/>
  <c r="W399" i="1"/>
  <c r="W400" i="1"/>
  <c r="W401" i="1"/>
  <c r="W402" i="1"/>
  <c r="W403" i="1"/>
  <c r="W404" i="1"/>
  <c r="W405" i="1"/>
  <c r="W406" i="1"/>
  <c r="W407" i="1"/>
  <c r="W408" i="1"/>
  <c r="W409" i="1"/>
  <c r="W410" i="1"/>
  <c r="W411" i="1"/>
  <c r="W412" i="1"/>
  <c r="W413" i="1"/>
  <c r="W414" i="1"/>
  <c r="W415" i="1"/>
  <c r="W416" i="1"/>
  <c r="W417" i="1"/>
  <c r="W418" i="1"/>
  <c r="W419" i="1"/>
  <c r="W420" i="1"/>
  <c r="W421" i="1"/>
  <c r="W422" i="1"/>
  <c r="W423" i="1"/>
  <c r="W424" i="1"/>
  <c r="W425" i="1"/>
  <c r="W426" i="1"/>
  <c r="W427" i="1"/>
  <c r="W428" i="1"/>
  <c r="W429" i="1"/>
  <c r="W430" i="1"/>
  <c r="W431" i="1"/>
  <c r="W432" i="1"/>
  <c r="W433" i="1"/>
  <c r="W434" i="1"/>
  <c r="W435" i="1"/>
  <c r="W436" i="1"/>
  <c r="W437" i="1"/>
  <c r="W438" i="1"/>
  <c r="W439" i="1"/>
  <c r="W440" i="1"/>
  <c r="W441" i="1"/>
  <c r="W442" i="1"/>
  <c r="W443" i="1"/>
  <c r="W444" i="1"/>
  <c r="W445" i="1"/>
  <c r="W446" i="1"/>
  <c r="W447" i="1"/>
  <c r="W448" i="1"/>
  <c r="W449" i="1"/>
  <c r="W450" i="1"/>
  <c r="W451" i="1"/>
  <c r="W452" i="1"/>
  <c r="W453" i="1"/>
  <c r="W454" i="1"/>
  <c r="W455" i="1"/>
  <c r="W456" i="1"/>
  <c r="W457" i="1"/>
  <c r="W458" i="1"/>
  <c r="W459" i="1"/>
  <c r="W460" i="1"/>
  <c r="W461" i="1"/>
  <c r="W462" i="1"/>
  <c r="W463" i="1"/>
  <c r="W464" i="1"/>
  <c r="W465" i="1"/>
  <c r="W466" i="1"/>
  <c r="W467" i="1"/>
  <c r="W468" i="1"/>
  <c r="W469" i="1"/>
  <c r="W470" i="1"/>
  <c r="W471" i="1"/>
  <c r="W472" i="1"/>
  <c r="W473" i="1"/>
  <c r="W474" i="1"/>
  <c r="W475" i="1"/>
  <c r="W476" i="1"/>
  <c r="W477" i="1"/>
  <c r="W478" i="1"/>
  <c r="W479" i="1"/>
  <c r="W480" i="1"/>
  <c r="W481" i="1"/>
  <c r="W482" i="1"/>
  <c r="W483" i="1"/>
  <c r="W484" i="1"/>
  <c r="W485" i="1"/>
  <c r="W486" i="1"/>
  <c r="W487" i="1"/>
  <c r="W488" i="1"/>
  <c r="W489" i="1"/>
  <c r="W490" i="1"/>
  <c r="W491" i="1"/>
  <c r="W492" i="1"/>
  <c r="W493" i="1"/>
  <c r="W494" i="1"/>
  <c r="W495" i="1"/>
  <c r="W496" i="1"/>
  <c r="W497" i="1"/>
  <c r="W498" i="1"/>
  <c r="W499" i="1"/>
  <c r="W500" i="1"/>
  <c r="W501" i="1"/>
  <c r="W502" i="1"/>
  <c r="W503" i="1"/>
  <c r="W505" i="1"/>
  <c r="W506" i="1"/>
  <c r="W508" i="1"/>
  <c r="W509" i="1"/>
  <c r="W510" i="1"/>
  <c r="W511" i="1"/>
  <c r="W512" i="1"/>
  <c r="W513" i="1"/>
  <c r="W514" i="1"/>
  <c r="W515" i="1"/>
  <c r="W516" i="1"/>
  <c r="W517" i="1"/>
  <c r="W518" i="1"/>
  <c r="W519" i="1"/>
  <c r="W520" i="1"/>
  <c r="W521" i="1"/>
  <c r="W522" i="1"/>
  <c r="W523" i="1"/>
  <c r="W524" i="1"/>
  <c r="W525" i="1"/>
  <c r="W526" i="1"/>
  <c r="W527" i="1"/>
  <c r="W528" i="1"/>
  <c r="W529" i="1"/>
  <c r="W530" i="1"/>
  <c r="W531" i="1"/>
  <c r="W532" i="1"/>
  <c r="W533" i="1"/>
  <c r="W534" i="1"/>
  <c r="W535" i="1"/>
  <c r="W536" i="1"/>
  <c r="W537" i="1"/>
  <c r="W538" i="1"/>
  <c r="W539" i="1"/>
  <c r="W540" i="1"/>
  <c r="W541" i="1"/>
  <c r="W542" i="1"/>
  <c r="W543" i="1"/>
  <c r="W544" i="1"/>
  <c r="W545" i="1"/>
  <c r="W546" i="1"/>
  <c r="W547" i="1"/>
  <c r="W548" i="1"/>
  <c r="W549" i="1"/>
  <c r="W550" i="1"/>
  <c r="W551" i="1"/>
  <c r="W552" i="1"/>
  <c r="W553" i="1"/>
  <c r="W554" i="1"/>
  <c r="W555" i="1"/>
  <c r="W556" i="1"/>
  <c r="W557" i="1"/>
  <c r="W558" i="1"/>
  <c r="W559" i="1"/>
  <c r="W560" i="1"/>
  <c r="W561" i="1"/>
  <c r="W562" i="1"/>
  <c r="W563" i="1"/>
  <c r="W564" i="1"/>
  <c r="W565" i="1"/>
  <c r="W566" i="1"/>
  <c r="W567" i="1"/>
  <c r="W568" i="1"/>
  <c r="W569" i="1"/>
  <c r="W570" i="1"/>
  <c r="W571" i="1"/>
  <c r="W572" i="1"/>
  <c r="W573" i="1"/>
  <c r="W574" i="1"/>
  <c r="W575" i="1"/>
  <c r="W576" i="1"/>
  <c r="W577" i="1"/>
  <c r="W578" i="1"/>
  <c r="W579" i="1"/>
  <c r="W580" i="1"/>
  <c r="W581" i="1"/>
  <c r="W582" i="1"/>
  <c r="W583" i="1"/>
  <c r="W584" i="1"/>
  <c r="W585" i="1"/>
  <c r="W586" i="1"/>
  <c r="W587" i="1"/>
  <c r="W588" i="1"/>
  <c r="W589" i="1"/>
  <c r="W590" i="1"/>
  <c r="W591" i="1"/>
  <c r="W592" i="1"/>
  <c r="W593" i="1"/>
  <c r="W594" i="1"/>
  <c r="W595" i="1"/>
  <c r="W596" i="1"/>
  <c r="W597" i="1"/>
  <c r="W598" i="1"/>
  <c r="W599" i="1"/>
  <c r="W600" i="1"/>
  <c r="W601" i="1"/>
  <c r="W602" i="1"/>
  <c r="W603" i="1"/>
  <c r="W604" i="1"/>
  <c r="W605" i="1"/>
  <c r="W606" i="1"/>
  <c r="W607" i="1"/>
  <c r="W608" i="1"/>
  <c r="W609" i="1"/>
  <c r="W610" i="1"/>
  <c r="W611" i="1"/>
  <c r="W612" i="1"/>
  <c r="W613" i="1"/>
  <c r="W614" i="1"/>
  <c r="W615" i="1"/>
  <c r="W616" i="1"/>
  <c r="W617" i="1"/>
  <c r="W618" i="1"/>
  <c r="W619" i="1"/>
  <c r="W620" i="1"/>
  <c r="W621" i="1"/>
  <c r="W622" i="1"/>
  <c r="W623" i="1"/>
  <c r="W624" i="1"/>
  <c r="W625" i="1"/>
  <c r="W626" i="1"/>
  <c r="W627" i="1"/>
  <c r="W628" i="1"/>
  <c r="W629" i="1"/>
  <c r="W630" i="1"/>
  <c r="W631" i="1"/>
  <c r="W632" i="1"/>
  <c r="W633" i="1"/>
  <c r="W634" i="1"/>
  <c r="W635" i="1"/>
  <c r="W636" i="1"/>
  <c r="W637" i="1"/>
  <c r="W638" i="1"/>
  <c r="W639" i="1"/>
  <c r="W640" i="1"/>
  <c r="W641" i="1"/>
  <c r="W642" i="1"/>
  <c r="W643" i="1"/>
  <c r="W644" i="1"/>
  <c r="W645" i="1"/>
  <c r="W646" i="1"/>
  <c r="W647" i="1"/>
  <c r="W648" i="1"/>
  <c r="W649" i="1"/>
  <c r="W650" i="1"/>
  <c r="W651" i="1"/>
  <c r="W652" i="1"/>
  <c r="W653" i="1"/>
  <c r="W654" i="1"/>
  <c r="W655" i="1"/>
  <c r="W656" i="1"/>
  <c r="W657" i="1"/>
  <c r="W658" i="1"/>
  <c r="W659" i="1"/>
  <c r="W660" i="1"/>
  <c r="W661" i="1"/>
  <c r="W662" i="1"/>
  <c r="W663" i="1"/>
  <c r="W664" i="1"/>
  <c r="W665" i="1"/>
  <c r="W666" i="1"/>
  <c r="W667" i="1"/>
  <c r="W668" i="1"/>
  <c r="W669" i="1"/>
  <c r="W670" i="1"/>
  <c r="W671" i="1"/>
  <c r="W672" i="1"/>
  <c r="W673" i="1"/>
  <c r="W674" i="1"/>
  <c r="W675" i="1"/>
  <c r="W676" i="1"/>
  <c r="W677" i="1"/>
  <c r="W678" i="1"/>
  <c r="W679" i="1"/>
  <c r="W680" i="1"/>
  <c r="W681" i="1"/>
  <c r="W682" i="1"/>
  <c r="W683" i="1"/>
  <c r="W684" i="1"/>
  <c r="W685" i="1"/>
  <c r="W686" i="1"/>
  <c r="W687" i="1"/>
  <c r="W688" i="1"/>
  <c r="W689" i="1"/>
  <c r="W690" i="1"/>
  <c r="W691" i="1"/>
  <c r="W692" i="1"/>
  <c r="W693" i="1"/>
  <c r="W694" i="1"/>
  <c r="W695" i="1"/>
  <c r="W696" i="1"/>
  <c r="W697" i="1"/>
  <c r="W698" i="1"/>
  <c r="W699" i="1"/>
  <c r="W700" i="1"/>
  <c r="W701" i="1"/>
  <c r="W702" i="1"/>
  <c r="W703" i="1"/>
  <c r="W704" i="1"/>
  <c r="W705" i="1"/>
  <c r="W706" i="1"/>
  <c r="W707" i="1"/>
  <c r="W708" i="1"/>
  <c r="W709" i="1"/>
  <c r="W710" i="1"/>
  <c r="W711" i="1"/>
  <c r="W712" i="1"/>
  <c r="W714" i="1"/>
  <c r="W715" i="1"/>
  <c r="W716" i="1"/>
  <c r="W717" i="1"/>
  <c r="W718" i="1"/>
  <c r="W720" i="1"/>
  <c r="W721" i="1"/>
  <c r="W722" i="1"/>
  <c r="W723" i="1"/>
  <c r="W724" i="1"/>
  <c r="W725" i="1"/>
  <c r="W726" i="1"/>
  <c r="W727" i="1"/>
  <c r="W728" i="1"/>
  <c r="W729" i="1"/>
  <c r="W730" i="1"/>
  <c r="W731" i="1"/>
  <c r="W732" i="1"/>
  <c r="W733" i="1"/>
  <c r="W734" i="1"/>
  <c r="W735" i="1"/>
  <c r="W736" i="1"/>
  <c r="W737" i="1"/>
  <c r="W738" i="1"/>
  <c r="W739" i="1"/>
  <c r="W740" i="1"/>
  <c r="W741" i="1"/>
  <c r="W742" i="1"/>
  <c r="W743" i="1"/>
  <c r="W744" i="1"/>
  <c r="W745" i="1"/>
  <c r="W746" i="1"/>
  <c r="W747" i="1"/>
  <c r="W748" i="1"/>
  <c r="W749" i="1"/>
  <c r="W750" i="1"/>
  <c r="W751" i="1"/>
  <c r="W752" i="1"/>
  <c r="W753" i="1"/>
  <c r="W754" i="1"/>
  <c r="W755" i="1"/>
  <c r="W756" i="1"/>
  <c r="W757" i="1"/>
  <c r="W760" i="1"/>
  <c r="W763" i="1"/>
  <c r="W764" i="1"/>
  <c r="W765" i="1"/>
  <c r="W766" i="1"/>
  <c r="W767" i="1"/>
  <c r="W768" i="1"/>
  <c r="W769" i="1"/>
  <c r="W770" i="1"/>
  <c r="W771" i="1"/>
  <c r="W772" i="1"/>
  <c r="W773" i="1"/>
  <c r="W774" i="1"/>
  <c r="W775" i="1"/>
  <c r="W776" i="1"/>
  <c r="W777" i="1"/>
  <c r="W778" i="1"/>
  <c r="W779" i="1"/>
  <c r="W780" i="1"/>
  <c r="W781" i="1"/>
  <c r="W783" i="1"/>
  <c r="W784" i="1"/>
  <c r="W785" i="1"/>
  <c r="W786" i="1"/>
  <c r="W787" i="1"/>
  <c r="W788" i="1"/>
  <c r="W789" i="1"/>
  <c r="X229" i="1"/>
  <c r="X233" i="1"/>
  <c r="X285" i="1"/>
  <c r="X419" i="1"/>
  <c r="X679" i="1"/>
  <c r="X201" i="1"/>
  <c r="X231" i="1"/>
  <c r="X242" i="1"/>
  <c r="X333" i="1"/>
  <c r="X414" i="1"/>
  <c r="X734" i="1"/>
  <c r="X204" i="1"/>
  <c r="X206" i="1"/>
  <c r="X208" i="1"/>
  <c r="X312" i="1"/>
  <c r="X205" i="1"/>
  <c r="X207" i="1"/>
  <c r="X304" i="1"/>
  <c r="X311" i="1"/>
  <c r="X89" i="1"/>
  <c r="X152" i="1"/>
  <c r="X154" i="1"/>
  <c r="X84" i="1"/>
  <c r="X122" i="1"/>
  <c r="X153" i="1"/>
  <c r="X159" i="1"/>
  <c r="X393" i="1"/>
  <c r="X397" i="1"/>
  <c r="X394" i="1"/>
  <c r="X4" i="1"/>
  <c r="X36" i="1"/>
  <c r="X65" i="1"/>
  <c r="X95" i="1"/>
  <c r="X99" i="1"/>
  <c r="X101" i="1"/>
  <c r="X113" i="1"/>
  <c r="X160" i="1"/>
  <c r="X162" i="1"/>
  <c r="X42" i="1"/>
  <c r="X44" i="1"/>
  <c r="X72" i="1"/>
  <c r="X76" i="1"/>
  <c r="X98" i="1"/>
  <c r="X100" i="1"/>
  <c r="X116" i="1"/>
  <c r="X131" i="1"/>
  <c r="X161" i="1"/>
  <c r="X171" i="1"/>
  <c r="X202" i="1"/>
  <c r="X248" i="1"/>
  <c r="X250" i="1"/>
  <c r="X252" i="1"/>
  <c r="X254" i="1"/>
  <c r="X256" i="1"/>
  <c r="X281" i="1"/>
  <c r="X339" i="1"/>
  <c r="X364" i="1"/>
  <c r="X368" i="1"/>
  <c r="X381" i="1"/>
  <c r="X383" i="1"/>
  <c r="X433" i="1"/>
  <c r="X437" i="1"/>
  <c r="X443" i="1"/>
  <c r="X445" i="1"/>
  <c r="X453" i="1"/>
  <c r="X457" i="1"/>
  <c r="X480" i="1"/>
  <c r="X484" i="1"/>
  <c r="X498" i="1"/>
  <c r="X500" i="1"/>
  <c r="X510" i="1"/>
  <c r="X518" i="1"/>
  <c r="X535" i="1"/>
  <c r="X539" i="1"/>
  <c r="X641" i="1"/>
  <c r="X643" i="1"/>
  <c r="X665" i="1"/>
  <c r="X669" i="1"/>
  <c r="X673" i="1"/>
  <c r="X687" i="1"/>
  <c r="X691" i="1"/>
  <c r="X705" i="1"/>
  <c r="X708" i="1"/>
  <c r="X725" i="1"/>
  <c r="X727" i="1"/>
  <c r="X739" i="1"/>
  <c r="X743" i="1"/>
  <c r="X766" i="1"/>
  <c r="X770" i="1"/>
  <c r="X255" i="1"/>
  <c r="X259" i="1"/>
  <c r="X277" i="1"/>
  <c r="X338" i="1"/>
  <c r="X340" i="1"/>
  <c r="X346" i="1"/>
  <c r="X355" i="1"/>
  <c r="X365" i="1"/>
  <c r="X367" i="1"/>
  <c r="X382" i="1"/>
  <c r="X396" i="1"/>
  <c r="X430" i="1"/>
  <c r="X436" i="1"/>
  <c r="X450" i="1"/>
  <c r="X454" i="1"/>
  <c r="X471" i="1"/>
  <c r="X473" i="1"/>
  <c r="X475" i="1"/>
  <c r="X481" i="1"/>
  <c r="X483" i="1"/>
  <c r="X487" i="1"/>
  <c r="X499" i="1"/>
  <c r="X501" i="1"/>
  <c r="X511" i="1"/>
  <c r="X523" i="1"/>
  <c r="X542" i="1"/>
  <c r="X554" i="1"/>
  <c r="X562" i="1"/>
  <c r="X566" i="1"/>
  <c r="X588" i="1"/>
  <c r="X590" i="1"/>
  <c r="X598" i="1"/>
  <c r="X602" i="1"/>
  <c r="X618" i="1"/>
  <c r="X642" i="1"/>
  <c r="X652" i="1"/>
  <c r="X672" i="1"/>
  <c r="X706" i="1"/>
  <c r="X709" i="1"/>
  <c r="X718" i="1"/>
  <c r="X724" i="1"/>
  <c r="X726" i="1"/>
  <c r="X740" i="1"/>
  <c r="X742" i="1"/>
  <c r="X744" i="1"/>
  <c r="X748" i="1"/>
  <c r="X788" i="1"/>
  <c r="X199" i="1"/>
  <c r="X735" i="1"/>
  <c r="X284" i="1"/>
  <c r="X157" i="1"/>
  <c r="X155" i="1"/>
  <c r="X169" i="1"/>
  <c r="X282" i="1"/>
  <c r="X287" i="1"/>
  <c r="X203" i="1"/>
  <c r="X175" i="1"/>
  <c r="X177" i="1"/>
  <c r="X179" i="1"/>
  <c r="X191" i="1"/>
  <c r="X193" i="1"/>
  <c r="X283" i="1"/>
  <c r="X178" i="1"/>
  <c r="X185" i="1"/>
  <c r="X782" i="1"/>
  <c r="X37" i="1"/>
  <c r="X409" i="1"/>
  <c r="X417" i="1"/>
  <c r="X326" i="1"/>
  <c r="X412" i="1"/>
  <c r="X424" i="1"/>
  <c r="X123" i="1"/>
  <c r="X10" i="1"/>
  <c r="X14" i="1"/>
  <c r="X34" i="1"/>
  <c r="X47" i="1"/>
  <c r="X67" i="1"/>
  <c r="X13" i="1"/>
  <c r="X21" i="1"/>
  <c r="X68" i="1"/>
  <c r="X104" i="1"/>
  <c r="X354" i="1"/>
  <c r="X366" i="1"/>
  <c r="X563" i="1"/>
  <c r="X565" i="1"/>
  <c r="X573" i="1"/>
  <c r="X577" i="1"/>
  <c r="X224" i="1"/>
  <c r="X310" i="1"/>
  <c r="X773" i="1"/>
  <c r="X789" i="1"/>
  <c r="X681" i="1"/>
  <c r="X173" i="1"/>
  <c r="X682" i="1"/>
  <c r="X754" i="1"/>
  <c r="X781" i="1"/>
  <c r="X668" i="1"/>
  <c r="X664" i="1"/>
  <c r="X656" i="1"/>
  <c r="X654" i="1"/>
  <c r="X620" i="1"/>
  <c r="X612" i="1"/>
  <c r="X584" i="1"/>
  <c r="X582" i="1"/>
  <c r="X550" i="1"/>
  <c r="X546" i="1"/>
  <c r="X519" i="1"/>
  <c r="X515" i="1"/>
  <c r="X408" i="1"/>
  <c r="X392" i="1"/>
  <c r="X772" i="1"/>
  <c r="X757" i="1"/>
  <c r="X659" i="1"/>
  <c r="X653" i="1"/>
  <c r="X631" i="1"/>
  <c r="X629" i="1"/>
  <c r="X621" i="1"/>
  <c r="X619" i="1"/>
  <c r="X609" i="1"/>
  <c r="X605" i="1"/>
  <c r="X595" i="1"/>
  <c r="X589" i="1"/>
  <c r="X545" i="1"/>
  <c r="X541" i="1"/>
  <c r="X533" i="1"/>
  <c r="X508" i="1"/>
  <c r="X486" i="1"/>
  <c r="X478" i="1"/>
  <c r="X466" i="1"/>
  <c r="X431" i="1"/>
  <c r="X258" i="1"/>
  <c r="X35" i="1"/>
  <c r="X111" i="1"/>
  <c r="X107" i="1"/>
  <c r="X16" i="1"/>
  <c r="X634" i="1"/>
  <c r="X79" i="1"/>
  <c r="X308" i="1"/>
  <c r="X741" i="1"/>
  <c r="X423" i="1"/>
  <c r="X678" i="1"/>
  <c r="X48" i="1"/>
  <c r="AE48" i="1" s="1"/>
  <c r="X421" i="1"/>
  <c r="X305" i="1"/>
  <c r="X216" i="1"/>
  <c r="X290" i="1"/>
  <c r="X306" i="1"/>
  <c r="X130" i="1"/>
  <c r="X168" i="1"/>
  <c r="X94" i="1"/>
  <c r="X427" i="1"/>
  <c r="X38" i="1"/>
  <c r="X50" i="1"/>
  <c r="X73" i="1"/>
  <c r="X105" i="1"/>
  <c r="X15" i="1"/>
  <c r="X51" i="1"/>
  <c r="X260" i="1"/>
  <c r="X276" i="1"/>
  <c r="X379" i="1"/>
  <c r="X401" i="1"/>
  <c r="X455" i="1"/>
  <c r="X461" i="1"/>
  <c r="X526" i="1"/>
  <c r="X543" i="1"/>
  <c r="X677" i="1"/>
  <c r="X689" i="1"/>
  <c r="X731" i="1"/>
  <c r="X745" i="1"/>
  <c r="X247" i="1"/>
  <c r="X253" i="1"/>
  <c r="X315" i="1"/>
  <c r="X377" i="1"/>
  <c r="X386" i="1"/>
  <c r="X434" i="1"/>
  <c r="X442" i="1"/>
  <c r="X469" i="1"/>
  <c r="X477" i="1"/>
  <c r="X493" i="1"/>
  <c r="X497" i="1"/>
  <c r="X521" i="1"/>
  <c r="X558" i="1"/>
  <c r="X564" i="1"/>
  <c r="X594" i="1"/>
  <c r="X600" i="1"/>
  <c r="X648" i="1"/>
  <c r="X676" i="1"/>
  <c r="X722" i="1"/>
  <c r="X728" i="1"/>
  <c r="X784" i="1"/>
  <c r="X186" i="1"/>
  <c r="X180" i="1"/>
  <c r="X243" i="1"/>
  <c r="X420" i="1"/>
  <c r="X356" i="1"/>
  <c r="X6" i="1"/>
  <c r="X9" i="1"/>
  <c r="X17" i="1"/>
  <c r="X106" i="1"/>
  <c r="X112" i="1"/>
  <c r="X581" i="1"/>
  <c r="X765" i="1"/>
  <c r="X680" i="1"/>
  <c r="X184" i="1"/>
  <c r="X686" i="1"/>
  <c r="X666" i="1"/>
  <c r="X624" i="1"/>
  <c r="X574" i="1"/>
  <c r="X444" i="1"/>
  <c r="X768" i="1"/>
  <c r="X649" i="1"/>
  <c r="X633" i="1"/>
  <c r="X613" i="1"/>
  <c r="X607" i="1"/>
  <c r="X553" i="1"/>
  <c r="X537" i="1"/>
  <c r="X474" i="1"/>
  <c r="X19" i="1"/>
  <c r="X32" i="1"/>
  <c r="X415" i="1"/>
  <c r="X635" i="1"/>
  <c r="X39" i="1"/>
  <c r="X316" i="1"/>
  <c r="X215" i="1"/>
  <c r="X288" i="1"/>
  <c r="X309" i="1"/>
  <c r="X64" i="1"/>
  <c r="X92" i="1"/>
  <c r="X52" i="1"/>
  <c r="X71" i="1"/>
  <c r="X53" i="1"/>
  <c r="X373" i="1"/>
  <c r="X388" i="1"/>
  <c r="X492" i="1"/>
  <c r="X512" i="1"/>
  <c r="X530" i="1"/>
  <c r="X671" i="1"/>
  <c r="X697" i="1"/>
  <c r="X251" i="1"/>
  <c r="X257" i="1"/>
  <c r="X361" i="1"/>
  <c r="X380" i="1"/>
  <c r="X456" i="1"/>
  <c r="X467" i="1"/>
  <c r="X506" i="1"/>
  <c r="X525" i="1"/>
  <c r="X638" i="1"/>
  <c r="X650" i="1"/>
  <c r="X786" i="1"/>
  <c r="X183" i="1"/>
  <c r="X785" i="1"/>
  <c r="X327" i="1"/>
  <c r="X418" i="1"/>
  <c r="X121" i="1"/>
  <c r="X2" i="1"/>
  <c r="X22" i="1"/>
  <c r="X33" i="1"/>
  <c r="X557" i="1"/>
  <c r="X575" i="1"/>
  <c r="X763" i="1"/>
  <c r="X690" i="1"/>
  <c r="X660" i="1"/>
  <c r="X632" i="1"/>
  <c r="X586" i="1"/>
  <c r="X548" i="1"/>
  <c r="X529" i="1"/>
  <c r="X778" i="1"/>
  <c r="X753" i="1"/>
  <c r="X603" i="1"/>
  <c r="X593" i="1"/>
  <c r="X549" i="1"/>
  <c r="X494" i="1"/>
  <c r="X470" i="1"/>
  <c r="X226" i="1"/>
  <c r="X11" i="1"/>
  <c r="X8" i="1"/>
  <c r="X303" i="1"/>
  <c r="X715" i="1"/>
  <c r="X238" i="1"/>
  <c r="X222" i="1"/>
  <c r="X314" i="1"/>
  <c r="X214" i="1"/>
  <c r="X223" i="1"/>
  <c r="X292" i="1"/>
  <c r="X80" i="1"/>
  <c r="X126" i="1"/>
  <c r="X165" i="1"/>
  <c r="X45" i="1"/>
  <c r="X56" i="1"/>
  <c r="X75" i="1"/>
  <c r="X115" i="1"/>
  <c r="X172" i="1"/>
  <c r="X46" i="1"/>
  <c r="X66" i="1"/>
  <c r="AE161" i="1" l="1"/>
  <c r="AE277" i="1"/>
  <c r="AE142" i="1"/>
  <c r="AE678" i="1"/>
  <c r="AE67" i="1"/>
  <c r="AE590" i="1"/>
  <c r="AE355" i="1"/>
  <c r="AE711" i="1"/>
  <c r="AE642" i="1"/>
  <c r="AE207" i="1"/>
  <c r="AE707" i="1"/>
  <c r="AE8" i="1"/>
  <c r="AE215" i="1"/>
  <c r="AE744" i="1"/>
  <c r="AE259" i="1"/>
  <c r="AE351" i="1"/>
  <c r="AE234" i="1"/>
  <c r="AE136" i="1"/>
  <c r="AE684" i="1"/>
  <c r="AE178" i="1"/>
  <c r="AE554" i="1"/>
  <c r="AE202" i="1"/>
  <c r="AE325" i="1"/>
  <c r="AE248" i="1"/>
  <c r="AE148" i="1"/>
  <c r="AE223" i="1"/>
  <c r="AE753" i="1"/>
  <c r="AE347" i="1"/>
  <c r="AE238" i="1"/>
  <c r="AE226" i="1"/>
  <c r="AE214" i="1"/>
  <c r="AE206" i="1"/>
  <c r="AE115" i="1"/>
  <c r="AE66" i="1"/>
  <c r="AE33" i="1"/>
  <c r="AE213" i="1"/>
  <c r="AE241" i="1"/>
  <c r="AE330" i="1"/>
  <c r="AE702" i="1"/>
  <c r="AE105" i="1"/>
  <c r="AE208" i="1"/>
  <c r="AE414" i="1"/>
  <c r="AE746" i="1"/>
  <c r="AE245" i="1"/>
  <c r="AE186" i="1"/>
  <c r="AE263" i="1"/>
  <c r="AE239" i="1"/>
  <c r="AE235" i="1"/>
  <c r="AE175" i="1"/>
  <c r="AE167" i="1"/>
  <c r="AE163" i="1"/>
  <c r="AE159" i="1"/>
  <c r="AE147" i="1"/>
  <c r="AE143" i="1"/>
  <c r="AE690" i="1"/>
  <c r="AE308" i="1"/>
  <c r="AE589" i="1"/>
  <c r="AE693" i="1"/>
  <c r="AE641" i="1"/>
  <c r="AE549" i="1"/>
  <c r="AE545" i="1"/>
  <c r="AE154" i="1"/>
  <c r="AE262" i="1"/>
  <c r="AE772" i="1"/>
  <c r="AE742" i="1"/>
  <c r="AE95" i="1"/>
  <c r="AE785" i="1"/>
  <c r="AE156" i="1"/>
  <c r="AE722" i="1"/>
  <c r="AE73" i="1"/>
  <c r="AE79" i="1"/>
  <c r="AE726" i="1"/>
  <c r="AE725" i="1"/>
  <c r="AE708" i="1"/>
  <c r="AE434" i="1"/>
  <c r="AE386" i="1"/>
  <c r="AE354" i="1"/>
  <c r="AE253" i="1"/>
  <c r="AE209" i="1"/>
  <c r="AE70" i="1"/>
  <c r="AE65" i="1"/>
  <c r="AE53" i="1"/>
  <c r="AE44" i="1"/>
  <c r="AE132" i="1"/>
  <c r="AE169" i="1"/>
  <c r="AE133" i="1"/>
  <c r="AE113" i="1"/>
  <c r="AE34" i="1"/>
  <c r="AE126" i="1"/>
  <c r="AE16" i="1"/>
  <c r="AE652" i="1"/>
  <c r="AE548" i="1"/>
  <c r="AE378" i="1"/>
  <c r="AE310" i="1"/>
  <c r="AE306" i="1"/>
  <c r="AE233" i="1"/>
  <c r="AE201" i="1"/>
  <c r="AE177" i="1"/>
  <c r="AE165" i="1"/>
  <c r="AE153" i="1"/>
  <c r="AE149" i="1"/>
  <c r="AE68" i="1"/>
  <c r="AE56" i="1"/>
  <c r="AE11" i="1"/>
  <c r="AE778" i="1"/>
  <c r="AE728" i="1"/>
  <c r="AE694" i="1"/>
  <c r="AE638" i="1"/>
  <c r="AE634" i="1"/>
  <c r="AE618" i="1"/>
  <c r="AE558" i="1"/>
  <c r="AE542" i="1"/>
  <c r="AE500" i="1"/>
  <c r="AE388" i="1"/>
  <c r="AE279" i="1"/>
  <c r="AE255" i="1"/>
  <c r="AE251" i="1"/>
  <c r="AE247" i="1"/>
  <c r="AE243" i="1"/>
  <c r="AE211" i="1"/>
  <c r="AE155" i="1"/>
  <c r="AE139" i="1"/>
  <c r="AE123" i="1"/>
  <c r="AE111" i="1"/>
  <c r="AE107" i="1"/>
  <c r="AE75" i="1"/>
  <c r="AE71" i="1"/>
  <c r="AE50" i="1"/>
  <c r="AE21" i="1"/>
  <c r="AE13" i="1"/>
  <c r="AE9" i="1"/>
  <c r="X335" i="1"/>
  <c r="X227" i="1"/>
  <c r="AE227" i="1" s="1"/>
  <c r="X331" i="1"/>
  <c r="X291" i="1"/>
  <c r="AE291" i="1" s="1"/>
  <c r="X225" i="1"/>
  <c r="AE225" i="1" s="1"/>
  <c r="X85" i="1"/>
  <c r="AE85" i="1" s="1"/>
  <c r="X78" i="1"/>
  <c r="AE78" i="1" s="1"/>
  <c r="X90" i="1"/>
  <c r="AE90" i="1" s="1"/>
  <c r="X337" i="1"/>
  <c r="AE337" i="1" s="1"/>
  <c r="X54" i="1"/>
  <c r="AE54" i="1" s="1"/>
  <c r="X23" i="1"/>
  <c r="AE23" i="1" s="1"/>
  <c r="X55" i="1"/>
  <c r="AE55" i="1" s="1"/>
  <c r="X274" i="1"/>
  <c r="AE274" i="1" s="1"/>
  <c r="X345" i="1"/>
  <c r="AE345" i="1" s="1"/>
  <c r="X376" i="1"/>
  <c r="X425" i="1"/>
  <c r="AE425" i="1" s="1"/>
  <c r="X441" i="1"/>
  <c r="AE441" i="1" s="1"/>
  <c r="X451" i="1"/>
  <c r="AE451" i="1" s="1"/>
  <c r="X472" i="1"/>
  <c r="X496" i="1"/>
  <c r="AE496" i="1" s="1"/>
  <c r="X505" i="1"/>
  <c r="AE505" i="1" s="1"/>
  <c r="X522" i="1"/>
  <c r="AE522" i="1" s="1"/>
  <c r="X555" i="1"/>
  <c r="X667" i="1"/>
  <c r="AE667" i="1" s="1"/>
  <c r="X685" i="1"/>
  <c r="AE685" i="1" s="1"/>
  <c r="X701" i="1"/>
  <c r="X723" i="1"/>
  <c r="X733" i="1"/>
  <c r="AE733" i="1" s="1"/>
  <c r="X764" i="1"/>
  <c r="AE764" i="1" s="1"/>
  <c r="X198" i="1"/>
  <c r="AE198" i="1" s="1"/>
  <c r="X270" i="1"/>
  <c r="X336" i="1"/>
  <c r="AE336" i="1" s="1"/>
  <c r="X344" i="1"/>
  <c r="AE344" i="1" s="1"/>
  <c r="X363" i="1"/>
  <c r="AE363" i="1" s="1"/>
  <c r="X374" i="1"/>
  <c r="X426" i="1"/>
  <c r="AE426" i="1" s="1"/>
  <c r="X440" i="1"/>
  <c r="AE440" i="1" s="1"/>
  <c r="X464" i="1"/>
  <c r="AE464" i="1" s="1"/>
  <c r="X495" i="1"/>
  <c r="X509" i="1"/>
  <c r="AE509" i="1" s="1"/>
  <c r="X540" i="1"/>
  <c r="X560" i="1"/>
  <c r="X578" i="1"/>
  <c r="X596" i="1"/>
  <c r="AE596" i="1" s="1"/>
  <c r="X616" i="1"/>
  <c r="AE616" i="1" s="1"/>
  <c r="X646" i="1"/>
  <c r="X700" i="1"/>
  <c r="X720" i="1"/>
  <c r="X732" i="1"/>
  <c r="AE732" i="1" s="1"/>
  <c r="X188" i="1"/>
  <c r="AE188" i="1" s="1"/>
  <c r="X787" i="1"/>
  <c r="AE787" i="1" s="1"/>
  <c r="X422" i="1"/>
  <c r="AE422" i="1" s="1"/>
  <c r="X395" i="1"/>
  <c r="AE395" i="1" s="1"/>
  <c r="X30" i="1"/>
  <c r="AE30" i="1" s="1"/>
  <c r="X5" i="1"/>
  <c r="AE5" i="1" s="1"/>
  <c r="X29" i="1"/>
  <c r="AE29" i="1" s="1"/>
  <c r="X114" i="1"/>
  <c r="AE114" i="1" s="1"/>
  <c r="X559" i="1"/>
  <c r="AE559" i="1" s="1"/>
  <c r="X571" i="1"/>
  <c r="X583" i="1"/>
  <c r="AE583" i="1" s="1"/>
  <c r="X769" i="1"/>
  <c r="AE769" i="1" s="1"/>
  <c r="X182" i="1"/>
  <c r="AE182" i="1" s="1"/>
  <c r="X362" i="1"/>
  <c r="X777" i="1"/>
  <c r="AE777" i="1" s="1"/>
  <c r="X674" i="1"/>
  <c r="X658" i="1"/>
  <c r="AE658" i="1" s="1"/>
  <c r="X622" i="1"/>
  <c r="AE622" i="1" s="1"/>
  <c r="X604" i="1"/>
  <c r="AE604" i="1" s="1"/>
  <c r="X552" i="1"/>
  <c r="AE552" i="1" s="1"/>
  <c r="X531" i="1"/>
  <c r="X428" i="1"/>
  <c r="AE428" i="1" s="1"/>
  <c r="X384" i="1"/>
  <c r="AE384" i="1" s="1"/>
  <c r="X661" i="1"/>
  <c r="X637" i="1"/>
  <c r="AE637" i="1" s="1"/>
  <c r="X623" i="1"/>
  <c r="X611" i="1"/>
  <c r="AE611" i="1" s="1"/>
  <c r="X597" i="1"/>
  <c r="X585" i="1"/>
  <c r="X516" i="1"/>
  <c r="X268" i="1"/>
  <c r="AE268" i="1" s="1"/>
  <c r="X3" i="1"/>
  <c r="AE3" i="1" s="1"/>
  <c r="AF3" i="1" s="1"/>
  <c r="X24" i="1"/>
  <c r="AE24" i="1" s="1"/>
  <c r="X124" i="1"/>
  <c r="X237" i="1"/>
  <c r="AE237" i="1" s="1"/>
  <c r="X719" i="1"/>
  <c r="AE719" i="1" s="1"/>
  <c r="X217" i="1"/>
  <c r="X221" i="1"/>
  <c r="X87" i="1"/>
  <c r="AE87" i="1" s="1"/>
  <c r="X88" i="1"/>
  <c r="AE88" i="1" s="1"/>
  <c r="X20" i="1"/>
  <c r="AE20" i="1" s="1"/>
  <c r="X58" i="1"/>
  <c r="AE58" i="1" s="1"/>
  <c r="X97" i="1"/>
  <c r="AE97" i="1" s="1"/>
  <c r="X170" i="1"/>
  <c r="AE170" i="1" s="1"/>
  <c r="X352" i="1"/>
  <c r="AE352" i="1" s="1"/>
  <c r="X449" i="1"/>
  <c r="X514" i="1"/>
  <c r="AE514" i="1" s="1"/>
  <c r="X647" i="1"/>
  <c r="AE647" i="1" s="1"/>
  <c r="X712" i="1"/>
  <c r="X774" i="1"/>
  <c r="AE774" i="1" s="1"/>
  <c r="X275" i="1"/>
  <c r="AE275" i="1" s="1"/>
  <c r="X370" i="1"/>
  <c r="AE370" i="1" s="1"/>
  <c r="X402" i="1"/>
  <c r="AE402" i="1" s="1"/>
  <c r="X460" i="1"/>
  <c r="X544" i="1"/>
  <c r="AE544" i="1" s="1"/>
  <c r="X580" i="1"/>
  <c r="AE580" i="1" s="1"/>
  <c r="X640" i="1"/>
  <c r="AE640" i="1" s="1"/>
  <c r="X716" i="1"/>
  <c r="X750" i="1"/>
  <c r="AE750" i="1" s="1"/>
  <c r="X200" i="1"/>
  <c r="AE200" i="1" s="1"/>
  <c r="X127" i="1"/>
  <c r="X60" i="1"/>
  <c r="X102" i="1"/>
  <c r="X567" i="1"/>
  <c r="X779" i="1"/>
  <c r="AE779" i="1" s="1"/>
  <c r="X692" i="1"/>
  <c r="X628" i="1"/>
  <c r="AE628" i="1" s="1"/>
  <c r="X517" i="1"/>
  <c r="AE517" i="1" s="1"/>
  <c r="X655" i="1"/>
  <c r="AE655" i="1" s="1"/>
  <c r="X617" i="1"/>
  <c r="X591" i="1"/>
  <c r="AE591" i="1" s="1"/>
  <c r="X490" i="1"/>
  <c r="AE490" i="1" s="1"/>
  <c r="X59" i="1"/>
  <c r="AE59" i="1" s="1"/>
  <c r="X244" i="1"/>
  <c r="A17" i="1"/>
  <c r="X410" i="1"/>
  <c r="AE410" i="1" s="1"/>
  <c r="X93" i="1"/>
  <c r="X12" i="1"/>
  <c r="X7" i="1"/>
  <c r="AE7" i="1" s="1"/>
  <c r="X358" i="1"/>
  <c r="AE358" i="1" s="1"/>
  <c r="X645" i="1"/>
  <c r="AE645" i="1" s="1"/>
  <c r="X751" i="1"/>
  <c r="X353" i="1"/>
  <c r="AE353" i="1" s="1"/>
  <c r="X448" i="1"/>
  <c r="AE448" i="1" s="1"/>
  <c r="X489" i="1"/>
  <c r="AE489" i="1" s="1"/>
  <c r="X606" i="1"/>
  <c r="X714" i="1"/>
  <c r="AE714" i="1" s="1"/>
  <c r="X194" i="1"/>
  <c r="AE194" i="1" s="1"/>
  <c r="X43" i="1"/>
  <c r="AE43" i="1" s="1"/>
  <c r="X108" i="1"/>
  <c r="X783" i="1"/>
  <c r="AE783" i="1" s="1"/>
  <c r="X670" i="1"/>
  <c r="AE670" i="1" s="1"/>
  <c r="X626" i="1"/>
  <c r="AE626" i="1" s="1"/>
  <c r="X446" i="1"/>
  <c r="X657" i="1"/>
  <c r="X528" i="1"/>
  <c r="AE528" i="1" s="1"/>
  <c r="X91" i="1"/>
  <c r="AE91" i="1" s="1"/>
  <c r="X322" i="1"/>
  <c r="X313" i="1"/>
  <c r="AE313" i="1" s="1"/>
  <c r="X28" i="1"/>
  <c r="AE28" i="1" s="1"/>
  <c r="X31" i="1"/>
  <c r="AE31" i="1" s="1"/>
  <c r="X96" i="1"/>
  <c r="X636" i="1"/>
  <c r="AE636" i="1" s="1"/>
  <c r="X663" i="1"/>
  <c r="X599" i="1"/>
  <c r="AE599" i="1" s="1"/>
  <c r="X399" i="1"/>
  <c r="X752" i="1"/>
  <c r="AE752" i="1" s="1"/>
  <c r="X219" i="1"/>
  <c r="AE219" i="1" s="1"/>
  <c r="X429" i="1"/>
  <c r="AE429" i="1" s="1"/>
  <c r="X109" i="1"/>
  <c r="AE109" i="1" s="1"/>
  <c r="X459" i="1"/>
  <c r="AE459" i="1" s="1"/>
  <c r="X717" i="1"/>
  <c r="AE717" i="1" s="1"/>
  <c r="X432" i="1"/>
  <c r="AE432" i="1" s="1"/>
  <c r="X568" i="1"/>
  <c r="X176" i="1"/>
  <c r="AE176" i="1" s="1"/>
  <c r="X413" i="1"/>
  <c r="X74" i="1"/>
  <c r="AE74" i="1" s="1"/>
  <c r="X61" i="1"/>
  <c r="AE61" i="1" s="1"/>
  <c r="X318" i="1"/>
  <c r="AE318" i="1" s="1"/>
  <c r="X320" i="1"/>
  <c r="AE320" i="1" s="1"/>
  <c r="X220" i="1"/>
  <c r="X81" i="1"/>
  <c r="AE81" i="1" s="1"/>
  <c r="X86" i="1"/>
  <c r="AE86" i="1" s="1"/>
  <c r="X249" i="1"/>
  <c r="AE249" i="1" s="1"/>
  <c r="X40" i="1"/>
  <c r="AE40" i="1" s="1"/>
  <c r="X49" i="1"/>
  <c r="AE49" i="1" s="1"/>
  <c r="X271" i="1"/>
  <c r="AE271" i="1" s="1"/>
  <c r="X341" i="1"/>
  <c r="AE341" i="1" s="1"/>
  <c r="X371" i="1"/>
  <c r="AE371" i="1" s="1"/>
  <c r="X404" i="1"/>
  <c r="X439" i="1"/>
  <c r="AE439" i="1" s="1"/>
  <c r="X447" i="1"/>
  <c r="AE447" i="1" s="1"/>
  <c r="X468" i="1"/>
  <c r="AE468" i="1" s="1"/>
  <c r="X488" i="1"/>
  <c r="X502" i="1"/>
  <c r="AE502" i="1" s="1"/>
  <c r="X520" i="1"/>
  <c r="AE520" i="1" s="1"/>
  <c r="X547" i="1"/>
  <c r="AE547" i="1" s="1"/>
  <c r="X675" i="1"/>
  <c r="X695" i="1"/>
  <c r="AE695" i="1" s="1"/>
  <c r="X721" i="1"/>
  <c r="AE721" i="1" s="1"/>
  <c r="X729" i="1"/>
  <c r="AE729" i="1" s="1"/>
  <c r="X749" i="1"/>
  <c r="X780" i="1"/>
  <c r="X266" i="1"/>
  <c r="AE266" i="1" s="1"/>
  <c r="X286" i="1"/>
  <c r="AE286" i="1" s="1"/>
  <c r="X342" i="1"/>
  <c r="X357" i="1"/>
  <c r="AE357" i="1" s="1"/>
  <c r="X372" i="1"/>
  <c r="AE372" i="1" s="1"/>
  <c r="X400" i="1"/>
  <c r="X438" i="1"/>
  <c r="X458" i="1"/>
  <c r="AE458" i="1" s="1"/>
  <c r="X491" i="1"/>
  <c r="AE491" i="1" s="1"/>
  <c r="X503" i="1"/>
  <c r="AE503" i="1" s="1"/>
  <c r="X527" i="1"/>
  <c r="X556" i="1"/>
  <c r="AE556" i="1" s="1"/>
  <c r="X572" i="1"/>
  <c r="AE572" i="1" s="1"/>
  <c r="X592" i="1"/>
  <c r="AE592" i="1" s="1"/>
  <c r="X608" i="1"/>
  <c r="AE608" i="1" s="1"/>
  <c r="X644" i="1"/>
  <c r="AE644" i="1" s="1"/>
  <c r="X696" i="1"/>
  <c r="AE696" i="1" s="1"/>
  <c r="X730" i="1"/>
  <c r="X181" i="1"/>
  <c r="X196" i="1"/>
  <c r="AE196" i="1" s="1"/>
  <c r="X332" i="1"/>
  <c r="X125" i="1"/>
  <c r="AE125" i="1" s="1"/>
  <c r="X26" i="1"/>
  <c r="X25" i="1"/>
  <c r="AE25" i="1" s="1"/>
  <c r="X110" i="1"/>
  <c r="AE110" i="1" s="1"/>
  <c r="X391" i="1"/>
  <c r="AE391" i="1" s="1"/>
  <c r="X569" i="1"/>
  <c r="X579" i="1"/>
  <c r="X504" i="1"/>
  <c r="X736" i="1"/>
  <c r="AE736" i="1" s="1"/>
  <c r="X174" i="1"/>
  <c r="AE174" i="1" s="1"/>
  <c r="X771" i="1"/>
  <c r="AE771" i="1" s="1"/>
  <c r="X688" i="1"/>
  <c r="AE688" i="1" s="1"/>
  <c r="X662" i="1"/>
  <c r="AE662" i="1" s="1"/>
  <c r="X630" i="1"/>
  <c r="AE630" i="1" s="1"/>
  <c r="X610" i="1"/>
  <c r="AE610" i="1" s="1"/>
  <c r="X576" i="1"/>
  <c r="AE576" i="1" s="1"/>
  <c r="X536" i="1"/>
  <c r="AE536" i="1" s="1"/>
  <c r="X513" i="1"/>
  <c r="X390" i="1"/>
  <c r="AE390" i="1" s="1"/>
  <c r="X651" i="1"/>
  <c r="AE651" i="1" s="1"/>
  <c r="X627" i="1"/>
  <c r="AE627" i="1" s="1"/>
  <c r="X615" i="1"/>
  <c r="X601" i="1"/>
  <c r="AE601" i="1" s="1"/>
  <c r="X587" i="1"/>
  <c r="AE587" i="1" s="1"/>
  <c r="X482" i="1"/>
  <c r="AE482" i="1" s="1"/>
  <c r="X385" i="1"/>
  <c r="X27" i="1"/>
  <c r="AE27" i="1" s="1"/>
  <c r="X103" i="1"/>
  <c r="AE103" i="1" s="1"/>
  <c r="X128" i="1"/>
  <c r="AE128" i="1" s="1"/>
  <c r="X289" i="1"/>
  <c r="X246" i="1"/>
  <c r="AE246" i="1" s="1"/>
  <c r="X416" i="1"/>
  <c r="AE416" i="1" s="1"/>
  <c r="X62" i="1"/>
  <c r="AE62" i="1" s="1"/>
  <c r="X82" i="1"/>
  <c r="AE82" i="1" s="1"/>
  <c r="X398" i="1"/>
  <c r="AE398" i="1" s="1"/>
  <c r="X117" i="1"/>
  <c r="AE117" i="1" s="1"/>
  <c r="X118" i="1"/>
  <c r="AE118" i="1" s="1"/>
  <c r="X435" i="1"/>
  <c r="AE435" i="1" s="1"/>
  <c r="X476" i="1"/>
  <c r="AE476" i="1" s="1"/>
  <c r="X639" i="1"/>
  <c r="AE639" i="1" s="1"/>
  <c r="X699" i="1"/>
  <c r="X760" i="1"/>
  <c r="X359" i="1"/>
  <c r="AE359" i="1" s="1"/>
  <c r="X452" i="1"/>
  <c r="AE452" i="1" s="1"/>
  <c r="X485" i="1"/>
  <c r="AE485" i="1" s="1"/>
  <c r="X538" i="1"/>
  <c r="X570" i="1"/>
  <c r="AE570" i="1" s="1"/>
  <c r="X614" i="1"/>
  <c r="AE614" i="1" s="1"/>
  <c r="X704" i="1"/>
  <c r="X197" i="1"/>
  <c r="AE197" i="1" s="1"/>
  <c r="X195" i="1"/>
  <c r="AE195" i="1" s="1"/>
  <c r="X77" i="1"/>
  <c r="AE77" i="1" s="1"/>
  <c r="X18" i="1"/>
  <c r="AE18" i="1" s="1"/>
  <c r="X57" i="1"/>
  <c r="AE57" i="1" s="1"/>
  <c r="X561" i="1"/>
  <c r="X767" i="1"/>
  <c r="AE767" i="1" s="1"/>
  <c r="X534" i="1"/>
  <c r="X625" i="1"/>
  <c r="X524" i="1"/>
  <c r="AE524" i="1" s="1"/>
  <c r="X119" i="1"/>
  <c r="AE119" i="1" s="1"/>
  <c r="X411" i="1"/>
  <c r="X83" i="1"/>
  <c r="AE83" i="1" s="1"/>
  <c r="X343" i="1"/>
  <c r="AE343" i="1" s="1"/>
  <c r="X551" i="1"/>
  <c r="AE551" i="1" s="1"/>
  <c r="X273" i="1"/>
  <c r="X479" i="1"/>
  <c r="X698" i="1"/>
  <c r="AE698" i="1" s="1"/>
  <c r="X120" i="1"/>
  <c r="X360" i="1"/>
  <c r="AE360" i="1" s="1"/>
  <c r="AE250" i="1"/>
  <c r="AE437" i="1"/>
  <c r="AE4" i="1"/>
  <c r="AE715" i="1"/>
  <c r="AE666" i="1"/>
  <c r="AE15" i="1"/>
  <c r="AE35" i="1"/>
  <c r="AE193" i="1"/>
  <c r="AE768" i="1"/>
  <c r="AE756" i="1"/>
  <c r="AE748" i="1"/>
  <c r="AE172" i="1"/>
  <c r="AE168" i="1"/>
  <c r="AE164" i="1"/>
  <c r="AE160" i="1"/>
  <c r="AE210" i="1"/>
  <c r="AE765" i="1"/>
  <c r="AE757" i="1"/>
  <c r="AE413" i="1"/>
  <c r="AE276" i="1"/>
  <c r="AE216" i="1"/>
  <c r="AE212" i="1"/>
  <c r="AE120" i="1"/>
  <c r="AE22" i="1"/>
  <c r="AE782" i="1"/>
  <c r="AE98" i="1"/>
  <c r="AE324" i="1"/>
  <c r="AE166" i="1"/>
  <c r="AE162" i="1"/>
  <c r="AE158" i="1"/>
  <c r="AE42" i="1"/>
  <c r="AE242" i="1"/>
  <c r="AE682" i="1"/>
  <c r="AE252" i="1"/>
  <c r="AE171" i="1"/>
  <c r="AE766" i="1"/>
  <c r="AE754" i="1"/>
  <c r="AE710" i="1"/>
  <c r="AE706" i="1"/>
  <c r="AE460" i="1"/>
  <c r="AE424" i="1"/>
  <c r="AE420" i="1"/>
  <c r="AE412" i="1"/>
  <c r="AE392" i="1"/>
  <c r="AE364" i="1"/>
  <c r="AE356" i="1"/>
  <c r="AE305" i="1"/>
  <c r="AE280" i="1"/>
  <c r="AE272" i="1"/>
  <c r="AE264" i="1"/>
  <c r="AE224" i="1"/>
  <c r="AE220" i="1"/>
  <c r="AE203" i="1"/>
  <c r="AE151" i="1"/>
  <c r="AE230" i="1"/>
  <c r="AE687" i="1"/>
  <c r="AE45" i="1"/>
  <c r="AE740" i="1"/>
  <c r="AE789" i="1"/>
  <c r="AE515" i="1"/>
  <c r="AE329" i="1"/>
  <c r="AE260" i="1"/>
  <c r="AE232" i="1"/>
  <c r="AE199" i="1"/>
  <c r="AE191" i="1"/>
  <c r="AE104" i="1"/>
  <c r="AE100" i="1"/>
  <c r="AE96" i="1"/>
  <c r="AE80" i="1"/>
  <c r="AE72" i="1"/>
  <c r="AE51" i="1"/>
  <c r="AE46" i="1"/>
  <c r="AE6" i="1"/>
  <c r="AE2" i="1"/>
  <c r="AE788" i="1"/>
  <c r="AE784" i="1"/>
  <c r="AE775" i="1"/>
  <c r="AE763" i="1"/>
  <c r="AE755" i="1"/>
  <c r="AE747" i="1"/>
  <c r="AE743" i="1"/>
  <c r="AE739" i="1"/>
  <c r="AE735" i="1"/>
  <c r="AE727" i="1"/>
  <c r="AE673" i="1"/>
  <c r="AE657" i="1"/>
  <c r="AE731" i="1"/>
  <c r="AE697" i="1"/>
  <c r="AE681" i="1"/>
  <c r="AE669" i="1"/>
  <c r="AE653" i="1"/>
  <c r="AE538" i="1"/>
  <c r="AE328" i="1"/>
  <c r="AE316" i="1"/>
  <c r="AE231" i="1"/>
  <c r="AE183" i="1"/>
  <c r="AE179" i="1"/>
  <c r="AE135" i="1"/>
  <c r="AE99" i="1"/>
  <c r="AE41" i="1"/>
  <c r="AE37" i="1"/>
  <c r="AE17" i="1"/>
  <c r="AE506" i="1"/>
  <c r="AE456" i="1"/>
  <c r="AE361" i="1"/>
  <c r="AE92" i="1"/>
  <c r="AE635" i="1"/>
  <c r="AE32" i="1"/>
  <c r="AE574" i="1"/>
  <c r="AE184" i="1"/>
  <c r="AE676" i="1"/>
  <c r="AE712" i="1"/>
  <c r="AE408" i="1"/>
  <c r="AE519" i="1"/>
  <c r="AE550" i="1"/>
  <c r="AE10" i="1"/>
  <c r="AE36" i="1"/>
  <c r="AE397" i="1"/>
  <c r="AE152" i="1"/>
  <c r="AE720" i="1"/>
  <c r="AE672" i="1"/>
  <c r="AE664" i="1"/>
  <c r="AE633" i="1"/>
  <c r="AE629" i="1"/>
  <c r="AE625" i="1"/>
  <c r="AE621" i="1"/>
  <c r="AE617" i="1"/>
  <c r="AE613" i="1"/>
  <c r="AE593" i="1"/>
  <c r="AE569" i="1"/>
  <c r="AE565" i="1"/>
  <c r="AE541" i="1"/>
  <c r="AE521" i="1"/>
  <c r="AE513" i="1"/>
  <c r="AE499" i="1"/>
  <c r="AE383" i="1"/>
  <c r="AE379" i="1"/>
  <c r="AE367" i="1"/>
  <c r="AE293" i="1"/>
  <c r="AE285" i="1"/>
  <c r="AE258" i="1"/>
  <c r="AE254" i="1"/>
  <c r="AE146" i="1"/>
  <c r="AE140" i="1"/>
  <c r="AE122" i="1"/>
  <c r="AE106" i="1"/>
  <c r="AE102" i="1"/>
  <c r="AE738" i="1"/>
  <c r="AE436" i="1"/>
  <c r="AE331" i="1"/>
  <c r="AE770" i="1"/>
  <c r="AE751" i="1"/>
  <c r="AE723" i="1"/>
  <c r="AE718" i="1"/>
  <c r="AE709" i="1"/>
  <c r="AE701" i="1"/>
  <c r="AE677" i="1"/>
  <c r="AE661" i="1"/>
  <c r="AE131" i="1"/>
  <c r="AE411" i="1"/>
  <c r="AE180" i="1"/>
  <c r="AE497" i="1"/>
  <c r="AE469" i="1"/>
  <c r="AE377" i="1"/>
  <c r="AE455" i="1"/>
  <c r="AE94" i="1"/>
  <c r="AE290" i="1"/>
  <c r="AE700" i="1"/>
  <c r="AE396" i="1"/>
  <c r="AE349" i="1"/>
  <c r="AE333" i="1"/>
  <c r="AE314" i="1"/>
  <c r="AE307" i="1"/>
  <c r="AE240" i="1"/>
  <c r="AE236" i="1"/>
  <c r="AE222" i="1"/>
  <c r="AE218" i="1"/>
  <c r="AE150" i="1"/>
  <c r="AE84" i="1"/>
  <c r="AE76" i="1"/>
  <c r="AE63" i="1"/>
  <c r="AE38" i="1"/>
  <c r="AE144" i="1"/>
  <c r="AE294" i="1"/>
  <c r="AE659" i="1"/>
  <c r="AE607" i="1"/>
  <c r="AE595" i="1"/>
  <c r="AE579" i="1"/>
  <c r="AE457" i="1"/>
  <c r="AE417" i="1"/>
  <c r="AE321" i="1"/>
  <c r="AE309" i="1"/>
  <c r="AE555" i="1"/>
  <c r="AE539" i="1"/>
  <c r="AE531" i="1"/>
  <c r="AE780" i="1"/>
  <c r="AE776" i="1"/>
  <c r="AE786" i="1"/>
  <c r="AE781" i="1"/>
  <c r="AE773" i="1"/>
  <c r="AE749" i="1"/>
  <c r="AE745" i="1"/>
  <c r="AE741" i="1"/>
  <c r="AE737" i="1"/>
  <c r="AE716" i="1"/>
  <c r="AE703" i="1"/>
  <c r="AE699" i="1"/>
  <c r="AE691" i="1"/>
  <c r="AE683" i="1"/>
  <c r="AE679" i="1"/>
  <c r="AE675" i="1"/>
  <c r="AE671" i="1"/>
  <c r="AE620" i="1"/>
  <c r="AE612" i="1"/>
  <c r="AE600" i="1"/>
  <c r="AE584" i="1"/>
  <c r="AE494" i="1"/>
  <c r="AE466" i="1"/>
  <c r="AE454" i="1"/>
  <c r="AE394" i="1"/>
  <c r="AE366" i="1"/>
  <c r="AE342" i="1"/>
  <c r="AE326" i="1"/>
  <c r="AE297" i="1"/>
  <c r="AE289" i="1"/>
  <c r="AE261" i="1"/>
  <c r="AE257" i="1"/>
  <c r="AE229" i="1"/>
  <c r="AE221" i="1"/>
  <c r="AE217" i="1"/>
  <c r="AE205" i="1"/>
  <c r="AE181" i="1"/>
  <c r="AE173" i="1"/>
  <c r="AE157" i="1"/>
  <c r="AE145" i="1"/>
  <c r="AE141" i="1"/>
  <c r="AE137" i="1"/>
  <c r="AE129" i="1"/>
  <c r="AE121" i="1"/>
  <c r="AE101" i="1"/>
  <c r="AE93" i="1"/>
  <c r="AE89" i="1"/>
  <c r="AE64" i="1"/>
  <c r="AE60" i="1"/>
  <c r="AE52" i="1"/>
  <c r="AE47" i="1"/>
  <c r="AE39" i="1"/>
  <c r="AE19" i="1"/>
  <c r="AE760" i="1"/>
  <c r="AE501" i="1"/>
  <c r="AE705" i="1"/>
  <c r="AE689" i="1"/>
  <c r="AE665" i="1"/>
  <c r="AE649" i="1"/>
  <c r="AE518" i="1"/>
  <c r="AE127" i="1"/>
  <c r="AE399" i="1"/>
  <c r="AE663" i="1"/>
  <c r="AE704" i="1"/>
  <c r="AE130" i="1"/>
  <c r="AE631" i="1"/>
  <c r="AE14" i="1"/>
  <c r="AE374" i="1"/>
  <c r="AE270" i="1"/>
  <c r="AE479" i="1"/>
  <c r="AE273" i="1"/>
  <c r="AE12" i="1"/>
  <c r="AE244" i="1"/>
  <c r="AE692" i="1"/>
  <c r="AE427" i="1"/>
  <c r="AE619" i="1"/>
  <c r="AE26" i="1"/>
  <c r="AE204" i="1"/>
  <c r="AE734" i="1"/>
  <c r="AE730" i="1"/>
  <c r="AE724" i="1"/>
  <c r="AE686" i="1"/>
  <c r="AE674" i="1"/>
  <c r="AE646" i="1"/>
  <c r="AE603" i="1"/>
  <c r="AE571" i="1"/>
  <c r="AE535" i="1"/>
  <c r="AE523" i="1"/>
  <c r="AE481" i="1"/>
  <c r="AE389" i="1"/>
  <c r="AE385" i="1"/>
  <c r="AE373" i="1"/>
  <c r="AE369" i="1"/>
  <c r="AE295" i="1"/>
  <c r="AE283" i="1"/>
  <c r="AE256" i="1"/>
  <c r="AE138" i="1"/>
  <c r="AE134" i="1"/>
  <c r="AE124" i="1"/>
  <c r="AE116" i="1"/>
  <c r="AE112" i="1"/>
  <c r="AE108" i="1"/>
  <c r="AE185" i="1"/>
  <c r="AE346" i="1"/>
  <c r="AE465" i="1"/>
  <c r="AE228" i="1"/>
  <c r="AE368" i="1"/>
  <c r="AE312" i="1"/>
  <c r="AE287" i="1"/>
  <c r="AE267" i="1"/>
  <c r="AE322" i="1"/>
  <c r="AE575" i="1"/>
  <c r="AE444" i="1"/>
  <c r="AE624" i="1"/>
  <c r="AE477" i="1"/>
  <c r="AE315" i="1"/>
  <c r="AE543" i="1"/>
  <c r="AE527" i="1"/>
  <c r="AE404" i="1"/>
  <c r="AE643" i="1"/>
  <c r="AE632" i="1"/>
  <c r="AE431" i="1"/>
  <c r="AE380" i="1"/>
  <c r="AE376" i="1"/>
  <c r="AE350" i="1"/>
  <c r="AE338" i="1"/>
  <c r="AE334" i="1"/>
  <c r="AE327" i="1"/>
  <c r="AE323" i="1"/>
  <c r="AE304" i="1"/>
  <c r="AE296" i="1"/>
  <c r="AE292" i="1"/>
  <c r="AE288" i="1"/>
  <c r="AE265" i="1"/>
  <c r="AE581" i="1"/>
  <c r="AE473" i="1"/>
  <c r="AE623" i="1"/>
  <c r="AE615" i="1"/>
  <c r="AE381" i="1"/>
  <c r="AE365" i="1"/>
  <c r="AE284" i="1"/>
  <c r="AE588" i="1"/>
  <c r="AE568" i="1"/>
  <c r="AE564" i="1"/>
  <c r="AE560" i="1"/>
  <c r="AE540" i="1"/>
  <c r="AE516" i="1"/>
  <c r="AE512" i="1"/>
  <c r="AE508" i="1"/>
  <c r="AE498" i="1"/>
  <c r="AE486" i="1"/>
  <c r="AE478" i="1"/>
  <c r="AE474" i="1"/>
  <c r="AE470" i="1"/>
  <c r="AE462" i="1"/>
  <c r="AE450" i="1"/>
  <c r="AE446" i="1"/>
  <c r="AE438" i="1"/>
  <c r="AE430" i="1"/>
  <c r="AE418" i="1"/>
  <c r="AE406" i="1"/>
  <c r="AE362" i="1"/>
  <c r="AE281" i="1"/>
  <c r="AE650" i="1"/>
  <c r="AE530" i="1"/>
  <c r="AE534" i="1"/>
  <c r="AE567" i="1"/>
  <c r="AE493" i="1"/>
  <c r="AE533" i="1"/>
  <c r="AE582" i="1"/>
  <c r="AE654" i="1"/>
  <c r="AE563" i="1"/>
  <c r="AE511" i="1"/>
  <c r="AE472" i="1"/>
  <c r="AE680" i="1"/>
  <c r="AE606" i="1"/>
  <c r="AE598" i="1"/>
  <c r="AE594" i="1"/>
  <c r="AE586" i="1"/>
  <c r="AE578" i="1"/>
  <c r="AE566" i="1"/>
  <c r="AE546" i="1"/>
  <c r="AE526" i="1"/>
  <c r="AE510" i="1"/>
  <c r="AE492" i="1"/>
  <c r="AE484" i="1"/>
  <c r="AE480" i="1"/>
  <c r="AE461" i="1"/>
  <c r="AE453" i="1"/>
  <c r="AE449" i="1"/>
  <c r="AE445" i="1"/>
  <c r="AE433" i="1"/>
  <c r="AE421" i="1"/>
  <c r="AE409" i="1"/>
  <c r="AE405" i="1"/>
  <c r="AE401" i="1"/>
  <c r="AE393" i="1"/>
  <c r="AE382" i="1"/>
  <c r="AE340" i="1"/>
  <c r="AE332" i="1"/>
  <c r="AE317" i="1"/>
  <c r="AE282" i="1"/>
  <c r="AE269" i="1"/>
  <c r="AE348" i="1"/>
  <c r="AE602" i="1"/>
  <c r="AE562" i="1"/>
  <c r="AE387" i="1"/>
  <c r="AE488" i="1"/>
  <c r="AE400" i="1"/>
  <c r="AE668" i="1"/>
  <c r="AE660" i="1"/>
  <c r="AE656" i="1"/>
  <c r="AE648" i="1"/>
  <c r="AE609" i="1"/>
  <c r="AE605" i="1"/>
  <c r="AE597" i="1"/>
  <c r="AE585" i="1"/>
  <c r="AE577" i="1"/>
  <c r="AE573" i="1"/>
  <c r="AE561" i="1"/>
  <c r="AE557" i="1"/>
  <c r="AE553" i="1"/>
  <c r="AE537" i="1"/>
  <c r="AE529" i="1"/>
  <c r="AE525" i="1"/>
  <c r="AE487" i="1"/>
  <c r="AE483" i="1"/>
  <c r="AE475" i="1"/>
  <c r="AE471" i="1"/>
  <c r="AE467" i="1"/>
  <c r="AE463" i="1"/>
  <c r="AE423" i="1"/>
  <c r="AE419" i="1"/>
  <c r="AE415" i="1"/>
  <c r="AE407" i="1"/>
  <c r="AE403" i="1"/>
  <c r="AE375" i="1"/>
  <c r="AE339" i="1"/>
  <c r="AE335" i="1"/>
  <c r="AE319" i="1"/>
  <c r="AE311" i="1"/>
  <c r="AE303" i="1"/>
  <c r="AE278" i="1"/>
  <c r="AE532" i="1"/>
  <c r="AE495" i="1"/>
  <c r="AE443" i="1"/>
  <c r="AE442" i="1"/>
</calcChain>
</file>

<file path=xl/comments1.xml><?xml version="1.0" encoding="utf-8"?>
<comments xmlns="http://schemas.openxmlformats.org/spreadsheetml/2006/main">
  <authors>
    <author>Administrator</author>
  </authors>
  <commentList>
    <comment ref="L1" authorId="0">
      <text>
        <r>
          <rPr>
            <sz val="9"/>
            <color indexed="81"/>
            <rFont val="Tahoma"/>
            <family val="2"/>
          </rPr>
          <t>“</t>
        </r>
        <r>
          <rPr>
            <sz val="9"/>
            <color indexed="81"/>
            <rFont val="宋体"/>
            <family val="3"/>
            <charset val="134"/>
          </rPr>
          <t>△</t>
        </r>
        <r>
          <rPr>
            <sz val="9"/>
            <color indexed="81"/>
            <rFont val="Tahoma"/>
            <family val="2"/>
          </rPr>
          <t>”</t>
        </r>
        <r>
          <rPr>
            <sz val="9"/>
            <color indexed="81"/>
            <rFont val="宋体"/>
            <family val="3"/>
            <charset val="134"/>
          </rPr>
          <t>运行停机可更改</t>
        </r>
        <r>
          <rPr>
            <sz val="9"/>
            <color indexed="81"/>
            <rFont val="Tahoma"/>
            <family val="2"/>
          </rPr>
          <t xml:space="preserve">
“×”</t>
        </r>
        <r>
          <rPr>
            <sz val="9"/>
            <color indexed="81"/>
            <rFont val="宋体"/>
            <family val="3"/>
            <charset val="134"/>
          </rPr>
          <t xml:space="preserve">仅停机可更改
</t>
        </r>
        <r>
          <rPr>
            <sz val="9"/>
            <color indexed="81"/>
            <rFont val="Tahoma"/>
            <family val="2"/>
          </rPr>
          <t>"</t>
        </r>
        <r>
          <rPr>
            <sz val="9"/>
            <color indexed="81"/>
            <rFont val="宋体"/>
            <family val="3"/>
            <charset val="134"/>
          </rPr>
          <t>◎</t>
        </r>
        <r>
          <rPr>
            <sz val="9"/>
            <color indexed="81"/>
            <rFont val="Tahoma"/>
            <family val="2"/>
          </rPr>
          <t>"</t>
        </r>
        <r>
          <rPr>
            <sz val="9"/>
            <color indexed="81"/>
            <rFont val="宋体"/>
            <family val="3"/>
            <charset val="134"/>
          </rPr>
          <t xml:space="preserve">只读
</t>
        </r>
        <r>
          <rPr>
            <sz val="9"/>
            <color indexed="81"/>
            <rFont val="Tahoma"/>
            <family val="2"/>
          </rPr>
          <t>"</t>
        </r>
        <r>
          <rPr>
            <sz val="9"/>
            <color indexed="81"/>
            <rFont val="宋体"/>
            <family val="3"/>
            <charset val="134"/>
          </rPr>
          <t>※</t>
        </r>
        <r>
          <rPr>
            <sz val="9"/>
            <color indexed="81"/>
            <rFont val="Tahoma"/>
            <family val="2"/>
          </rPr>
          <t>"</t>
        </r>
        <r>
          <rPr>
            <sz val="9"/>
            <color indexed="81"/>
            <rFont val="宋体"/>
            <family val="3"/>
            <charset val="134"/>
          </rPr>
          <t xml:space="preserve">厂家参数
</t>
        </r>
      </text>
    </comment>
    <comment ref="O1" authorId="0">
      <text>
        <r>
          <rPr>
            <sz val="9"/>
            <color indexed="81"/>
            <rFont val="Tahoma"/>
            <family val="2"/>
          </rPr>
          <t>0</t>
        </r>
        <r>
          <rPr>
            <sz val="9"/>
            <color indexed="81"/>
            <rFont val="宋体"/>
            <family val="3"/>
            <charset val="134"/>
          </rPr>
          <t>：十进制</t>
        </r>
        <r>
          <rPr>
            <sz val="9"/>
            <color indexed="81"/>
            <rFont val="Tahoma"/>
            <family val="2"/>
          </rPr>
          <t xml:space="preserve">
1</t>
        </r>
        <r>
          <rPr>
            <sz val="9"/>
            <color indexed="81"/>
            <rFont val="宋体"/>
            <family val="3"/>
            <charset val="134"/>
          </rPr>
          <t>：十六进制</t>
        </r>
      </text>
    </comment>
    <comment ref="S1" authorId="0">
      <text>
        <r>
          <rPr>
            <sz val="9"/>
            <color indexed="81"/>
            <rFont val="Tahoma"/>
            <family val="2"/>
          </rPr>
          <t>0</t>
        </r>
        <r>
          <rPr>
            <sz val="9"/>
            <color indexed="81"/>
            <rFont val="宋体"/>
            <family val="3"/>
            <charset val="134"/>
          </rPr>
          <t>：无符号数</t>
        </r>
        <r>
          <rPr>
            <sz val="9"/>
            <color indexed="81"/>
            <rFont val="Tahoma"/>
            <family val="2"/>
          </rPr>
          <t xml:space="preserve">
1</t>
        </r>
        <r>
          <rPr>
            <sz val="9"/>
            <color indexed="81"/>
            <rFont val="宋体"/>
            <family val="3"/>
            <charset val="134"/>
          </rPr>
          <t>：有符号数</t>
        </r>
      </text>
    </comment>
    <comment ref="V1" authorId="0">
      <text>
        <r>
          <rPr>
            <sz val="9"/>
            <color indexed="81"/>
            <rFont val="Tahoma"/>
            <family val="2"/>
          </rPr>
          <t>“</t>
        </r>
        <r>
          <rPr>
            <sz val="9"/>
            <color indexed="81"/>
            <rFont val="宋体"/>
            <family val="3"/>
            <charset val="134"/>
          </rPr>
          <t>△</t>
        </r>
        <r>
          <rPr>
            <sz val="9"/>
            <color indexed="81"/>
            <rFont val="Tahoma"/>
            <family val="2"/>
          </rPr>
          <t>”</t>
        </r>
        <r>
          <rPr>
            <sz val="9"/>
            <color indexed="81"/>
            <rFont val="宋体"/>
            <family val="3"/>
            <charset val="134"/>
          </rPr>
          <t>运行停机可更改</t>
        </r>
        <r>
          <rPr>
            <sz val="9"/>
            <color indexed="81"/>
            <rFont val="Tahoma"/>
            <family val="2"/>
          </rPr>
          <t xml:space="preserve">
“×”</t>
        </r>
        <r>
          <rPr>
            <sz val="9"/>
            <color indexed="81"/>
            <rFont val="宋体"/>
            <family val="3"/>
            <charset val="134"/>
          </rPr>
          <t xml:space="preserve">仅停机可更改
</t>
        </r>
        <r>
          <rPr>
            <sz val="9"/>
            <color indexed="81"/>
            <rFont val="Tahoma"/>
            <family val="2"/>
          </rPr>
          <t>"</t>
        </r>
        <r>
          <rPr>
            <sz val="9"/>
            <color indexed="81"/>
            <rFont val="宋体"/>
            <family val="3"/>
            <charset val="134"/>
          </rPr>
          <t>◎</t>
        </r>
        <r>
          <rPr>
            <sz val="9"/>
            <color indexed="81"/>
            <rFont val="Tahoma"/>
            <family val="2"/>
          </rPr>
          <t>"</t>
        </r>
        <r>
          <rPr>
            <sz val="9"/>
            <color indexed="81"/>
            <rFont val="宋体"/>
            <family val="3"/>
            <charset val="134"/>
          </rPr>
          <t xml:space="preserve">只读
</t>
        </r>
        <r>
          <rPr>
            <sz val="9"/>
            <color indexed="81"/>
            <rFont val="Tahoma"/>
            <family val="2"/>
          </rPr>
          <t>"</t>
        </r>
        <r>
          <rPr>
            <sz val="9"/>
            <color indexed="81"/>
            <rFont val="宋体"/>
            <family val="3"/>
            <charset val="134"/>
          </rPr>
          <t>※</t>
        </r>
        <r>
          <rPr>
            <sz val="9"/>
            <color indexed="81"/>
            <rFont val="Tahoma"/>
            <family val="2"/>
          </rPr>
          <t>"</t>
        </r>
        <r>
          <rPr>
            <sz val="9"/>
            <color indexed="81"/>
            <rFont val="宋体"/>
            <family val="3"/>
            <charset val="134"/>
          </rPr>
          <t xml:space="preserve">厂家参数
</t>
        </r>
      </text>
    </comment>
    <comment ref="Y1" authorId="0">
      <text>
        <r>
          <rPr>
            <sz val="9"/>
            <color indexed="81"/>
            <rFont val="Tahoma"/>
            <family val="2"/>
          </rPr>
          <t>0</t>
        </r>
        <r>
          <rPr>
            <sz val="9"/>
            <color indexed="81"/>
            <rFont val="宋体"/>
            <family val="3"/>
            <charset val="134"/>
          </rPr>
          <t>：十进制</t>
        </r>
        <r>
          <rPr>
            <sz val="9"/>
            <color indexed="81"/>
            <rFont val="Tahoma"/>
            <family val="2"/>
          </rPr>
          <t xml:space="preserve">
1</t>
        </r>
        <r>
          <rPr>
            <sz val="9"/>
            <color indexed="81"/>
            <rFont val="宋体"/>
            <family val="3"/>
            <charset val="134"/>
          </rPr>
          <t>：十六进制</t>
        </r>
      </text>
    </comment>
    <comment ref="AC1" authorId="0">
      <text>
        <r>
          <rPr>
            <sz val="9"/>
            <color indexed="81"/>
            <rFont val="Tahoma"/>
            <family val="2"/>
          </rPr>
          <t>0</t>
        </r>
        <r>
          <rPr>
            <sz val="9"/>
            <color indexed="81"/>
            <rFont val="宋体"/>
            <family val="3"/>
            <charset val="134"/>
          </rPr>
          <t>：无符号数</t>
        </r>
        <r>
          <rPr>
            <sz val="9"/>
            <color indexed="81"/>
            <rFont val="Tahoma"/>
            <family val="2"/>
          </rPr>
          <t xml:space="preserve">
1</t>
        </r>
        <r>
          <rPr>
            <sz val="9"/>
            <color indexed="81"/>
            <rFont val="宋体"/>
            <family val="3"/>
            <charset val="134"/>
          </rPr>
          <t>：有符号数</t>
        </r>
      </text>
    </comment>
  </commentList>
</comments>
</file>

<file path=xl/sharedStrings.xml><?xml version="1.0" encoding="utf-8"?>
<sst xmlns="http://schemas.openxmlformats.org/spreadsheetml/2006/main" count="5764" uniqueCount="2940">
  <si>
    <t xml:space="preserve"> 0： 无故障                                           
 1： 加速过流保护                                     
 2： 恒速过流保护                                     
 3： 减速过流保护                                     
 4： 加速过压保护                                     
 5： 恒速过压保护                                     
 6： 减速过压保护                                     
 7： 逆变侧模块保护                                   
 8： 参数辨识失败保护                                   
 9： 变频器过载保护                                   
10： 电机过载保护                                     
11： 电流检测电路故障                                 
12： 输出侧对地短路保护                               
13： 输入电源异常                                     
14： 输出侧缺相                                       
15： 逆变模块过载保护                                 
16： 散热器过热保护                                   
17： 电机(PTC)过热保护                                
18： 模块温度断线保护                                 
19： 编码器断线保护                                   
20： 扩展卡1连接异常                                  
21： 扩展卡2连接异常                                  
22： 驱动线连接异常                                   
23： 端子功能互斥保护                                 
24： 外部设备故障                                     
25： 代理商累计运行时间到故障                         
26： 连续运行时间到故障                               
27： 累计运行时间到故障                               
28： 运行时电源异常                                   
29： EEPROM读写故障                                   
30： 接触器吸合故障                                   
31： 端口通讯异常                                     
32： 键盘通讯错误                                     
33： 键盘参数拷贝故障                                 
34： //键盘参数拷贝上传参数溢出异常  对用户不开放     
35： 软件版本不一致故障                               
36： 系统CPU干扰故障                                  
37： OCREF基准保护                                    
38： 电源5V超限保护                                   
39： 电源10V超限保护                                  
40： AI输入超限保护                                   
41： 母线软件欠压保护或 控制电源欠压保护              
42： 过速度故障                                       
43： 速度偏差过大故障                                 
44： 位置超限                                         
45： PID反馈丢失                                      
</t>
    <phoneticPr fontId="20" type="noConversion"/>
  </si>
  <si>
    <t>H1.00</t>
    <phoneticPr fontId="20" type="noConversion"/>
  </si>
  <si>
    <t>FcProfibusAddr</t>
    <phoneticPr fontId="20" type="noConversion"/>
  </si>
  <si>
    <t>1~126
127广播地址
0一般用作二类主站地址</t>
    <phoneticPr fontId="20" type="noConversion"/>
  </si>
  <si>
    <t>X</t>
    <phoneticPr fontId="20" type="noConversion"/>
  </si>
  <si>
    <t>FcProfiPPOType</t>
    <phoneticPr fontId="20" type="noConversion"/>
  </si>
  <si>
    <t>0：Profibus无效
1：PPO1
2：PPO2
3：PPO3
4：PPO4
5：PPO5</t>
    <phoneticPr fontId="20" type="noConversion"/>
  </si>
  <si>
    <t>FcPZDOut2</t>
    <phoneticPr fontId="20" type="noConversion"/>
  </si>
  <si>
    <t>0:无
A0-00~U2-xx
0x6200~0x6214
0x6300~0x6323</t>
    <phoneticPr fontId="20" type="noConversion"/>
  </si>
  <si>
    <t>FFFF</t>
    <phoneticPr fontId="20" type="noConversion"/>
  </si>
  <si>
    <r>
      <t>FcPZDOut3</t>
    </r>
    <r>
      <rPr>
        <sz val="11"/>
        <color indexed="8"/>
        <rFont val="宋体"/>
        <charset val="134"/>
      </rPr>
      <t/>
    </r>
  </si>
  <si>
    <r>
      <t>FcPZDOut4</t>
    </r>
    <r>
      <rPr>
        <sz val="11"/>
        <color indexed="8"/>
        <rFont val="宋体"/>
        <charset val="134"/>
      </rPr>
      <t/>
    </r>
  </si>
  <si>
    <r>
      <t>FcPZDOut5</t>
    </r>
    <r>
      <rPr>
        <sz val="11"/>
        <color indexed="8"/>
        <rFont val="宋体"/>
        <charset val="134"/>
      </rPr>
      <t/>
    </r>
  </si>
  <si>
    <r>
      <t>FcPZDOut6</t>
    </r>
    <r>
      <rPr>
        <sz val="11"/>
        <color indexed="8"/>
        <rFont val="宋体"/>
        <charset val="134"/>
      </rPr>
      <t/>
    </r>
  </si>
  <si>
    <r>
      <t>FcPZDOut7</t>
    </r>
    <r>
      <rPr>
        <sz val="11"/>
        <color indexed="8"/>
        <rFont val="宋体"/>
        <charset val="134"/>
      </rPr>
      <t/>
    </r>
  </si>
  <si>
    <r>
      <t>FcPZDOut8</t>
    </r>
    <r>
      <rPr>
        <sz val="11"/>
        <color indexed="8"/>
        <rFont val="宋体"/>
        <charset val="134"/>
      </rPr>
      <t/>
    </r>
  </si>
  <si>
    <r>
      <t>FcPZDOut9</t>
    </r>
    <r>
      <rPr>
        <sz val="11"/>
        <color indexed="8"/>
        <rFont val="宋体"/>
        <charset val="134"/>
      </rPr>
      <t/>
    </r>
  </si>
  <si>
    <r>
      <t>FcPZDOut10</t>
    </r>
    <r>
      <rPr>
        <sz val="11"/>
        <color indexed="8"/>
        <rFont val="宋体"/>
        <charset val="134"/>
      </rPr>
      <t/>
    </r>
  </si>
  <si>
    <t>FFFF</t>
    <phoneticPr fontId="20" type="noConversion"/>
  </si>
  <si>
    <t>X</t>
    <phoneticPr fontId="20" type="noConversion"/>
  </si>
  <si>
    <t>FcPZDIn2</t>
    <phoneticPr fontId="20" type="noConversion"/>
  </si>
  <si>
    <r>
      <t>FcPZDIn3</t>
    </r>
    <r>
      <rPr>
        <sz val="11"/>
        <color indexed="8"/>
        <rFont val="宋体"/>
        <charset val="134"/>
      </rPr>
      <t/>
    </r>
  </si>
  <si>
    <r>
      <t>FcPZDIn4</t>
    </r>
    <r>
      <rPr>
        <sz val="11"/>
        <color indexed="8"/>
        <rFont val="宋体"/>
        <charset val="134"/>
      </rPr>
      <t/>
    </r>
  </si>
  <si>
    <r>
      <t>FcPZDIn5</t>
    </r>
    <r>
      <rPr>
        <sz val="11"/>
        <color indexed="8"/>
        <rFont val="宋体"/>
        <charset val="134"/>
      </rPr>
      <t/>
    </r>
  </si>
  <si>
    <r>
      <t>FcPZDIn6</t>
    </r>
    <r>
      <rPr>
        <sz val="11"/>
        <color indexed="8"/>
        <rFont val="宋体"/>
        <charset val="134"/>
      </rPr>
      <t/>
    </r>
  </si>
  <si>
    <r>
      <t>FcPZDIn7</t>
    </r>
    <r>
      <rPr>
        <sz val="11"/>
        <color indexed="8"/>
        <rFont val="宋体"/>
        <charset val="134"/>
      </rPr>
      <t/>
    </r>
  </si>
  <si>
    <r>
      <t>FcPZDIn8</t>
    </r>
    <r>
      <rPr>
        <sz val="11"/>
        <color indexed="8"/>
        <rFont val="宋体"/>
        <charset val="134"/>
      </rPr>
      <t/>
    </r>
  </si>
  <si>
    <r>
      <t>FcPZDIn9</t>
    </r>
    <r>
      <rPr>
        <sz val="11"/>
        <color indexed="8"/>
        <rFont val="宋体"/>
        <charset val="134"/>
      </rPr>
      <t/>
    </r>
  </si>
  <si>
    <t>FcComErrPro</t>
    <phoneticPr fontId="20" type="noConversion"/>
  </si>
  <si>
    <t>0~2
0:不处理
1:停机</t>
    <phoneticPr fontId="20" type="noConversion"/>
  </si>
  <si>
    <r>
      <t>U0.29</t>
    </r>
    <r>
      <rPr>
        <sz val="11"/>
        <color indexed="8"/>
        <rFont val="宋体"/>
        <charset val="134"/>
      </rPr>
      <t/>
    </r>
    <phoneticPr fontId="20" type="noConversion"/>
  </si>
  <si>
    <t>0~65535
(SLVC限制Freq停止否，非零不停止)
(带旋变时;0不进行旋变角度自动校正，非0进行自动校正)</t>
    <phoneticPr fontId="20" type="noConversion"/>
  </si>
  <si>
    <t>主轴定向使能并运行</t>
  </si>
  <si>
    <t>设定转矩加速时间</t>
    <phoneticPr fontId="20" type="noConversion"/>
  </si>
  <si>
    <r>
      <t>0.00s～</t>
    </r>
    <r>
      <rPr>
        <sz val="9"/>
        <color indexed="10"/>
        <rFont val="Times New Roman"/>
        <family val="1"/>
      </rPr>
      <t>120.00s</t>
    </r>
  </si>
  <si>
    <t>调试2</t>
  </si>
  <si>
    <t>调试3</t>
  </si>
  <si>
    <r>
      <t>编码器</t>
    </r>
    <r>
      <rPr>
        <sz val="10"/>
        <rFont val="Times New Roman"/>
        <family val="1"/>
      </rPr>
      <t>2</t>
    </r>
    <r>
      <rPr>
        <sz val="10"/>
        <rFont val="宋体"/>
        <charset val="134"/>
      </rPr>
      <t>（扩展）每转脉冲数</t>
    </r>
  </si>
  <si>
    <r>
      <t>0～</t>
    </r>
    <r>
      <rPr>
        <sz val="9"/>
        <rFont val="Times New Roman"/>
        <family val="1"/>
      </rPr>
      <t>65535</t>
    </r>
    <r>
      <rPr>
        <sz val="9"/>
        <rFont val="宋体"/>
        <charset val="134"/>
      </rPr>
      <t>（停机时检测，两次</t>
    </r>
    <r>
      <rPr>
        <sz val="9"/>
        <rFont val="Times New Roman"/>
        <family val="1"/>
      </rPr>
      <t>Z</t>
    </r>
    <r>
      <rPr>
        <sz val="9"/>
        <rFont val="宋体"/>
        <charset val="134"/>
      </rPr>
      <t>信号间的脉冲数，编码器</t>
    </r>
    <r>
      <rPr>
        <sz val="9"/>
        <rFont val="Times New Roman"/>
        <family val="1"/>
      </rPr>
      <t>1</t>
    </r>
    <r>
      <rPr>
        <sz val="9"/>
        <rFont val="宋体"/>
        <charset val="134"/>
      </rPr>
      <t>因不能检测</t>
    </r>
    <r>
      <rPr>
        <sz val="9"/>
        <rFont val="Times New Roman"/>
        <family val="1"/>
      </rPr>
      <t>Z</t>
    </r>
    <r>
      <rPr>
        <sz val="9"/>
        <rFont val="宋体"/>
        <charset val="134"/>
      </rPr>
      <t>信号而无此功能）</t>
    </r>
  </si>
  <si>
    <t>编码器反馈脉冲频率</t>
    <phoneticPr fontId="20" type="noConversion"/>
  </si>
  <si>
    <t>FcFreqPulFdb</t>
    <phoneticPr fontId="20" type="noConversion"/>
  </si>
  <si>
    <r>
      <t>-</t>
    </r>
    <r>
      <rPr>
        <sz val="9"/>
        <rFont val="Times New Roman"/>
        <family val="1"/>
      </rPr>
      <t>3000.0k</t>
    </r>
    <r>
      <rPr>
        <sz val="9"/>
        <rFont val="宋体"/>
        <charset val="134"/>
      </rPr>
      <t>Hz～3000.0</t>
    </r>
    <r>
      <rPr>
        <sz val="9"/>
        <rFont val="Times New Roman"/>
        <family val="1"/>
      </rPr>
      <t>kHz</t>
    </r>
    <phoneticPr fontId="20" type="noConversion"/>
  </si>
  <si>
    <t>H</t>
    <phoneticPr fontId="20" type="noConversion"/>
  </si>
  <si>
    <t>FcPulsePerEncode2D</t>
    <phoneticPr fontId="20" type="noConversion"/>
  </si>
  <si>
    <t>X</t>
    <phoneticPr fontId="20" type="noConversion"/>
  </si>
  <si>
    <t>FcTorqGivedDisp</t>
    <phoneticPr fontId="20" type="noConversion"/>
  </si>
  <si>
    <r>
      <t>0.0%～</t>
    </r>
    <r>
      <rPr>
        <sz val="9"/>
        <rFont val="Times New Roman"/>
        <family val="1"/>
      </rPr>
      <t>300.0%</t>
    </r>
    <phoneticPr fontId="20" type="noConversion"/>
  </si>
  <si>
    <t>%</t>
    <phoneticPr fontId="20" type="noConversion"/>
  </si>
  <si>
    <t>FcTotalTime</t>
    <phoneticPr fontId="20" type="noConversion"/>
  </si>
  <si>
    <t>h</t>
    <phoneticPr fontId="20" type="noConversion"/>
  </si>
  <si>
    <t>主接触器</t>
    <phoneticPr fontId="20" type="noConversion"/>
  </si>
  <si>
    <t>预充电接触器</t>
    <phoneticPr fontId="20" type="noConversion"/>
  </si>
  <si>
    <t>制动增加量</t>
  </si>
  <si>
    <t>FcDQDebug2</t>
  </si>
  <si>
    <t>Q轴电流环比例增益</t>
    <phoneticPr fontId="20" type="noConversion"/>
  </si>
  <si>
    <t>Q轴电流环积分增益</t>
    <phoneticPr fontId="20" type="noConversion"/>
  </si>
  <si>
    <t>D轴电流给定值</t>
    <phoneticPr fontId="20" type="noConversion"/>
  </si>
  <si>
    <t>Q轴电流给定值</t>
    <phoneticPr fontId="20" type="noConversion"/>
  </si>
  <si>
    <r>
      <t>Fc</t>
    </r>
    <r>
      <rPr>
        <sz val="10"/>
        <rFont val="宋体"/>
        <charset val="134"/>
      </rPr>
      <t>CurrQRefDisp</t>
    </r>
    <phoneticPr fontId="20" type="noConversion"/>
  </si>
  <si>
    <r>
      <t>Fc</t>
    </r>
    <r>
      <rPr>
        <sz val="10"/>
        <rFont val="宋体"/>
        <charset val="134"/>
      </rPr>
      <t>CurrDRefDisp</t>
    </r>
    <phoneticPr fontId="20" type="noConversion"/>
  </si>
  <si>
    <t>FFF</t>
    <phoneticPr fontId="20" type="noConversion"/>
  </si>
  <si>
    <t>FcMotorTemperK2</t>
    <phoneticPr fontId="20" type="noConversion"/>
  </si>
  <si>
    <t>电机温度2</t>
    <phoneticPr fontId="20" type="noConversion"/>
  </si>
  <si>
    <t>FcMotorTemper2</t>
    <phoneticPr fontId="20" type="noConversion"/>
  </si>
  <si>
    <r>
      <rPr>
        <sz val="9"/>
        <rFont val="Times New Roman"/>
        <family val="1"/>
      </rPr>
      <t>-4</t>
    </r>
    <r>
      <rPr>
        <sz val="9"/>
        <rFont val="宋体"/>
        <charset val="134"/>
      </rPr>
      <t>0.0℃～</t>
    </r>
    <r>
      <rPr>
        <sz val="9"/>
        <rFont val="Times New Roman"/>
        <family val="1"/>
      </rPr>
      <t>100.0</t>
    </r>
    <r>
      <rPr>
        <sz val="9"/>
        <rFont val="宋体"/>
        <charset val="134"/>
      </rPr>
      <t>℃</t>
    </r>
    <phoneticPr fontId="20" type="noConversion"/>
  </si>
  <si>
    <r>
      <t>-</t>
    </r>
    <r>
      <rPr>
        <sz val="10"/>
        <rFont val="宋体"/>
        <charset val="134"/>
      </rPr>
      <t>8</t>
    </r>
    <r>
      <rPr>
        <sz val="10"/>
        <rFont val="宋体"/>
        <charset val="134"/>
      </rPr>
      <t>00</t>
    </r>
    <phoneticPr fontId="20" type="noConversion"/>
  </si>
  <si>
    <t>FcFreqCUpPoint</t>
  </si>
  <si>
    <t>FcFreqCDnPoint</t>
  </si>
  <si>
    <t>FcFreqCarriesMin</t>
  </si>
  <si>
    <t>FcSpdFilTim</t>
  </si>
  <si>
    <t>FcTempDeltScale</t>
  </si>
  <si>
    <t>FcProtectAct1</t>
    <phoneticPr fontId="20" type="noConversion"/>
  </si>
  <si>
    <t>A</t>
    <phoneticPr fontId="20" type="noConversion"/>
  </si>
  <si>
    <r>
      <t>异步电机</t>
    </r>
    <r>
      <rPr>
        <sz val="10"/>
        <rFont val="Times New Roman"/>
        <family val="1"/>
      </rPr>
      <t>1</t>
    </r>
    <r>
      <rPr>
        <sz val="10"/>
        <rFont val="宋体"/>
        <charset val="134"/>
      </rPr>
      <t>定子电阻</t>
    </r>
    <r>
      <rPr>
        <sz val="10"/>
        <rFont val="Times New Roman"/>
        <family val="1"/>
      </rPr>
      <t>R1</t>
    </r>
  </si>
  <si>
    <t>FcR1AsynMot1</t>
    <phoneticPr fontId="20" type="noConversion"/>
  </si>
  <si>
    <t>O</t>
    <phoneticPr fontId="20" type="noConversion"/>
  </si>
  <si>
    <r>
      <t>异步电机</t>
    </r>
    <r>
      <rPr>
        <sz val="10"/>
        <rFont val="Times New Roman"/>
        <family val="1"/>
      </rPr>
      <t>1</t>
    </r>
    <r>
      <rPr>
        <sz val="10"/>
        <rFont val="宋体"/>
        <charset val="134"/>
      </rPr>
      <t>漏感</t>
    </r>
    <r>
      <rPr>
        <sz val="10"/>
        <rFont val="Times New Roman"/>
        <family val="1"/>
      </rPr>
      <t>L1</t>
    </r>
  </si>
  <si>
    <t>FcL1AsynMot1</t>
    <phoneticPr fontId="20" type="noConversion"/>
  </si>
  <si>
    <t>M</t>
    <phoneticPr fontId="20" type="noConversion"/>
  </si>
  <si>
    <r>
      <t>异步电机</t>
    </r>
    <r>
      <rPr>
        <sz val="10"/>
        <rFont val="Times New Roman"/>
        <family val="1"/>
      </rPr>
      <t>1</t>
    </r>
    <r>
      <rPr>
        <sz val="10"/>
        <rFont val="宋体"/>
        <charset val="134"/>
      </rPr>
      <t>转子电阻</t>
    </r>
    <r>
      <rPr>
        <sz val="10"/>
        <rFont val="Times New Roman"/>
        <family val="1"/>
      </rPr>
      <t>R2</t>
    </r>
  </si>
  <si>
    <t>FcR2AsynMot1</t>
    <phoneticPr fontId="20" type="noConversion"/>
  </si>
  <si>
    <r>
      <t>异步电机</t>
    </r>
    <r>
      <rPr>
        <sz val="10"/>
        <rFont val="Times New Roman"/>
        <family val="1"/>
      </rPr>
      <t>1</t>
    </r>
    <r>
      <rPr>
        <sz val="10"/>
        <rFont val="宋体"/>
        <charset val="134"/>
      </rPr>
      <t>互感</t>
    </r>
    <r>
      <rPr>
        <sz val="10"/>
        <rFont val="Times New Roman"/>
        <family val="1"/>
      </rPr>
      <t>L2</t>
    </r>
  </si>
  <si>
    <t>FcL2AsynMot1</t>
    <phoneticPr fontId="20" type="noConversion"/>
  </si>
  <si>
    <t>M</t>
    <phoneticPr fontId="20" type="noConversion"/>
  </si>
  <si>
    <r>
      <t>异步电机</t>
    </r>
    <r>
      <rPr>
        <sz val="10"/>
        <rFont val="Times New Roman"/>
        <family val="1"/>
      </rPr>
      <t>1</t>
    </r>
    <r>
      <rPr>
        <sz val="10"/>
        <rFont val="宋体"/>
        <charset val="134"/>
      </rPr>
      <t>空载电流</t>
    </r>
  </si>
  <si>
    <t>FcFlyCurrAsynMot1</t>
    <phoneticPr fontId="20" type="noConversion"/>
  </si>
  <si>
    <r>
      <t>异步电机</t>
    </r>
    <r>
      <rPr>
        <sz val="10"/>
        <rFont val="Times New Roman"/>
        <family val="1"/>
      </rPr>
      <t>1</t>
    </r>
    <r>
      <rPr>
        <sz val="10"/>
        <rFont val="宋体"/>
        <charset val="134"/>
      </rPr>
      <t>弱磁系数</t>
    </r>
    <r>
      <rPr>
        <sz val="10"/>
        <rFont val="Times New Roman"/>
        <family val="1"/>
      </rPr>
      <t>1</t>
    </r>
    <phoneticPr fontId="20" type="noConversion"/>
  </si>
  <si>
    <t>FcK1FluxSatAsynMot1</t>
    <phoneticPr fontId="20" type="noConversion"/>
  </si>
  <si>
    <t>0.0000～1.0000</t>
    <phoneticPr fontId="20" type="noConversion"/>
  </si>
  <si>
    <r>
      <t>异步电机</t>
    </r>
    <r>
      <rPr>
        <sz val="10"/>
        <rFont val="Times New Roman"/>
        <family val="1"/>
      </rPr>
      <t>1</t>
    </r>
    <r>
      <rPr>
        <sz val="10"/>
        <rFont val="宋体"/>
        <charset val="134"/>
      </rPr>
      <t>弱磁系数</t>
    </r>
    <r>
      <rPr>
        <sz val="10"/>
        <rFont val="Times New Roman"/>
        <family val="1"/>
      </rPr>
      <t>2</t>
    </r>
    <phoneticPr fontId="20" type="noConversion"/>
  </si>
  <si>
    <t>FcK2FluxSatAsynMot1</t>
    <phoneticPr fontId="20" type="noConversion"/>
  </si>
  <si>
    <t>0.0000～1.0000</t>
    <phoneticPr fontId="20" type="noConversion"/>
  </si>
  <si>
    <r>
      <t>异步电机</t>
    </r>
    <r>
      <rPr>
        <sz val="10"/>
        <rFont val="Times New Roman"/>
        <family val="1"/>
      </rPr>
      <t>1</t>
    </r>
    <r>
      <rPr>
        <sz val="10"/>
        <rFont val="宋体"/>
        <charset val="134"/>
      </rPr>
      <t>弱磁系数</t>
    </r>
    <r>
      <rPr>
        <sz val="10"/>
        <rFont val="Times New Roman"/>
        <family val="1"/>
      </rPr>
      <t>3</t>
    </r>
    <phoneticPr fontId="20" type="noConversion"/>
  </si>
  <si>
    <t>FcK3FluxSatAsynMot1</t>
    <phoneticPr fontId="20" type="noConversion"/>
  </si>
  <si>
    <r>
      <t>同步电机</t>
    </r>
    <r>
      <rPr>
        <sz val="10"/>
        <rFont val="Times New Roman"/>
        <family val="1"/>
      </rPr>
      <t>1</t>
    </r>
    <r>
      <rPr>
        <sz val="10"/>
        <rFont val="宋体"/>
        <charset val="134"/>
      </rPr>
      <t>定子电阻</t>
    </r>
  </si>
  <si>
    <t>FcRStaSynMot1</t>
    <phoneticPr fontId="20" type="noConversion"/>
  </si>
  <si>
    <t>O</t>
    <phoneticPr fontId="20" type="noConversion"/>
  </si>
  <si>
    <r>
      <t>同步电机</t>
    </r>
    <r>
      <rPr>
        <sz val="10"/>
        <rFont val="Times New Roman"/>
        <family val="1"/>
      </rPr>
      <t>1</t>
    </r>
    <r>
      <rPr>
        <sz val="10"/>
        <rFont val="宋体"/>
        <charset val="134"/>
      </rPr>
      <t>直轴电感</t>
    </r>
  </si>
  <si>
    <t>FcLOrienAxesSynMot1</t>
    <phoneticPr fontId="20" type="noConversion"/>
  </si>
  <si>
    <r>
      <t>同步电机</t>
    </r>
    <r>
      <rPr>
        <sz val="10"/>
        <rFont val="Times New Roman"/>
        <family val="1"/>
      </rPr>
      <t>1</t>
    </r>
    <r>
      <rPr>
        <sz val="10"/>
        <rFont val="宋体"/>
        <charset val="134"/>
      </rPr>
      <t>交轴电感</t>
    </r>
  </si>
  <si>
    <t>FcLVertAxesSynMot1</t>
    <phoneticPr fontId="20" type="noConversion"/>
  </si>
  <si>
    <r>
      <t>0.1mH～</t>
    </r>
    <r>
      <rPr>
        <sz val="9"/>
        <rFont val="Times New Roman"/>
        <family val="1"/>
      </rPr>
      <t>6553.5mH</t>
    </r>
    <phoneticPr fontId="20" type="noConversion"/>
  </si>
  <si>
    <r>
      <t>同步电机</t>
    </r>
    <r>
      <rPr>
        <sz val="10"/>
        <rFont val="Times New Roman"/>
        <family val="1"/>
      </rPr>
      <t>1</t>
    </r>
    <r>
      <rPr>
        <sz val="10"/>
        <rFont val="宋体"/>
        <charset val="134"/>
      </rPr>
      <t>反电势常数</t>
    </r>
  </si>
  <si>
    <t>FcKElecPotentMot1</t>
    <phoneticPr fontId="20" type="noConversion"/>
  </si>
  <si>
    <r>
      <t>0～</t>
    </r>
    <r>
      <rPr>
        <sz val="9"/>
        <rFont val="Times New Roman"/>
        <family val="1"/>
      </rPr>
      <t>1000</t>
    </r>
    <phoneticPr fontId="20" type="noConversion"/>
  </si>
  <si>
    <r>
      <t>同步电机</t>
    </r>
    <r>
      <rPr>
        <sz val="10"/>
        <rFont val="Times New Roman"/>
        <family val="1"/>
      </rPr>
      <t>1</t>
    </r>
    <r>
      <rPr>
        <sz val="10"/>
        <rFont val="宋体"/>
        <charset val="134"/>
      </rPr>
      <t>辨识电流</t>
    </r>
    <phoneticPr fontId="20" type="noConversion"/>
  </si>
  <si>
    <t>FcIdCurrSynMot1</t>
    <phoneticPr fontId="20" type="noConversion"/>
  </si>
  <si>
    <r>
      <t>0.0%～10</t>
    </r>
    <r>
      <rPr>
        <sz val="9"/>
        <rFont val="Times New Roman"/>
        <family val="1"/>
      </rPr>
      <t>0.0%</t>
    </r>
    <r>
      <rPr>
        <sz val="9"/>
        <rFont val="宋体"/>
        <charset val="134"/>
      </rPr>
      <t>，</t>
    </r>
    <r>
      <rPr>
        <sz val="9"/>
        <rFont val="Times New Roman"/>
        <family val="1"/>
      </rPr>
      <t>100%</t>
    </r>
    <r>
      <rPr>
        <sz val="9"/>
        <rFont val="宋体"/>
        <charset val="134"/>
      </rPr>
      <t>为电机额定电流。</t>
    </r>
    <phoneticPr fontId="20" type="noConversion"/>
  </si>
  <si>
    <r>
      <t>同步电机</t>
    </r>
    <r>
      <rPr>
        <sz val="10"/>
        <rFont val="Times New Roman"/>
        <family val="1"/>
      </rPr>
      <t>1</t>
    </r>
    <r>
      <rPr>
        <sz val="10"/>
        <rFont val="宋体"/>
        <charset val="134"/>
      </rPr>
      <t>初始角度</t>
    </r>
  </si>
  <si>
    <t>FcAngIniSynMot1</t>
    <phoneticPr fontId="20" type="noConversion"/>
  </si>
  <si>
    <t>0～360.0</t>
    <phoneticPr fontId="20" type="noConversion"/>
  </si>
  <si>
    <r>
      <t>同步电机</t>
    </r>
    <r>
      <rPr>
        <sz val="10"/>
        <rFont val="Times New Roman"/>
        <family val="1"/>
      </rPr>
      <t>1</t>
    </r>
    <r>
      <rPr>
        <sz val="10"/>
        <rFont val="宋体"/>
        <charset val="134"/>
      </rPr>
      <t>的</t>
    </r>
    <r>
      <rPr>
        <sz val="10"/>
        <rFont val="Times New Roman"/>
        <family val="1"/>
      </rPr>
      <t xml:space="preserve">Z </t>
    </r>
    <r>
      <rPr>
        <sz val="10"/>
        <rFont val="宋体"/>
        <charset val="134"/>
      </rPr>
      <t>脉冲初始角度</t>
    </r>
  </si>
  <si>
    <t>FcAngIniZSynMot1</t>
    <phoneticPr fontId="20" type="noConversion"/>
  </si>
  <si>
    <r>
      <t>电机</t>
    </r>
    <r>
      <rPr>
        <sz val="10"/>
        <rFont val="Times New Roman"/>
        <family val="1"/>
      </rPr>
      <t>1</t>
    </r>
    <r>
      <rPr>
        <sz val="10"/>
        <rFont val="宋体"/>
        <charset val="134"/>
      </rPr>
      <t>参数辨识</t>
    </r>
  </si>
  <si>
    <t>FcIdChoiceMot1</t>
    <phoneticPr fontId="20" type="noConversion"/>
  </si>
  <si>
    <t>FcCurveModeVfM1</t>
    <phoneticPr fontId="20" type="noConversion"/>
  </si>
  <si>
    <r>
      <t>0：直线</t>
    </r>
    <r>
      <rPr>
        <sz val="9"/>
        <rFont val="Times New Roman"/>
        <family val="1"/>
      </rPr>
      <t>V/F</t>
    </r>
    <r>
      <rPr>
        <sz val="9"/>
        <rFont val="宋体"/>
        <charset val="134"/>
      </rPr>
      <t xml:space="preserve">曲线
</t>
    </r>
    <r>
      <rPr>
        <sz val="9"/>
        <rFont val="Times New Roman"/>
        <family val="1"/>
      </rPr>
      <t>1</t>
    </r>
    <r>
      <rPr>
        <sz val="9"/>
        <rFont val="宋体"/>
        <charset val="134"/>
      </rPr>
      <t>：用户自定义多段</t>
    </r>
    <r>
      <rPr>
        <sz val="9"/>
        <rFont val="Times New Roman"/>
        <family val="1"/>
      </rPr>
      <t>V/F</t>
    </r>
    <r>
      <rPr>
        <sz val="9"/>
        <rFont val="宋体"/>
        <charset val="134"/>
      </rPr>
      <t>曲线（</t>
    </r>
    <r>
      <rPr>
        <sz val="9"/>
        <rFont val="Times New Roman"/>
        <family val="1"/>
      </rPr>
      <t>d1.01</t>
    </r>
    <r>
      <rPr>
        <sz val="9"/>
        <rFont val="宋体"/>
        <charset val="134"/>
      </rPr>
      <t>～</t>
    </r>
    <r>
      <rPr>
        <sz val="9"/>
        <rFont val="Times New Roman"/>
        <family val="1"/>
      </rPr>
      <t>d1.08</t>
    </r>
    <r>
      <rPr>
        <sz val="9"/>
        <rFont val="宋体"/>
        <charset val="134"/>
      </rPr>
      <t xml:space="preserve">）
</t>
    </r>
    <r>
      <rPr>
        <sz val="9"/>
        <rFont val="Times New Roman"/>
        <family val="1"/>
      </rPr>
      <t>2</t>
    </r>
    <r>
      <rPr>
        <sz val="9"/>
        <rFont val="宋体"/>
        <charset val="134"/>
      </rPr>
      <t>：</t>
    </r>
    <r>
      <rPr>
        <sz val="9"/>
        <rFont val="Times New Roman"/>
        <family val="1"/>
      </rPr>
      <t>1.2</t>
    </r>
    <r>
      <rPr>
        <sz val="9"/>
        <rFont val="宋体"/>
        <charset val="134"/>
      </rPr>
      <t xml:space="preserve">次幂
</t>
    </r>
    <r>
      <rPr>
        <sz val="9"/>
        <rFont val="Times New Roman"/>
        <family val="1"/>
      </rPr>
      <t>3</t>
    </r>
    <r>
      <rPr>
        <sz val="9"/>
        <rFont val="宋体"/>
        <charset val="134"/>
      </rPr>
      <t>：</t>
    </r>
    <r>
      <rPr>
        <sz val="9"/>
        <rFont val="Times New Roman"/>
        <family val="1"/>
      </rPr>
      <t>1.4</t>
    </r>
    <r>
      <rPr>
        <sz val="9"/>
        <rFont val="宋体"/>
        <charset val="134"/>
      </rPr>
      <t xml:space="preserve">次幂
</t>
    </r>
    <r>
      <rPr>
        <sz val="9"/>
        <rFont val="Times New Roman"/>
        <family val="1"/>
      </rPr>
      <t>4</t>
    </r>
    <r>
      <rPr>
        <sz val="9"/>
        <rFont val="宋体"/>
        <charset val="134"/>
      </rPr>
      <t>：</t>
    </r>
    <r>
      <rPr>
        <sz val="9"/>
        <rFont val="Times New Roman"/>
        <family val="1"/>
      </rPr>
      <t>1.6</t>
    </r>
    <r>
      <rPr>
        <sz val="9"/>
        <rFont val="宋体"/>
        <charset val="134"/>
      </rPr>
      <t xml:space="preserve">次幂
</t>
    </r>
    <r>
      <rPr>
        <sz val="9"/>
        <rFont val="Times New Roman"/>
        <family val="1"/>
      </rPr>
      <t>5</t>
    </r>
    <r>
      <rPr>
        <sz val="9"/>
        <rFont val="宋体"/>
        <charset val="134"/>
      </rPr>
      <t>：</t>
    </r>
    <r>
      <rPr>
        <sz val="9"/>
        <rFont val="Times New Roman"/>
        <family val="1"/>
      </rPr>
      <t>1.8</t>
    </r>
    <r>
      <rPr>
        <sz val="9"/>
        <rFont val="宋体"/>
        <charset val="134"/>
      </rPr>
      <t xml:space="preserve">次幂
</t>
    </r>
    <r>
      <rPr>
        <sz val="9"/>
        <rFont val="Times New Roman"/>
        <family val="1"/>
      </rPr>
      <t>6</t>
    </r>
    <r>
      <rPr>
        <sz val="9"/>
        <rFont val="宋体"/>
        <charset val="134"/>
      </rPr>
      <t>：</t>
    </r>
    <r>
      <rPr>
        <sz val="9"/>
        <rFont val="Times New Roman"/>
        <family val="1"/>
      </rPr>
      <t>2.0</t>
    </r>
    <r>
      <rPr>
        <sz val="9"/>
        <rFont val="宋体"/>
        <charset val="134"/>
      </rPr>
      <t xml:space="preserve">次幂
</t>
    </r>
    <r>
      <rPr>
        <sz val="9"/>
        <rFont val="Times New Roman"/>
        <family val="1"/>
      </rPr>
      <t>7</t>
    </r>
    <r>
      <rPr>
        <sz val="9"/>
        <rFont val="宋体"/>
        <charset val="134"/>
      </rPr>
      <t>：</t>
    </r>
    <r>
      <rPr>
        <sz val="9"/>
        <rFont val="Times New Roman"/>
        <family val="1"/>
      </rPr>
      <t>V/F</t>
    </r>
    <r>
      <rPr>
        <sz val="9"/>
        <rFont val="宋体"/>
        <charset val="134"/>
      </rPr>
      <t>分离方式</t>
    </r>
    <r>
      <rPr>
        <sz val="9"/>
        <rFont val="Times New Roman"/>
        <family val="1"/>
      </rPr>
      <t xml:space="preserve">1
</t>
    </r>
    <r>
      <rPr>
        <sz val="9"/>
        <rFont val="宋体"/>
        <charset val="134"/>
      </rPr>
      <t>电压完全由</t>
    </r>
    <r>
      <rPr>
        <sz val="9"/>
        <rFont val="Times New Roman"/>
        <family val="1"/>
      </rPr>
      <t>d1.18</t>
    </r>
    <r>
      <rPr>
        <sz val="9"/>
        <rFont val="宋体"/>
        <charset val="134"/>
      </rPr>
      <t xml:space="preserve">决定，最大值对应电机额定电压
</t>
    </r>
    <r>
      <rPr>
        <sz val="9"/>
        <rFont val="Times New Roman"/>
        <family val="1"/>
      </rPr>
      <t>8</t>
    </r>
    <r>
      <rPr>
        <sz val="9"/>
        <rFont val="宋体"/>
        <charset val="134"/>
      </rPr>
      <t>：</t>
    </r>
    <r>
      <rPr>
        <sz val="9"/>
        <rFont val="Times New Roman"/>
        <family val="1"/>
      </rPr>
      <t>V/F</t>
    </r>
    <r>
      <rPr>
        <sz val="9"/>
        <rFont val="宋体"/>
        <charset val="134"/>
      </rPr>
      <t>分离方式</t>
    </r>
    <r>
      <rPr>
        <sz val="9"/>
        <rFont val="Times New Roman"/>
        <family val="1"/>
      </rPr>
      <t xml:space="preserve">2
</t>
    </r>
    <r>
      <rPr>
        <sz val="9"/>
        <rFont val="宋体"/>
        <charset val="134"/>
      </rPr>
      <t>先由直线</t>
    </r>
    <r>
      <rPr>
        <sz val="9"/>
        <rFont val="Times New Roman"/>
        <family val="1"/>
      </rPr>
      <t>V/F</t>
    </r>
    <r>
      <rPr>
        <sz val="9"/>
        <rFont val="宋体"/>
        <charset val="134"/>
      </rPr>
      <t>曲线确定当前电压，再通过</t>
    </r>
    <r>
      <rPr>
        <sz val="9"/>
        <rFont val="Times New Roman"/>
        <family val="1"/>
      </rPr>
      <t>d1.18</t>
    </r>
    <r>
      <rPr>
        <sz val="9"/>
        <rFont val="宋体"/>
        <charset val="134"/>
      </rPr>
      <t>调节此电压比例</t>
    </r>
    <phoneticPr fontId="20" type="noConversion"/>
  </si>
  <si>
    <t>FcFreq3VfM1</t>
    <phoneticPr fontId="20" type="noConversion"/>
  </si>
  <si>
    <t>d0.04</t>
    <phoneticPr fontId="20" type="noConversion"/>
  </si>
  <si>
    <t>FcVol3VfM1</t>
    <phoneticPr fontId="20" type="noConversion"/>
  </si>
  <si>
    <r>
      <t>0.0%～</t>
    </r>
    <r>
      <rPr>
        <sz val="9"/>
        <rFont val="Times New Roman"/>
        <family val="1"/>
      </rPr>
      <t>100.0%</t>
    </r>
    <r>
      <rPr>
        <sz val="9"/>
        <rFont val="宋体"/>
        <charset val="134"/>
      </rPr>
      <t>，</t>
    </r>
    <r>
      <rPr>
        <sz val="9"/>
        <rFont val="Times New Roman"/>
        <family val="1"/>
      </rPr>
      <t>100.0%</t>
    </r>
    <r>
      <rPr>
        <sz val="9"/>
        <rFont val="宋体"/>
        <charset val="134"/>
      </rPr>
      <t>对应变频器额定电压</t>
    </r>
  </si>
  <si>
    <t>FcFreq2VfM1</t>
    <phoneticPr fontId="20" type="noConversion"/>
  </si>
  <si>
    <t>d1.01</t>
    <phoneticPr fontId="20" type="noConversion"/>
  </si>
  <si>
    <t>d1.05</t>
    <phoneticPr fontId="20" type="noConversion"/>
  </si>
  <si>
    <t>FcVol2VfM1</t>
    <phoneticPr fontId="20" type="noConversion"/>
  </si>
  <si>
    <t>FcFreq1VfM1</t>
    <phoneticPr fontId="20" type="noConversion"/>
  </si>
  <si>
    <t>d1.03</t>
    <phoneticPr fontId="20" type="noConversion"/>
  </si>
  <si>
    <t>d1.07</t>
    <phoneticPr fontId="20" type="noConversion"/>
  </si>
  <si>
    <t>FcVol1VfM1</t>
    <phoneticPr fontId="20" type="noConversion"/>
  </si>
  <si>
    <t>FcFreq0VfM1</t>
    <phoneticPr fontId="20" type="noConversion"/>
  </si>
  <si>
    <t>FcVol0VfM1</t>
    <phoneticPr fontId="20" type="noConversion"/>
  </si>
  <si>
    <t>转矩提升</t>
    <phoneticPr fontId="20" type="noConversion"/>
  </si>
  <si>
    <t>FcBostTorqM1</t>
    <phoneticPr fontId="20" type="noConversion"/>
  </si>
  <si>
    <r>
      <t>0.0%～3</t>
    </r>
    <r>
      <rPr>
        <sz val="9"/>
        <rFont val="Times New Roman"/>
        <family val="1"/>
      </rPr>
      <t>0.0%</t>
    </r>
    <r>
      <rPr>
        <sz val="9"/>
        <rFont val="宋体"/>
        <charset val="134"/>
      </rPr>
      <t>，其中</t>
    </r>
    <r>
      <rPr>
        <sz val="9"/>
        <rFont val="Times New Roman"/>
        <family val="1"/>
      </rPr>
      <t>0.0%</t>
    </r>
    <r>
      <rPr>
        <sz val="9"/>
        <rFont val="宋体"/>
        <charset val="134"/>
      </rPr>
      <t>为自动转矩提升</t>
    </r>
    <phoneticPr fontId="20" type="noConversion"/>
  </si>
  <si>
    <t>FcSlipCompVfM1</t>
    <phoneticPr fontId="20" type="noConversion"/>
  </si>
  <si>
    <r>
      <t>0.0%～4</t>
    </r>
    <r>
      <rPr>
        <sz val="9"/>
        <rFont val="Times New Roman"/>
        <family val="1"/>
      </rPr>
      <t>00.0%</t>
    </r>
    <phoneticPr fontId="20" type="noConversion"/>
  </si>
  <si>
    <t>下垂控制增益</t>
    <phoneticPr fontId="20" type="noConversion"/>
  </si>
  <si>
    <t>FcRateDroopM1</t>
    <phoneticPr fontId="20" type="noConversion"/>
  </si>
  <si>
    <t>自动限流选择</t>
    <phoneticPr fontId="20" type="noConversion"/>
  </si>
  <si>
    <t>FcActCurrLimitM1</t>
    <phoneticPr fontId="20" type="noConversion"/>
  </si>
  <si>
    <t>0：电流限定无效
1：电流限定数字设定有效（d1.13）
2：电流限定AI1设定有效
3：电流限定AI2设定有效
4：电流限定AI3设定有效
5：X7/DI设定有效</t>
    <phoneticPr fontId="20" type="noConversion"/>
  </si>
  <si>
    <t>自动限流水平值</t>
    <phoneticPr fontId="20" type="noConversion"/>
  </si>
  <si>
    <t>FcCurrLimitPerVfM1</t>
    <phoneticPr fontId="20" type="noConversion"/>
  </si>
  <si>
    <t>弱磁电流限定系数</t>
    <phoneticPr fontId="20" type="noConversion"/>
  </si>
  <si>
    <t>FcTorqLimitCoffVfM1</t>
    <phoneticPr fontId="20" type="noConversion"/>
  </si>
  <si>
    <t>0.001～1.000</t>
    <phoneticPr fontId="20" type="noConversion"/>
  </si>
  <si>
    <t>节能率</t>
    <phoneticPr fontId="20" type="noConversion"/>
  </si>
  <si>
    <t>FcEnergySavePerM1</t>
    <phoneticPr fontId="20" type="noConversion"/>
  </si>
  <si>
    <r>
      <t>0%～4</t>
    </r>
    <r>
      <rPr>
        <sz val="9"/>
        <rFont val="Times New Roman"/>
        <family val="1"/>
      </rPr>
      <t>0.0%</t>
    </r>
    <phoneticPr fontId="20" type="noConversion"/>
  </si>
  <si>
    <r>
      <rPr>
        <sz val="10"/>
        <rFont val="Times New Roman"/>
        <family val="1"/>
      </rPr>
      <t>VF</t>
    </r>
    <r>
      <rPr>
        <sz val="10"/>
        <rFont val="宋体"/>
        <charset val="134"/>
      </rPr>
      <t>振荡抑制增益</t>
    </r>
    <r>
      <rPr>
        <sz val="10"/>
        <rFont val="Times New Roman"/>
        <family val="1"/>
      </rPr>
      <t>1</t>
    </r>
    <phoneticPr fontId="20" type="noConversion"/>
  </si>
  <si>
    <t>FcBateVibScale1M1</t>
    <phoneticPr fontId="20" type="noConversion"/>
  </si>
  <si>
    <t>0～3000</t>
    <phoneticPr fontId="20" type="noConversion"/>
  </si>
  <si>
    <r>
      <rPr>
        <sz val="10"/>
        <rFont val="Times New Roman"/>
        <family val="1"/>
      </rPr>
      <t>VF</t>
    </r>
    <r>
      <rPr>
        <sz val="10"/>
        <rFont val="宋体"/>
        <charset val="134"/>
      </rPr>
      <t>振荡抑制增益</t>
    </r>
    <r>
      <rPr>
        <sz val="10"/>
        <rFont val="Times New Roman"/>
        <family val="1"/>
      </rPr>
      <t>2</t>
    </r>
    <phoneticPr fontId="20" type="noConversion"/>
  </si>
  <si>
    <t>FcBateVibScale2M1</t>
    <phoneticPr fontId="20" type="noConversion"/>
  </si>
  <si>
    <t>FcVolSetSourVfSepM1</t>
    <phoneticPr fontId="20" type="noConversion"/>
  </si>
  <si>
    <r>
      <t>0：</t>
    </r>
    <r>
      <rPr>
        <sz val="9"/>
        <rFont val="Times New Roman"/>
        <family val="1"/>
      </rPr>
      <t>d1.19</t>
    </r>
    <r>
      <rPr>
        <sz val="9"/>
        <rFont val="宋体"/>
        <charset val="134"/>
      </rPr>
      <t xml:space="preserve">数字设定
</t>
    </r>
    <r>
      <rPr>
        <sz val="9"/>
        <rFont val="Times New Roman"/>
        <family val="1"/>
      </rPr>
      <t>1</t>
    </r>
    <r>
      <rPr>
        <sz val="9"/>
        <rFont val="宋体"/>
        <charset val="134"/>
      </rPr>
      <t>：模拟输入</t>
    </r>
    <r>
      <rPr>
        <sz val="9"/>
        <rFont val="Times New Roman"/>
        <family val="1"/>
      </rPr>
      <t>AI1</t>
    </r>
    <r>
      <rPr>
        <sz val="9"/>
        <rFont val="宋体"/>
        <charset val="134"/>
      </rPr>
      <t xml:space="preserve">给定
</t>
    </r>
    <r>
      <rPr>
        <sz val="9"/>
        <rFont val="Times New Roman"/>
        <family val="1"/>
      </rPr>
      <t>2</t>
    </r>
    <r>
      <rPr>
        <sz val="9"/>
        <rFont val="宋体"/>
        <charset val="134"/>
      </rPr>
      <t>：模拟输入</t>
    </r>
    <r>
      <rPr>
        <sz val="9"/>
        <rFont val="Times New Roman"/>
        <family val="1"/>
      </rPr>
      <t>AI2</t>
    </r>
    <r>
      <rPr>
        <sz val="9"/>
        <rFont val="宋体"/>
        <charset val="134"/>
      </rPr>
      <t xml:space="preserve">给定
</t>
    </r>
    <r>
      <rPr>
        <sz val="9"/>
        <rFont val="Times New Roman"/>
        <family val="1"/>
      </rPr>
      <t>3</t>
    </r>
    <r>
      <rPr>
        <sz val="9"/>
        <rFont val="宋体"/>
        <charset val="134"/>
      </rPr>
      <t>：模拟输入</t>
    </r>
    <r>
      <rPr>
        <sz val="9"/>
        <rFont val="Times New Roman"/>
        <family val="1"/>
      </rPr>
      <t>AI3</t>
    </r>
    <r>
      <rPr>
        <sz val="9"/>
        <rFont val="宋体"/>
        <charset val="134"/>
      </rPr>
      <t xml:space="preserve">给定
</t>
    </r>
    <r>
      <rPr>
        <sz val="9"/>
        <rFont val="Times New Roman"/>
        <family val="1"/>
      </rPr>
      <t>4</t>
    </r>
    <r>
      <rPr>
        <sz val="9"/>
        <rFont val="宋体"/>
        <charset val="134"/>
      </rPr>
      <t>：过程</t>
    </r>
    <r>
      <rPr>
        <sz val="9"/>
        <rFont val="Times New Roman"/>
        <family val="1"/>
      </rPr>
      <t>PID</t>
    </r>
    <r>
      <rPr>
        <sz val="9"/>
        <rFont val="宋体"/>
        <charset val="134"/>
      </rPr>
      <t xml:space="preserve">输出
</t>
    </r>
    <r>
      <rPr>
        <sz val="9"/>
        <rFont val="Times New Roman"/>
        <family val="1"/>
      </rPr>
      <t>5</t>
    </r>
    <r>
      <rPr>
        <sz val="9"/>
        <rFont val="宋体"/>
        <charset val="134"/>
      </rPr>
      <t>：</t>
    </r>
    <r>
      <rPr>
        <sz val="9"/>
        <rFont val="Times New Roman"/>
        <family val="1"/>
      </rPr>
      <t xml:space="preserve">AI1+ </t>
    </r>
    <r>
      <rPr>
        <sz val="9"/>
        <rFont val="宋体"/>
        <charset val="134"/>
      </rPr>
      <t>过程</t>
    </r>
    <r>
      <rPr>
        <sz val="9"/>
        <rFont val="Times New Roman"/>
        <family val="1"/>
      </rPr>
      <t>PID</t>
    </r>
    <r>
      <rPr>
        <sz val="9"/>
        <rFont val="宋体"/>
        <charset val="134"/>
      </rPr>
      <t>输出</t>
    </r>
    <phoneticPr fontId="20" type="noConversion"/>
  </si>
  <si>
    <t>FcVolSetNumVfSepM1</t>
    <phoneticPr fontId="20" type="noConversion"/>
  </si>
  <si>
    <r>
      <t>0.0%～</t>
    </r>
    <r>
      <rPr>
        <sz val="9"/>
        <rFont val="Times New Roman"/>
        <family val="1"/>
      </rPr>
      <t>100.0%</t>
    </r>
    <r>
      <rPr>
        <sz val="9"/>
        <rFont val="宋体"/>
        <charset val="134"/>
      </rPr>
      <t>，相对于电机额定电压的百分比</t>
    </r>
  </si>
  <si>
    <t>FcVolRampVfSepM1</t>
    <phoneticPr fontId="20" type="noConversion"/>
  </si>
  <si>
    <r>
      <t>0.00s～</t>
    </r>
    <r>
      <rPr>
        <sz val="9"/>
        <rFont val="Times New Roman"/>
        <family val="1"/>
      </rPr>
      <t>600.00s</t>
    </r>
    <r>
      <rPr>
        <sz val="9"/>
        <rFont val="宋体"/>
        <charset val="134"/>
      </rPr>
      <t>表示为</t>
    </r>
    <r>
      <rPr>
        <sz val="9"/>
        <rFont val="Times New Roman"/>
        <family val="1"/>
      </rPr>
      <t>0V</t>
    </r>
    <r>
      <rPr>
        <sz val="9"/>
        <rFont val="宋体"/>
        <charset val="134"/>
      </rPr>
      <t>到电机额定电压的上升或下降时间</t>
    </r>
    <phoneticPr fontId="20" type="noConversion"/>
  </si>
  <si>
    <r>
      <t>速度</t>
    </r>
    <r>
      <rPr>
        <sz val="10"/>
        <rFont val="Times New Roman"/>
        <family val="1"/>
      </rPr>
      <t>/</t>
    </r>
    <r>
      <rPr>
        <sz val="10"/>
        <rFont val="宋体"/>
        <charset val="134"/>
      </rPr>
      <t>转矩控制选择</t>
    </r>
  </si>
  <si>
    <t>FcSpdTorqActM1</t>
    <phoneticPr fontId="20" type="noConversion"/>
  </si>
  <si>
    <r>
      <t xml:space="preserve">0：速度控制
</t>
    </r>
    <r>
      <rPr>
        <sz val="9"/>
        <rFont val="Times New Roman"/>
        <family val="1"/>
      </rPr>
      <t>1</t>
    </r>
    <r>
      <rPr>
        <sz val="9"/>
        <rFont val="宋体"/>
        <charset val="134"/>
      </rPr>
      <t>：转矩控制</t>
    </r>
    <phoneticPr fontId="20" type="noConversion"/>
  </si>
  <si>
    <r>
      <t>ASR高速比例增益</t>
    </r>
    <r>
      <rPr>
        <sz val="10"/>
        <rFont val="Times New Roman"/>
        <family val="1"/>
      </rPr>
      <t>Kp1</t>
    </r>
    <phoneticPr fontId="20" type="noConversion"/>
  </si>
  <si>
    <t>FcKp1M1</t>
    <phoneticPr fontId="20" type="noConversion"/>
  </si>
  <si>
    <r>
      <t>0.0～2</t>
    </r>
    <r>
      <rPr>
        <sz val="9"/>
        <rFont val="Times New Roman"/>
        <family val="1"/>
      </rPr>
      <t>0.0</t>
    </r>
    <phoneticPr fontId="20" type="noConversion"/>
  </si>
  <si>
    <r>
      <t>ASR高速积分时间</t>
    </r>
    <r>
      <rPr>
        <sz val="10"/>
        <rFont val="Times New Roman"/>
        <family val="1"/>
      </rPr>
      <t>Ti1</t>
    </r>
    <phoneticPr fontId="20" type="noConversion"/>
  </si>
  <si>
    <t>FcTi1M1</t>
    <phoneticPr fontId="20" type="noConversion"/>
  </si>
  <si>
    <r>
      <t>0.000s～8</t>
    </r>
    <r>
      <rPr>
        <sz val="9"/>
        <rFont val="Times New Roman"/>
        <family val="1"/>
      </rPr>
      <t>.000s</t>
    </r>
    <phoneticPr fontId="20" type="noConversion"/>
  </si>
  <si>
    <r>
      <t>ASR低速比例增益</t>
    </r>
    <r>
      <rPr>
        <sz val="10"/>
        <rFont val="Times New Roman"/>
        <family val="1"/>
      </rPr>
      <t>Kp2</t>
    </r>
    <phoneticPr fontId="20" type="noConversion"/>
  </si>
  <si>
    <t>FcKp2M1</t>
    <phoneticPr fontId="20" type="noConversion"/>
  </si>
  <si>
    <r>
      <t>ASR低速积分时间</t>
    </r>
    <r>
      <rPr>
        <sz val="10"/>
        <rFont val="Times New Roman"/>
        <family val="1"/>
      </rPr>
      <t>Ti2</t>
    </r>
    <phoneticPr fontId="20" type="noConversion"/>
  </si>
  <si>
    <t>FcTi2M1</t>
    <phoneticPr fontId="20" type="noConversion"/>
  </si>
  <si>
    <t>FcSwitFreq1AsrM1</t>
    <phoneticPr fontId="20" type="noConversion"/>
  </si>
  <si>
    <t>0.00Hz～d2.06</t>
    <phoneticPr fontId="20" type="noConversion"/>
  </si>
  <si>
    <t>d2.06</t>
    <phoneticPr fontId="20" type="noConversion"/>
  </si>
  <si>
    <t>FcSwitFreq2AsrM1</t>
    <phoneticPr fontId="20" type="noConversion"/>
  </si>
  <si>
    <t>d2.05～上限频率</t>
    <phoneticPr fontId="20" type="noConversion"/>
  </si>
  <si>
    <t>d2.05</t>
    <phoneticPr fontId="20" type="noConversion"/>
  </si>
  <si>
    <t>ASR输入滤波时间</t>
    <phoneticPr fontId="20" type="noConversion"/>
  </si>
  <si>
    <t>FcInFiltTimAsrM1</t>
    <phoneticPr fontId="20" type="noConversion"/>
  </si>
  <si>
    <t>m</t>
    <phoneticPr fontId="20" type="noConversion"/>
  </si>
  <si>
    <t>FcOutFiltTimAsrM1</t>
    <phoneticPr fontId="20" type="noConversion"/>
  </si>
  <si>
    <t>电流环比例增益</t>
    <phoneticPr fontId="20" type="noConversion"/>
  </si>
  <si>
    <t>FcKpCurrLoopM1</t>
    <phoneticPr fontId="20" type="noConversion"/>
  </si>
  <si>
    <t>0.000～4.000</t>
    <phoneticPr fontId="20" type="noConversion"/>
  </si>
  <si>
    <t>电流环积分增益</t>
    <phoneticPr fontId="20" type="noConversion"/>
  </si>
  <si>
    <t>FcKiCurrLoopM1</t>
    <phoneticPr fontId="20" type="noConversion"/>
  </si>
  <si>
    <t>FcTimePreMagtM1</t>
    <phoneticPr fontId="20" type="noConversion"/>
  </si>
  <si>
    <r>
      <t>0.000s～5</t>
    </r>
    <r>
      <rPr>
        <sz val="9"/>
        <rFont val="Times New Roman"/>
        <family val="1"/>
      </rPr>
      <t>.000s</t>
    </r>
    <phoneticPr fontId="20" type="noConversion"/>
  </si>
  <si>
    <t>FcDrvLimitSourM1</t>
    <phoneticPr fontId="20" type="noConversion"/>
  </si>
  <si>
    <r>
      <t>0：</t>
    </r>
    <r>
      <rPr>
        <sz val="9"/>
        <rFont val="Times New Roman"/>
        <family val="1"/>
      </rPr>
      <t>d2.14</t>
    </r>
    <r>
      <rPr>
        <sz val="9"/>
        <rFont val="宋体"/>
        <charset val="134"/>
      </rPr>
      <t xml:space="preserve">数字设定
</t>
    </r>
    <r>
      <rPr>
        <sz val="9"/>
        <rFont val="Times New Roman"/>
        <family val="1"/>
      </rPr>
      <t>1</t>
    </r>
    <r>
      <rPr>
        <sz val="9"/>
        <rFont val="宋体"/>
        <charset val="134"/>
      </rPr>
      <t>：模拟输入</t>
    </r>
    <r>
      <rPr>
        <sz val="9"/>
        <rFont val="Times New Roman"/>
        <family val="1"/>
      </rPr>
      <t>AI1 
2</t>
    </r>
    <r>
      <rPr>
        <sz val="9"/>
        <rFont val="宋体"/>
        <charset val="134"/>
      </rPr>
      <t>：模拟输入</t>
    </r>
    <r>
      <rPr>
        <sz val="9"/>
        <rFont val="Times New Roman"/>
        <family val="1"/>
      </rPr>
      <t>AI2
3</t>
    </r>
    <r>
      <rPr>
        <sz val="9"/>
        <rFont val="宋体"/>
        <charset val="134"/>
      </rPr>
      <t>：模拟输入</t>
    </r>
    <r>
      <rPr>
        <sz val="9"/>
        <rFont val="Times New Roman"/>
        <family val="1"/>
      </rPr>
      <t>AI3
4</t>
    </r>
    <r>
      <rPr>
        <sz val="9"/>
        <rFont val="宋体"/>
        <charset val="134"/>
      </rPr>
      <t>：</t>
    </r>
    <r>
      <rPr>
        <sz val="9"/>
        <rFont val="Times New Roman"/>
        <family val="1"/>
      </rPr>
      <t>X8/DI</t>
    </r>
    <r>
      <rPr>
        <sz val="9"/>
        <rFont val="宋体"/>
        <charset val="134"/>
      </rPr>
      <t xml:space="preserve">脉冲输入
</t>
    </r>
    <r>
      <rPr>
        <sz val="9"/>
        <rFont val="Times New Roman"/>
        <family val="1"/>
      </rPr>
      <t>5</t>
    </r>
    <r>
      <rPr>
        <sz val="9"/>
        <rFont val="宋体"/>
        <charset val="134"/>
      </rPr>
      <t>：通讯设定</t>
    </r>
    <phoneticPr fontId="20" type="noConversion"/>
  </si>
  <si>
    <t>FcBrkLimitSourM1</t>
    <phoneticPr fontId="20" type="noConversion"/>
  </si>
  <si>
    <r>
      <t>0：</t>
    </r>
    <r>
      <rPr>
        <sz val="9"/>
        <rFont val="Times New Roman"/>
        <family val="1"/>
      </rPr>
      <t>d2.15</t>
    </r>
    <r>
      <rPr>
        <sz val="9"/>
        <rFont val="宋体"/>
        <charset val="134"/>
      </rPr>
      <t xml:space="preserve">数字设定
</t>
    </r>
    <r>
      <rPr>
        <sz val="9"/>
        <rFont val="Times New Roman"/>
        <family val="1"/>
      </rPr>
      <t>1</t>
    </r>
    <r>
      <rPr>
        <sz val="9"/>
        <rFont val="宋体"/>
        <charset val="134"/>
      </rPr>
      <t>：模拟输入</t>
    </r>
    <r>
      <rPr>
        <sz val="9"/>
        <rFont val="Times New Roman"/>
        <family val="1"/>
      </rPr>
      <t>AI1 
2</t>
    </r>
    <r>
      <rPr>
        <sz val="9"/>
        <rFont val="宋体"/>
        <charset val="134"/>
      </rPr>
      <t>：模拟输入</t>
    </r>
    <r>
      <rPr>
        <sz val="9"/>
        <rFont val="Times New Roman"/>
        <family val="1"/>
      </rPr>
      <t>AI2
3</t>
    </r>
    <r>
      <rPr>
        <sz val="9"/>
        <rFont val="宋体"/>
        <charset val="134"/>
      </rPr>
      <t>：模拟输入</t>
    </r>
    <r>
      <rPr>
        <sz val="9"/>
        <rFont val="Times New Roman"/>
        <family val="1"/>
      </rPr>
      <t>AI3 
4</t>
    </r>
    <r>
      <rPr>
        <sz val="9"/>
        <rFont val="宋体"/>
        <charset val="134"/>
      </rPr>
      <t>：</t>
    </r>
    <r>
      <rPr>
        <sz val="9"/>
        <rFont val="Times New Roman"/>
        <family val="1"/>
      </rPr>
      <t xml:space="preserve"> X8/DI</t>
    </r>
    <r>
      <rPr>
        <sz val="9"/>
        <rFont val="宋体"/>
        <charset val="134"/>
      </rPr>
      <t xml:space="preserve">脉冲输入
</t>
    </r>
    <r>
      <rPr>
        <sz val="9"/>
        <rFont val="Times New Roman"/>
        <family val="1"/>
      </rPr>
      <t>5</t>
    </r>
    <r>
      <rPr>
        <sz val="9"/>
        <rFont val="宋体"/>
        <charset val="134"/>
      </rPr>
      <t>：通讯设定</t>
    </r>
    <phoneticPr fontId="20" type="noConversion"/>
  </si>
  <si>
    <t>FcDrvLimitSetNumM1</t>
    <phoneticPr fontId="20" type="noConversion"/>
  </si>
  <si>
    <t>FcBrkLimitSetNumM1</t>
    <phoneticPr fontId="20" type="noConversion"/>
  </si>
  <si>
    <t>FcDrvSlipCompSvcM1</t>
    <phoneticPr fontId="20" type="noConversion"/>
  </si>
  <si>
    <t>FcBrkSlipCompSvcM1</t>
    <phoneticPr fontId="20" type="noConversion"/>
  </si>
  <si>
    <t>FcTorqSetSourceM1</t>
    <phoneticPr fontId="20" type="noConversion"/>
  </si>
  <si>
    <r>
      <t>0：</t>
    </r>
    <r>
      <rPr>
        <sz val="9"/>
        <rFont val="Times New Roman"/>
        <family val="1"/>
      </rPr>
      <t>d2.25</t>
    </r>
    <r>
      <rPr>
        <sz val="9"/>
        <rFont val="宋体"/>
        <charset val="134"/>
      </rPr>
      <t xml:space="preserve">设定
</t>
    </r>
    <r>
      <rPr>
        <sz val="9"/>
        <rFont val="Times New Roman"/>
        <family val="1"/>
      </rPr>
      <t>1</t>
    </r>
    <r>
      <rPr>
        <sz val="9"/>
        <rFont val="宋体"/>
        <charset val="134"/>
      </rPr>
      <t>：模拟输入</t>
    </r>
    <r>
      <rPr>
        <sz val="9"/>
        <rFont val="Times New Roman"/>
        <family val="1"/>
      </rPr>
      <t>AI1
2</t>
    </r>
    <r>
      <rPr>
        <sz val="9"/>
        <rFont val="宋体"/>
        <charset val="134"/>
      </rPr>
      <t>：模拟输入</t>
    </r>
    <r>
      <rPr>
        <sz val="9"/>
        <rFont val="Times New Roman"/>
        <family val="1"/>
      </rPr>
      <t>AI2 
3</t>
    </r>
    <r>
      <rPr>
        <sz val="9"/>
        <rFont val="宋体"/>
        <charset val="134"/>
      </rPr>
      <t>：模拟输入</t>
    </r>
    <r>
      <rPr>
        <sz val="9"/>
        <rFont val="Times New Roman"/>
        <family val="1"/>
      </rPr>
      <t>AI3 
4</t>
    </r>
    <r>
      <rPr>
        <sz val="9"/>
        <rFont val="宋体"/>
        <charset val="134"/>
      </rPr>
      <t>：</t>
    </r>
    <r>
      <rPr>
        <sz val="9"/>
        <rFont val="Times New Roman"/>
        <family val="1"/>
      </rPr>
      <t>X8/DI</t>
    </r>
    <r>
      <rPr>
        <sz val="9"/>
        <rFont val="宋体"/>
        <charset val="134"/>
      </rPr>
      <t xml:space="preserve">脉冲输入
</t>
    </r>
    <r>
      <rPr>
        <sz val="9"/>
        <rFont val="Times New Roman"/>
        <family val="1"/>
      </rPr>
      <t>5</t>
    </r>
    <r>
      <rPr>
        <sz val="9"/>
        <rFont val="宋体"/>
        <charset val="134"/>
      </rPr>
      <t>：通讯设定</t>
    </r>
    <phoneticPr fontId="20" type="noConversion"/>
  </si>
  <si>
    <t>转矩数字设定值</t>
    <phoneticPr fontId="20" type="noConversion"/>
  </si>
  <si>
    <t>FcTorqSetNumM1</t>
    <phoneticPr fontId="20" type="noConversion"/>
  </si>
  <si>
    <t>转矩控制正转速度极限方式选择</t>
    <phoneticPr fontId="20" type="noConversion"/>
  </si>
  <si>
    <t>FcFwdSpdMaxSourTorqM1</t>
    <phoneticPr fontId="20" type="noConversion"/>
  </si>
  <si>
    <r>
      <t>0：</t>
    </r>
    <r>
      <rPr>
        <sz val="9"/>
        <rFont val="Times New Roman"/>
        <family val="1"/>
      </rPr>
      <t>d2.28</t>
    </r>
    <r>
      <rPr>
        <sz val="9"/>
        <rFont val="宋体"/>
        <charset val="134"/>
      </rPr>
      <t xml:space="preserve">设定
</t>
    </r>
    <r>
      <rPr>
        <sz val="9"/>
        <rFont val="Times New Roman"/>
        <family val="1"/>
      </rPr>
      <t>1</t>
    </r>
    <r>
      <rPr>
        <sz val="9"/>
        <rFont val="宋体"/>
        <charset val="134"/>
      </rPr>
      <t>：模拟输入</t>
    </r>
    <r>
      <rPr>
        <sz val="9"/>
        <rFont val="Times New Roman"/>
        <family val="1"/>
      </rPr>
      <t>AI1
2</t>
    </r>
    <r>
      <rPr>
        <sz val="9"/>
        <rFont val="宋体"/>
        <charset val="134"/>
      </rPr>
      <t>：模拟输入</t>
    </r>
    <r>
      <rPr>
        <sz val="9"/>
        <rFont val="Times New Roman"/>
        <family val="1"/>
      </rPr>
      <t>AI2 
3</t>
    </r>
    <r>
      <rPr>
        <sz val="9"/>
        <rFont val="宋体"/>
        <charset val="134"/>
      </rPr>
      <t>：模拟输入</t>
    </r>
    <r>
      <rPr>
        <sz val="9"/>
        <rFont val="Times New Roman"/>
        <family val="1"/>
      </rPr>
      <t>AI3 
4</t>
    </r>
    <r>
      <rPr>
        <sz val="9"/>
        <rFont val="宋体"/>
        <charset val="134"/>
      </rPr>
      <t>：</t>
    </r>
    <r>
      <rPr>
        <sz val="9"/>
        <rFont val="Times New Roman"/>
        <family val="1"/>
      </rPr>
      <t>X8/DI</t>
    </r>
    <r>
      <rPr>
        <sz val="9"/>
        <rFont val="宋体"/>
        <charset val="134"/>
      </rPr>
      <t xml:space="preserve">脉冲输入
</t>
    </r>
    <r>
      <rPr>
        <sz val="9"/>
        <rFont val="Times New Roman"/>
        <family val="1"/>
      </rPr>
      <t>5</t>
    </r>
    <r>
      <rPr>
        <sz val="9"/>
        <rFont val="宋体"/>
        <charset val="134"/>
      </rPr>
      <t>：通讯设定</t>
    </r>
    <phoneticPr fontId="20" type="noConversion"/>
  </si>
  <si>
    <t>转矩控制反转速度极限方式选择</t>
    <phoneticPr fontId="20" type="noConversion"/>
  </si>
  <si>
    <t>FcRevSpdMaxSourTorqM1</t>
    <phoneticPr fontId="20" type="noConversion"/>
  </si>
  <si>
    <r>
      <t>0：</t>
    </r>
    <r>
      <rPr>
        <sz val="9"/>
        <rFont val="Times New Roman"/>
        <family val="1"/>
      </rPr>
      <t>d2.29</t>
    </r>
    <r>
      <rPr>
        <sz val="9"/>
        <rFont val="宋体"/>
        <charset val="134"/>
      </rPr>
      <t xml:space="preserve">数字设定
</t>
    </r>
    <r>
      <rPr>
        <sz val="9"/>
        <rFont val="Times New Roman"/>
        <family val="1"/>
      </rPr>
      <t>1</t>
    </r>
    <r>
      <rPr>
        <sz val="9"/>
        <rFont val="宋体"/>
        <charset val="134"/>
      </rPr>
      <t>：模拟输入</t>
    </r>
    <r>
      <rPr>
        <sz val="9"/>
        <rFont val="Times New Roman"/>
        <family val="1"/>
      </rPr>
      <t>AI1
2</t>
    </r>
    <r>
      <rPr>
        <sz val="9"/>
        <rFont val="宋体"/>
        <charset val="134"/>
      </rPr>
      <t>：模拟输入</t>
    </r>
    <r>
      <rPr>
        <sz val="9"/>
        <rFont val="Times New Roman"/>
        <family val="1"/>
      </rPr>
      <t>AI2 
3</t>
    </r>
    <r>
      <rPr>
        <sz val="9"/>
        <rFont val="宋体"/>
        <charset val="134"/>
      </rPr>
      <t>：模拟输入</t>
    </r>
    <r>
      <rPr>
        <sz val="9"/>
        <rFont val="Times New Roman"/>
        <family val="1"/>
      </rPr>
      <t>AI3  
4</t>
    </r>
    <r>
      <rPr>
        <sz val="9"/>
        <rFont val="宋体"/>
        <charset val="134"/>
      </rPr>
      <t>：</t>
    </r>
    <r>
      <rPr>
        <sz val="9"/>
        <rFont val="Times New Roman"/>
        <family val="1"/>
      </rPr>
      <t>X8/DI</t>
    </r>
    <r>
      <rPr>
        <sz val="9"/>
        <rFont val="宋体"/>
        <charset val="134"/>
      </rPr>
      <t xml:space="preserve">脉冲输入
</t>
    </r>
    <r>
      <rPr>
        <sz val="9"/>
        <rFont val="Times New Roman"/>
        <family val="1"/>
      </rPr>
      <t>5</t>
    </r>
    <r>
      <rPr>
        <sz val="9"/>
        <rFont val="宋体"/>
        <charset val="134"/>
      </rPr>
      <t>：通讯设定</t>
    </r>
    <phoneticPr fontId="20" type="noConversion"/>
  </si>
  <si>
    <t>m</t>
    <phoneticPr fontId="20" type="noConversion"/>
  </si>
  <si>
    <t>FcSourEncode</t>
    <phoneticPr fontId="20" type="noConversion"/>
  </si>
  <si>
    <r>
      <t>个位：电机</t>
    </r>
    <r>
      <rPr>
        <sz val="9"/>
        <rFont val="Times New Roman"/>
        <family val="1"/>
      </rPr>
      <t>1</t>
    </r>
    <r>
      <rPr>
        <sz val="9"/>
        <rFont val="宋体"/>
        <charset val="134"/>
      </rPr>
      <t xml:space="preserve">速度反馈编码器选择
</t>
    </r>
    <r>
      <rPr>
        <sz val="9"/>
        <rFont val="Times New Roman"/>
        <family val="1"/>
      </rPr>
      <t>0</t>
    </r>
    <r>
      <rPr>
        <sz val="9"/>
        <rFont val="宋体"/>
        <charset val="134"/>
      </rPr>
      <t>：编码器</t>
    </r>
    <r>
      <rPr>
        <sz val="9"/>
        <rFont val="Times New Roman"/>
        <family val="1"/>
      </rPr>
      <t>1</t>
    </r>
    <r>
      <rPr>
        <sz val="9"/>
        <rFont val="宋体"/>
        <charset val="134"/>
      </rPr>
      <t xml:space="preserve">（本地）
</t>
    </r>
    <r>
      <rPr>
        <sz val="9"/>
        <rFont val="Times New Roman"/>
        <family val="1"/>
      </rPr>
      <t>1</t>
    </r>
    <r>
      <rPr>
        <sz val="9"/>
        <rFont val="宋体"/>
        <charset val="134"/>
      </rPr>
      <t>：编码器</t>
    </r>
    <r>
      <rPr>
        <sz val="9"/>
        <rFont val="Times New Roman"/>
        <family val="1"/>
      </rPr>
      <t>2</t>
    </r>
    <r>
      <rPr>
        <sz val="9"/>
        <rFont val="宋体"/>
        <charset val="134"/>
      </rPr>
      <t>（扩展）
十位：电机</t>
    </r>
    <r>
      <rPr>
        <sz val="9"/>
        <rFont val="Times New Roman"/>
        <family val="1"/>
      </rPr>
      <t>2</t>
    </r>
    <r>
      <rPr>
        <sz val="9"/>
        <rFont val="宋体"/>
        <charset val="134"/>
      </rPr>
      <t xml:space="preserve">速度反馈编码器选择
</t>
    </r>
    <r>
      <rPr>
        <sz val="9"/>
        <rFont val="Times New Roman"/>
        <family val="1"/>
      </rPr>
      <t>0</t>
    </r>
    <r>
      <rPr>
        <sz val="9"/>
        <rFont val="宋体"/>
        <charset val="134"/>
      </rPr>
      <t>：编码器</t>
    </r>
    <r>
      <rPr>
        <sz val="9"/>
        <rFont val="Times New Roman"/>
        <family val="1"/>
      </rPr>
      <t>1</t>
    </r>
    <r>
      <rPr>
        <sz val="9"/>
        <rFont val="宋体"/>
        <charset val="134"/>
      </rPr>
      <t xml:space="preserve">（本地）
</t>
    </r>
    <r>
      <rPr>
        <sz val="9"/>
        <rFont val="Times New Roman"/>
        <family val="1"/>
      </rPr>
      <t>1</t>
    </r>
    <r>
      <rPr>
        <sz val="9"/>
        <rFont val="宋体"/>
        <charset val="134"/>
      </rPr>
      <t>：编码器</t>
    </r>
    <r>
      <rPr>
        <sz val="9"/>
        <rFont val="Times New Roman"/>
        <family val="1"/>
      </rPr>
      <t>2</t>
    </r>
    <r>
      <rPr>
        <sz val="9"/>
        <rFont val="宋体"/>
        <charset val="134"/>
      </rPr>
      <t>（扩展）</t>
    </r>
    <phoneticPr fontId="20" type="noConversion"/>
  </si>
  <si>
    <r>
      <t>编码器</t>
    </r>
    <r>
      <rPr>
        <sz val="10"/>
        <rFont val="Times New Roman"/>
        <family val="1"/>
      </rPr>
      <t>1</t>
    </r>
    <r>
      <rPr>
        <sz val="10"/>
        <rFont val="宋体"/>
        <charset val="134"/>
      </rPr>
      <t>每转脉冲数</t>
    </r>
  </si>
  <si>
    <t>FcPulsePerEncode1</t>
    <phoneticPr fontId="20" type="noConversion"/>
  </si>
  <si>
    <r>
      <t>编码器</t>
    </r>
    <r>
      <rPr>
        <sz val="10"/>
        <rFont val="Times New Roman"/>
        <family val="1"/>
      </rPr>
      <t>1</t>
    </r>
    <r>
      <rPr>
        <sz val="10"/>
        <rFont val="宋体"/>
        <charset val="134"/>
      </rPr>
      <t>方向选择</t>
    </r>
  </si>
  <si>
    <t>FcDirEncode1</t>
    <phoneticPr fontId="20" type="noConversion"/>
  </si>
  <si>
    <r>
      <t xml:space="preserve">0：正向
</t>
    </r>
    <r>
      <rPr>
        <sz val="9"/>
        <rFont val="Times New Roman"/>
        <family val="1"/>
      </rPr>
      <t>1</t>
    </r>
    <r>
      <rPr>
        <sz val="9"/>
        <rFont val="宋体"/>
        <charset val="134"/>
      </rPr>
      <t>：反向</t>
    </r>
    <phoneticPr fontId="20" type="noConversion"/>
  </si>
  <si>
    <t>电机与编码器1转速比分子</t>
    <phoneticPr fontId="20" type="noConversion"/>
  </si>
  <si>
    <t>FcGearRatioEncodeZ1</t>
    <phoneticPr fontId="20" type="noConversion"/>
  </si>
  <si>
    <t>1～65535</t>
    <phoneticPr fontId="20" type="noConversion"/>
  </si>
  <si>
    <t>电机与编码器1转速比分母</t>
    <phoneticPr fontId="20" type="noConversion"/>
  </si>
  <si>
    <t>FcGearRatioEncodeM1</t>
    <phoneticPr fontId="20" type="noConversion"/>
  </si>
  <si>
    <t>1～65535</t>
    <phoneticPr fontId="20" type="noConversion"/>
  </si>
  <si>
    <r>
      <t>编码器</t>
    </r>
    <r>
      <rPr>
        <sz val="10"/>
        <rFont val="Times New Roman"/>
        <family val="1"/>
      </rPr>
      <t>1</t>
    </r>
    <r>
      <rPr>
        <sz val="10"/>
        <rFont val="宋体"/>
        <charset val="134"/>
      </rPr>
      <t>断线检测时间</t>
    </r>
  </si>
  <si>
    <t>FcPgLosTimEncode1</t>
    <phoneticPr fontId="20" type="noConversion"/>
  </si>
  <si>
    <r>
      <t>0.0s～</t>
    </r>
    <r>
      <rPr>
        <sz val="9"/>
        <rFont val="Times New Roman"/>
        <family val="1"/>
      </rPr>
      <t>8.0s</t>
    </r>
    <r>
      <rPr>
        <sz val="9"/>
        <rFont val="宋体"/>
        <charset val="134"/>
      </rPr>
      <t>（</t>
    </r>
    <r>
      <rPr>
        <sz val="9"/>
        <rFont val="Times New Roman"/>
        <family val="1"/>
      </rPr>
      <t>0.0s</t>
    </r>
    <r>
      <rPr>
        <sz val="9"/>
        <rFont val="宋体"/>
        <charset val="134"/>
      </rPr>
      <t>表示此功能无效）</t>
    </r>
  </si>
  <si>
    <r>
      <t>编码器</t>
    </r>
    <r>
      <rPr>
        <sz val="10"/>
        <rFont val="Times New Roman"/>
        <family val="1"/>
      </rPr>
      <t>2</t>
    </r>
    <r>
      <rPr>
        <sz val="10"/>
        <rFont val="宋体"/>
        <charset val="134"/>
      </rPr>
      <t>类型</t>
    </r>
    <phoneticPr fontId="20" type="noConversion"/>
  </si>
  <si>
    <t>FcTypeEncode2</t>
    <phoneticPr fontId="20" type="noConversion"/>
  </si>
  <si>
    <r>
      <t>0：</t>
    </r>
    <r>
      <rPr>
        <sz val="9"/>
        <rFont val="Times New Roman"/>
        <family val="1"/>
      </rPr>
      <t>ABZ</t>
    </r>
    <r>
      <rPr>
        <sz val="9"/>
        <rFont val="宋体"/>
        <charset val="134"/>
      </rPr>
      <t xml:space="preserve">增量编码器
</t>
    </r>
    <r>
      <rPr>
        <sz val="9"/>
        <rFont val="Times New Roman"/>
        <family val="1"/>
      </rPr>
      <t>1</t>
    </r>
    <r>
      <rPr>
        <sz val="9"/>
        <rFont val="宋体"/>
        <charset val="134"/>
      </rPr>
      <t>：</t>
    </r>
    <r>
      <rPr>
        <sz val="9"/>
        <rFont val="Times New Roman"/>
        <family val="1"/>
      </rPr>
      <t>UVW</t>
    </r>
    <r>
      <rPr>
        <sz val="9"/>
        <rFont val="宋体"/>
        <charset val="134"/>
      </rPr>
      <t xml:space="preserve">增量编码器
</t>
    </r>
    <r>
      <rPr>
        <sz val="9"/>
        <rFont val="Times New Roman"/>
        <family val="1"/>
      </rPr>
      <t>2</t>
    </r>
    <r>
      <rPr>
        <sz val="9"/>
        <rFont val="宋体"/>
        <charset val="134"/>
      </rPr>
      <t xml:space="preserve">：旋转变压器
</t>
    </r>
    <r>
      <rPr>
        <sz val="9"/>
        <rFont val="Times New Roman"/>
        <family val="1"/>
      </rPr>
      <t>3</t>
    </r>
    <r>
      <rPr>
        <sz val="9"/>
        <rFont val="宋体"/>
        <charset val="134"/>
      </rPr>
      <t>：</t>
    </r>
    <r>
      <rPr>
        <sz val="9"/>
        <rFont val="Times New Roman"/>
        <family val="1"/>
      </rPr>
      <t>SINCOS</t>
    </r>
    <r>
      <rPr>
        <sz val="9"/>
        <rFont val="宋体"/>
        <charset val="134"/>
      </rPr>
      <t xml:space="preserve">
注：编码器</t>
    </r>
    <r>
      <rPr>
        <sz val="9"/>
        <rFont val="Times New Roman"/>
        <family val="1"/>
      </rPr>
      <t>1</t>
    </r>
    <r>
      <rPr>
        <sz val="9"/>
        <rFont val="宋体"/>
        <charset val="134"/>
      </rPr>
      <t>（本地）只支持</t>
    </r>
    <r>
      <rPr>
        <sz val="9"/>
        <rFont val="Times New Roman"/>
        <family val="1"/>
      </rPr>
      <t>AB</t>
    </r>
    <r>
      <rPr>
        <sz val="9"/>
        <rFont val="宋体"/>
        <charset val="134"/>
      </rPr>
      <t>输入增量型编码器，不支持</t>
    </r>
    <r>
      <rPr>
        <sz val="9"/>
        <rFont val="Times New Roman"/>
        <family val="1"/>
      </rPr>
      <t>Z</t>
    </r>
    <r>
      <rPr>
        <sz val="9"/>
        <rFont val="宋体"/>
        <charset val="134"/>
      </rPr>
      <t>信号的输入</t>
    </r>
    <phoneticPr fontId="20" type="noConversion"/>
  </si>
  <si>
    <r>
      <t>编码器</t>
    </r>
    <r>
      <rPr>
        <sz val="10"/>
        <rFont val="Times New Roman"/>
        <family val="1"/>
      </rPr>
      <t>2</t>
    </r>
    <r>
      <rPr>
        <sz val="10"/>
        <rFont val="宋体"/>
        <charset val="134"/>
      </rPr>
      <t>每转脉冲数</t>
    </r>
  </si>
  <si>
    <t>FcPulsePerEncode2</t>
    <phoneticPr fontId="20" type="noConversion"/>
  </si>
  <si>
    <r>
      <t>编码器</t>
    </r>
    <r>
      <rPr>
        <sz val="10"/>
        <rFont val="Times New Roman"/>
        <family val="1"/>
      </rPr>
      <t>2</t>
    </r>
    <r>
      <rPr>
        <sz val="10"/>
        <rFont val="宋体"/>
        <charset val="134"/>
      </rPr>
      <t>方向选择</t>
    </r>
  </si>
  <si>
    <t>FcDirEncode2</t>
    <phoneticPr fontId="20" type="noConversion"/>
  </si>
  <si>
    <t>电机与编码器2转速比分子</t>
    <phoneticPr fontId="20" type="noConversion"/>
  </si>
  <si>
    <t>FcGearRatioEncodeZ2</t>
    <phoneticPr fontId="20" type="noConversion"/>
  </si>
  <si>
    <t>电机与编码器2转速比分母</t>
    <phoneticPr fontId="20" type="noConversion"/>
  </si>
  <si>
    <t>FcGearRatioEncodeM2</t>
    <phoneticPr fontId="20" type="noConversion"/>
  </si>
  <si>
    <r>
      <t>编码器</t>
    </r>
    <r>
      <rPr>
        <sz val="10"/>
        <rFont val="Times New Roman"/>
        <family val="1"/>
      </rPr>
      <t>2</t>
    </r>
    <r>
      <rPr>
        <sz val="10"/>
        <rFont val="宋体"/>
        <charset val="134"/>
      </rPr>
      <t>断线检测时间</t>
    </r>
  </si>
  <si>
    <t>FcPgLosTimEncode2</t>
    <phoneticPr fontId="20" type="noConversion"/>
  </si>
  <si>
    <r>
      <t>过速度（</t>
    </r>
    <r>
      <rPr>
        <sz val="10"/>
        <rFont val="Times New Roman"/>
        <family val="1"/>
      </rPr>
      <t>OS</t>
    </r>
    <r>
      <rPr>
        <sz val="10"/>
        <rFont val="宋体"/>
        <charset val="134"/>
      </rPr>
      <t>）和速度偏差过大（</t>
    </r>
    <r>
      <rPr>
        <sz val="10"/>
        <rFont val="Times New Roman"/>
        <family val="1"/>
      </rPr>
      <t>DEV</t>
    </r>
    <r>
      <rPr>
        <sz val="10"/>
        <rFont val="宋体"/>
        <charset val="134"/>
      </rPr>
      <t>）动作选择</t>
    </r>
    <phoneticPr fontId="20" type="noConversion"/>
  </si>
  <si>
    <t>FcActSpdError</t>
    <phoneticPr fontId="20" type="noConversion"/>
  </si>
  <si>
    <r>
      <t>个位：过速度（</t>
    </r>
    <r>
      <rPr>
        <sz val="9"/>
        <rFont val="Times New Roman"/>
        <family val="1"/>
      </rPr>
      <t>OS</t>
    </r>
    <r>
      <rPr>
        <sz val="9"/>
        <rFont val="宋体"/>
        <charset val="134"/>
      </rPr>
      <t xml:space="preserve">）动作选择
</t>
    </r>
    <r>
      <rPr>
        <sz val="9"/>
        <rFont val="Times New Roman"/>
        <family val="1"/>
      </rPr>
      <t>0</t>
    </r>
    <r>
      <rPr>
        <sz val="9"/>
        <rFont val="宋体"/>
        <charset val="134"/>
      </rPr>
      <t xml:space="preserve">：自由停车，报故障
</t>
    </r>
    <r>
      <rPr>
        <sz val="9"/>
        <rFont val="Times New Roman"/>
        <family val="1"/>
      </rPr>
      <t>1</t>
    </r>
    <r>
      <rPr>
        <sz val="9"/>
        <rFont val="宋体"/>
        <charset val="134"/>
      </rPr>
      <t>：继续运行
十位：速度偏差过大（</t>
    </r>
    <r>
      <rPr>
        <sz val="9"/>
        <rFont val="Times New Roman"/>
        <family val="1"/>
      </rPr>
      <t>DEV</t>
    </r>
    <r>
      <rPr>
        <sz val="9"/>
        <rFont val="宋体"/>
        <charset val="134"/>
      </rPr>
      <t xml:space="preserve">）动作选择
</t>
    </r>
    <r>
      <rPr>
        <sz val="9"/>
        <rFont val="Times New Roman"/>
        <family val="1"/>
      </rPr>
      <t>0</t>
    </r>
    <r>
      <rPr>
        <sz val="9"/>
        <rFont val="宋体"/>
        <charset val="134"/>
      </rPr>
      <t xml:space="preserve">：自由停车，报故障
</t>
    </r>
    <r>
      <rPr>
        <sz val="9"/>
        <rFont val="Times New Roman"/>
        <family val="1"/>
      </rPr>
      <t>1</t>
    </r>
    <r>
      <rPr>
        <sz val="9"/>
        <rFont val="宋体"/>
        <charset val="134"/>
      </rPr>
      <t>：继续运行</t>
    </r>
    <phoneticPr fontId="20" type="noConversion"/>
  </si>
  <si>
    <t>ACT_SPD_ERROR</t>
    <phoneticPr fontId="20" type="noConversion"/>
  </si>
  <si>
    <r>
      <t>过速度（</t>
    </r>
    <r>
      <rPr>
        <sz val="10"/>
        <rFont val="Times New Roman"/>
        <family val="1"/>
      </rPr>
      <t>OS</t>
    </r>
    <r>
      <rPr>
        <sz val="10"/>
        <rFont val="宋体"/>
        <charset val="134"/>
      </rPr>
      <t>）检出值</t>
    </r>
  </si>
  <si>
    <t>FcOverSpdPer</t>
    <phoneticPr fontId="20" type="noConversion"/>
  </si>
  <si>
    <r>
      <t>过速度（</t>
    </r>
    <r>
      <rPr>
        <sz val="10"/>
        <rFont val="Times New Roman"/>
        <family val="1"/>
      </rPr>
      <t>OS</t>
    </r>
    <r>
      <rPr>
        <sz val="10"/>
        <rFont val="宋体"/>
        <charset val="134"/>
      </rPr>
      <t>）检出时间</t>
    </r>
  </si>
  <si>
    <t>FcOverSpdTime</t>
    <phoneticPr fontId="20" type="noConversion"/>
  </si>
  <si>
    <r>
      <t>0.0S～</t>
    </r>
    <r>
      <rPr>
        <sz val="9"/>
        <rFont val="Times New Roman"/>
        <family val="1"/>
      </rPr>
      <t>20.00S</t>
    </r>
    <phoneticPr fontId="20" type="noConversion"/>
  </si>
  <si>
    <r>
      <t>速度偏差过大（</t>
    </r>
    <r>
      <rPr>
        <sz val="10"/>
        <rFont val="Times New Roman"/>
        <family val="1"/>
      </rPr>
      <t>DEV</t>
    </r>
    <r>
      <rPr>
        <sz val="10"/>
        <rFont val="宋体"/>
        <charset val="134"/>
      </rPr>
      <t>）检出值</t>
    </r>
  </si>
  <si>
    <t>FcBiasSpdPer</t>
    <phoneticPr fontId="20" type="noConversion"/>
  </si>
  <si>
    <r>
      <t>速度偏差过大（</t>
    </r>
    <r>
      <rPr>
        <sz val="10"/>
        <rFont val="Times New Roman"/>
        <family val="1"/>
      </rPr>
      <t>DEV</t>
    </r>
    <r>
      <rPr>
        <sz val="10"/>
        <rFont val="宋体"/>
        <charset val="134"/>
      </rPr>
      <t>）检出时间</t>
    </r>
  </si>
  <si>
    <t>FcBiasSpdTime</t>
    <phoneticPr fontId="20" type="noConversion"/>
  </si>
  <si>
    <t>载波频率</t>
    <phoneticPr fontId="20" type="noConversion"/>
  </si>
  <si>
    <t>FcFreqCarries</t>
    <phoneticPr fontId="20" type="noConversion"/>
  </si>
  <si>
    <t xml:space="preserve">变频器功率&lt;=15KW：0.7KHz～16.0KHz,8.0KHz
变频器功率18.5KW～45KW：0.7KHz～10.0KHz,4.0KHz
变频器功率55KW～75KW：0.7KHz～8.0KHz,3.0KHz
变频器功率&gt;=90KW：0.7KHz～3.0KHz,2.0KHz
</t>
    <phoneticPr fontId="20" type="noConversion"/>
  </si>
  <si>
    <t>FcOptimizePwm</t>
    <phoneticPr fontId="20" type="noConversion"/>
  </si>
  <si>
    <r>
      <t xml:space="preserve">个位：载波频率随温度调整
</t>
    </r>
    <r>
      <rPr>
        <sz val="9"/>
        <rFont val="Times New Roman"/>
        <family val="1"/>
      </rPr>
      <t>0</t>
    </r>
    <r>
      <rPr>
        <sz val="9"/>
        <rFont val="宋体"/>
        <charset val="134"/>
      </rPr>
      <t xml:space="preserve">：自动调整
</t>
    </r>
    <r>
      <rPr>
        <sz val="9"/>
        <rFont val="Times New Roman"/>
        <family val="1"/>
      </rPr>
      <t>1</t>
    </r>
    <r>
      <rPr>
        <sz val="9"/>
        <rFont val="宋体"/>
        <charset val="134"/>
      </rPr>
      <t>：不调整
十位：</t>
    </r>
    <r>
      <rPr>
        <sz val="9"/>
        <rFont val="Times New Roman"/>
        <family val="1"/>
      </rPr>
      <t>PWM</t>
    </r>
    <r>
      <rPr>
        <sz val="9"/>
        <rFont val="宋体"/>
        <charset val="134"/>
      </rPr>
      <t xml:space="preserve">调制模式
</t>
    </r>
    <r>
      <rPr>
        <sz val="9"/>
        <rFont val="Times New Roman"/>
        <family val="1"/>
      </rPr>
      <t>0</t>
    </r>
    <r>
      <rPr>
        <sz val="9"/>
        <rFont val="宋体"/>
        <charset val="134"/>
      </rPr>
      <t xml:space="preserve">：五段式、七段式自动切换
</t>
    </r>
    <r>
      <rPr>
        <sz val="9"/>
        <rFont val="Times New Roman"/>
        <family val="1"/>
      </rPr>
      <t>1</t>
    </r>
    <r>
      <rPr>
        <sz val="9"/>
        <rFont val="宋体"/>
        <charset val="134"/>
      </rPr>
      <t xml:space="preserve">：五段式
</t>
    </r>
    <r>
      <rPr>
        <sz val="9"/>
        <rFont val="Times New Roman"/>
        <family val="1"/>
      </rPr>
      <t>2</t>
    </r>
    <r>
      <rPr>
        <sz val="9"/>
        <rFont val="宋体"/>
        <charset val="134"/>
      </rPr>
      <t xml:space="preserve">：七段式
百位：过调制调节
</t>
    </r>
    <r>
      <rPr>
        <sz val="9"/>
        <rFont val="Times New Roman"/>
        <family val="1"/>
      </rPr>
      <t>0</t>
    </r>
    <r>
      <rPr>
        <sz val="9"/>
        <rFont val="宋体"/>
        <charset val="134"/>
      </rPr>
      <t xml:space="preserve">：不动作
</t>
    </r>
    <r>
      <rPr>
        <sz val="9"/>
        <rFont val="Times New Roman"/>
        <family val="1"/>
      </rPr>
      <t>1</t>
    </r>
    <r>
      <rPr>
        <sz val="9"/>
        <rFont val="宋体"/>
        <charset val="134"/>
      </rPr>
      <t xml:space="preserve">：动作
千位：载频随频率调整
</t>
    </r>
    <r>
      <rPr>
        <sz val="9"/>
        <rFont val="Times New Roman"/>
        <family val="1"/>
      </rPr>
      <t>0</t>
    </r>
    <r>
      <rPr>
        <sz val="9"/>
        <rFont val="宋体"/>
        <charset val="134"/>
      </rPr>
      <t xml:space="preserve">：自动调整
</t>
    </r>
    <r>
      <rPr>
        <sz val="9"/>
        <rFont val="Times New Roman"/>
        <family val="1"/>
      </rPr>
      <t>1</t>
    </r>
    <r>
      <rPr>
        <sz val="9"/>
        <rFont val="宋体"/>
        <charset val="134"/>
      </rPr>
      <t>：不调整</t>
    </r>
    <phoneticPr fontId="20" type="noConversion"/>
  </si>
  <si>
    <t>FcActRunOver</t>
    <phoneticPr fontId="20" type="noConversion"/>
  </si>
  <si>
    <t>FcTimSetRunCont</t>
    <phoneticPr fontId="20" type="noConversion"/>
  </si>
  <si>
    <t>FcTimSetRunAccum</t>
    <phoneticPr fontId="20" type="noConversion"/>
  </si>
  <si>
    <t>FcCtrlBandBrak</t>
    <phoneticPr fontId="20" type="noConversion"/>
  </si>
  <si>
    <t>FcFreqDisBandBrak</t>
    <phoneticPr fontId="20" type="noConversion"/>
  </si>
  <si>
    <t>FcCurrDisBandBrak</t>
    <phoneticPr fontId="20" type="noConversion"/>
  </si>
  <si>
    <t>FcTimDisBandBrak</t>
    <phoneticPr fontId="20" type="noConversion"/>
  </si>
  <si>
    <t>FcFreqEnBandBrak</t>
    <phoneticPr fontId="20" type="noConversion"/>
  </si>
  <si>
    <t>FcWatTimEnBandBrak</t>
    <phoneticPr fontId="20" type="noConversion"/>
  </si>
  <si>
    <t>FcActTimEnBandBrak</t>
    <phoneticPr fontId="20" type="noConversion"/>
  </si>
  <si>
    <t>FcVolStallCtrl</t>
    <phoneticPr fontId="20" type="noConversion"/>
  </si>
  <si>
    <t>FcAdjLvCtrl</t>
    <phoneticPr fontId="20" type="noConversion"/>
  </si>
  <si>
    <t>过载预报警选择</t>
    <phoneticPr fontId="20" type="noConversion"/>
  </si>
  <si>
    <t>FcOLWarnCtrl</t>
    <phoneticPr fontId="20" type="noConversion"/>
  </si>
  <si>
    <r>
      <t xml:space="preserve">个位：检出选择
</t>
    </r>
    <r>
      <rPr>
        <sz val="9"/>
        <rFont val="Times New Roman"/>
        <family val="1"/>
      </rPr>
      <t>0</t>
    </r>
    <r>
      <rPr>
        <sz val="9"/>
        <rFont val="宋体"/>
        <charset val="134"/>
      </rPr>
      <t xml:space="preserve">：一直检测
</t>
    </r>
    <r>
      <rPr>
        <sz val="9"/>
        <rFont val="Times New Roman"/>
        <family val="1"/>
      </rPr>
      <t>1</t>
    </r>
    <r>
      <rPr>
        <sz val="9"/>
        <rFont val="宋体"/>
        <charset val="134"/>
      </rPr>
      <t>：仅恒速检测
十位：</t>
    </r>
    <r>
      <rPr>
        <sz val="9"/>
        <rFont val="Times New Roman"/>
        <family val="1"/>
      </rPr>
      <t xml:space="preserve"> </t>
    </r>
    <r>
      <rPr>
        <sz val="9"/>
        <rFont val="宋体"/>
        <charset val="134"/>
      </rPr>
      <t xml:space="preserve">检出条件选择
</t>
    </r>
    <r>
      <rPr>
        <sz val="9"/>
        <rFont val="Times New Roman"/>
        <family val="1"/>
      </rPr>
      <t>0</t>
    </r>
    <r>
      <rPr>
        <sz val="9"/>
        <rFont val="宋体"/>
        <charset val="134"/>
      </rPr>
      <t xml:space="preserve">：相对电机额定电流
</t>
    </r>
    <r>
      <rPr>
        <sz val="9"/>
        <rFont val="Times New Roman"/>
        <family val="1"/>
      </rPr>
      <t>1</t>
    </r>
    <r>
      <rPr>
        <sz val="9"/>
        <rFont val="宋体"/>
        <charset val="134"/>
      </rPr>
      <t xml:space="preserve">：相对变频器额定电流
百位：报警选择
</t>
    </r>
    <r>
      <rPr>
        <sz val="9"/>
        <rFont val="Times New Roman"/>
        <family val="1"/>
      </rPr>
      <t>0</t>
    </r>
    <r>
      <rPr>
        <sz val="9"/>
        <rFont val="宋体"/>
        <charset val="134"/>
      </rPr>
      <t xml:space="preserve">：告警，继续运行
</t>
    </r>
    <r>
      <rPr>
        <sz val="9"/>
        <rFont val="Times New Roman"/>
        <family val="1"/>
      </rPr>
      <t>1</t>
    </r>
    <r>
      <rPr>
        <sz val="9"/>
        <rFont val="宋体"/>
        <charset val="134"/>
      </rPr>
      <t>：保护动作并自由停车</t>
    </r>
    <phoneticPr fontId="20" type="noConversion"/>
  </si>
  <si>
    <t>FcOLWarnLeve</t>
    <phoneticPr fontId="20" type="noConversion"/>
  </si>
  <si>
    <t>FcOLWarnTime</t>
    <phoneticPr fontId="20" type="noConversion"/>
  </si>
  <si>
    <t>FcFaultRecordPoff</t>
    <phoneticPr fontId="20" type="noConversion"/>
  </si>
  <si>
    <t>FcFaultAutoResetNum</t>
    <phoneticPr fontId="20" type="noConversion"/>
  </si>
  <si>
    <t>FcFaultAutoResetTim</t>
    <phoneticPr fontId="20" type="noConversion"/>
  </si>
  <si>
    <t>变频器故障状态继电器动作选择</t>
    <phoneticPr fontId="20" type="noConversion"/>
  </si>
  <si>
    <t>FcRelayActFault</t>
    <phoneticPr fontId="20" type="noConversion"/>
  </si>
  <si>
    <t xml:space="preserve">个位：发生欠压故障时
0：不动作；  1：动作
十位：发生故障锁定时
0：不动作；  1：动作
百位：自动复位期间
0：不动作；  1：动作
</t>
    <phoneticPr fontId="20" type="noConversion"/>
  </si>
  <si>
    <t>FcFanCtrl</t>
    <phoneticPr fontId="20" type="noConversion"/>
  </si>
  <si>
    <r>
      <t xml:space="preserve">0：自动运行（根据逆变桥温度自动运行）
</t>
    </r>
    <r>
      <rPr>
        <sz val="9"/>
        <rFont val="Times New Roman"/>
        <family val="1"/>
      </rPr>
      <t>1</t>
    </r>
    <r>
      <rPr>
        <sz val="9"/>
        <rFont val="宋体"/>
        <charset val="134"/>
      </rPr>
      <t>：变频器上电后一直运行</t>
    </r>
    <phoneticPr fontId="20" type="noConversion"/>
  </si>
  <si>
    <t>变频器过热预报警温度</t>
    <phoneticPr fontId="20" type="noConversion"/>
  </si>
  <si>
    <t>FcOverTempeWarnLeve</t>
    <phoneticPr fontId="20" type="noConversion"/>
  </si>
  <si>
    <r>
      <t>0℃～</t>
    </r>
    <r>
      <rPr>
        <sz val="9"/>
        <rFont val="Times New Roman"/>
        <family val="1"/>
      </rPr>
      <t>100</t>
    </r>
    <r>
      <rPr>
        <sz val="9"/>
        <rFont val="宋体"/>
        <charset val="134"/>
      </rPr>
      <t>℃</t>
    </r>
    <phoneticPr fontId="20" type="noConversion"/>
  </si>
  <si>
    <t>℃</t>
    <phoneticPr fontId="20" type="noConversion"/>
  </si>
  <si>
    <t>0~65535</t>
    <phoneticPr fontId="20" type="noConversion"/>
  </si>
  <si>
    <t>SCI端口选择</t>
    <phoneticPr fontId="20" type="noConversion"/>
  </si>
  <si>
    <t>FcSciTermRChoice</t>
    <phoneticPr fontId="20" type="noConversion"/>
  </si>
  <si>
    <r>
      <t xml:space="preserve">0：本地485接口
</t>
    </r>
    <r>
      <rPr>
        <sz val="9"/>
        <rFont val="Times New Roman"/>
        <family val="1"/>
      </rPr>
      <t>1</t>
    </r>
    <r>
      <rPr>
        <sz val="9"/>
        <rFont val="宋体"/>
        <charset val="134"/>
      </rPr>
      <t>：扩展</t>
    </r>
    <r>
      <rPr>
        <sz val="9"/>
        <rFont val="Times New Roman"/>
        <family val="1"/>
      </rPr>
      <t>232</t>
    </r>
    <r>
      <rPr>
        <sz val="9"/>
        <rFont val="宋体"/>
        <charset val="134"/>
      </rPr>
      <t>接口</t>
    </r>
    <phoneticPr fontId="20" type="noConversion"/>
  </si>
  <si>
    <t>SCI端口通讯配置</t>
    <phoneticPr fontId="20" type="noConversion"/>
  </si>
  <si>
    <t>FcSciConfig</t>
    <phoneticPr fontId="20" type="noConversion"/>
  </si>
  <si>
    <t xml:space="preserve">LED 个位：波特率选择
0：4800BPS
1：9600BPS
2：19200BPS
3：38400BPS
4：115200BPS
5：125000BPS
LED 十位：数据格式
0：1-8-2-N 格式，RTU
1：1-8-1-E 格式，RTU
2：1-8-1-O 格式，RTU
3：1-7-2-N 格式，ASCII
4：1-7-1-E 格式，ASCII
5：1-7-1-O 格式，ASCII
LED 百位：接线方式
0：直接电缆连接（232/485）
1：MODEM（232）
LED 千位：存储方式
0：掉电不存储
1：掉电存储
</t>
    <phoneticPr fontId="20" type="noConversion"/>
  </si>
  <si>
    <t>SCI端口通讯时的本机地址</t>
    <phoneticPr fontId="20" type="noConversion"/>
  </si>
  <si>
    <t>FcSciAddr</t>
    <phoneticPr fontId="20" type="noConversion"/>
  </si>
  <si>
    <r>
      <t>0～</t>
    </r>
    <r>
      <rPr>
        <sz val="9"/>
        <rFont val="Times New Roman"/>
        <family val="1"/>
      </rPr>
      <t>247</t>
    </r>
    <r>
      <rPr>
        <sz val="9"/>
        <rFont val="宋体"/>
        <charset val="134"/>
      </rPr>
      <t>，其中</t>
    </r>
    <r>
      <rPr>
        <sz val="9"/>
        <rFont val="Times New Roman"/>
        <family val="1"/>
      </rPr>
      <t xml:space="preserve">0 </t>
    </r>
    <r>
      <rPr>
        <sz val="9"/>
        <rFont val="宋体"/>
        <charset val="134"/>
      </rPr>
      <t>为广播地址</t>
    </r>
  </si>
  <si>
    <t>SCI端口通讯超时检出时间</t>
    <phoneticPr fontId="20" type="noConversion"/>
  </si>
  <si>
    <t>FcSciOverTime</t>
    <phoneticPr fontId="20" type="noConversion"/>
  </si>
  <si>
    <r>
      <t>0.0s～</t>
    </r>
    <r>
      <rPr>
        <sz val="9"/>
        <rFont val="Times New Roman"/>
        <family val="1"/>
      </rPr>
      <t>1000.0s</t>
    </r>
    <phoneticPr fontId="20" type="noConversion"/>
  </si>
  <si>
    <t>SCI端口通讯时的本机应答延时</t>
    <phoneticPr fontId="20" type="noConversion"/>
  </si>
  <si>
    <t>FcSciDelayTime</t>
    <phoneticPr fontId="20" type="noConversion"/>
  </si>
  <si>
    <r>
      <t>本机主</t>
    </r>
    <r>
      <rPr>
        <sz val="10"/>
        <rFont val="Times New Roman"/>
        <family val="1"/>
      </rPr>
      <t>/</t>
    </r>
    <r>
      <rPr>
        <sz val="10"/>
        <rFont val="宋体"/>
        <charset val="134"/>
      </rPr>
      <t>从选择（多台变频器并联带同一台电机时使用）</t>
    </r>
  </si>
  <si>
    <t>FcUppLowCompChoice</t>
    <phoneticPr fontId="20" type="noConversion"/>
  </si>
  <si>
    <r>
      <t xml:space="preserve">0：单机使用
</t>
    </r>
    <r>
      <rPr>
        <sz val="9"/>
        <rFont val="Times New Roman"/>
        <family val="1"/>
      </rPr>
      <t>1</t>
    </r>
    <r>
      <rPr>
        <sz val="9"/>
        <rFont val="宋体"/>
        <charset val="134"/>
      </rPr>
      <t xml:space="preserve">：本机作为主机（一个并联系统只允许有一台主机，若同一个并联系统出现了多台主机，将会导致整个并联系统无法正常运行）
</t>
    </r>
    <r>
      <rPr>
        <sz val="9"/>
        <rFont val="Times New Roman"/>
        <family val="1"/>
      </rPr>
      <t>2</t>
    </r>
    <r>
      <rPr>
        <sz val="9"/>
        <rFont val="宋体"/>
        <charset val="134"/>
      </rPr>
      <t>：本机作为从机</t>
    </r>
    <phoneticPr fontId="20" type="noConversion"/>
  </si>
  <si>
    <t>主机操作从机的功能码地址选择</t>
    <phoneticPr fontId="20" type="noConversion"/>
  </si>
  <si>
    <t>FcMainWrLowFuncAddr</t>
    <phoneticPr fontId="20" type="noConversion"/>
  </si>
  <si>
    <t>0：b0.02
1：F0.01</t>
    <phoneticPr fontId="20" type="noConversion"/>
  </si>
  <si>
    <t>从机接受量的比例系数</t>
    <phoneticPr fontId="20" type="noConversion"/>
  </si>
  <si>
    <t>FcMainToLowK</t>
    <phoneticPr fontId="20" type="noConversion"/>
  </si>
  <si>
    <t>FcKeyPadMultFunc</t>
    <phoneticPr fontId="20" type="noConversion"/>
  </si>
  <si>
    <t xml:space="preserve">0：无功能
1：正转点动命令
2：反转点动命令
3：正反转切换
4：紧急停车1（按b2.09设定时间减速停机）
5：紧急停车2（自由停车）
6：运行命令给定方式切换（操作面板/端子/通讯）
</t>
    <phoneticPr fontId="20" type="noConversion"/>
  </si>
  <si>
    <t>FcKeyPadLocked</t>
    <phoneticPr fontId="20" type="noConversion"/>
  </si>
  <si>
    <t xml:space="preserve">0：不锁定
1：全锁定
2：除RUN、STOP/RESET键外全锁定
3：除STOP/RESET键外全锁定
4：除SHIFT键外全锁定
</t>
    <phoneticPr fontId="20" type="noConversion"/>
  </si>
  <si>
    <t>FcStopKeyFunc</t>
    <phoneticPr fontId="20" type="noConversion"/>
  </si>
  <si>
    <t>FcUpDnKeyFreqCtrl</t>
    <phoneticPr fontId="20" type="noConversion"/>
  </si>
  <si>
    <t>UPDNKEY_FREQ_CTRL</t>
    <phoneticPr fontId="20" type="noConversion"/>
  </si>
  <si>
    <t>FcUpDnKeyFreqStep</t>
    <phoneticPr fontId="20" type="noConversion"/>
  </si>
  <si>
    <t>L1.00</t>
    <phoneticPr fontId="20" type="noConversion"/>
  </si>
  <si>
    <t>FcRunParaDisp1</t>
    <phoneticPr fontId="20" type="noConversion"/>
  </si>
  <si>
    <t xml:space="preserve">二进制设定：
0：不显示；1：显示
个位：
BIT0：运行频率（Hz）
BIT1：设定频率（Hz）
BIT2：母线电压（V）
BIT3：输出电流（A）
十位：
BIT0：输出转矩（%）
BIT1：输出功率（KW）
BIT2：输出电压（V）
BIT3：电机转速（RPM）
百位：
BIT0：AI1（V）
BIT1：AI2（V）
BIT2：AI3（V）
BIT3：运行频率2 
千位：
BIT0：DI
BIT1：外部计数值
BIT2：保留
BIT3：保留
注：本功能码设置为0000时，将默认显示运行频率（Hz）。
</t>
    <phoneticPr fontId="20" type="noConversion"/>
  </si>
  <si>
    <t>080F</t>
    <phoneticPr fontId="20" type="noConversion"/>
  </si>
  <si>
    <t>3FFF</t>
    <phoneticPr fontId="20" type="noConversion"/>
  </si>
  <si>
    <t>L1.01</t>
    <phoneticPr fontId="20" type="noConversion"/>
  </si>
  <si>
    <t>FcRunParaDisp2</t>
    <phoneticPr fontId="20" type="noConversion"/>
  </si>
  <si>
    <t xml:space="preserve">二进制设定：
0：不显示；1：显示
个位：
BIT0：运行线速度（m/s）
BIT1：设定线速度（m/s）
BIT2：输入端子状态
BIT3：输出端子状态
十位：
BIT0：闭环给定（%）
BIT1：闭环反馈（%）
BIT2：设定长度（m）
BIT3：实际长度（m）
百位：
BIT0：给定转矩（%）
BIT1：保留
BIT2：保留
BIT3：保留
千位：
BIT0：保留
BIT1：保留
BIT2：保留
BIT3：保留
</t>
    <phoneticPr fontId="20" type="noConversion"/>
  </si>
  <si>
    <t>1FF</t>
    <phoneticPr fontId="20" type="noConversion"/>
  </si>
  <si>
    <t>L1.02</t>
    <phoneticPr fontId="20" type="noConversion"/>
  </si>
  <si>
    <t>FcStopParaDisp</t>
    <phoneticPr fontId="20" type="noConversion"/>
  </si>
  <si>
    <t xml:space="preserve">二进制设定：
0：不显示；1：显示
个位：
BIT0：设定频率（Hz）
BIT1：母线电压（V）
BIT2：输入端子状态
BIT3：输出端子状态
十位：
BIT0：AI1（V）
BIT1：AI2（V）
BIT2：AI3（V）
BIT3：保留
百位：
BIT0：闭环给定（%）
BIT1：闭环反馈（%）
BIT2：设定长度（m）
BIT3：实际长度（m）
千位：
BIT0：运行线速度（m/s）
BIT1：设定线速度（m/s）
BIT2：外部计数值
BIT3：DI
注：本功能码设置为0000时，将默认显
示设定频率（Hz）。
</t>
    <phoneticPr fontId="20" type="noConversion"/>
  </si>
  <si>
    <t>FF7F</t>
    <phoneticPr fontId="20" type="noConversion"/>
  </si>
  <si>
    <t>L1.03</t>
    <phoneticPr fontId="20" type="noConversion"/>
  </si>
  <si>
    <t>FcLinVelMod</t>
    <phoneticPr fontId="20" type="noConversion"/>
  </si>
  <si>
    <t>0.1~999.9%</t>
    <phoneticPr fontId="20" type="noConversion"/>
  </si>
  <si>
    <t>U0.00</t>
    <phoneticPr fontId="20" type="noConversion"/>
  </si>
  <si>
    <t>FcRunFreqDisp</t>
    <phoneticPr fontId="20" type="noConversion"/>
  </si>
  <si>
    <t>FcSetFreqDisp</t>
    <phoneticPr fontId="20" type="noConversion"/>
  </si>
  <si>
    <t>FcDcBusVolDisp</t>
    <phoneticPr fontId="20" type="noConversion"/>
  </si>
  <si>
    <t>FcOutVolDisp</t>
    <phoneticPr fontId="20" type="noConversion"/>
  </si>
  <si>
    <t>FcOutCurrDisp</t>
    <phoneticPr fontId="20" type="noConversion"/>
  </si>
  <si>
    <t>FcOutPowerDisp</t>
    <phoneticPr fontId="20" type="noConversion"/>
  </si>
  <si>
    <r>
      <t>0.0%～</t>
    </r>
    <r>
      <rPr>
        <sz val="9"/>
        <rFont val="Times New Roman"/>
        <family val="1"/>
      </rPr>
      <t>300.0%</t>
    </r>
    <r>
      <rPr>
        <sz val="9"/>
        <rFont val="宋体"/>
        <charset val="134"/>
      </rPr>
      <t>（相对电机的额定功率）</t>
    </r>
  </si>
  <si>
    <t>FcMainFreqSourDisp</t>
    <phoneticPr fontId="20" type="noConversion"/>
  </si>
  <si>
    <t xml:space="preserve">0：数字给定＋操作面板∧/∨调节
1：数字给定＋端子UP/DOWN调节
2：模拟输入 AI1
3：模拟输入 AI2
4：模拟输入 AI3
5：X8/DI脉冲输入
6：过程PID输出
7：PLC
8：多段速
9：通讯输入
</t>
    <phoneticPr fontId="20" type="noConversion"/>
  </si>
  <si>
    <t>FcSubFreqSourDisp</t>
    <phoneticPr fontId="20" type="noConversion"/>
  </si>
  <si>
    <t xml:space="preserve">0：无给定
1：数字给定＋操作面板∧/∨调节
2：数字给定＋端子UP/DOWN调节
3：模拟输入 AI1
4：模拟输入 AI2
5：模拟输入 AI3
6：X8/DI脉冲输入
7：过程PID输出
8：PLC
9：多段速
10：通讯输入
</t>
    <phoneticPr fontId="20" type="noConversion"/>
  </si>
  <si>
    <t>FcMainFreqDisp</t>
    <phoneticPr fontId="20" type="noConversion"/>
  </si>
  <si>
    <t>FcSubFreqDisp</t>
    <phoneticPr fontId="20" type="noConversion"/>
  </si>
  <si>
    <t>FcInvertStatus</t>
    <phoneticPr fontId="20" type="noConversion"/>
  </si>
  <si>
    <t xml:space="preserve">
个位：普通运行状态
0：加速中
1：减速中
2：恒速中
十位：运行状态
0：停机
1：普通运行
2：电机参数辨识中
</t>
    <phoneticPr fontId="20" type="noConversion"/>
  </si>
  <si>
    <t>FcAi1VolDisp</t>
    <phoneticPr fontId="20" type="noConversion"/>
  </si>
  <si>
    <t>FcAi3VolDisp</t>
    <phoneticPr fontId="20" type="noConversion"/>
  </si>
  <si>
    <t>FcAo1VolDisp</t>
    <phoneticPr fontId="20" type="noConversion"/>
  </si>
  <si>
    <t>FcAo2VolDisp</t>
    <phoneticPr fontId="20" type="noConversion"/>
  </si>
  <si>
    <t>FcDiPulseDisp</t>
    <phoneticPr fontId="20" type="noConversion"/>
  </si>
  <si>
    <t>FcTerminalInDisp</t>
    <phoneticPr fontId="20" type="noConversion"/>
  </si>
  <si>
    <t xml:space="preserve">范围：0～7F
说明：
1）0代表断开， 1代表闭合；
2）   X7 X6 X5 X4 X3 X2 X1
00：  0  0  0  0  0  0  0
01：  0  0  0  0  0  0  1
02：  0  0  0  0  0  1  0
03：  0  0  0  0  0  1  1
.
7F：  1  1  1  1  1  1  1
</t>
    <phoneticPr fontId="20" type="noConversion"/>
  </si>
  <si>
    <t>7F</t>
    <phoneticPr fontId="20" type="noConversion"/>
  </si>
  <si>
    <t>FcTerminalOutDisp</t>
    <phoneticPr fontId="20" type="noConversion"/>
  </si>
  <si>
    <t xml:space="preserve">范围：0～7
说明：
1）0代表断开， 1代表闭合；
2）    继电器1  Y2    Y1
0：      0       0     0
1：      0       0     1
2：      0       1     0
3：      0       1     1
。。。。
7：      1       1     1
</t>
    <phoneticPr fontId="20" type="noConversion"/>
  </si>
  <si>
    <t>F</t>
    <phoneticPr fontId="20" type="noConversion"/>
  </si>
  <si>
    <t>FcPIDSetNumDisp</t>
    <phoneticPr fontId="20" type="noConversion"/>
  </si>
  <si>
    <t>FcPIDFbDisp</t>
    <phoneticPr fontId="20" type="noConversion"/>
  </si>
  <si>
    <t>FcPIDBiasDisp</t>
    <phoneticPr fontId="20" type="noConversion"/>
  </si>
  <si>
    <t>-1000</t>
    <phoneticPr fontId="20" type="noConversion"/>
  </si>
  <si>
    <t>FcPlcStage</t>
    <phoneticPr fontId="20" type="noConversion"/>
  </si>
  <si>
    <t>FcVfSepoAimVol</t>
    <phoneticPr fontId="20" type="noConversion"/>
  </si>
  <si>
    <r>
      <t>0.0%～</t>
    </r>
    <r>
      <rPr>
        <sz val="9"/>
        <rFont val="Times New Roman"/>
        <family val="1"/>
      </rPr>
      <t>100.0%</t>
    </r>
    <r>
      <rPr>
        <sz val="9"/>
        <rFont val="宋体"/>
        <charset val="134"/>
      </rPr>
      <t>，相对于变频器最大输出电压的百分比</t>
    </r>
  </si>
  <si>
    <t>FcVfSepoOutVol</t>
    <phoneticPr fontId="20" type="noConversion"/>
  </si>
  <si>
    <t>h</t>
    <phoneticPr fontId="20" type="noConversion"/>
  </si>
  <si>
    <t>FcTotalRunTime</t>
    <phoneticPr fontId="20" type="noConversion"/>
  </si>
  <si>
    <r>
      <rPr>
        <sz val="9"/>
        <rFont val="Times New Roman"/>
        <family val="1"/>
      </rPr>
      <t>-4</t>
    </r>
    <r>
      <rPr>
        <sz val="9"/>
        <rFont val="宋体"/>
        <charset val="134"/>
      </rPr>
      <t>0.0℃～</t>
    </r>
    <r>
      <rPr>
        <sz val="9"/>
        <rFont val="Times New Roman"/>
        <family val="1"/>
      </rPr>
      <t>100.0</t>
    </r>
    <r>
      <rPr>
        <sz val="9"/>
        <rFont val="宋体"/>
        <charset val="134"/>
      </rPr>
      <t>℃</t>
    </r>
    <phoneticPr fontId="20" type="noConversion"/>
  </si>
  <si>
    <t>-400</t>
    <phoneticPr fontId="20" type="noConversion"/>
  </si>
  <si>
    <t>FAL故障源</t>
    <phoneticPr fontId="20" type="noConversion"/>
  </si>
  <si>
    <t>FcEfailSour</t>
    <phoneticPr fontId="20" type="noConversion"/>
  </si>
  <si>
    <t>FcTerminCnt</t>
    <phoneticPr fontId="20" type="noConversion"/>
  </si>
  <si>
    <t>FcPoffRun</t>
    <phoneticPr fontId="20" type="noConversion"/>
  </si>
  <si>
    <t>0~1</t>
    <phoneticPr fontId="20" type="noConversion"/>
  </si>
  <si>
    <t>FcFaultCode</t>
    <phoneticPr fontId="20" type="noConversion"/>
  </si>
  <si>
    <t>0~100</t>
    <phoneticPr fontId="20" type="noConversion"/>
  </si>
  <si>
    <t>主循环执行时间</t>
    <phoneticPr fontId="20" type="noConversion"/>
  </si>
  <si>
    <t>FcMLoopTime</t>
    <phoneticPr fontId="20" type="noConversion"/>
  </si>
  <si>
    <t>0.0~6553.5</t>
    <phoneticPr fontId="20" type="noConversion"/>
  </si>
  <si>
    <t>电流检测故障源</t>
    <phoneticPr fontId="20" type="noConversion"/>
  </si>
  <si>
    <t>FcCurrErrSour</t>
    <phoneticPr fontId="20" type="noConversion"/>
  </si>
  <si>
    <t>FcActLengthHigh</t>
    <phoneticPr fontId="20" type="noConversion"/>
  </si>
  <si>
    <t>0~65</t>
    <phoneticPr fontId="20" type="noConversion"/>
  </si>
  <si>
    <t>FcActLengthLow</t>
    <phoneticPr fontId="20" type="noConversion"/>
  </si>
  <si>
    <t>FcKeyUpDnH</t>
    <phoneticPr fontId="20" type="noConversion"/>
  </si>
  <si>
    <t>FcKeyUpDnL</t>
    <phoneticPr fontId="20" type="noConversion"/>
  </si>
  <si>
    <t>FcTerUpDnH</t>
    <phoneticPr fontId="20" type="noConversion"/>
  </si>
  <si>
    <t>FcTerUpDnL</t>
    <phoneticPr fontId="20" type="noConversion"/>
  </si>
  <si>
    <t>FcPosPulseBiasDisp</t>
    <phoneticPr fontId="20" type="noConversion"/>
  </si>
  <si>
    <r>
      <t>0～</t>
    </r>
    <r>
      <rPr>
        <sz val="9"/>
        <rFont val="Times New Roman"/>
        <family val="1"/>
      </rPr>
      <t>65535</t>
    </r>
    <phoneticPr fontId="20" type="noConversion"/>
  </si>
  <si>
    <t>U1.00</t>
    <phoneticPr fontId="20" type="noConversion"/>
  </si>
  <si>
    <t>FcLateFautType</t>
    <phoneticPr fontId="20" type="noConversion"/>
  </si>
  <si>
    <t>A0.01</t>
  </si>
  <si>
    <t>A0.02</t>
  </si>
  <si>
    <t>A0.03</t>
  </si>
  <si>
    <t>A0.04</t>
  </si>
  <si>
    <t>A0.05</t>
  </si>
  <si>
    <t>A0.06</t>
  </si>
  <si>
    <t>A0.07</t>
  </si>
  <si>
    <t>A0.08</t>
  </si>
  <si>
    <t>A0.09</t>
  </si>
  <si>
    <t>A1.00</t>
  </si>
  <si>
    <t>A1.01</t>
  </si>
  <si>
    <t>A1.02</t>
  </si>
  <si>
    <t>A1.03</t>
  </si>
  <si>
    <t>A1.04</t>
  </si>
  <si>
    <t>A1.05</t>
  </si>
  <si>
    <t>A1.06</t>
  </si>
  <si>
    <t>A1.07</t>
  </si>
  <si>
    <t>A1.08</t>
  </si>
  <si>
    <t>A1.09</t>
  </si>
  <si>
    <t>A1.10</t>
  </si>
  <si>
    <t>A1.11</t>
  </si>
  <si>
    <t>A1.12</t>
  </si>
  <si>
    <t>A1.13</t>
  </si>
  <si>
    <t>A1.14</t>
  </si>
  <si>
    <t>A1.15</t>
  </si>
  <si>
    <t>A1.16</t>
  </si>
  <si>
    <t>A1.17</t>
  </si>
  <si>
    <t>A1.18</t>
  </si>
  <si>
    <t>A1.19</t>
  </si>
  <si>
    <t>A1.20</t>
  </si>
  <si>
    <t>A1.21</t>
  </si>
  <si>
    <t>A1.22</t>
  </si>
  <si>
    <t>b0.00</t>
  </si>
  <si>
    <t>b0.01</t>
  </si>
  <si>
    <t>b0.02</t>
  </si>
  <si>
    <t>b0.03</t>
  </si>
  <si>
    <t>b0.04</t>
  </si>
  <si>
    <t>b0.05</t>
  </si>
  <si>
    <t>b0.06</t>
  </si>
  <si>
    <t>b0.07</t>
  </si>
  <si>
    <t>b0.08</t>
  </si>
  <si>
    <t>b0.09</t>
  </si>
  <si>
    <t>b0.10</t>
  </si>
  <si>
    <t>b0.11</t>
  </si>
  <si>
    <t>b0.12</t>
  </si>
  <si>
    <t>b0.13</t>
  </si>
  <si>
    <t>b0.14</t>
  </si>
  <si>
    <t>b0.15</t>
  </si>
  <si>
    <t>b0.16</t>
  </si>
  <si>
    <t>b0.17</t>
  </si>
  <si>
    <t>b0.18</t>
  </si>
  <si>
    <t>b2.01</t>
  </si>
  <si>
    <t>b2.02</t>
  </si>
  <si>
    <t>b2.03</t>
  </si>
  <si>
    <t>b2.04</t>
  </si>
  <si>
    <t>b2.05</t>
  </si>
  <si>
    <t>b2.06</t>
  </si>
  <si>
    <t>b2.07</t>
  </si>
  <si>
    <t>b2.08</t>
  </si>
  <si>
    <t>b2.09</t>
  </si>
  <si>
    <t>b2.10</t>
  </si>
  <si>
    <t>b2.11</t>
  </si>
  <si>
    <t>b2.12</t>
  </si>
  <si>
    <t>b2.13</t>
  </si>
  <si>
    <t>b2.14</t>
  </si>
  <si>
    <t>b2.15</t>
  </si>
  <si>
    <t>b2.16</t>
  </si>
  <si>
    <t>b2.17</t>
  </si>
  <si>
    <t>C0.00</t>
  </si>
  <si>
    <t>C0.01</t>
  </si>
  <si>
    <t>C0.02</t>
  </si>
  <si>
    <t>C0.03</t>
  </si>
  <si>
    <t>C0.04</t>
  </si>
  <si>
    <t>C0.05</t>
  </si>
  <si>
    <t>C0.09</t>
  </si>
  <si>
    <t>C0.10</t>
  </si>
  <si>
    <t>C0.11</t>
  </si>
  <si>
    <t>C0.12</t>
  </si>
  <si>
    <t>C0.13</t>
  </si>
  <si>
    <t>C0.14</t>
  </si>
  <si>
    <t>C0.15</t>
  </si>
  <si>
    <t>C0.16</t>
  </si>
  <si>
    <t>C0.17</t>
  </si>
  <si>
    <t>C0.18</t>
  </si>
  <si>
    <t>C0.19</t>
  </si>
  <si>
    <t>C1.01</t>
  </si>
  <si>
    <t>C1.02</t>
  </si>
  <si>
    <t>C1.03</t>
  </si>
  <si>
    <t>C1.04</t>
  </si>
  <si>
    <t>C1.05</t>
  </si>
  <si>
    <t>C1.06</t>
  </si>
  <si>
    <t>C1.07</t>
  </si>
  <si>
    <t>C1.08</t>
  </si>
  <si>
    <t>C1.09</t>
  </si>
  <si>
    <t>C1.10</t>
  </si>
  <si>
    <t>C1.11</t>
  </si>
  <si>
    <t>C1.12</t>
  </si>
  <si>
    <t>C1.13</t>
  </si>
  <si>
    <t>C1.14</t>
  </si>
  <si>
    <t>C2.00</t>
  </si>
  <si>
    <t>C2.01</t>
  </si>
  <si>
    <t>C2.02</t>
  </si>
  <si>
    <t>C2.03</t>
  </si>
  <si>
    <t>C2.04</t>
  </si>
  <si>
    <t>C2.05</t>
  </si>
  <si>
    <t>C2.06</t>
  </si>
  <si>
    <t>C2.07</t>
  </si>
  <si>
    <t>C2.08</t>
  </si>
  <si>
    <t>C2.09</t>
  </si>
  <si>
    <t>C2.10</t>
  </si>
  <si>
    <t>C2.11</t>
  </si>
  <si>
    <t>C2.12</t>
  </si>
  <si>
    <t>C2.13</t>
  </si>
  <si>
    <t>C2.14</t>
  </si>
  <si>
    <t>C2.15</t>
  </si>
  <si>
    <t>C2.16</t>
  </si>
  <si>
    <t>C2.17</t>
  </si>
  <si>
    <t>C2.18</t>
  </si>
  <si>
    <t>C2.19</t>
  </si>
  <si>
    <t>C2.20</t>
  </si>
  <si>
    <t>C2.21</t>
  </si>
  <si>
    <t>C2.22</t>
  </si>
  <si>
    <t>C2.23</t>
  </si>
  <si>
    <t>C2.24</t>
  </si>
  <si>
    <t>C2.25</t>
  </si>
  <si>
    <t>C2.26</t>
  </si>
  <si>
    <t>C2.27</t>
  </si>
  <si>
    <t>C2.28</t>
  </si>
  <si>
    <t>C3.00</t>
  </si>
  <si>
    <t>C3.01</t>
  </si>
  <si>
    <t>C3.02</t>
  </si>
  <si>
    <t>C3.03</t>
  </si>
  <si>
    <t>C3.04</t>
  </si>
  <si>
    <t>C3.05</t>
  </si>
  <si>
    <t>C3.06</t>
  </si>
  <si>
    <t>C3.07</t>
  </si>
  <si>
    <t>C3.08</t>
  </si>
  <si>
    <t>C3.09</t>
  </si>
  <si>
    <t>C3.10</t>
  </si>
  <si>
    <t>C3.11</t>
  </si>
  <si>
    <t>C4.00</t>
  </si>
  <si>
    <t>C4.02</t>
  </si>
  <si>
    <t>C4.03</t>
  </si>
  <si>
    <t>C4.04</t>
  </si>
  <si>
    <t>C4.05</t>
  </si>
  <si>
    <t>C4.06</t>
  </si>
  <si>
    <t>C4.07</t>
  </si>
  <si>
    <t>C4.08</t>
  </si>
  <si>
    <t>C4.09</t>
  </si>
  <si>
    <t>C4.10</t>
  </si>
  <si>
    <t>C4.11</t>
  </si>
  <si>
    <t>C4.12</t>
  </si>
  <si>
    <t>C4.13</t>
  </si>
  <si>
    <t>C4.14</t>
  </si>
  <si>
    <t>C4.15</t>
  </si>
  <si>
    <t>C4.16</t>
  </si>
  <si>
    <t>C4.17</t>
  </si>
  <si>
    <t>C4.18</t>
  </si>
  <si>
    <t>C4.19</t>
  </si>
  <si>
    <t>C4.20</t>
  </si>
  <si>
    <t>d0.00</t>
  </si>
  <si>
    <t>d0.01</t>
  </si>
  <si>
    <t>d0.02</t>
  </si>
  <si>
    <t>d0.03</t>
  </si>
  <si>
    <t>d0.04</t>
  </si>
  <si>
    <t>d0.05</t>
  </si>
  <si>
    <t>d0.06</t>
  </si>
  <si>
    <t>d0.07</t>
  </si>
  <si>
    <t>d0.08</t>
  </si>
  <si>
    <t>d0.09</t>
  </si>
  <si>
    <t>d0.10</t>
  </si>
  <si>
    <t>d0.11</t>
  </si>
  <si>
    <t>d0.12</t>
  </si>
  <si>
    <t>d0.13</t>
  </si>
  <si>
    <t>d0.14</t>
  </si>
  <si>
    <t>d0.15</t>
  </si>
  <si>
    <t>d0.16</t>
  </si>
  <si>
    <t>d0.17</t>
  </si>
  <si>
    <t>d0.18</t>
  </si>
  <si>
    <t>d0.19</t>
  </si>
  <si>
    <t>d0.20</t>
  </si>
  <si>
    <t>d0.21</t>
  </si>
  <si>
    <t>d0.22</t>
  </si>
  <si>
    <t>d0.23</t>
  </si>
  <si>
    <t>d0.24</t>
  </si>
  <si>
    <t>d0.25</t>
  </si>
  <si>
    <t>d0.26</t>
  </si>
  <si>
    <t>d0.27</t>
  </si>
  <si>
    <t>d0.28</t>
  </si>
  <si>
    <t>d1.00</t>
  </si>
  <si>
    <t>d1.01</t>
  </si>
  <si>
    <t>d1.02</t>
  </si>
  <si>
    <t>d1.03</t>
  </si>
  <si>
    <t>d1.04</t>
  </si>
  <si>
    <t>d1.05</t>
  </si>
  <si>
    <t>d1.06</t>
  </si>
  <si>
    <t>d1.07</t>
  </si>
  <si>
    <t>d1.08</t>
  </si>
  <si>
    <t>d1.09</t>
  </si>
  <si>
    <t>d1.10</t>
  </si>
  <si>
    <t>d1.11</t>
  </si>
  <si>
    <t>d1.12</t>
  </si>
  <si>
    <t>d1.14</t>
  </si>
  <si>
    <t>d1.15</t>
  </si>
  <si>
    <t>d1.16</t>
  </si>
  <si>
    <t>d1.17</t>
  </si>
  <si>
    <t>d1.18</t>
  </si>
  <si>
    <t>d1.19</t>
  </si>
  <si>
    <t>d1.20</t>
  </si>
  <si>
    <t>d2.00</t>
  </si>
  <si>
    <t>d2.01</t>
  </si>
  <si>
    <t>d2.02</t>
  </si>
  <si>
    <t>d2.03</t>
  </si>
  <si>
    <t>d2.04</t>
  </si>
  <si>
    <t>d2.05</t>
  </si>
  <si>
    <t>d2.06</t>
  </si>
  <si>
    <t>d2.07</t>
  </si>
  <si>
    <t>d2.08</t>
  </si>
  <si>
    <t>d2.09</t>
  </si>
  <si>
    <t>d2.10</t>
  </si>
  <si>
    <t>d2.11</t>
  </si>
  <si>
    <t>d2.12</t>
  </si>
  <si>
    <t>d2.13</t>
  </si>
  <si>
    <t>d2.14</t>
  </si>
  <si>
    <t>d2.15</t>
  </si>
  <si>
    <t>d2.16</t>
  </si>
  <si>
    <t>d2.17</t>
  </si>
  <si>
    <t>d2.18</t>
  </si>
  <si>
    <t>d2.19</t>
  </si>
  <si>
    <t>d2.20</t>
  </si>
  <si>
    <t>d2.21</t>
  </si>
  <si>
    <t>d2.22</t>
  </si>
  <si>
    <t>d2.23</t>
  </si>
  <si>
    <t>d2.24</t>
  </si>
  <si>
    <t>d2.25</t>
  </si>
  <si>
    <t>d2.26</t>
  </si>
  <si>
    <t>d2.27</t>
  </si>
  <si>
    <t>d2.28</t>
  </si>
  <si>
    <t>d2.29</t>
  </si>
  <si>
    <t>d2.30</t>
  </si>
  <si>
    <t>d3.00</t>
  </si>
  <si>
    <t>d3.01</t>
  </si>
  <si>
    <t>d3.02</t>
  </si>
  <si>
    <t>d3.03</t>
  </si>
  <si>
    <t>d3.04</t>
  </si>
  <si>
    <t>d3.05</t>
  </si>
  <si>
    <t>d3.06</t>
  </si>
  <si>
    <t>d3.07</t>
  </si>
  <si>
    <t>d3.08</t>
  </si>
  <si>
    <t>d3.09</t>
  </si>
  <si>
    <t>d3.10</t>
  </si>
  <si>
    <t>d3.11</t>
  </si>
  <si>
    <t>d3.12</t>
  </si>
  <si>
    <t>d3.13</t>
  </si>
  <si>
    <t>d3.14</t>
  </si>
  <si>
    <t>d3.15</t>
  </si>
  <si>
    <t>d3.16</t>
  </si>
  <si>
    <t>d3.17</t>
  </si>
  <si>
    <t>d3.18</t>
  </si>
  <si>
    <t>d3.19</t>
  </si>
  <si>
    <t>d3.20</t>
  </si>
  <si>
    <t>d3.21</t>
  </si>
  <si>
    <t>d3.22</t>
  </si>
  <si>
    <t>d3.23</t>
  </si>
  <si>
    <t>d3.24</t>
  </si>
  <si>
    <t>d3.25</t>
  </si>
  <si>
    <t>d3.26</t>
  </si>
  <si>
    <t>d3.27</t>
  </si>
  <si>
    <t>d3.28</t>
  </si>
  <si>
    <t>d6.00</t>
  </si>
  <si>
    <t>d6.01</t>
  </si>
  <si>
    <t>d6.02</t>
  </si>
  <si>
    <t>d6.03</t>
  </si>
  <si>
    <t>d6.04</t>
  </si>
  <si>
    <t>d6.05</t>
  </si>
  <si>
    <t>d6.06</t>
  </si>
  <si>
    <t>d6.07</t>
  </si>
  <si>
    <t>d6.08</t>
  </si>
  <si>
    <t>d6.09</t>
  </si>
  <si>
    <t>E0.00</t>
  </si>
  <si>
    <t>E0.01</t>
  </si>
  <si>
    <t>E0.02</t>
  </si>
  <si>
    <t>E0.03</t>
  </si>
  <si>
    <t>E0.04</t>
  </si>
  <si>
    <t>E0.05</t>
  </si>
  <si>
    <t>E0.06</t>
  </si>
  <si>
    <t>E0.07</t>
  </si>
  <si>
    <t>E0.08</t>
  </si>
  <si>
    <t>E0.09</t>
  </si>
  <si>
    <t>E0.10</t>
  </si>
  <si>
    <t>E0.11</t>
  </si>
  <si>
    <t>E1.00</t>
  </si>
  <si>
    <t>E1.02</t>
  </si>
  <si>
    <t>E1.03</t>
  </si>
  <si>
    <t>E1.04</t>
  </si>
  <si>
    <t>E1.05</t>
  </si>
  <si>
    <t>E1.06</t>
  </si>
  <si>
    <t>E1.07</t>
  </si>
  <si>
    <t>E1.08</t>
  </si>
  <si>
    <t>E1.09</t>
  </si>
  <si>
    <t>E1.10</t>
  </si>
  <si>
    <t>E1.11</t>
  </si>
  <si>
    <t>E1.12</t>
  </si>
  <si>
    <t>E1.13</t>
  </si>
  <si>
    <t>F0.00</t>
  </si>
  <si>
    <t>F0.02</t>
  </si>
  <si>
    <t>F0.04</t>
  </si>
  <si>
    <t>F0.06</t>
  </si>
  <si>
    <t>F0.08</t>
  </si>
  <si>
    <t>F0.10</t>
  </si>
  <si>
    <t>F0.12</t>
  </si>
  <si>
    <t>F0.14</t>
  </si>
  <si>
    <t>F0.16</t>
  </si>
  <si>
    <t>F0.18</t>
  </si>
  <si>
    <t>F0.20</t>
  </si>
  <si>
    <t>F0.22</t>
  </si>
  <si>
    <t>U1.01</t>
    <phoneticPr fontId="20" type="noConversion"/>
  </si>
  <si>
    <t>FcLateFautRunFreq</t>
    <phoneticPr fontId="20" type="noConversion"/>
  </si>
  <si>
    <t>FcLateFautCurr</t>
    <phoneticPr fontId="20" type="noConversion"/>
  </si>
  <si>
    <t>FcLateFautDcVol</t>
    <phoneticPr fontId="20" type="noConversion"/>
  </si>
  <si>
    <t>FcLateFautRecTempe</t>
    <phoneticPr fontId="20" type="noConversion"/>
  </si>
  <si>
    <r>
      <rPr>
        <sz val="9"/>
        <rFont val="Times New Roman"/>
        <family val="1"/>
      </rPr>
      <t>-4</t>
    </r>
    <r>
      <rPr>
        <sz val="9"/>
        <rFont val="宋体"/>
        <charset val="134"/>
      </rPr>
      <t>0.0℃～</t>
    </r>
    <r>
      <rPr>
        <sz val="9"/>
        <rFont val="Times New Roman"/>
        <family val="1"/>
      </rPr>
      <t>100.0</t>
    </r>
    <r>
      <rPr>
        <sz val="9"/>
        <rFont val="宋体"/>
        <charset val="134"/>
      </rPr>
      <t>℃</t>
    </r>
    <phoneticPr fontId="20" type="noConversion"/>
  </si>
  <si>
    <t>-400</t>
    <phoneticPr fontId="20" type="noConversion"/>
  </si>
  <si>
    <r>
      <rPr>
        <sz val="9"/>
        <rFont val="Times New Roman"/>
        <family val="1"/>
      </rPr>
      <t>-4</t>
    </r>
    <r>
      <rPr>
        <sz val="9"/>
        <rFont val="宋体"/>
        <charset val="134"/>
      </rPr>
      <t>0.0℃～</t>
    </r>
    <r>
      <rPr>
        <sz val="9"/>
        <rFont val="Times New Roman"/>
        <family val="1"/>
      </rPr>
      <t>100.0</t>
    </r>
    <r>
      <rPr>
        <sz val="9"/>
        <rFont val="宋体"/>
        <charset val="134"/>
      </rPr>
      <t>℃</t>
    </r>
    <phoneticPr fontId="20" type="noConversion"/>
  </si>
  <si>
    <r>
      <t>用户密码</t>
    </r>
    <r>
      <rPr>
        <sz val="10"/>
        <rFont val="Times New Roman"/>
        <family val="1"/>
      </rPr>
      <t>A0.00</t>
    </r>
    <r>
      <rPr>
        <sz val="10"/>
        <rFont val="宋体"/>
        <charset val="134"/>
      </rPr>
      <t>显示</t>
    </r>
  </si>
  <si>
    <r>
      <t>(保留参数)</t>
    </r>
    <r>
      <rPr>
        <sz val="10"/>
        <rFont val="宋体"/>
        <charset val="134"/>
      </rPr>
      <t>1</t>
    </r>
    <phoneticPr fontId="20" type="noConversion"/>
  </si>
  <si>
    <r>
      <t>(保留参数)</t>
    </r>
    <r>
      <rPr>
        <sz val="10"/>
        <rFont val="宋体"/>
        <charset val="134"/>
      </rPr>
      <t>5</t>
    </r>
    <phoneticPr fontId="20" type="noConversion"/>
  </si>
  <si>
    <r>
      <t>(保留参数)</t>
    </r>
    <r>
      <rPr>
        <sz val="10"/>
        <rFont val="宋体"/>
        <charset val="134"/>
      </rPr>
      <t>6</t>
    </r>
    <phoneticPr fontId="20" type="noConversion"/>
  </si>
  <si>
    <r>
      <t>(保留参数)</t>
    </r>
    <r>
      <rPr>
        <sz val="10"/>
        <rFont val="宋体"/>
        <charset val="134"/>
      </rPr>
      <t>7</t>
    </r>
    <phoneticPr fontId="20" type="noConversion"/>
  </si>
  <si>
    <r>
      <t>(保留参数)</t>
    </r>
    <r>
      <rPr>
        <sz val="10"/>
        <rFont val="宋体"/>
        <charset val="134"/>
      </rPr>
      <t>8</t>
    </r>
    <phoneticPr fontId="20" type="noConversion"/>
  </si>
  <si>
    <r>
      <t>(保留参数)</t>
    </r>
    <r>
      <rPr>
        <sz val="10"/>
        <rFont val="宋体"/>
        <charset val="134"/>
      </rPr>
      <t>9</t>
    </r>
    <phoneticPr fontId="20" type="noConversion"/>
  </si>
  <si>
    <t>5V频率给定脉冲方向</t>
    <phoneticPr fontId="20" type="noConversion"/>
  </si>
  <si>
    <t>速度脉冲跟随切换</t>
    <phoneticPr fontId="20" type="noConversion"/>
  </si>
  <si>
    <r>
      <t>FcReservedn014</t>
    </r>
    <r>
      <rPr>
        <sz val="11"/>
        <color indexed="8"/>
        <rFont val="宋体"/>
        <charset val="134"/>
      </rPr>
      <t/>
    </r>
    <phoneticPr fontId="20" type="noConversion"/>
  </si>
  <si>
    <t>FcPerformDebug4</t>
    <phoneticPr fontId="20" type="noConversion"/>
  </si>
  <si>
    <t>(保留参数)3</t>
    <phoneticPr fontId="20" type="noConversion"/>
  </si>
  <si>
    <t>(保留参数)2</t>
    <phoneticPr fontId="20" type="noConversion"/>
  </si>
  <si>
    <t>(保留参数)4</t>
    <phoneticPr fontId="20" type="noConversion"/>
  </si>
  <si>
    <t>0~65535（没用）</t>
    <phoneticPr fontId="20" type="noConversion"/>
  </si>
  <si>
    <t>模拟量增益切换</t>
    <phoneticPr fontId="20" type="noConversion"/>
  </si>
  <si>
    <r>
      <t xml:space="preserve">0：不动作
</t>
    </r>
    <r>
      <rPr>
        <sz val="9"/>
        <rFont val="Times New Roman"/>
        <family val="1"/>
      </rPr>
      <t>1</t>
    </r>
    <r>
      <rPr>
        <sz val="9"/>
        <rFont val="宋体"/>
        <charset val="134"/>
      </rPr>
      <t xml:space="preserve">：异步电机静止辨识
</t>
    </r>
    <r>
      <rPr>
        <sz val="9"/>
        <rFont val="Times New Roman"/>
        <family val="1"/>
      </rPr>
      <t>2</t>
    </r>
    <r>
      <rPr>
        <sz val="9"/>
        <rFont val="宋体"/>
        <charset val="134"/>
      </rPr>
      <t xml:space="preserve">：异步电机旋转辨识
</t>
    </r>
    <r>
      <rPr>
        <sz val="9"/>
        <rFont val="Times New Roman"/>
        <family val="1"/>
      </rPr>
      <t>3</t>
    </r>
    <r>
      <rPr>
        <sz val="9"/>
        <rFont val="宋体"/>
        <charset val="134"/>
      </rPr>
      <t xml:space="preserve">：同步电机辨识
</t>
    </r>
    <r>
      <rPr>
        <sz val="9"/>
        <color indexed="10"/>
        <rFont val="Times New Roman"/>
        <family val="1"/>
      </rPr>
      <t>4</t>
    </r>
    <r>
      <rPr>
        <sz val="9"/>
        <color indexed="10"/>
        <rFont val="宋体"/>
        <charset val="134"/>
      </rPr>
      <t>：旋转变压器静止辨识</t>
    </r>
    <phoneticPr fontId="20" type="noConversion"/>
  </si>
  <si>
    <t>b1.00</t>
    <phoneticPr fontId="20" type="noConversion"/>
  </si>
  <si>
    <t>b1.02</t>
    <phoneticPr fontId="20" type="noConversion"/>
  </si>
  <si>
    <t>b1.03</t>
    <phoneticPr fontId="20" type="noConversion"/>
  </si>
  <si>
    <t>b1.04</t>
    <phoneticPr fontId="20" type="noConversion"/>
  </si>
  <si>
    <t>b1.05</t>
    <phoneticPr fontId="20" type="noConversion"/>
  </si>
  <si>
    <t>b1.06</t>
    <phoneticPr fontId="20" type="noConversion"/>
  </si>
  <si>
    <t>b1.07</t>
    <phoneticPr fontId="20" type="noConversion"/>
  </si>
  <si>
    <t>b1.08</t>
    <phoneticPr fontId="20" type="noConversion"/>
  </si>
  <si>
    <t>b1.09</t>
    <phoneticPr fontId="20" type="noConversion"/>
  </si>
  <si>
    <t>b1.10</t>
    <phoneticPr fontId="20" type="noConversion"/>
  </si>
  <si>
    <t>b1.11</t>
    <phoneticPr fontId="20" type="noConversion"/>
  </si>
  <si>
    <t>b1.13</t>
    <phoneticPr fontId="20" type="noConversion"/>
  </si>
  <si>
    <t>b1.14</t>
    <phoneticPr fontId="20" type="noConversion"/>
  </si>
  <si>
    <t>b1.15</t>
    <phoneticPr fontId="20" type="noConversion"/>
  </si>
  <si>
    <t>b1.16</t>
    <phoneticPr fontId="20" type="noConversion"/>
  </si>
  <si>
    <t>b1.17</t>
    <phoneticPr fontId="20" type="noConversion"/>
  </si>
  <si>
    <t>b1.18</t>
    <phoneticPr fontId="20" type="noConversion"/>
  </si>
  <si>
    <t>b1.20</t>
    <phoneticPr fontId="20" type="noConversion"/>
  </si>
  <si>
    <t>b1.21</t>
    <phoneticPr fontId="20" type="noConversion"/>
  </si>
  <si>
    <t>FcProtectAct2</t>
    <phoneticPr fontId="20" type="noConversion"/>
  </si>
  <si>
    <r>
      <t xml:space="preserve">个位：编码器断线动作选择
0：保护动作并自由停车
1：告警并且继续运行
十位：温度采样断线动作选择
0：保护动作并自由停车
1：告警并且继续运行
百位：EEPROM异常动作选择
0：保护动作并自由停车
1：告警并且继续运行
</t>
    </r>
    <r>
      <rPr>
        <sz val="9"/>
        <color indexed="10"/>
        <rFont val="宋体"/>
        <charset val="134"/>
      </rPr>
      <t>千位：端子通讯异常动作选择</t>
    </r>
    <r>
      <rPr>
        <sz val="9"/>
        <rFont val="宋体"/>
        <charset val="134"/>
      </rPr>
      <t xml:space="preserve">
0：保护动作并自由停车
1：告警并且继续运行
</t>
    </r>
    <phoneticPr fontId="20" type="noConversion"/>
  </si>
  <si>
    <t>0~65535（PID积分限幅用到）</t>
    <phoneticPr fontId="20" type="noConversion"/>
  </si>
  <si>
    <r>
      <t>H1.18</t>
    </r>
    <r>
      <rPr>
        <sz val="10"/>
        <rFont val="宋体"/>
        <charset val="134"/>
      </rPr>
      <t/>
    </r>
  </si>
  <si>
    <r>
      <t>H1.19</t>
    </r>
    <r>
      <rPr>
        <sz val="10"/>
        <rFont val="宋体"/>
        <charset val="134"/>
      </rPr>
      <t/>
    </r>
  </si>
  <si>
    <r>
      <t>H1.20</t>
    </r>
    <r>
      <rPr>
        <sz val="10"/>
        <rFont val="宋体"/>
        <charset val="134"/>
      </rPr>
      <t/>
    </r>
  </si>
  <si>
    <r>
      <t>H1.21</t>
    </r>
    <r>
      <rPr>
        <sz val="10"/>
        <rFont val="宋体"/>
        <charset val="134"/>
      </rPr>
      <t/>
    </r>
  </si>
  <si>
    <t>FcReservedH121</t>
  </si>
  <si>
    <r>
      <t>H1.22</t>
    </r>
    <r>
      <rPr>
        <sz val="10"/>
        <rFont val="宋体"/>
        <charset val="134"/>
      </rPr>
      <t/>
    </r>
  </si>
  <si>
    <t>FcReservedH122</t>
  </si>
  <si>
    <r>
      <t>H1.23</t>
    </r>
    <r>
      <rPr>
        <sz val="10"/>
        <rFont val="宋体"/>
        <charset val="134"/>
      </rPr>
      <t/>
    </r>
  </si>
  <si>
    <t>FcReservedH123</t>
  </si>
  <si>
    <r>
      <t>H1.24</t>
    </r>
    <r>
      <rPr>
        <sz val="10"/>
        <rFont val="宋体"/>
        <charset val="134"/>
      </rPr>
      <t/>
    </r>
  </si>
  <si>
    <t>FcReservedH124</t>
  </si>
  <si>
    <r>
      <t>H1.25</t>
    </r>
    <r>
      <rPr>
        <sz val="10"/>
        <rFont val="宋体"/>
        <charset val="134"/>
      </rPr>
      <t/>
    </r>
  </si>
  <si>
    <t>FcReservedH125</t>
  </si>
  <si>
    <r>
      <t>H1.26</t>
    </r>
    <r>
      <rPr>
        <sz val="10"/>
        <rFont val="宋体"/>
        <charset val="134"/>
      </rPr>
      <t/>
    </r>
  </si>
  <si>
    <t>FcReservedH126</t>
  </si>
  <si>
    <t>0:无
A0-00~U2-xx
0x6200~0x6214
0x6300~0x6324</t>
  </si>
  <si>
    <t>0:无
A0-00~U2-xx
0x6200~0x6214
0x6300~0x6325</t>
  </si>
  <si>
    <t>0:无
A0-00~U2-xx
0x6200~0x6214
0x6300~0x6326</t>
  </si>
  <si>
    <t>0:无
A0-00~U2-xx
0x6200~0x6214
0x6300~0x6327</t>
  </si>
  <si>
    <t>0:无
A0-00~U2-xx
0x6200~0x6214
0x6300~0x6328</t>
  </si>
  <si>
    <t>0:无
A0-00~U2-xx
0x6200~0x6214
0x6300~0x6329</t>
  </si>
  <si>
    <t>0:无
A0-00~U2-xx
0x6200~0x6214
0x6300~0x6330</t>
  </si>
  <si>
    <t>0:无
A0-00~U2-xx
0x6200~0x6214
0x6300~0x6331</t>
  </si>
  <si>
    <t>0:无
A0-00~U2-xx
0x6200~0x6214
0x6300~0x6332</t>
  </si>
  <si>
    <t>0:无
A0-00~U2-xx
0x6200~0x6214
0x6300~0x6333</t>
  </si>
  <si>
    <t>0:无
A0-00~U2-xx
0x6200~0x6214
0x6300~0x6334</t>
  </si>
  <si>
    <t>0:无
A0-00~U2-xx
0x6200~0x6214
0x6300~0x6335</t>
  </si>
  <si>
    <t>0:无
A0-00~U2-xx
0x6200~0x6214
0x6300~0x6336</t>
  </si>
  <si>
    <t>0:无
A0-00~U2-xx
0x6200~0x6214
0x6300~0x6337</t>
  </si>
  <si>
    <t>0:无
A0-00~U2-xx
0x6200~0x6214
0x6300~0x6338</t>
  </si>
  <si>
    <t>0:无
A0-00~U2-xx
0x6200~0x6214
0x6300~0x6339</t>
  </si>
  <si>
    <t>0:无
A0-00~U2-xx
0x6200~0x6214
0x6300~0x6340</t>
  </si>
  <si>
    <t>FcOutTorqDisp</t>
    <phoneticPr fontId="20" type="noConversion"/>
  </si>
  <si>
    <t>个位：运行欠压故障
0：故障动作并自由停机
1：屏蔽该故障
十位：电流检测电路故障
0：保护动作并自由停车
1：告警并且继续运行
百位：接触器异常动作选择
0：保护动作并自由停车
1：告警并且继续运行
千位：输入输出缺相动作选择
0：输入缺相不保护,输出缺相不保护
1：输入缺相不保护,输出缺相保护
2：输入缺相保护,输出缺相不保护
3：输入缺相保护,输出缺相保护</t>
    <phoneticPr fontId="20" type="noConversion"/>
  </si>
  <si>
    <r>
      <t>0～</t>
    </r>
    <r>
      <rPr>
        <sz val="9"/>
        <rFont val="Times New Roman"/>
        <family val="1"/>
      </rPr>
      <t>1000.0</t>
    </r>
    <phoneticPr fontId="20" type="noConversion"/>
  </si>
  <si>
    <t>脉冲跟随位置偏置脉冲输入(仅仅X7有效)</t>
    <phoneticPr fontId="20" type="noConversion"/>
  </si>
  <si>
    <t>Trim方向</t>
    <phoneticPr fontId="20" type="noConversion"/>
  </si>
  <si>
    <t>寻找原点功能</t>
  </si>
  <si>
    <t>FcFreqFdb</t>
    <phoneticPr fontId="20" type="noConversion"/>
  </si>
  <si>
    <t>PG卡反馈速度</t>
    <phoneticPr fontId="20" type="noConversion"/>
  </si>
  <si>
    <t>H</t>
    <phoneticPr fontId="43" type="noConversion"/>
  </si>
  <si>
    <r>
      <t>0~65535</t>
    </r>
    <r>
      <rPr>
        <sz val="9"/>
        <rFont val="宋体"/>
        <charset val="134"/>
      </rPr>
      <t>（</t>
    </r>
    <r>
      <rPr>
        <sz val="9"/>
        <rFont val="宋体"/>
        <charset val="134"/>
      </rPr>
      <t>1000</t>
    </r>
    <r>
      <rPr>
        <sz val="9"/>
        <rFont val="宋体"/>
        <charset val="134"/>
      </rPr>
      <t>～</t>
    </r>
    <r>
      <rPr>
        <sz val="9"/>
        <rFont val="宋体"/>
        <charset val="134"/>
      </rPr>
      <t>100%</t>
    </r>
    <r>
      <rPr>
        <sz val="9"/>
        <rFont val="宋体"/>
        <charset val="134"/>
      </rPr>
      <t>）最小转矩用</t>
    </r>
    <phoneticPr fontId="20" type="noConversion"/>
  </si>
  <si>
    <t>H0.00</t>
  </si>
  <si>
    <t>H0.01</t>
  </si>
  <si>
    <t>H0.02</t>
  </si>
  <si>
    <t>H0.03</t>
  </si>
  <si>
    <t>H0.04</t>
  </si>
  <si>
    <t>H0.05</t>
  </si>
  <si>
    <t>H0.06</t>
  </si>
  <si>
    <t>L0.00</t>
  </si>
  <si>
    <t>L0.01</t>
  </si>
  <si>
    <t>L0.02</t>
  </si>
  <si>
    <t>L0.03</t>
  </si>
  <si>
    <t>n0.00</t>
  </si>
  <si>
    <t>n0.01</t>
  </si>
  <si>
    <t>n0.02</t>
  </si>
  <si>
    <t>n0.03</t>
  </si>
  <si>
    <t>n0.04</t>
  </si>
  <si>
    <t>n0.05</t>
  </si>
  <si>
    <t>n0.06</t>
  </si>
  <si>
    <t>n0.07</t>
  </si>
  <si>
    <t>n0.08</t>
  </si>
  <si>
    <t>n0.09</t>
  </si>
  <si>
    <t>n0.10</t>
  </si>
  <si>
    <t>n0.11</t>
  </si>
  <si>
    <t>n0.12</t>
  </si>
  <si>
    <t>n0.13</t>
  </si>
  <si>
    <t>n0.14</t>
  </si>
  <si>
    <t>n0.15</t>
  </si>
  <si>
    <t>n1.00</t>
  </si>
  <si>
    <t>n1.01</t>
  </si>
  <si>
    <t>n1.02</t>
  </si>
  <si>
    <t>n1.03</t>
  </si>
  <si>
    <t>n1.04</t>
  </si>
  <si>
    <t>功能码初始化</t>
  </si>
  <si>
    <t>频率主给定方式</t>
  </si>
  <si>
    <t>运行方向选择</t>
  </si>
  <si>
    <t>加减速时间分辨率</t>
  </si>
  <si>
    <t>模拟量输入曲线选择</t>
  </si>
  <si>
    <t>转差补偿增益</t>
  </si>
  <si>
    <t>编码器选择</t>
  </si>
  <si>
    <t>L0.04</t>
  </si>
  <si>
    <t>运行频率</t>
  </si>
  <si>
    <t>设定频率</t>
  </si>
  <si>
    <t>输出电压</t>
  </si>
  <si>
    <t>输出电流</t>
  </si>
  <si>
    <t>输出转矩</t>
  </si>
  <si>
    <t>输出功率</t>
  </si>
  <si>
    <t>最近一次故障类型</t>
  </si>
  <si>
    <t>最近一次故障时运行频率</t>
  </si>
  <si>
    <t>最近一次故障时输出电流</t>
  </si>
  <si>
    <t>最近一次故障时母线电压</t>
  </si>
  <si>
    <t>最近一次故障时整流桥温度</t>
  </si>
  <si>
    <t>最近一次故障时逆变桥温度</t>
  </si>
  <si>
    <t>最近一次故障时输入端子状态</t>
  </si>
  <si>
    <t>最近一次故障时输出端子状态</t>
  </si>
  <si>
    <t>最近一次故障时累计运行时间</t>
  </si>
  <si>
    <t>下限频率～上限频率</t>
  </si>
  <si>
    <t>0.00Hz～电机额定频率</t>
  </si>
  <si>
    <t>0~65535</t>
  </si>
  <si>
    <t>FFFF</t>
  </si>
  <si>
    <t>0</t>
  </si>
  <si>
    <t>△</t>
  </si>
  <si>
    <t>×</t>
  </si>
  <si>
    <t>◎</t>
  </si>
  <si>
    <t>※</t>
  </si>
  <si>
    <t>℃</t>
  </si>
  <si>
    <t>FcDefineParaUser2</t>
  </si>
  <si>
    <t>FcDefineParaUser3</t>
  </si>
  <si>
    <t>FcDefineParaUser4</t>
  </si>
  <si>
    <t>FcDefineParaUser5</t>
  </si>
  <si>
    <t>FcDefineParaUser6</t>
  </si>
  <si>
    <t>FcDefineParaUser7</t>
  </si>
  <si>
    <t>FcDefineParaUser8</t>
  </si>
  <si>
    <t>FcDefineParaUser9</t>
  </si>
  <si>
    <t>FcDefineParaUser10</t>
  </si>
  <si>
    <t>FcDefineParaUser11</t>
  </si>
  <si>
    <t>FcDefineParaUser12</t>
  </si>
  <si>
    <t>FcDefineParaUser13</t>
  </si>
  <si>
    <t>FcDefineParaUser14</t>
  </si>
  <si>
    <t>FcDefineParaUser15</t>
  </si>
  <si>
    <t>FcDefineParaUser16</t>
  </si>
  <si>
    <t>FcDefineParaUser17</t>
  </si>
  <si>
    <t>FcDefineParaUser18</t>
  </si>
  <si>
    <t>FcDefineParaUser19</t>
  </si>
  <si>
    <t>FcDefineParaUser20</t>
  </si>
  <si>
    <t>FcAddTime2</t>
  </si>
  <si>
    <t>FcDecTime2</t>
  </si>
  <si>
    <t>FcInputMaxCurve3</t>
  </si>
  <si>
    <t>FcSetMaxCurve3</t>
  </si>
  <si>
    <t>FcAInputCurve3</t>
  </si>
  <si>
    <t>FcASetCurve3</t>
  </si>
  <si>
    <t>FcBInputCurve3</t>
  </si>
  <si>
    <t>FcBSetCurve3</t>
  </si>
  <si>
    <t>FcInputMinCurve3</t>
  </si>
  <si>
    <t>FcSetMinCurve3</t>
  </si>
  <si>
    <t>FcTermFiltTimeAI2</t>
  </si>
  <si>
    <t>FcTermFiltTimeAI3</t>
  </si>
  <si>
    <t>FcFuncAo2</t>
  </si>
  <si>
    <t>FcBiasAo2</t>
  </si>
  <si>
    <t>FcScaleAo2</t>
  </si>
  <si>
    <t>FcFiltTimeAo2</t>
  </si>
  <si>
    <t>FcSamp1ReviseAI2</t>
  </si>
  <si>
    <t>FcSamp1ReviseAI3</t>
  </si>
  <si>
    <t>FcInput2ReviseAI2</t>
  </si>
  <si>
    <t>FcSamp2ReviseAI2</t>
  </si>
  <si>
    <t>FcInput2ReviseAI3</t>
  </si>
  <si>
    <t>FcSamp2ReviseAI3</t>
  </si>
  <si>
    <t>FcInput1ReviseAo2</t>
  </si>
  <si>
    <t>FcSamp1ReviseAo2</t>
  </si>
  <si>
    <t>FcInput2ReviseAo2</t>
  </si>
  <si>
    <t>n0.16</t>
  </si>
  <si>
    <t>C0.06</t>
  </si>
  <si>
    <t>C0.07</t>
  </si>
  <si>
    <t>C0.08</t>
  </si>
  <si>
    <t>C0.20</t>
  </si>
  <si>
    <t>d1.13</t>
  </si>
  <si>
    <t>功能码组</t>
  </si>
  <si>
    <t>0x12</t>
  </si>
  <si>
    <t>0x13</t>
  </si>
  <si>
    <t>0x14</t>
  </si>
  <si>
    <t>A0</t>
  </si>
  <si>
    <t>A1</t>
  </si>
  <si>
    <t>b0</t>
  </si>
  <si>
    <t>b1</t>
  </si>
  <si>
    <t>b2</t>
  </si>
  <si>
    <t>C0</t>
  </si>
  <si>
    <t>C1</t>
  </si>
  <si>
    <t>C2</t>
  </si>
  <si>
    <t>C3</t>
  </si>
  <si>
    <t>C4</t>
  </si>
  <si>
    <t>d0</t>
  </si>
  <si>
    <t>d1</t>
  </si>
  <si>
    <t>d2</t>
  </si>
  <si>
    <t>d3</t>
  </si>
  <si>
    <t>d4</t>
  </si>
  <si>
    <t>d5</t>
  </si>
  <si>
    <t>d6</t>
  </si>
  <si>
    <t>d7</t>
  </si>
  <si>
    <t>d8</t>
  </si>
  <si>
    <t>d9</t>
  </si>
  <si>
    <t>d10</t>
  </si>
  <si>
    <t>d11</t>
  </si>
  <si>
    <t>d12</t>
  </si>
  <si>
    <t>d13</t>
  </si>
  <si>
    <t>d14</t>
  </si>
  <si>
    <t>d15</t>
  </si>
  <si>
    <t>d16</t>
  </si>
  <si>
    <t>d17</t>
  </si>
  <si>
    <t>d18</t>
  </si>
  <si>
    <t>d19</t>
  </si>
  <si>
    <t>d20</t>
  </si>
  <si>
    <t>d21</t>
  </si>
  <si>
    <t>d22</t>
  </si>
  <si>
    <t>d23</t>
  </si>
  <si>
    <t>d24</t>
  </si>
  <si>
    <t>d25</t>
  </si>
  <si>
    <t>0x00</t>
    <phoneticPr fontId="23" type="noConversion"/>
  </si>
  <si>
    <t>0x01</t>
    <phoneticPr fontId="23" type="noConversion"/>
  </si>
  <si>
    <t>0x02</t>
  </si>
  <si>
    <t>0x03</t>
  </si>
  <si>
    <t>0x04</t>
  </si>
  <si>
    <t>0x05</t>
  </si>
  <si>
    <t>0x06</t>
  </si>
  <si>
    <t>0x07</t>
  </si>
  <si>
    <t>0x08</t>
  </si>
  <si>
    <t>0x09</t>
  </si>
  <si>
    <t>0x15</t>
  </si>
  <si>
    <t>0x16</t>
  </si>
  <si>
    <t>0x17</t>
  </si>
  <si>
    <t>0x18</t>
  </si>
  <si>
    <t>0x19</t>
  </si>
  <si>
    <t>0x22</t>
  </si>
  <si>
    <t>0x23</t>
  </si>
  <si>
    <t>0x0A</t>
    <phoneticPr fontId="23" type="noConversion"/>
  </si>
  <si>
    <t>0x0B</t>
    <phoneticPr fontId="23" type="noConversion"/>
  </si>
  <si>
    <t>0x0C</t>
    <phoneticPr fontId="23" type="noConversion"/>
  </si>
  <si>
    <t>0x0D</t>
    <phoneticPr fontId="23" type="noConversion"/>
  </si>
  <si>
    <t>0x0E</t>
    <phoneticPr fontId="23" type="noConversion"/>
  </si>
  <si>
    <t>0x0F</t>
    <phoneticPr fontId="23" type="noConversion"/>
  </si>
  <si>
    <t>0x10</t>
    <phoneticPr fontId="23" type="noConversion"/>
  </si>
  <si>
    <t>0x11</t>
    <phoneticPr fontId="23" type="noConversion"/>
  </si>
  <si>
    <t>0x1A</t>
    <phoneticPr fontId="23" type="noConversion"/>
  </si>
  <si>
    <t>0x1B</t>
    <phoneticPr fontId="23" type="noConversion"/>
  </si>
  <si>
    <t>0x1C</t>
    <phoneticPr fontId="23" type="noConversion"/>
  </si>
  <si>
    <t>0x1D</t>
    <phoneticPr fontId="23" type="noConversion"/>
  </si>
  <si>
    <t>0x1E</t>
    <phoneticPr fontId="23" type="noConversion"/>
  </si>
  <si>
    <t>0x1F</t>
    <phoneticPr fontId="23" type="noConversion"/>
  </si>
  <si>
    <t>0x20</t>
    <phoneticPr fontId="23" type="noConversion"/>
  </si>
  <si>
    <t>0x21</t>
    <phoneticPr fontId="23" type="noConversion"/>
  </si>
  <si>
    <t>映射的寄存器地址高字节</t>
    <phoneticPr fontId="23" type="noConversion"/>
  </si>
  <si>
    <t>映射的寄存器地址低字节</t>
    <phoneticPr fontId="23" type="noConversion"/>
  </si>
  <si>
    <t>0～99（对应组内号）</t>
  </si>
  <si>
    <t>0～99（对应组内号）</t>
    <phoneticPr fontId="23" type="noConversion"/>
  </si>
  <si>
    <t>2FFF</t>
  </si>
  <si>
    <t>更改属性
Bit0~Bit1</t>
    <phoneticPr fontId="20" type="noConversion"/>
  </si>
  <si>
    <t>精度
Bit2~Bit3</t>
    <phoneticPr fontId="20" type="noConversion"/>
  </si>
  <si>
    <t>单位
Bit4~Bit7</t>
    <phoneticPr fontId="20" type="noConversion"/>
  </si>
  <si>
    <t>显示格式Bit8</t>
    <phoneticPr fontId="20" type="noConversion"/>
  </si>
  <si>
    <t>是否为快速菜单
Bit9</t>
    <phoneticPr fontId="20" type="noConversion"/>
  </si>
  <si>
    <t>是否上传到键盘
Bit10</t>
    <phoneticPr fontId="20" type="noConversion"/>
  </si>
  <si>
    <t>数据宽度
Bit11~Bit13</t>
    <phoneticPr fontId="20" type="noConversion"/>
  </si>
  <si>
    <t>有/无符号数
Bit14</t>
    <phoneticPr fontId="20" type="noConversion"/>
  </si>
  <si>
    <t>Bit15（保留）</t>
    <phoneticPr fontId="20" type="noConversion"/>
  </si>
  <si>
    <t>属性字（2进制）(计算有误，不能按2进制计算)</t>
    <phoneticPr fontId="20" type="noConversion"/>
  </si>
  <si>
    <t>FFFF</t>
    <phoneticPr fontId="20" type="noConversion"/>
  </si>
  <si>
    <t>△</t>
    <phoneticPr fontId="20" type="noConversion"/>
  </si>
  <si>
    <t>X</t>
    <phoneticPr fontId="20" type="noConversion"/>
  </si>
  <si>
    <t>A</t>
    <phoneticPr fontId="20" type="noConversion"/>
  </si>
  <si>
    <t>H</t>
    <phoneticPr fontId="20" type="noConversion"/>
  </si>
  <si>
    <t>h</t>
    <phoneticPr fontId="20" type="noConversion"/>
  </si>
  <si>
    <t>S</t>
    <phoneticPr fontId="20" type="noConversion"/>
  </si>
  <si>
    <t>V</t>
    <phoneticPr fontId="20" type="noConversion"/>
  </si>
  <si>
    <t>%</t>
    <phoneticPr fontId="20" type="noConversion"/>
  </si>
  <si>
    <t>电机控制方式</t>
  </si>
  <si>
    <t>MOTOR_CTRL_TYPE</t>
  </si>
  <si>
    <r>
      <t>0.0%～</t>
    </r>
    <r>
      <rPr>
        <sz val="9"/>
        <rFont val="Times New Roman"/>
        <family val="1"/>
      </rPr>
      <t>200.0%</t>
    </r>
  </si>
  <si>
    <t>最大输出频率</t>
  </si>
  <si>
    <r>
      <t>上限频率～</t>
    </r>
    <r>
      <rPr>
        <sz val="9"/>
        <rFont val="Times New Roman"/>
        <family val="1"/>
      </rPr>
      <t>600.00Hz</t>
    </r>
  </si>
  <si>
    <t>上限频率</t>
  </si>
  <si>
    <t>下限频率～最大输出频率</t>
  </si>
  <si>
    <t>下限频率</t>
  </si>
  <si>
    <t>0.00Hz～上限频率</t>
  </si>
  <si>
    <t>FcJumpFreqDn2</t>
  </si>
  <si>
    <t>FcJumpFreqUp2</t>
  </si>
  <si>
    <r>
      <t>0.00Hz～</t>
    </r>
    <r>
      <rPr>
        <sz val="9"/>
        <rFont val="Times New Roman"/>
        <family val="1"/>
      </rPr>
      <t>600.00Hz</t>
    </r>
  </si>
  <si>
    <t>b0.19</t>
  </si>
  <si>
    <t>CTRL_CMDFREQ_BOUND</t>
  </si>
  <si>
    <r>
      <t>0.0s～</t>
    </r>
    <r>
      <rPr>
        <sz val="9"/>
        <rFont val="Times New Roman"/>
        <family val="1"/>
      </rPr>
      <t>3600.0s</t>
    </r>
  </si>
  <si>
    <r>
      <t>0.0%～</t>
    </r>
    <r>
      <rPr>
        <sz val="9"/>
        <rFont val="Times New Roman"/>
        <family val="1"/>
      </rPr>
      <t>100.0%</t>
    </r>
  </si>
  <si>
    <t>保留</t>
  </si>
  <si>
    <t>转速跟踪起动用，保留</t>
  </si>
  <si>
    <t>Fcb1Reserved11</t>
  </si>
  <si>
    <t>停机方式</t>
  </si>
  <si>
    <r>
      <t>加速时间</t>
    </r>
    <r>
      <rPr>
        <sz val="10"/>
        <rFont val="Times New Roman"/>
        <family val="1"/>
      </rPr>
      <t>1</t>
    </r>
  </si>
  <si>
    <r>
      <t>减速时间</t>
    </r>
    <r>
      <rPr>
        <sz val="10"/>
        <rFont val="Times New Roman"/>
        <family val="1"/>
      </rPr>
      <t>1</t>
    </r>
  </si>
  <si>
    <t>b2.18</t>
  </si>
  <si>
    <t>FcTerminalFuncAI3</t>
  </si>
  <si>
    <t>LOGIC_MODE_X1TOX4</t>
  </si>
  <si>
    <t>LOGIC_MODE_X5TOX8</t>
  </si>
  <si>
    <t>SCITERMIN_CHOICE</t>
  </si>
  <si>
    <r>
      <t>0.0～</t>
    </r>
    <r>
      <rPr>
        <sz val="9"/>
        <rFont val="Times New Roman"/>
        <family val="1"/>
      </rPr>
      <t>3600.0s</t>
    </r>
  </si>
  <si>
    <t>数字量输出有效状态设定</t>
  </si>
  <si>
    <t>LOGIC_MODE_DO</t>
  </si>
  <si>
    <t>FDT_MAKE_MODE</t>
  </si>
  <si>
    <r>
      <t>0.000s～</t>
    </r>
    <r>
      <rPr>
        <sz val="9"/>
        <rFont val="Times New Roman"/>
        <family val="1"/>
      </rPr>
      <t>10.000s</t>
    </r>
  </si>
  <si>
    <t>C4.21</t>
  </si>
  <si>
    <t>C4.22</t>
  </si>
  <si>
    <t>C4.23</t>
  </si>
  <si>
    <t>C4.24</t>
  </si>
  <si>
    <t>C4.25</t>
  </si>
  <si>
    <t>C4.26</t>
  </si>
  <si>
    <t>C4.27</t>
  </si>
  <si>
    <t>C4.28</t>
  </si>
  <si>
    <r>
      <t>0.4KW～</t>
    </r>
    <r>
      <rPr>
        <sz val="9"/>
        <rFont val="Times New Roman"/>
        <family val="1"/>
      </rPr>
      <t>6553.5KW</t>
    </r>
  </si>
  <si>
    <r>
      <t>0.0A～</t>
    </r>
    <r>
      <rPr>
        <sz val="9"/>
        <rFont val="Times New Roman"/>
        <family val="1"/>
      </rPr>
      <t>6553.5A</t>
    </r>
  </si>
  <si>
    <r>
      <t>1～</t>
    </r>
    <r>
      <rPr>
        <sz val="9"/>
        <rFont val="Times New Roman"/>
        <family val="1"/>
      </rPr>
      <t>80</t>
    </r>
  </si>
  <si>
    <r>
      <t>0rpm～</t>
    </r>
    <r>
      <rPr>
        <sz val="9"/>
        <rFont val="Times New Roman"/>
        <family val="1"/>
      </rPr>
      <t>65535rpm</t>
    </r>
  </si>
  <si>
    <r>
      <t>0.001ohms～</t>
    </r>
    <r>
      <rPr>
        <sz val="9"/>
        <rFont val="Times New Roman"/>
        <family val="1"/>
      </rPr>
      <t>65.535ohms</t>
    </r>
  </si>
  <si>
    <r>
      <t>0.1mH～</t>
    </r>
    <r>
      <rPr>
        <sz val="9"/>
        <rFont val="Times New Roman"/>
        <family val="1"/>
      </rPr>
      <t>6553.5mH</t>
    </r>
  </si>
  <si>
    <r>
      <t>0～</t>
    </r>
    <r>
      <rPr>
        <sz val="9"/>
        <rFont val="Times New Roman"/>
        <family val="1"/>
      </rPr>
      <t>FFFFH</t>
    </r>
  </si>
  <si>
    <r>
      <t>0.00V～</t>
    </r>
    <r>
      <rPr>
        <sz val="9"/>
        <rFont val="Times New Roman"/>
        <family val="1"/>
      </rPr>
      <t>10.00V</t>
    </r>
  </si>
  <si>
    <r>
      <t>d1.05～</t>
    </r>
    <r>
      <rPr>
        <sz val="9"/>
        <rFont val="Times New Roman"/>
        <family val="1"/>
      </rPr>
      <t>d1.01</t>
    </r>
  </si>
  <si>
    <r>
      <t>0.0%～</t>
    </r>
    <r>
      <rPr>
        <sz val="9"/>
        <rFont val="Times New Roman"/>
        <family val="1"/>
      </rPr>
      <t xml:space="preserve">100.0% </t>
    </r>
  </si>
  <si>
    <r>
      <t>d1.07～</t>
    </r>
    <r>
      <rPr>
        <sz val="9"/>
        <rFont val="Times New Roman"/>
        <family val="1"/>
      </rPr>
      <t>d1.03</t>
    </r>
  </si>
  <si>
    <r>
      <t>0.00Hz～</t>
    </r>
    <r>
      <rPr>
        <sz val="9"/>
        <rFont val="Times New Roman"/>
        <family val="1"/>
      </rPr>
      <t>d1.05</t>
    </r>
  </si>
  <si>
    <r>
      <t>0.0%～</t>
    </r>
    <r>
      <rPr>
        <sz val="9"/>
        <rFont val="Times New Roman"/>
        <family val="1"/>
      </rPr>
      <t>300.0%</t>
    </r>
  </si>
  <si>
    <r>
      <t>20.0%～</t>
    </r>
    <r>
      <rPr>
        <sz val="9"/>
        <rFont val="Times New Roman"/>
        <family val="1"/>
      </rPr>
      <t>200.0%</t>
    </r>
  </si>
  <si>
    <t>V/F分离方式电压给定选择</t>
  </si>
  <si>
    <t>V/F分离方式电压数字给定</t>
  </si>
  <si>
    <t>V/F分离方式电压变化时间</t>
  </si>
  <si>
    <r>
      <t>0.0ms～</t>
    </r>
    <r>
      <rPr>
        <sz val="9"/>
        <rFont val="Times New Roman"/>
        <family val="1"/>
      </rPr>
      <t>500.0ms</t>
    </r>
  </si>
  <si>
    <t>电动转矩限定方式选择</t>
  </si>
  <si>
    <t>制动转矩限定方式选择</t>
  </si>
  <si>
    <t>电动转矩限定值数字设定</t>
  </si>
  <si>
    <t>制动转矩限定值数字设定</t>
  </si>
  <si>
    <r>
      <t>10.0%～</t>
    </r>
    <r>
      <rPr>
        <sz val="9"/>
        <rFont val="Times New Roman"/>
        <family val="1"/>
      </rPr>
      <t>300.0%</t>
    </r>
  </si>
  <si>
    <r>
      <t>0.0%～</t>
    </r>
    <r>
      <rPr>
        <sz val="9"/>
        <rFont val="Times New Roman"/>
        <family val="1"/>
      </rPr>
      <t>120.0%</t>
    </r>
  </si>
  <si>
    <r>
      <t>0.0%～</t>
    </r>
    <r>
      <rPr>
        <sz val="9"/>
        <rFont val="Times New Roman"/>
        <family val="1"/>
      </rPr>
      <t>50.0%</t>
    </r>
  </si>
  <si>
    <t>转矩设定方式选择</t>
  </si>
  <si>
    <t>0.00Hz～最大频率</t>
  </si>
  <si>
    <r>
      <t>0.00s～</t>
    </r>
    <r>
      <rPr>
        <sz val="9"/>
        <rFont val="Times New Roman"/>
        <family val="1"/>
      </rPr>
      <t>120.00s</t>
    </r>
  </si>
  <si>
    <t>SOUR_ENCODE</t>
  </si>
  <si>
    <r>
      <t>1～</t>
    </r>
    <r>
      <rPr>
        <sz val="9"/>
        <rFont val="Times New Roman"/>
        <family val="1"/>
      </rPr>
      <t>10000</t>
    </r>
  </si>
  <si>
    <t>OPTIMIZE_PWM</t>
  </si>
  <si>
    <t>ACT_RUNOVER</t>
  </si>
  <si>
    <t>OLWARN_CTRL</t>
  </si>
  <si>
    <t>过载预报警检出水平</t>
  </si>
  <si>
    <t>过载预报警检出时间</t>
  </si>
  <si>
    <r>
      <t>0.1s～</t>
    </r>
    <r>
      <rPr>
        <sz val="9"/>
        <rFont val="Times New Roman"/>
        <family val="1"/>
      </rPr>
      <t>60.0s</t>
    </r>
  </si>
  <si>
    <t>PROTECT_ACT1</t>
  </si>
  <si>
    <t>PROTECT_ACT2</t>
  </si>
  <si>
    <t>自动复位次数</t>
  </si>
  <si>
    <r>
      <t>0～</t>
    </r>
    <r>
      <rPr>
        <sz val="9"/>
        <rFont val="Times New Roman"/>
        <family val="1"/>
      </rPr>
      <t>20</t>
    </r>
  </si>
  <si>
    <t>自动复位间隔时间</t>
  </si>
  <si>
    <r>
      <t>2.0s～</t>
    </r>
    <r>
      <rPr>
        <sz val="9"/>
        <rFont val="Times New Roman"/>
        <family val="1"/>
      </rPr>
      <t>20.0s</t>
    </r>
  </si>
  <si>
    <t>RELAY_ACT_FAULT</t>
  </si>
  <si>
    <t>冷却风扇控制</t>
  </si>
  <si>
    <t>F0.24</t>
  </si>
  <si>
    <t>FcPrinAxisAngSet2</t>
  </si>
  <si>
    <t>FcPrinAxisAngSet3</t>
  </si>
  <si>
    <t>0～上限频率</t>
  </si>
  <si>
    <t>FcPosIniFindFreq2</t>
  </si>
  <si>
    <r>
      <t>0～</t>
    </r>
    <r>
      <rPr>
        <sz val="9"/>
        <rFont val="Times New Roman"/>
        <family val="1"/>
      </rPr>
      <t>9999</t>
    </r>
  </si>
  <si>
    <t>FcPosSetL1</t>
  </si>
  <si>
    <t>FcPosSetL2</t>
  </si>
  <si>
    <t>FcPosSetL3</t>
  </si>
  <si>
    <t>FcPosSetL4</t>
  </si>
  <si>
    <t>FcPosSetL5</t>
  </si>
  <si>
    <t>FcPosSetL6</t>
  </si>
  <si>
    <r>
      <t>90.00%～</t>
    </r>
    <r>
      <rPr>
        <sz val="9"/>
        <rFont val="Times New Roman"/>
        <family val="1"/>
      </rPr>
      <t>110.00%</t>
    </r>
  </si>
  <si>
    <t>SCI_CONFIG</t>
  </si>
  <si>
    <t>H0.07</t>
  </si>
  <si>
    <t>H0.08</t>
  </si>
  <si>
    <t>0～65535</t>
    <phoneticPr fontId="20" type="noConversion"/>
  </si>
  <si>
    <t>H0.09</t>
  </si>
  <si>
    <r>
      <t>H1.01</t>
    </r>
    <r>
      <rPr>
        <sz val="10"/>
        <rFont val="宋体"/>
        <charset val="134"/>
      </rPr>
      <t/>
    </r>
  </si>
  <si>
    <r>
      <t>H1.02</t>
    </r>
    <r>
      <rPr>
        <sz val="10"/>
        <rFont val="宋体"/>
        <charset val="134"/>
      </rPr>
      <t/>
    </r>
  </si>
  <si>
    <r>
      <t>H1.03</t>
    </r>
    <r>
      <rPr>
        <sz val="10"/>
        <rFont val="宋体"/>
        <charset val="134"/>
      </rPr>
      <t/>
    </r>
  </si>
  <si>
    <r>
      <t>H1.04</t>
    </r>
    <r>
      <rPr>
        <sz val="10"/>
        <rFont val="宋体"/>
        <charset val="134"/>
      </rPr>
      <t/>
    </r>
  </si>
  <si>
    <r>
      <t>H1.05</t>
    </r>
    <r>
      <rPr>
        <sz val="10"/>
        <rFont val="宋体"/>
        <charset val="134"/>
      </rPr>
      <t/>
    </r>
  </si>
  <si>
    <r>
      <t>H1.06</t>
    </r>
    <r>
      <rPr>
        <sz val="10"/>
        <rFont val="宋体"/>
        <charset val="134"/>
      </rPr>
      <t/>
    </r>
  </si>
  <si>
    <r>
      <t>H1.07</t>
    </r>
    <r>
      <rPr>
        <sz val="10"/>
        <rFont val="宋体"/>
        <charset val="134"/>
      </rPr>
      <t/>
    </r>
  </si>
  <si>
    <r>
      <t>H1.08</t>
    </r>
    <r>
      <rPr>
        <sz val="10"/>
        <rFont val="宋体"/>
        <charset val="134"/>
      </rPr>
      <t/>
    </r>
  </si>
  <si>
    <r>
      <t>H1.09</t>
    </r>
    <r>
      <rPr>
        <sz val="10"/>
        <rFont val="宋体"/>
        <charset val="134"/>
      </rPr>
      <t/>
    </r>
  </si>
  <si>
    <r>
      <t>H1.10</t>
    </r>
    <r>
      <rPr>
        <sz val="10"/>
        <rFont val="宋体"/>
        <charset val="134"/>
      </rPr>
      <t/>
    </r>
  </si>
  <si>
    <r>
      <t>H1.11</t>
    </r>
    <r>
      <rPr>
        <sz val="10"/>
        <rFont val="宋体"/>
        <charset val="134"/>
      </rPr>
      <t/>
    </r>
  </si>
  <si>
    <r>
      <t>H1.12</t>
    </r>
    <r>
      <rPr>
        <sz val="10"/>
        <rFont val="宋体"/>
        <charset val="134"/>
      </rPr>
      <t/>
    </r>
  </si>
  <si>
    <r>
      <t>H1.13</t>
    </r>
    <r>
      <rPr>
        <sz val="10"/>
        <rFont val="宋体"/>
        <charset val="134"/>
      </rPr>
      <t/>
    </r>
  </si>
  <si>
    <r>
      <t>H1.14</t>
    </r>
    <r>
      <rPr>
        <sz val="10"/>
        <rFont val="宋体"/>
        <charset val="134"/>
      </rPr>
      <t/>
    </r>
  </si>
  <si>
    <r>
      <t>H1.15</t>
    </r>
    <r>
      <rPr>
        <sz val="10"/>
        <rFont val="宋体"/>
        <charset val="134"/>
      </rPr>
      <t/>
    </r>
  </si>
  <si>
    <r>
      <t>H1.16</t>
    </r>
    <r>
      <rPr>
        <sz val="10"/>
        <rFont val="宋体"/>
        <charset val="134"/>
      </rPr>
      <t/>
    </r>
  </si>
  <si>
    <r>
      <t>H1.17</t>
    </r>
    <r>
      <rPr>
        <sz val="10"/>
        <rFont val="宋体"/>
        <charset val="134"/>
      </rPr>
      <t/>
    </r>
  </si>
  <si>
    <r>
      <t>0V～</t>
    </r>
    <r>
      <rPr>
        <sz val="9"/>
        <rFont val="Times New Roman"/>
        <family val="1"/>
      </rPr>
      <t>65535V</t>
    </r>
  </si>
  <si>
    <t>主频率给定方式</t>
  </si>
  <si>
    <t>主给定频率</t>
  </si>
  <si>
    <t>INVERT_STATUS</t>
  </si>
  <si>
    <t>AI1输入电压</t>
  </si>
  <si>
    <t>AI2输入电压</t>
  </si>
  <si>
    <t>FcAi2VolDisp</t>
  </si>
  <si>
    <t>开关量输入端子状态</t>
  </si>
  <si>
    <t>V/F分离目标电压</t>
  </si>
  <si>
    <t>V/F分离实际输出电压</t>
  </si>
  <si>
    <t>转矩给定值</t>
  </si>
  <si>
    <t>上电时间累计</t>
  </si>
  <si>
    <r>
      <t>0～</t>
    </r>
    <r>
      <rPr>
        <sz val="9"/>
        <rFont val="Times New Roman"/>
        <family val="1"/>
      </rPr>
      <t>65535h</t>
    </r>
  </si>
  <si>
    <t>运行时间累计</t>
  </si>
  <si>
    <r>
      <t>0～</t>
    </r>
    <r>
      <rPr>
        <sz val="9"/>
        <rFont val="Times New Roman"/>
        <family val="1"/>
      </rPr>
      <t>65535</t>
    </r>
  </si>
  <si>
    <r>
      <t>0～</t>
    </r>
    <r>
      <rPr>
        <sz val="9"/>
        <rFont val="Times New Roman"/>
        <family val="1"/>
      </rPr>
      <t>65535</t>
    </r>
    <phoneticPr fontId="20" type="noConversion"/>
  </si>
  <si>
    <r>
      <t>0V～</t>
    </r>
    <r>
      <rPr>
        <sz val="9"/>
        <rFont val="Times New Roman"/>
        <family val="1"/>
      </rPr>
      <t>10000V</t>
    </r>
  </si>
  <si>
    <r>
      <t>0～</t>
    </r>
    <r>
      <rPr>
        <sz val="9"/>
        <rFont val="Times New Roman"/>
        <family val="1"/>
      </rPr>
      <t>FFFF</t>
    </r>
  </si>
  <si>
    <t>前一次故障类型</t>
  </si>
  <si>
    <r>
      <t>同</t>
    </r>
    <r>
      <rPr>
        <sz val="9"/>
        <rFont val="Times New Roman"/>
        <family val="1"/>
      </rPr>
      <t>U2.00</t>
    </r>
  </si>
  <si>
    <t>前一次故障时运行频率</t>
  </si>
  <si>
    <t>前一次故障时输出电流</t>
  </si>
  <si>
    <t>前一次故障时母线电压</t>
  </si>
  <si>
    <t>前一次故障时整流桥温度</t>
  </si>
  <si>
    <t>前一次故障时逆变桥温度</t>
  </si>
  <si>
    <t>前一次故障时输入端子状态</t>
  </si>
  <si>
    <t>前一次故障时输出端子状态</t>
  </si>
  <si>
    <t>前一次故障时累计运行时间</t>
  </si>
  <si>
    <t>前二次故障类型</t>
  </si>
  <si>
    <t>前二次故障时运行频率</t>
  </si>
  <si>
    <t>前二次故障时输出电流</t>
  </si>
  <si>
    <t>前二次故障时母线电压</t>
  </si>
  <si>
    <t>前二次故障时整流桥温度</t>
  </si>
  <si>
    <t>前二次故障时逆变桥温度</t>
  </si>
  <si>
    <t>前二次故障时输入端子状态</t>
  </si>
  <si>
    <t>前二次故障时输出端子状态</t>
  </si>
  <si>
    <t>前二次故障时累计运行时间</t>
  </si>
  <si>
    <t>FcThrFautTotalTime</t>
    <phoneticPr fontId="20" type="noConversion"/>
  </si>
  <si>
    <t>变频器系列号</t>
  </si>
  <si>
    <t>FcInvertListNo</t>
    <phoneticPr fontId="20" type="noConversion"/>
  </si>
  <si>
    <t>控制板软件版本号</t>
  </si>
  <si>
    <t>FcSoftVer</t>
    <phoneticPr fontId="20" type="noConversion"/>
  </si>
  <si>
    <r>
      <t>0.00～</t>
    </r>
    <r>
      <rPr>
        <sz val="9"/>
        <rFont val="Times New Roman"/>
        <family val="1"/>
      </rPr>
      <t>655.35</t>
    </r>
  </si>
  <si>
    <t>控制板软件非标版本号</t>
  </si>
  <si>
    <t>FcSoftNonStandarVer</t>
    <phoneticPr fontId="20" type="noConversion"/>
  </si>
  <si>
    <t>操作面板软件版本号</t>
  </si>
  <si>
    <t>FcKeyPadSoftVer</t>
    <phoneticPr fontId="20" type="noConversion"/>
  </si>
  <si>
    <t>变频器额定容量</t>
  </si>
  <si>
    <r>
      <t>0.0KVA～</t>
    </r>
    <r>
      <rPr>
        <sz val="9"/>
        <rFont val="Times New Roman"/>
        <family val="1"/>
      </rPr>
      <t>6553.5KVA</t>
    </r>
  </si>
  <si>
    <t>变频器额定电压</t>
  </si>
  <si>
    <t>变频器额定电流</t>
  </si>
  <si>
    <t>母线电压调整系数</t>
  </si>
  <si>
    <t>输出电流调整系数</t>
  </si>
  <si>
    <t>母线电压过压保护点</t>
  </si>
  <si>
    <t>母线电压欠压保护点</t>
  </si>
  <si>
    <t>过流保护点</t>
  </si>
  <si>
    <t>FcReservedn010</t>
    <phoneticPr fontId="20" type="noConversion"/>
  </si>
  <si>
    <t>n0.17</t>
  </si>
  <si>
    <t>FcDeputKeyCode</t>
    <phoneticPr fontId="20" type="noConversion"/>
  </si>
  <si>
    <t>运行时间给定</t>
  </si>
  <si>
    <t>FcRunTimeSet</t>
    <phoneticPr fontId="20" type="noConversion"/>
  </si>
  <si>
    <t xml:space="preserve">0h～65535h，
为0时表示此功能无效，非0时运行时间到则停机，无法再运行
</t>
    <phoneticPr fontId="20" type="noConversion"/>
  </si>
  <si>
    <t>运行时间显示</t>
  </si>
  <si>
    <t>FcRunTimeDisp</t>
    <phoneticPr fontId="20" type="noConversion"/>
  </si>
  <si>
    <r>
      <t>0h～</t>
    </r>
    <r>
      <rPr>
        <sz val="9"/>
        <rFont val="Times New Roman"/>
        <family val="1"/>
      </rPr>
      <t>65535h</t>
    </r>
  </si>
  <si>
    <t>代理商自定义版本</t>
  </si>
  <si>
    <t>FcDeputVer</t>
    <phoneticPr fontId="20" type="noConversion"/>
  </si>
  <si>
    <t>FcUserKeyCodeCopy</t>
    <phoneticPr fontId="20" type="noConversion"/>
  </si>
  <si>
    <t>C4.29</t>
  </si>
  <si>
    <t>C4.30</t>
  </si>
  <si>
    <t>C4.31</t>
  </si>
  <si>
    <t>C4.32</t>
  </si>
  <si>
    <t>功能号</t>
    <phoneticPr fontId="20" type="noConversion"/>
  </si>
  <si>
    <t>数字输入端子功能定义</t>
    <phoneticPr fontId="20" type="noConversion"/>
  </si>
  <si>
    <t>数字输出端子功能定义</t>
    <phoneticPr fontId="20" type="noConversion"/>
  </si>
  <si>
    <t>模拟量和脉冲输出功能定义</t>
    <phoneticPr fontId="20" type="noConversion"/>
  </si>
  <si>
    <t>无功能</t>
    <phoneticPr fontId="20" type="noConversion"/>
  </si>
  <si>
    <t>无输出</t>
  </si>
  <si>
    <t>变频器运行中</t>
  </si>
  <si>
    <t>AI1</t>
  </si>
  <si>
    <t>AI2</t>
  </si>
  <si>
    <t>AI3</t>
  </si>
  <si>
    <t>DI</t>
  </si>
  <si>
    <t>上位机百分比（0~65535）</t>
  </si>
  <si>
    <t>零电流检测</t>
  </si>
  <si>
    <t>X1</t>
  </si>
  <si>
    <t>X2</t>
  </si>
  <si>
    <t>电机1/2指示</t>
  </si>
  <si>
    <t>指定计数值到</t>
  </si>
  <si>
    <t>连续运行时间到</t>
  </si>
  <si>
    <t>累计运行时间到</t>
  </si>
  <si>
    <t>位置定位完成</t>
  </si>
  <si>
    <t>位置定位接近</t>
  </si>
  <si>
    <t>内部变量n0.10（研发调试用）</t>
  </si>
  <si>
    <t>硬件版本号</t>
    <phoneticPr fontId="20" type="noConversion"/>
  </si>
  <si>
    <t>FcHardWareVer</t>
    <phoneticPr fontId="20" type="noConversion"/>
  </si>
  <si>
    <t>保留</t>
    <phoneticPr fontId="20" type="noConversion"/>
  </si>
  <si>
    <t>A0.00</t>
  </si>
  <si>
    <t>A0.10</t>
  </si>
  <si>
    <t>b2.19</t>
  </si>
  <si>
    <t>b2.20</t>
  </si>
  <si>
    <t>b2.21</t>
  </si>
  <si>
    <t>b2.22</t>
  </si>
  <si>
    <r>
      <t>0ms～</t>
    </r>
    <r>
      <rPr>
        <sz val="9"/>
        <rFont val="Times New Roman"/>
        <family val="1"/>
      </rPr>
      <t>1000ms</t>
    </r>
  </si>
  <si>
    <t>FcPerformDebug5</t>
    <phoneticPr fontId="20" type="noConversion"/>
  </si>
  <si>
    <t>FcPerformDebug3</t>
    <phoneticPr fontId="20" type="noConversion"/>
  </si>
  <si>
    <t>FcPerformDebug2</t>
    <phoneticPr fontId="20" type="noConversion"/>
  </si>
  <si>
    <t>FcPerformDebug1</t>
    <phoneticPr fontId="20" type="noConversion"/>
  </si>
  <si>
    <t>FcSpdNoCtrlTime</t>
    <phoneticPr fontId="20" type="noConversion"/>
  </si>
  <si>
    <t>0~1200</t>
    <phoneticPr fontId="20" type="noConversion"/>
  </si>
  <si>
    <t>FcMotOLTimeOut</t>
    <phoneticPr fontId="20" type="noConversion"/>
  </si>
  <si>
    <t>0~6000</t>
    <phoneticPr fontId="20" type="noConversion"/>
  </si>
  <si>
    <t>FcInvtOLTimeOut</t>
    <phoneticPr fontId="20" type="noConversion"/>
  </si>
  <si>
    <t>FcInvtOLK</t>
    <phoneticPr fontId="20" type="noConversion"/>
  </si>
  <si>
    <t>0~5</t>
    <phoneticPr fontId="20" type="noConversion"/>
  </si>
  <si>
    <t>FcLateFautConTempe</t>
    <phoneticPr fontId="20" type="noConversion"/>
  </si>
  <si>
    <t>FcLateFautTerInSts</t>
    <phoneticPr fontId="20" type="noConversion"/>
  </si>
  <si>
    <t>FcLateFautTerOutSts</t>
    <phoneticPr fontId="20" type="noConversion"/>
  </si>
  <si>
    <t>FcLateFautRunTime</t>
    <phoneticPr fontId="20" type="noConversion"/>
  </si>
  <si>
    <t>FcSecFautType</t>
    <phoneticPr fontId="20" type="noConversion"/>
  </si>
  <si>
    <t>FcSecFautRunFreq</t>
    <phoneticPr fontId="20" type="noConversion"/>
  </si>
  <si>
    <t>FcSecFautCurr</t>
    <phoneticPr fontId="20" type="noConversion"/>
  </si>
  <si>
    <t>FcSecFautDCVol</t>
    <phoneticPr fontId="20" type="noConversion"/>
  </si>
  <si>
    <t>FcSecFautRecTempe</t>
    <phoneticPr fontId="20" type="noConversion"/>
  </si>
  <si>
    <t>FcSecFautConTempe</t>
    <phoneticPr fontId="20" type="noConversion"/>
  </si>
  <si>
    <t>FcSecFautTerInSts</t>
    <phoneticPr fontId="20" type="noConversion"/>
  </si>
  <si>
    <t>FcSecFautTerOutSts</t>
    <phoneticPr fontId="20" type="noConversion"/>
  </si>
  <si>
    <t>FcSecFautTotalTime</t>
    <phoneticPr fontId="20" type="noConversion"/>
  </si>
  <si>
    <t>FcThrFautType</t>
    <phoneticPr fontId="20" type="noConversion"/>
  </si>
  <si>
    <t>FcThrFautRunFreq</t>
    <phoneticPr fontId="20" type="noConversion"/>
  </si>
  <si>
    <t>FcThrFautCurr</t>
    <phoneticPr fontId="20" type="noConversion"/>
  </si>
  <si>
    <t>FcThrFautDCVol</t>
    <phoneticPr fontId="20" type="noConversion"/>
  </si>
  <si>
    <t>FcThrFautRecTempe</t>
    <phoneticPr fontId="20" type="noConversion"/>
  </si>
  <si>
    <t>FcThrFautConTempe</t>
    <phoneticPr fontId="20" type="noConversion"/>
  </si>
  <si>
    <t>FcThrFautTerInSts</t>
    <phoneticPr fontId="20" type="noConversion"/>
  </si>
  <si>
    <t>FcThrFautTerOutSts</t>
    <phoneticPr fontId="20" type="noConversion"/>
  </si>
  <si>
    <t>C1.00</t>
  </si>
  <si>
    <t>变频器机型</t>
  </si>
  <si>
    <t>见机型列表</t>
  </si>
  <si>
    <t>代理商密码</t>
  </si>
  <si>
    <t>功能码相对地址</t>
    <phoneticPr fontId="20" type="noConversion"/>
  </si>
  <si>
    <t>功能码</t>
    <phoneticPr fontId="20" type="noConversion"/>
  </si>
  <si>
    <t>中文注释</t>
    <phoneticPr fontId="20" type="noConversion"/>
  </si>
  <si>
    <t>变量名称</t>
    <phoneticPr fontId="20" type="noConversion"/>
  </si>
  <si>
    <t>功能码选项</t>
    <phoneticPr fontId="20" type="noConversion"/>
  </si>
  <si>
    <t>出厂值</t>
    <phoneticPr fontId="20" type="noConversion"/>
  </si>
  <si>
    <t>上限</t>
    <phoneticPr fontId="20" type="noConversion"/>
  </si>
  <si>
    <t>下限</t>
    <phoneticPr fontId="20" type="noConversion"/>
  </si>
  <si>
    <t>上关联</t>
    <phoneticPr fontId="20" type="noConversion"/>
  </si>
  <si>
    <t>下关联</t>
    <phoneticPr fontId="20" type="noConversion"/>
  </si>
  <si>
    <t>更改属性</t>
    <phoneticPr fontId="20" type="noConversion"/>
  </si>
  <si>
    <t>精度</t>
    <phoneticPr fontId="20" type="noConversion"/>
  </si>
  <si>
    <t>单位</t>
    <phoneticPr fontId="20" type="noConversion"/>
  </si>
  <si>
    <t>显示格式</t>
    <phoneticPr fontId="20" type="noConversion"/>
  </si>
  <si>
    <t>是否为快速菜单</t>
    <phoneticPr fontId="20" type="noConversion"/>
  </si>
  <si>
    <t>是否上传到键盘</t>
    <phoneticPr fontId="20" type="noConversion"/>
  </si>
  <si>
    <t>数据宽度</t>
    <phoneticPr fontId="20" type="noConversion"/>
  </si>
  <si>
    <t>有/无符号数</t>
    <phoneticPr fontId="20" type="noConversion"/>
  </si>
  <si>
    <t>功能码地址</t>
    <phoneticPr fontId="20" type="noConversion"/>
  </si>
  <si>
    <t>FcFwdSpdMaxTorqCtrlM1</t>
    <phoneticPr fontId="20" type="noConversion"/>
  </si>
  <si>
    <t>b0.08</t>
    <phoneticPr fontId="20" type="noConversion"/>
  </si>
  <si>
    <t>FcRevSpdMaxTorqCtrlM1</t>
    <phoneticPr fontId="20" type="noConversion"/>
  </si>
  <si>
    <t>FcRampTorqSetM1</t>
    <phoneticPr fontId="20" type="noConversion"/>
  </si>
  <si>
    <t>FcTorqCompStatRubM1</t>
    <phoneticPr fontId="20" type="noConversion"/>
  </si>
  <si>
    <t>FcTorqCompSlipRubM1</t>
    <phoneticPr fontId="20" type="noConversion"/>
  </si>
  <si>
    <t>C0.21</t>
  </si>
  <si>
    <t>C0.22</t>
  </si>
  <si>
    <t>C1.15</t>
  </si>
  <si>
    <t>C1.16</t>
  </si>
  <si>
    <t>C2.29</t>
  </si>
  <si>
    <t>b0.20</t>
  </si>
  <si>
    <t>FcDispMode</t>
    <phoneticPr fontId="20" type="noConversion"/>
  </si>
  <si>
    <t>◎</t>
    <phoneticPr fontId="20" type="noConversion"/>
  </si>
  <si>
    <r>
      <t>FcInput1ReviseAI2</t>
    </r>
    <r>
      <rPr>
        <sz val="11"/>
        <color indexed="8"/>
        <rFont val="宋体"/>
        <charset val="134"/>
      </rPr>
      <t/>
    </r>
  </si>
  <si>
    <r>
      <t>FcInput1ReviseAI3</t>
    </r>
    <r>
      <rPr>
        <sz val="11"/>
        <color indexed="8"/>
        <rFont val="宋体"/>
        <charset val="134"/>
      </rPr>
      <t/>
    </r>
  </si>
  <si>
    <t>转矩控制正转速度极限值</t>
    <phoneticPr fontId="20" type="noConversion"/>
  </si>
  <si>
    <t>转矩控制反转速度极限值</t>
    <phoneticPr fontId="20" type="noConversion"/>
  </si>
  <si>
    <t>FcTorqCompInertiaM1</t>
    <phoneticPr fontId="20" type="noConversion"/>
  </si>
  <si>
    <t>'Bit4~Bit7:   4位 单位              0000:A   0001:S   0010:V    0011:Hz    0100:%   0101:RPM   0110:Ohm   其它：X</t>
  </si>
  <si>
    <t xml:space="preserve">            'A   000  //</t>
  </si>
  <si>
    <t xml:space="preserve">            'H   001 //HZ</t>
  </si>
  <si>
    <t xml:space="preserve">            'O   010</t>
  </si>
  <si>
    <t xml:space="preserve">            'R   011 //RPM</t>
  </si>
  <si>
    <t xml:space="preserve">            'S   100</t>
  </si>
  <si>
    <t xml:space="preserve">            'V   101</t>
  </si>
  <si>
    <t xml:space="preserve">            '%   110</t>
  </si>
  <si>
    <t xml:space="preserve">            'X   111</t>
  </si>
  <si>
    <t>母线电压</t>
  </si>
  <si>
    <t>FcUserKeyCode</t>
    <phoneticPr fontId="20" type="noConversion"/>
  </si>
  <si>
    <r>
      <t>b0.09</t>
    </r>
    <r>
      <rPr>
        <sz val="11"/>
        <color indexed="8"/>
        <rFont val="宋体"/>
        <charset val="134"/>
      </rPr>
      <t/>
    </r>
  </si>
  <si>
    <r>
      <t>FcTerminalFuncX3</t>
    </r>
    <r>
      <rPr>
        <sz val="11"/>
        <color indexed="8"/>
        <rFont val="宋体"/>
        <charset val="134"/>
      </rPr>
      <t/>
    </r>
  </si>
  <si>
    <r>
      <t>FcTerminalFuncX4</t>
    </r>
    <r>
      <rPr>
        <sz val="11"/>
        <color indexed="8"/>
        <rFont val="宋体"/>
        <charset val="134"/>
      </rPr>
      <t/>
    </r>
  </si>
  <si>
    <r>
      <t>FcTerminalFuncX5</t>
    </r>
    <r>
      <rPr>
        <sz val="11"/>
        <color indexed="8"/>
        <rFont val="宋体"/>
        <charset val="134"/>
      </rPr>
      <t/>
    </r>
  </si>
  <si>
    <r>
      <t>FcTerminalFuncX6</t>
    </r>
    <r>
      <rPr>
        <sz val="11"/>
        <color indexed="8"/>
        <rFont val="宋体"/>
        <charset val="134"/>
      </rPr>
      <t/>
    </r>
  </si>
  <si>
    <t>FcTerminalFuncAI2</t>
  </si>
  <si>
    <r>
      <t>FcDelayTimeX2</t>
    </r>
    <r>
      <rPr>
        <sz val="11"/>
        <color indexed="8"/>
        <rFont val="宋体"/>
        <charset val="134"/>
      </rPr>
      <t/>
    </r>
  </si>
  <si>
    <r>
      <t>FcTerminalFuncY2</t>
    </r>
    <r>
      <rPr>
        <sz val="11"/>
        <color indexed="8"/>
        <rFont val="宋体"/>
        <charset val="134"/>
      </rPr>
      <t/>
    </r>
  </si>
  <si>
    <r>
      <t>FcDelayTimeY2</t>
    </r>
    <r>
      <rPr>
        <sz val="11"/>
        <color indexed="8"/>
        <rFont val="宋体"/>
        <charset val="134"/>
      </rPr>
      <t/>
    </r>
  </si>
  <si>
    <r>
      <t>0.00Hz～</t>
    </r>
    <r>
      <rPr>
        <sz val="9"/>
        <rFont val="Times New Roman"/>
        <family val="1"/>
      </rPr>
      <t>10.00Hz</t>
    </r>
  </si>
  <si>
    <t>d6.10</t>
  </si>
  <si>
    <t>d6.11</t>
  </si>
  <si>
    <t>d6.12</t>
  </si>
  <si>
    <t>d6.13</t>
  </si>
  <si>
    <t>d6.14</t>
  </si>
  <si>
    <t>d6.15</t>
  </si>
  <si>
    <t>d6.16</t>
  </si>
  <si>
    <t>开关量输出端子状态</t>
  </si>
  <si>
    <r>
      <t>0～</t>
    </r>
    <r>
      <rPr>
        <sz val="9"/>
        <rFont val="Times New Roman"/>
        <family val="1"/>
      </rPr>
      <t>65535</t>
    </r>
    <r>
      <rPr>
        <sz val="11"/>
        <color indexed="8"/>
        <rFont val="宋体"/>
        <charset val="134"/>
      </rPr>
      <t/>
    </r>
  </si>
  <si>
    <r>
      <t>U0.65</t>
    </r>
    <r>
      <rPr>
        <sz val="11"/>
        <color indexed="8"/>
        <rFont val="宋体"/>
        <charset val="134"/>
      </rPr>
      <t/>
    </r>
  </si>
  <si>
    <t>厂家密码</t>
  </si>
  <si>
    <r>
      <t>FcReservedn011</t>
    </r>
    <r>
      <rPr>
        <sz val="11"/>
        <color indexed="8"/>
        <rFont val="宋体"/>
        <charset val="134"/>
      </rPr>
      <t/>
    </r>
  </si>
  <si>
    <r>
      <t>FcReservedn012</t>
    </r>
    <r>
      <rPr>
        <sz val="11"/>
        <color indexed="8"/>
        <rFont val="宋体"/>
        <charset val="134"/>
      </rPr>
      <t/>
    </r>
  </si>
  <si>
    <r>
      <t>FcReservedn013</t>
    </r>
    <r>
      <rPr>
        <sz val="11"/>
        <color indexed="8"/>
        <rFont val="宋体"/>
        <charset val="134"/>
      </rPr>
      <t/>
    </r>
  </si>
  <si>
    <r>
      <t>FcReservedn015</t>
    </r>
    <r>
      <rPr>
        <sz val="11"/>
        <color indexed="8"/>
        <rFont val="宋体"/>
        <charset val="134"/>
      </rPr>
      <t/>
    </r>
    <phoneticPr fontId="20" type="noConversion"/>
  </si>
  <si>
    <t>n0.18</t>
  </si>
  <si>
    <t>n0.19</t>
  </si>
  <si>
    <t>n0.20</t>
  </si>
  <si>
    <t>n0.21</t>
  </si>
  <si>
    <t>n0.22</t>
  </si>
  <si>
    <t>n0.23</t>
  </si>
  <si>
    <t>n0.24</t>
  </si>
  <si>
    <t>n0.25</t>
  </si>
  <si>
    <t>n0.26</t>
  </si>
  <si>
    <t>输出补偿前频率</t>
  </si>
  <si>
    <t>FFF</t>
    <phoneticPr fontId="20" type="noConversion"/>
  </si>
  <si>
    <t>1A00</t>
    <phoneticPr fontId="20" type="noConversion"/>
  </si>
  <si>
    <t>FcReservedU210</t>
    <phoneticPr fontId="20" type="noConversion"/>
  </si>
  <si>
    <t>B00</t>
    <phoneticPr fontId="20" type="noConversion"/>
  </si>
  <si>
    <t>编码高字</t>
    <phoneticPr fontId="20" type="noConversion"/>
  </si>
  <si>
    <t>FcTypeCodeHigh</t>
    <phoneticPr fontId="20" type="noConversion"/>
  </si>
  <si>
    <t>编码低字</t>
    <phoneticPr fontId="20" type="noConversion"/>
  </si>
  <si>
    <t>FcTypeCodeLow</t>
    <phoneticPr fontId="20" type="noConversion"/>
  </si>
  <si>
    <t>出厂年月</t>
    <phoneticPr fontId="20" type="noConversion"/>
  </si>
  <si>
    <t>FcYearMonth</t>
    <phoneticPr fontId="20" type="noConversion"/>
  </si>
  <si>
    <t>批次</t>
    <phoneticPr fontId="20" type="noConversion"/>
  </si>
  <si>
    <t>FcBatchNo</t>
    <phoneticPr fontId="20" type="noConversion"/>
  </si>
  <si>
    <t>流水号</t>
    <phoneticPr fontId="20" type="noConversion"/>
  </si>
  <si>
    <t>FcSerialNo</t>
    <phoneticPr fontId="20" type="noConversion"/>
  </si>
  <si>
    <t>无输出</t>
    <phoneticPr fontId="20" type="noConversion"/>
  </si>
  <si>
    <t>UP</t>
    <phoneticPr fontId="20" type="noConversion"/>
  </si>
  <si>
    <t>速度限定中（转矩控制时）</t>
    <phoneticPr fontId="20" type="noConversion"/>
  </si>
  <si>
    <t>DOWN</t>
    <phoneticPr fontId="20" type="noConversion"/>
  </si>
  <si>
    <t>转矩限定中（速度控制时）</t>
    <phoneticPr fontId="20" type="noConversion"/>
  </si>
  <si>
    <t>UP/DOWN（含∧/∨键）设定清零</t>
    <phoneticPr fontId="20" type="noConversion"/>
  </si>
  <si>
    <t>故障输出</t>
    <phoneticPr fontId="20" type="noConversion"/>
  </si>
  <si>
    <t>AI4</t>
    <phoneticPr fontId="20" type="noConversion"/>
  </si>
  <si>
    <t>多段频率端子1</t>
    <phoneticPr fontId="20" type="noConversion"/>
  </si>
  <si>
    <t>告警输出</t>
    <phoneticPr fontId="20" type="noConversion"/>
  </si>
  <si>
    <t>点动正转</t>
    <phoneticPr fontId="20" type="noConversion"/>
  </si>
  <si>
    <t>变频器欠压</t>
    <phoneticPr fontId="20" type="noConversion"/>
  </si>
  <si>
    <t>设定频率</t>
    <phoneticPr fontId="20" type="noConversion"/>
  </si>
  <si>
    <t>点动反转</t>
    <phoneticPr fontId="20" type="noConversion"/>
  </si>
  <si>
    <t>变频器运行准备完成</t>
    <phoneticPr fontId="20" type="noConversion"/>
  </si>
  <si>
    <t>输出频率</t>
    <phoneticPr fontId="20" type="noConversion"/>
  </si>
  <si>
    <t>正转运行（FWD）</t>
    <phoneticPr fontId="20" type="noConversion"/>
  </si>
  <si>
    <t>输出电流</t>
    <phoneticPr fontId="20" type="noConversion"/>
  </si>
  <si>
    <t>反转运行（REV）</t>
    <phoneticPr fontId="20" type="noConversion"/>
  </si>
  <si>
    <t>变频器零速运行中（停机不输出）</t>
    <phoneticPr fontId="20" type="noConversion"/>
  </si>
  <si>
    <t>输出转矩</t>
    <phoneticPr fontId="20" type="noConversion"/>
  </si>
  <si>
    <t>三线式运行</t>
    <phoneticPr fontId="20" type="noConversion"/>
  </si>
  <si>
    <t>变频器零速运行中（停机也输出）</t>
    <phoneticPr fontId="20" type="noConversion"/>
  </si>
  <si>
    <t>输出电压</t>
    <phoneticPr fontId="20" type="noConversion"/>
  </si>
  <si>
    <t>运行暂停</t>
    <phoneticPr fontId="20" type="noConversion"/>
  </si>
  <si>
    <t>运行方向</t>
    <phoneticPr fontId="20" type="noConversion"/>
  </si>
  <si>
    <t>输出功率</t>
    <phoneticPr fontId="20" type="noConversion"/>
  </si>
  <si>
    <t>外部停机</t>
    <phoneticPr fontId="20" type="noConversion"/>
  </si>
  <si>
    <t>频率到达</t>
    <phoneticPr fontId="20" type="noConversion"/>
  </si>
  <si>
    <t>母线电压</t>
    <phoneticPr fontId="20" type="noConversion"/>
  </si>
  <si>
    <t>紧急停车</t>
    <phoneticPr fontId="20" type="noConversion"/>
  </si>
  <si>
    <t>上限频率到达</t>
    <phoneticPr fontId="20" type="noConversion"/>
  </si>
  <si>
    <t>转矩指令</t>
    <phoneticPr fontId="20" type="noConversion"/>
  </si>
  <si>
    <t>直流制动1</t>
    <phoneticPr fontId="20" type="noConversion"/>
  </si>
  <si>
    <t>下限频率到达</t>
    <phoneticPr fontId="20" type="noConversion"/>
  </si>
  <si>
    <t>转矩电流</t>
    <phoneticPr fontId="20" type="noConversion"/>
  </si>
  <si>
    <t>直流制动2</t>
    <phoneticPr fontId="20" type="noConversion"/>
  </si>
  <si>
    <t>频率水平检测信号FDT1</t>
    <phoneticPr fontId="20" type="noConversion"/>
  </si>
  <si>
    <t>磁通电流</t>
    <phoneticPr fontId="20" type="noConversion"/>
  </si>
  <si>
    <t>自由停车</t>
    <phoneticPr fontId="20" type="noConversion"/>
  </si>
  <si>
    <t>频率水平检测信号FDT2</t>
    <phoneticPr fontId="20" type="noConversion"/>
  </si>
  <si>
    <t>多段频率端子2</t>
    <phoneticPr fontId="20" type="noConversion"/>
  </si>
  <si>
    <t>变频器（电机）过载预报警</t>
    <phoneticPr fontId="20" type="noConversion"/>
  </si>
  <si>
    <t xml:space="preserve">多段频率端子3    </t>
    <phoneticPr fontId="20" type="noConversion"/>
  </si>
  <si>
    <t>变频器过热预报警</t>
    <phoneticPr fontId="20" type="noConversion"/>
  </si>
  <si>
    <t>多段频率端子4</t>
    <phoneticPr fontId="20" type="noConversion"/>
  </si>
  <si>
    <t>保留</t>
    <phoneticPr fontId="20" type="noConversion"/>
  </si>
  <si>
    <t>加减速时间选择1</t>
    <phoneticPr fontId="20" type="noConversion"/>
  </si>
  <si>
    <t>加减速时间选择2</t>
    <phoneticPr fontId="20" type="noConversion"/>
  </si>
  <si>
    <t>加减速禁止</t>
    <phoneticPr fontId="20" type="noConversion"/>
  </si>
  <si>
    <t>外部故障输入</t>
    <phoneticPr fontId="20" type="noConversion"/>
  </si>
  <si>
    <t>设定计数值到</t>
    <phoneticPr fontId="20" type="noConversion"/>
  </si>
  <si>
    <t>故障复位（RESET）</t>
    <phoneticPr fontId="20" type="noConversion"/>
  </si>
  <si>
    <t>脉冲输入（仅对X7/DI有效）</t>
    <phoneticPr fontId="20" type="noConversion"/>
  </si>
  <si>
    <t>长度到达</t>
    <phoneticPr fontId="20" type="noConversion"/>
  </si>
  <si>
    <t>电机选择</t>
    <phoneticPr fontId="20" type="noConversion"/>
  </si>
  <si>
    <t>速度控制/转矩控制切换</t>
    <phoneticPr fontId="20" type="noConversion"/>
  </si>
  <si>
    <t>运行命令切换至操作面板</t>
    <phoneticPr fontId="20" type="noConversion"/>
  </si>
  <si>
    <t>抱闸控制</t>
    <phoneticPr fontId="20" type="noConversion"/>
  </si>
  <si>
    <t>运行命令切换至端子控制</t>
    <phoneticPr fontId="20" type="noConversion"/>
  </si>
  <si>
    <t>运行命令切换至通讯控制</t>
    <phoneticPr fontId="20" type="noConversion"/>
  </si>
  <si>
    <t>频率给定切换</t>
    <phoneticPr fontId="20" type="noConversion"/>
  </si>
  <si>
    <t>简易PLC阶段运转完成指示</t>
    <phoneticPr fontId="20" type="noConversion"/>
  </si>
  <si>
    <t>频率主给定切换至数字给定b0.02</t>
    <phoneticPr fontId="20" type="noConversion"/>
  </si>
  <si>
    <t>PLC循环完成指示</t>
    <phoneticPr fontId="20" type="noConversion"/>
  </si>
  <si>
    <t>频率辅给定切换至数字给定b0.04</t>
    <phoneticPr fontId="20" type="noConversion"/>
  </si>
  <si>
    <t>摆频上下限限制</t>
    <phoneticPr fontId="20" type="noConversion"/>
  </si>
  <si>
    <t>PID作用方向</t>
    <phoneticPr fontId="20" type="noConversion"/>
  </si>
  <si>
    <t xml:space="preserve">PID暂停 </t>
    <phoneticPr fontId="20" type="noConversion"/>
  </si>
  <si>
    <t>PID积分暂停</t>
    <phoneticPr fontId="20" type="noConversion"/>
  </si>
  <si>
    <t>PID参数切换</t>
    <phoneticPr fontId="20" type="noConversion"/>
  </si>
  <si>
    <t>计数器输入</t>
    <phoneticPr fontId="20" type="noConversion"/>
  </si>
  <si>
    <t>计数器清零</t>
    <phoneticPr fontId="20" type="noConversion"/>
  </si>
  <si>
    <t>长度计数</t>
    <phoneticPr fontId="20" type="noConversion"/>
  </si>
  <si>
    <t>长度清零</t>
    <phoneticPr fontId="20" type="noConversion"/>
  </si>
  <si>
    <t>零伺服使能</t>
    <phoneticPr fontId="20" type="noConversion"/>
  </si>
  <si>
    <t>主轴定向使能</t>
    <phoneticPr fontId="20" type="noConversion"/>
  </si>
  <si>
    <t>主轴定向停止位置选择端子1</t>
    <phoneticPr fontId="20" type="noConversion"/>
  </si>
  <si>
    <t>主轴定向停止位置选择端子2</t>
    <phoneticPr fontId="20" type="noConversion"/>
  </si>
  <si>
    <t>原点信号输入</t>
    <phoneticPr fontId="20" type="noConversion"/>
  </si>
  <si>
    <t>正转进位</t>
    <phoneticPr fontId="20" type="noConversion"/>
  </si>
  <si>
    <t>反转进位</t>
    <phoneticPr fontId="20" type="noConversion"/>
  </si>
  <si>
    <t>进位量选择端子1</t>
    <phoneticPr fontId="20" type="noConversion"/>
  </si>
  <si>
    <t>进位量选择端子2</t>
    <phoneticPr fontId="20" type="noConversion"/>
  </si>
  <si>
    <t>进位量选择端子3</t>
    <phoneticPr fontId="20" type="noConversion"/>
  </si>
  <si>
    <t>脉冲列位置控制脉冲输入</t>
    <phoneticPr fontId="20" type="noConversion"/>
  </si>
  <si>
    <t>脉冲列位置控制方向输入</t>
    <phoneticPr fontId="20" type="noConversion"/>
  </si>
  <si>
    <t>位置脉冲清零</t>
    <phoneticPr fontId="20" type="noConversion"/>
  </si>
  <si>
    <t>正向位置偏置使能</t>
    <phoneticPr fontId="20" type="noConversion"/>
  </si>
  <si>
    <t>反向位置偏置使能</t>
    <phoneticPr fontId="20" type="noConversion"/>
  </si>
  <si>
    <t>简易PLC暂停运行指令</t>
    <phoneticPr fontId="20" type="noConversion"/>
  </si>
  <si>
    <t>PLC失效</t>
    <phoneticPr fontId="20" type="noConversion"/>
  </si>
  <si>
    <t>PLC停机记忆清除</t>
    <phoneticPr fontId="20" type="noConversion"/>
  </si>
  <si>
    <t>摆频启动</t>
    <phoneticPr fontId="20" type="noConversion"/>
  </si>
  <si>
    <t>摆频状态清除</t>
    <phoneticPr fontId="20" type="noConversion"/>
  </si>
  <si>
    <t>运行禁止</t>
    <phoneticPr fontId="20" type="noConversion"/>
  </si>
  <si>
    <t>直流制动3</t>
    <phoneticPr fontId="20" type="noConversion"/>
  </si>
  <si>
    <t>内部变量n0.13（研发调试用）</t>
    <phoneticPr fontId="20" type="noConversion"/>
  </si>
  <si>
    <t>AI模拟曲线切换</t>
    <phoneticPr fontId="20" type="noConversion"/>
  </si>
  <si>
    <t>X1端子延迟时间</t>
  </si>
  <si>
    <t>X2端子延迟时间</t>
  </si>
  <si>
    <t>Y1输出功能选择</t>
  </si>
  <si>
    <t>Y2输出功能选择</t>
  </si>
  <si>
    <t>Y1输出延迟时间</t>
  </si>
  <si>
    <t>Y2输出延迟时间</t>
  </si>
  <si>
    <t>AI1端子滤波时间</t>
  </si>
  <si>
    <t>AI2端子滤波时间</t>
  </si>
  <si>
    <t>V/F曲线设定</t>
  </si>
  <si>
    <r>
      <t>V/F频率值</t>
    </r>
    <r>
      <rPr>
        <sz val="10"/>
        <rFont val="Times New Roman"/>
        <family val="1"/>
      </rPr>
      <t>F3</t>
    </r>
  </si>
  <si>
    <r>
      <t>V/F电压值</t>
    </r>
    <r>
      <rPr>
        <sz val="10"/>
        <rFont val="Times New Roman"/>
        <family val="1"/>
      </rPr>
      <t>V3</t>
    </r>
  </si>
  <si>
    <r>
      <t>V/F频率值</t>
    </r>
    <r>
      <rPr>
        <sz val="10"/>
        <rFont val="Times New Roman"/>
        <family val="1"/>
      </rPr>
      <t>F2</t>
    </r>
  </si>
  <si>
    <r>
      <t>V/F电压值</t>
    </r>
    <r>
      <rPr>
        <sz val="10"/>
        <rFont val="Times New Roman"/>
        <family val="1"/>
      </rPr>
      <t>V2</t>
    </r>
  </si>
  <si>
    <r>
      <t>V/F频率值</t>
    </r>
    <r>
      <rPr>
        <sz val="10"/>
        <rFont val="Times New Roman"/>
        <family val="1"/>
      </rPr>
      <t>F1</t>
    </r>
  </si>
  <si>
    <r>
      <t>V/F电压值</t>
    </r>
    <r>
      <rPr>
        <sz val="10"/>
        <rFont val="Times New Roman"/>
        <family val="1"/>
      </rPr>
      <t>V1</t>
    </r>
  </si>
  <si>
    <r>
      <t>V/F频率值</t>
    </r>
    <r>
      <rPr>
        <sz val="10"/>
        <rFont val="Times New Roman"/>
        <family val="1"/>
      </rPr>
      <t>F0</t>
    </r>
  </si>
  <si>
    <r>
      <t>V/F电压值</t>
    </r>
    <r>
      <rPr>
        <sz val="10"/>
        <rFont val="Times New Roman"/>
        <family val="1"/>
      </rPr>
      <t>V0</t>
    </r>
  </si>
  <si>
    <r>
      <t>ASR切换频率</t>
    </r>
    <r>
      <rPr>
        <sz val="10"/>
        <rFont val="Times New Roman"/>
        <family val="1"/>
      </rPr>
      <t>1</t>
    </r>
  </si>
  <si>
    <r>
      <t>ASR切换频率</t>
    </r>
    <r>
      <rPr>
        <sz val="10"/>
        <rFont val="Times New Roman"/>
        <family val="1"/>
      </rPr>
      <t>2</t>
    </r>
  </si>
  <si>
    <t>ASR输出滤波时间</t>
  </si>
  <si>
    <r>
      <t>0.000～</t>
    </r>
    <r>
      <rPr>
        <sz val="9"/>
        <rFont val="Times New Roman"/>
        <family val="1"/>
      </rPr>
      <t>1.000</t>
    </r>
    <phoneticPr fontId="20" type="noConversion"/>
  </si>
  <si>
    <t>PWM优化</t>
  </si>
  <si>
    <r>
      <t>保护动作选择</t>
    </r>
    <r>
      <rPr>
        <sz val="10"/>
        <rFont val="Times New Roman"/>
        <family val="1"/>
      </rPr>
      <t>1</t>
    </r>
  </si>
  <si>
    <r>
      <t>保护动作选择</t>
    </r>
    <r>
      <rPr>
        <sz val="10"/>
        <rFont val="Times New Roman"/>
        <family val="1"/>
      </rPr>
      <t>2</t>
    </r>
  </si>
  <si>
    <r>
      <t>LED运行显示参数</t>
    </r>
    <r>
      <rPr>
        <sz val="10"/>
        <rFont val="Times New Roman"/>
        <family val="1"/>
      </rPr>
      <t>1</t>
    </r>
  </si>
  <si>
    <r>
      <t>LED运行显示参数</t>
    </r>
    <r>
      <rPr>
        <sz val="10"/>
        <rFont val="Times New Roman"/>
        <family val="1"/>
      </rPr>
      <t>2</t>
    </r>
  </si>
  <si>
    <t>LED停机显示参数</t>
  </si>
  <si>
    <r>
      <t>U0.01</t>
    </r>
    <r>
      <rPr>
        <sz val="11"/>
        <color indexed="8"/>
        <rFont val="宋体"/>
        <charset val="134"/>
      </rPr>
      <t/>
    </r>
  </si>
  <si>
    <r>
      <t>U0.02</t>
    </r>
    <r>
      <rPr>
        <sz val="11"/>
        <color indexed="8"/>
        <rFont val="宋体"/>
        <charset val="134"/>
      </rPr>
      <t/>
    </r>
  </si>
  <si>
    <r>
      <t>U0.03</t>
    </r>
    <r>
      <rPr>
        <sz val="11"/>
        <color indexed="8"/>
        <rFont val="宋体"/>
        <charset val="134"/>
      </rPr>
      <t/>
    </r>
  </si>
  <si>
    <r>
      <t>U0.04</t>
    </r>
    <r>
      <rPr>
        <sz val="11"/>
        <color indexed="8"/>
        <rFont val="宋体"/>
        <charset val="134"/>
      </rPr>
      <t/>
    </r>
  </si>
  <si>
    <r>
      <t>U0.05</t>
    </r>
    <r>
      <rPr>
        <sz val="11"/>
        <color indexed="8"/>
        <rFont val="宋体"/>
        <charset val="134"/>
      </rPr>
      <t/>
    </r>
  </si>
  <si>
    <r>
      <t>U0.06</t>
    </r>
    <r>
      <rPr>
        <sz val="11"/>
        <color indexed="8"/>
        <rFont val="宋体"/>
        <charset val="134"/>
      </rPr>
      <t/>
    </r>
  </si>
  <si>
    <r>
      <t>U0.07</t>
    </r>
    <r>
      <rPr>
        <sz val="11"/>
        <color indexed="8"/>
        <rFont val="宋体"/>
        <charset val="134"/>
      </rPr>
      <t/>
    </r>
  </si>
  <si>
    <r>
      <t>U0.08</t>
    </r>
    <r>
      <rPr>
        <sz val="11"/>
        <color indexed="8"/>
        <rFont val="宋体"/>
        <charset val="134"/>
      </rPr>
      <t/>
    </r>
  </si>
  <si>
    <r>
      <t>U0.09</t>
    </r>
    <r>
      <rPr>
        <sz val="11"/>
        <color indexed="8"/>
        <rFont val="宋体"/>
        <charset val="134"/>
      </rPr>
      <t/>
    </r>
  </si>
  <si>
    <r>
      <t>U0.10</t>
    </r>
    <r>
      <rPr>
        <sz val="11"/>
        <color indexed="8"/>
        <rFont val="宋体"/>
        <charset val="134"/>
      </rPr>
      <t/>
    </r>
  </si>
  <si>
    <r>
      <t>U0.11</t>
    </r>
    <r>
      <rPr>
        <sz val="11"/>
        <color indexed="8"/>
        <rFont val="宋体"/>
        <charset val="134"/>
      </rPr>
      <t/>
    </r>
  </si>
  <si>
    <r>
      <t>U0.12</t>
    </r>
    <r>
      <rPr>
        <sz val="11"/>
        <color indexed="8"/>
        <rFont val="宋体"/>
        <charset val="134"/>
      </rPr>
      <t/>
    </r>
  </si>
  <si>
    <r>
      <t>U0.13</t>
    </r>
    <r>
      <rPr>
        <sz val="11"/>
        <color indexed="8"/>
        <rFont val="宋体"/>
        <charset val="134"/>
      </rPr>
      <t/>
    </r>
  </si>
  <si>
    <r>
      <t>U0.14</t>
    </r>
    <r>
      <rPr>
        <sz val="11"/>
        <color indexed="8"/>
        <rFont val="宋体"/>
        <charset val="134"/>
      </rPr>
      <t/>
    </r>
  </si>
  <si>
    <r>
      <t>U0.15</t>
    </r>
    <r>
      <rPr>
        <sz val="11"/>
        <color indexed="8"/>
        <rFont val="宋体"/>
        <charset val="134"/>
      </rPr>
      <t/>
    </r>
  </si>
  <si>
    <r>
      <t>U0.16</t>
    </r>
    <r>
      <rPr>
        <sz val="11"/>
        <color indexed="8"/>
        <rFont val="宋体"/>
        <charset val="134"/>
      </rPr>
      <t/>
    </r>
  </si>
  <si>
    <r>
      <t>U0.17</t>
    </r>
    <r>
      <rPr>
        <sz val="11"/>
        <color indexed="8"/>
        <rFont val="宋体"/>
        <charset val="134"/>
      </rPr>
      <t/>
    </r>
  </si>
  <si>
    <r>
      <t>U0.18</t>
    </r>
    <r>
      <rPr>
        <sz val="11"/>
        <color indexed="8"/>
        <rFont val="宋体"/>
        <charset val="134"/>
      </rPr>
      <t/>
    </r>
  </si>
  <si>
    <r>
      <t>U0.19</t>
    </r>
    <r>
      <rPr>
        <sz val="11"/>
        <color indexed="8"/>
        <rFont val="宋体"/>
        <charset val="134"/>
      </rPr>
      <t/>
    </r>
  </si>
  <si>
    <r>
      <t>U0.20</t>
    </r>
    <r>
      <rPr>
        <sz val="11"/>
        <color indexed="8"/>
        <rFont val="宋体"/>
        <charset val="134"/>
      </rPr>
      <t/>
    </r>
  </si>
  <si>
    <r>
      <t>U0.21</t>
    </r>
    <r>
      <rPr>
        <sz val="11"/>
        <color indexed="8"/>
        <rFont val="宋体"/>
        <charset val="134"/>
      </rPr>
      <t/>
    </r>
  </si>
  <si>
    <r>
      <t>U0.22</t>
    </r>
    <r>
      <rPr>
        <sz val="11"/>
        <color indexed="8"/>
        <rFont val="宋体"/>
        <charset val="134"/>
      </rPr>
      <t/>
    </r>
  </si>
  <si>
    <r>
      <t>U0.23</t>
    </r>
    <r>
      <rPr>
        <sz val="11"/>
        <color indexed="8"/>
        <rFont val="宋体"/>
        <charset val="134"/>
      </rPr>
      <t/>
    </r>
  </si>
  <si>
    <r>
      <t>U0.24</t>
    </r>
    <r>
      <rPr>
        <sz val="11"/>
        <color indexed="8"/>
        <rFont val="宋体"/>
        <charset val="134"/>
      </rPr>
      <t/>
    </r>
  </si>
  <si>
    <r>
      <t>U0.25</t>
    </r>
    <r>
      <rPr>
        <sz val="11"/>
        <color indexed="8"/>
        <rFont val="宋体"/>
        <charset val="134"/>
      </rPr>
      <t/>
    </r>
  </si>
  <si>
    <r>
      <t>U0.26</t>
    </r>
    <r>
      <rPr>
        <sz val="11"/>
        <color indexed="8"/>
        <rFont val="宋体"/>
        <charset val="134"/>
      </rPr>
      <t/>
    </r>
  </si>
  <si>
    <r>
      <t>U0.27</t>
    </r>
    <r>
      <rPr>
        <sz val="11"/>
        <color indexed="8"/>
        <rFont val="宋体"/>
        <charset val="134"/>
      </rPr>
      <t/>
    </r>
  </si>
  <si>
    <r>
      <t>U0.28</t>
    </r>
    <r>
      <rPr>
        <sz val="11"/>
        <color indexed="8"/>
        <rFont val="宋体"/>
        <charset val="134"/>
      </rPr>
      <t/>
    </r>
  </si>
  <si>
    <r>
      <t>U0.30</t>
    </r>
    <r>
      <rPr>
        <sz val="11"/>
        <color indexed="8"/>
        <rFont val="宋体"/>
        <charset val="134"/>
      </rPr>
      <t/>
    </r>
  </si>
  <si>
    <r>
      <t>U0.31</t>
    </r>
    <r>
      <rPr>
        <sz val="11"/>
        <color indexed="8"/>
        <rFont val="宋体"/>
        <charset val="134"/>
      </rPr>
      <t/>
    </r>
  </si>
  <si>
    <r>
      <t>U0.32</t>
    </r>
    <r>
      <rPr>
        <sz val="11"/>
        <color indexed="8"/>
        <rFont val="宋体"/>
        <charset val="134"/>
      </rPr>
      <t/>
    </r>
  </si>
  <si>
    <t>-400</t>
    <phoneticPr fontId="20" type="noConversion"/>
  </si>
  <si>
    <r>
      <t>U0.33</t>
    </r>
    <r>
      <rPr>
        <sz val="11"/>
        <color indexed="8"/>
        <rFont val="宋体"/>
        <charset val="134"/>
      </rPr>
      <t/>
    </r>
  </si>
  <si>
    <r>
      <t>U0.34</t>
    </r>
    <r>
      <rPr>
        <sz val="11"/>
        <color indexed="8"/>
        <rFont val="宋体"/>
        <charset val="134"/>
      </rPr>
      <t/>
    </r>
  </si>
  <si>
    <r>
      <t>U0.35</t>
    </r>
    <r>
      <rPr>
        <sz val="11"/>
        <color indexed="8"/>
        <rFont val="宋体"/>
        <charset val="134"/>
      </rPr>
      <t/>
    </r>
  </si>
  <si>
    <r>
      <t>U0.36</t>
    </r>
    <r>
      <rPr>
        <sz val="11"/>
        <color indexed="8"/>
        <rFont val="宋体"/>
        <charset val="134"/>
      </rPr>
      <t/>
    </r>
  </si>
  <si>
    <r>
      <t>U0.37</t>
    </r>
    <r>
      <rPr>
        <sz val="11"/>
        <color indexed="8"/>
        <rFont val="宋体"/>
        <charset val="134"/>
      </rPr>
      <t/>
    </r>
  </si>
  <si>
    <r>
      <t>U0.38</t>
    </r>
    <r>
      <rPr>
        <sz val="11"/>
        <color indexed="8"/>
        <rFont val="宋体"/>
        <charset val="134"/>
      </rPr>
      <t/>
    </r>
  </si>
  <si>
    <r>
      <t>U0.39</t>
    </r>
    <r>
      <rPr>
        <sz val="11"/>
        <color indexed="8"/>
        <rFont val="宋体"/>
        <charset val="134"/>
      </rPr>
      <t/>
    </r>
  </si>
  <si>
    <r>
      <t>U0.40</t>
    </r>
    <r>
      <rPr>
        <sz val="11"/>
        <color indexed="8"/>
        <rFont val="宋体"/>
        <charset val="134"/>
      </rPr>
      <t/>
    </r>
  </si>
  <si>
    <r>
      <t>U0.41</t>
    </r>
    <r>
      <rPr>
        <sz val="11"/>
        <color indexed="8"/>
        <rFont val="宋体"/>
        <charset val="134"/>
      </rPr>
      <t/>
    </r>
  </si>
  <si>
    <r>
      <t>U0.42</t>
    </r>
    <r>
      <rPr>
        <sz val="11"/>
        <color indexed="8"/>
        <rFont val="宋体"/>
        <charset val="134"/>
      </rPr>
      <t/>
    </r>
  </si>
  <si>
    <r>
      <t>U0.43</t>
    </r>
    <r>
      <rPr>
        <sz val="11"/>
        <color indexed="8"/>
        <rFont val="宋体"/>
        <charset val="134"/>
      </rPr>
      <t/>
    </r>
  </si>
  <si>
    <r>
      <t>0.00～</t>
    </r>
    <r>
      <rPr>
        <sz val="9"/>
        <rFont val="Times New Roman"/>
        <family val="1"/>
      </rPr>
      <t>655.35</t>
    </r>
    <phoneticPr fontId="20" type="noConversion"/>
  </si>
  <si>
    <r>
      <t>U0.44</t>
    </r>
    <r>
      <rPr>
        <sz val="11"/>
        <color indexed="8"/>
        <rFont val="宋体"/>
        <charset val="134"/>
      </rPr>
      <t/>
    </r>
  </si>
  <si>
    <r>
      <t>U0.45</t>
    </r>
    <r>
      <rPr>
        <sz val="11"/>
        <color indexed="8"/>
        <rFont val="宋体"/>
        <charset val="134"/>
      </rPr>
      <t/>
    </r>
  </si>
  <si>
    <r>
      <t>U0.46</t>
    </r>
    <r>
      <rPr>
        <sz val="11"/>
        <color indexed="8"/>
        <rFont val="宋体"/>
        <charset val="134"/>
      </rPr>
      <t/>
    </r>
  </si>
  <si>
    <r>
      <t>U0.48</t>
    </r>
    <r>
      <rPr>
        <sz val="11"/>
        <color indexed="8"/>
        <rFont val="宋体"/>
        <charset val="134"/>
      </rPr>
      <t/>
    </r>
  </si>
  <si>
    <r>
      <t>U0.49</t>
    </r>
    <r>
      <rPr>
        <sz val="11"/>
        <color indexed="8"/>
        <rFont val="宋体"/>
        <charset val="134"/>
      </rPr>
      <t/>
    </r>
  </si>
  <si>
    <r>
      <t>U0.50</t>
    </r>
    <r>
      <rPr>
        <sz val="11"/>
        <color indexed="8"/>
        <rFont val="宋体"/>
        <charset val="134"/>
      </rPr>
      <t/>
    </r>
  </si>
  <si>
    <r>
      <t>U0.51</t>
    </r>
    <r>
      <rPr>
        <sz val="11"/>
        <color indexed="8"/>
        <rFont val="宋体"/>
        <charset val="134"/>
      </rPr>
      <t/>
    </r>
  </si>
  <si>
    <r>
      <t>U0.52</t>
    </r>
    <r>
      <rPr>
        <sz val="11"/>
        <color indexed="8"/>
        <rFont val="宋体"/>
        <charset val="134"/>
      </rPr>
      <t/>
    </r>
  </si>
  <si>
    <r>
      <t>U0.53</t>
    </r>
    <r>
      <rPr>
        <sz val="11"/>
        <color indexed="8"/>
        <rFont val="宋体"/>
        <charset val="134"/>
      </rPr>
      <t/>
    </r>
  </si>
  <si>
    <r>
      <t>U0.54</t>
    </r>
    <r>
      <rPr>
        <sz val="11"/>
        <color indexed="8"/>
        <rFont val="宋体"/>
        <charset val="134"/>
      </rPr>
      <t/>
    </r>
  </si>
  <si>
    <r>
      <t>U0.55</t>
    </r>
    <r>
      <rPr>
        <sz val="11"/>
        <color indexed="8"/>
        <rFont val="宋体"/>
        <charset val="134"/>
      </rPr>
      <t/>
    </r>
  </si>
  <si>
    <r>
      <t>U0.56</t>
    </r>
    <r>
      <rPr>
        <sz val="11"/>
        <color indexed="8"/>
        <rFont val="宋体"/>
        <charset val="134"/>
      </rPr>
      <t/>
    </r>
  </si>
  <si>
    <r>
      <t>U0.57</t>
    </r>
    <r>
      <rPr>
        <sz val="11"/>
        <color indexed="8"/>
        <rFont val="宋体"/>
        <charset val="134"/>
      </rPr>
      <t/>
    </r>
  </si>
  <si>
    <r>
      <t>U0.58</t>
    </r>
    <r>
      <rPr>
        <sz val="11"/>
        <color indexed="8"/>
        <rFont val="宋体"/>
        <charset val="134"/>
      </rPr>
      <t/>
    </r>
  </si>
  <si>
    <r>
      <t>U0.59</t>
    </r>
    <r>
      <rPr>
        <sz val="11"/>
        <color indexed="8"/>
        <rFont val="宋体"/>
        <charset val="134"/>
      </rPr>
      <t/>
    </r>
  </si>
  <si>
    <r>
      <t>U0.60</t>
    </r>
    <r>
      <rPr>
        <sz val="11"/>
        <color indexed="8"/>
        <rFont val="宋体"/>
        <charset val="134"/>
      </rPr>
      <t/>
    </r>
  </si>
  <si>
    <r>
      <t>U0.61</t>
    </r>
    <r>
      <rPr>
        <sz val="11"/>
        <color indexed="8"/>
        <rFont val="宋体"/>
        <charset val="134"/>
      </rPr>
      <t/>
    </r>
  </si>
  <si>
    <r>
      <t>U0.62</t>
    </r>
    <r>
      <rPr>
        <sz val="11"/>
        <color indexed="8"/>
        <rFont val="宋体"/>
        <charset val="134"/>
      </rPr>
      <t/>
    </r>
  </si>
  <si>
    <r>
      <t>U0.63</t>
    </r>
    <r>
      <rPr>
        <sz val="11"/>
        <color indexed="8"/>
        <rFont val="宋体"/>
        <charset val="134"/>
      </rPr>
      <t/>
    </r>
  </si>
  <si>
    <r>
      <t>U0.64</t>
    </r>
    <r>
      <rPr>
        <sz val="11"/>
        <color indexed="8"/>
        <rFont val="宋体"/>
        <charset val="134"/>
      </rPr>
      <t/>
    </r>
  </si>
  <si>
    <r>
      <t>U1.02</t>
    </r>
    <r>
      <rPr>
        <sz val="11"/>
        <color indexed="8"/>
        <rFont val="宋体"/>
        <charset val="134"/>
      </rPr>
      <t/>
    </r>
  </si>
  <si>
    <r>
      <t>U1.03</t>
    </r>
    <r>
      <rPr>
        <sz val="11"/>
        <color indexed="8"/>
        <rFont val="宋体"/>
        <charset val="134"/>
      </rPr>
      <t/>
    </r>
  </si>
  <si>
    <r>
      <t>U1.04</t>
    </r>
    <r>
      <rPr>
        <sz val="11"/>
        <color indexed="8"/>
        <rFont val="宋体"/>
        <charset val="134"/>
      </rPr>
      <t/>
    </r>
  </si>
  <si>
    <r>
      <t>U1.05</t>
    </r>
    <r>
      <rPr>
        <sz val="11"/>
        <color indexed="8"/>
        <rFont val="宋体"/>
        <charset val="134"/>
      </rPr>
      <t/>
    </r>
  </si>
  <si>
    <r>
      <t>U1.06</t>
    </r>
    <r>
      <rPr>
        <sz val="11"/>
        <color indexed="8"/>
        <rFont val="宋体"/>
        <charset val="134"/>
      </rPr>
      <t/>
    </r>
  </si>
  <si>
    <r>
      <t>U1.07</t>
    </r>
    <r>
      <rPr>
        <sz val="11"/>
        <color indexed="8"/>
        <rFont val="宋体"/>
        <charset val="134"/>
      </rPr>
      <t/>
    </r>
  </si>
  <si>
    <r>
      <t>U1.08</t>
    </r>
    <r>
      <rPr>
        <sz val="11"/>
        <color indexed="8"/>
        <rFont val="宋体"/>
        <charset val="134"/>
      </rPr>
      <t/>
    </r>
  </si>
  <si>
    <r>
      <t>U1.09</t>
    </r>
    <r>
      <rPr>
        <sz val="11"/>
        <color indexed="8"/>
        <rFont val="宋体"/>
        <charset val="134"/>
      </rPr>
      <t/>
    </r>
  </si>
  <si>
    <r>
      <t>U1.10</t>
    </r>
    <r>
      <rPr>
        <sz val="11"/>
        <color indexed="8"/>
        <rFont val="宋体"/>
        <charset val="134"/>
      </rPr>
      <t/>
    </r>
  </si>
  <si>
    <r>
      <t>U1.11</t>
    </r>
    <r>
      <rPr>
        <sz val="11"/>
        <color indexed="8"/>
        <rFont val="宋体"/>
        <charset val="134"/>
      </rPr>
      <t/>
    </r>
  </si>
  <si>
    <r>
      <t>U1.12</t>
    </r>
    <r>
      <rPr>
        <sz val="11"/>
        <color indexed="8"/>
        <rFont val="宋体"/>
        <charset val="134"/>
      </rPr>
      <t/>
    </r>
  </si>
  <si>
    <r>
      <t>U1.13</t>
    </r>
    <r>
      <rPr>
        <sz val="11"/>
        <color indexed="8"/>
        <rFont val="宋体"/>
        <charset val="134"/>
      </rPr>
      <t/>
    </r>
  </si>
  <si>
    <r>
      <t>U1.14</t>
    </r>
    <r>
      <rPr>
        <sz val="11"/>
        <color indexed="8"/>
        <rFont val="宋体"/>
        <charset val="134"/>
      </rPr>
      <t/>
    </r>
  </si>
  <si>
    <r>
      <t>U1.15</t>
    </r>
    <r>
      <rPr>
        <sz val="11"/>
        <color indexed="8"/>
        <rFont val="宋体"/>
        <charset val="134"/>
      </rPr>
      <t/>
    </r>
  </si>
  <si>
    <r>
      <t>U1.16</t>
    </r>
    <r>
      <rPr>
        <sz val="11"/>
        <color indexed="8"/>
        <rFont val="宋体"/>
        <charset val="134"/>
      </rPr>
      <t/>
    </r>
  </si>
  <si>
    <r>
      <t>U1.17</t>
    </r>
    <r>
      <rPr>
        <sz val="11"/>
        <color indexed="8"/>
        <rFont val="宋体"/>
        <charset val="134"/>
      </rPr>
      <t/>
    </r>
  </si>
  <si>
    <r>
      <t>U1.18</t>
    </r>
    <r>
      <rPr>
        <sz val="11"/>
        <color indexed="8"/>
        <rFont val="宋体"/>
        <charset val="134"/>
      </rPr>
      <t/>
    </r>
  </si>
  <si>
    <r>
      <t>U1.19</t>
    </r>
    <r>
      <rPr>
        <sz val="11"/>
        <color indexed="8"/>
        <rFont val="宋体"/>
        <charset val="134"/>
      </rPr>
      <t/>
    </r>
  </si>
  <si>
    <r>
      <t>U1.20</t>
    </r>
    <r>
      <rPr>
        <sz val="11"/>
        <color indexed="8"/>
        <rFont val="宋体"/>
        <charset val="134"/>
      </rPr>
      <t/>
    </r>
  </si>
  <si>
    <r>
      <t>U1.21</t>
    </r>
    <r>
      <rPr>
        <sz val="11"/>
        <color indexed="8"/>
        <rFont val="宋体"/>
        <charset val="134"/>
      </rPr>
      <t/>
    </r>
  </si>
  <si>
    <r>
      <t>U1.22</t>
    </r>
    <r>
      <rPr>
        <sz val="11"/>
        <color indexed="8"/>
        <rFont val="宋体"/>
        <charset val="134"/>
      </rPr>
      <t/>
    </r>
  </si>
  <si>
    <r>
      <t>U1.23</t>
    </r>
    <r>
      <rPr>
        <sz val="11"/>
        <color indexed="8"/>
        <rFont val="宋体"/>
        <charset val="134"/>
      </rPr>
      <t/>
    </r>
  </si>
  <si>
    <r>
      <t>U1.24</t>
    </r>
    <r>
      <rPr>
        <sz val="11"/>
        <color indexed="8"/>
        <rFont val="宋体"/>
        <charset val="134"/>
      </rPr>
      <t/>
    </r>
  </si>
  <si>
    <r>
      <t>U1.25</t>
    </r>
    <r>
      <rPr>
        <sz val="11"/>
        <color indexed="8"/>
        <rFont val="宋体"/>
        <charset val="134"/>
      </rPr>
      <t/>
    </r>
  </si>
  <si>
    <r>
      <t>U1.26</t>
    </r>
    <r>
      <rPr>
        <sz val="11"/>
        <color indexed="8"/>
        <rFont val="宋体"/>
        <charset val="134"/>
      </rPr>
      <t/>
    </r>
  </si>
  <si>
    <t>U2.00</t>
    <phoneticPr fontId="20" type="noConversion"/>
  </si>
  <si>
    <r>
      <t>U2.01</t>
    </r>
    <r>
      <rPr>
        <sz val="11"/>
        <color indexed="8"/>
        <rFont val="宋体"/>
        <charset val="134"/>
      </rPr>
      <t/>
    </r>
  </si>
  <si>
    <r>
      <t>U2.02</t>
    </r>
    <r>
      <rPr>
        <sz val="11"/>
        <color indexed="8"/>
        <rFont val="宋体"/>
        <charset val="134"/>
      </rPr>
      <t/>
    </r>
  </si>
  <si>
    <r>
      <t>U2.03</t>
    </r>
    <r>
      <rPr>
        <sz val="11"/>
        <color indexed="8"/>
        <rFont val="宋体"/>
        <charset val="134"/>
      </rPr>
      <t/>
    </r>
  </si>
  <si>
    <r>
      <t>U2.04</t>
    </r>
    <r>
      <rPr>
        <sz val="11"/>
        <color indexed="8"/>
        <rFont val="宋体"/>
        <charset val="134"/>
      </rPr>
      <t/>
    </r>
  </si>
  <si>
    <r>
      <t>U2.05</t>
    </r>
    <r>
      <rPr>
        <sz val="11"/>
        <color indexed="8"/>
        <rFont val="宋体"/>
        <charset val="134"/>
      </rPr>
      <t/>
    </r>
  </si>
  <si>
    <r>
      <t>U2.06</t>
    </r>
    <r>
      <rPr>
        <sz val="11"/>
        <color indexed="8"/>
        <rFont val="宋体"/>
        <charset val="134"/>
      </rPr>
      <t/>
    </r>
  </si>
  <si>
    <r>
      <t>U2.07</t>
    </r>
    <r>
      <rPr>
        <sz val="11"/>
        <color indexed="8"/>
        <rFont val="宋体"/>
        <charset val="134"/>
      </rPr>
      <t/>
    </r>
  </si>
  <si>
    <r>
      <t>U2.08</t>
    </r>
    <r>
      <rPr>
        <sz val="11"/>
        <color indexed="8"/>
        <rFont val="宋体"/>
        <charset val="134"/>
      </rPr>
      <t/>
    </r>
  </si>
  <si>
    <r>
      <t>U2.09</t>
    </r>
    <r>
      <rPr>
        <sz val="11"/>
        <color indexed="8"/>
        <rFont val="宋体"/>
        <charset val="134"/>
      </rPr>
      <t/>
    </r>
  </si>
  <si>
    <r>
      <t>U2.10</t>
    </r>
    <r>
      <rPr>
        <sz val="11"/>
        <color indexed="8"/>
        <rFont val="宋体"/>
        <charset val="134"/>
      </rPr>
      <t/>
    </r>
  </si>
  <si>
    <t>△</t>
    <phoneticPr fontId="20" type="noConversion"/>
  </si>
  <si>
    <t>X</t>
    <phoneticPr fontId="20" type="noConversion"/>
  </si>
  <si>
    <t>A</t>
    <phoneticPr fontId="20" type="noConversion"/>
  </si>
  <si>
    <t>FcProtectMode</t>
    <phoneticPr fontId="20" type="noConversion"/>
  </si>
  <si>
    <t>×</t>
    <phoneticPr fontId="20" type="noConversion"/>
  </si>
  <si>
    <t>FcParaIniChoice</t>
    <phoneticPr fontId="20" type="noConversion"/>
  </si>
  <si>
    <r>
      <t xml:space="preserve">0：不动作
</t>
    </r>
    <r>
      <rPr>
        <sz val="9"/>
        <rFont val="Times New Roman"/>
        <family val="1"/>
      </rPr>
      <t>1</t>
    </r>
    <r>
      <rPr>
        <sz val="9"/>
        <rFont val="宋体"/>
        <charset val="134"/>
      </rPr>
      <t xml:space="preserve">：清除故障记录信息
</t>
    </r>
    <r>
      <rPr>
        <sz val="9"/>
        <rFont val="Times New Roman"/>
        <family val="1"/>
      </rPr>
      <t>2</t>
    </r>
    <r>
      <rPr>
        <sz val="9"/>
        <rFont val="宋体"/>
        <charset val="134"/>
      </rPr>
      <t>：将所有功能码组的参数恢复为出厂值（</t>
    </r>
    <r>
      <rPr>
        <sz val="9"/>
        <rFont val="Times New Roman"/>
        <family val="1"/>
      </rPr>
      <t>U0</t>
    </r>
    <r>
      <rPr>
        <sz val="9"/>
        <rFont val="宋体"/>
        <charset val="134"/>
      </rPr>
      <t xml:space="preserve">组之前，不含电机参数）
</t>
    </r>
    <r>
      <rPr>
        <sz val="9"/>
        <rFont val="Times New Roman"/>
        <family val="1"/>
      </rPr>
      <t>3</t>
    </r>
    <r>
      <rPr>
        <sz val="9"/>
        <rFont val="宋体"/>
        <charset val="134"/>
      </rPr>
      <t>：将所有功能码组的参数恢复为出厂值（</t>
    </r>
    <r>
      <rPr>
        <sz val="9"/>
        <rFont val="Times New Roman"/>
        <family val="1"/>
      </rPr>
      <t>U0</t>
    </r>
    <r>
      <rPr>
        <sz val="9"/>
        <rFont val="宋体"/>
        <charset val="134"/>
      </rPr>
      <t xml:space="preserve">组之前，含电机参数）
</t>
    </r>
    <r>
      <rPr>
        <sz val="9"/>
        <rFont val="Times New Roman"/>
        <family val="1"/>
      </rPr>
      <t>4</t>
    </r>
    <r>
      <rPr>
        <sz val="9"/>
        <rFont val="宋体"/>
        <charset val="134"/>
      </rPr>
      <t>：将所有功能码恢复为备份</t>
    </r>
    <r>
      <rPr>
        <sz val="9"/>
        <rFont val="Times New Roman"/>
        <family val="1"/>
      </rPr>
      <t>1</t>
    </r>
    <r>
      <rPr>
        <sz val="9"/>
        <rFont val="宋体"/>
        <charset val="134"/>
      </rPr>
      <t>参数（</t>
    </r>
    <r>
      <rPr>
        <sz val="9"/>
        <rFont val="Times New Roman"/>
        <family val="1"/>
      </rPr>
      <t>U0</t>
    </r>
    <r>
      <rPr>
        <sz val="9"/>
        <rFont val="宋体"/>
        <charset val="134"/>
      </rPr>
      <t xml:space="preserve">组之前）
</t>
    </r>
    <r>
      <rPr>
        <sz val="9"/>
        <rFont val="Times New Roman"/>
        <family val="1"/>
      </rPr>
      <t/>
    </r>
    <phoneticPr fontId="20" type="noConversion"/>
  </si>
  <si>
    <t>X</t>
    <phoneticPr fontId="20" type="noConversion"/>
  </si>
  <si>
    <t>A</t>
    <phoneticPr fontId="20" type="noConversion"/>
  </si>
  <si>
    <t>FcParaCopyChoice</t>
    <phoneticPr fontId="20" type="noConversion"/>
  </si>
  <si>
    <t>FcParaCarryChoice</t>
    <phoneticPr fontId="20" type="noConversion"/>
  </si>
  <si>
    <t>FcLoadType</t>
    <phoneticPr fontId="20" type="noConversion"/>
  </si>
  <si>
    <t>直流母线电压源</t>
    <phoneticPr fontId="20" type="noConversion"/>
  </si>
  <si>
    <t>FcDCBusSour</t>
    <phoneticPr fontId="20" type="noConversion"/>
  </si>
  <si>
    <r>
      <t xml:space="preserve">0：驱动器内部
</t>
    </r>
    <r>
      <rPr>
        <sz val="9"/>
        <rFont val="Times New Roman"/>
        <family val="1"/>
      </rPr>
      <t>1</t>
    </r>
    <r>
      <rPr>
        <sz val="9"/>
        <rFont val="宋体"/>
        <charset val="134"/>
      </rPr>
      <t>：驱动器外部</t>
    </r>
    <r>
      <rPr>
        <sz val="9"/>
        <rFont val="Times New Roman"/>
        <family val="1"/>
      </rPr>
      <t>(</t>
    </r>
    <r>
      <rPr>
        <sz val="9"/>
        <rFont val="宋体"/>
        <charset val="134"/>
      </rPr>
      <t>外部共母线电压</t>
    </r>
    <r>
      <rPr>
        <sz val="9"/>
        <rFont val="Times New Roman"/>
        <family val="1"/>
      </rPr>
      <t>)</t>
    </r>
    <phoneticPr fontId="20" type="noConversion"/>
  </si>
  <si>
    <t>FcMotorChoice</t>
    <phoneticPr fontId="20" type="noConversion"/>
  </si>
  <si>
    <t>FcMotorCtrlType</t>
    <phoneticPr fontId="20" type="noConversion"/>
  </si>
  <si>
    <r>
      <t>个位：电机</t>
    </r>
    <r>
      <rPr>
        <sz val="9"/>
        <rFont val="Times New Roman"/>
        <family val="1"/>
      </rPr>
      <t>1</t>
    </r>
    <r>
      <rPr>
        <sz val="9"/>
        <rFont val="宋体"/>
        <charset val="134"/>
      </rPr>
      <t xml:space="preserve">控制方式
</t>
    </r>
    <r>
      <rPr>
        <sz val="9"/>
        <rFont val="Times New Roman"/>
        <family val="1"/>
      </rPr>
      <t>0</t>
    </r>
    <r>
      <rPr>
        <sz val="9"/>
        <rFont val="宋体"/>
        <charset val="134"/>
      </rPr>
      <t>：</t>
    </r>
    <r>
      <rPr>
        <sz val="9"/>
        <rFont val="Times New Roman"/>
        <family val="1"/>
      </rPr>
      <t>V/F</t>
    </r>
    <r>
      <rPr>
        <sz val="9"/>
        <rFont val="宋体"/>
        <charset val="134"/>
      </rPr>
      <t xml:space="preserve">控制
</t>
    </r>
    <r>
      <rPr>
        <sz val="9"/>
        <rFont val="Times New Roman"/>
        <family val="1"/>
      </rPr>
      <t>1</t>
    </r>
    <r>
      <rPr>
        <sz val="9"/>
        <rFont val="宋体"/>
        <charset val="134"/>
      </rPr>
      <t>：无</t>
    </r>
    <r>
      <rPr>
        <sz val="9"/>
        <rFont val="Times New Roman"/>
        <family val="1"/>
      </rPr>
      <t>PG</t>
    </r>
    <r>
      <rPr>
        <sz val="9"/>
        <rFont val="宋体"/>
        <charset val="134"/>
      </rPr>
      <t>矢量控制</t>
    </r>
    <r>
      <rPr>
        <sz val="9"/>
        <rFont val="Times New Roman"/>
        <family val="1"/>
      </rPr>
      <t>1
2</t>
    </r>
    <r>
      <rPr>
        <sz val="9"/>
        <rFont val="宋体"/>
        <charset val="134"/>
      </rPr>
      <t>：无</t>
    </r>
    <r>
      <rPr>
        <sz val="9"/>
        <rFont val="Times New Roman"/>
        <family val="1"/>
      </rPr>
      <t>PG</t>
    </r>
    <r>
      <rPr>
        <sz val="9"/>
        <rFont val="宋体"/>
        <charset val="134"/>
      </rPr>
      <t>矢量控制</t>
    </r>
    <r>
      <rPr>
        <sz val="9"/>
        <rFont val="Times New Roman"/>
        <family val="1"/>
      </rPr>
      <t>2
3</t>
    </r>
    <r>
      <rPr>
        <sz val="9"/>
        <rFont val="宋体"/>
        <charset val="134"/>
      </rPr>
      <t>：有</t>
    </r>
    <r>
      <rPr>
        <sz val="9"/>
        <rFont val="Times New Roman"/>
        <family val="1"/>
      </rPr>
      <t>PG</t>
    </r>
    <r>
      <rPr>
        <sz val="9"/>
        <rFont val="宋体"/>
        <charset val="134"/>
      </rPr>
      <t>矢量控制
十位：电机</t>
    </r>
    <r>
      <rPr>
        <sz val="9"/>
        <rFont val="Times New Roman"/>
        <family val="1"/>
      </rPr>
      <t>2</t>
    </r>
    <r>
      <rPr>
        <sz val="9"/>
        <rFont val="宋体"/>
        <charset val="134"/>
      </rPr>
      <t xml:space="preserve">控制方式
</t>
    </r>
    <r>
      <rPr>
        <sz val="9"/>
        <rFont val="Times New Roman"/>
        <family val="1"/>
      </rPr>
      <t>0</t>
    </r>
    <r>
      <rPr>
        <sz val="9"/>
        <rFont val="宋体"/>
        <charset val="134"/>
      </rPr>
      <t>：</t>
    </r>
    <r>
      <rPr>
        <sz val="9"/>
        <rFont val="Times New Roman"/>
        <family val="1"/>
      </rPr>
      <t>V/F</t>
    </r>
    <r>
      <rPr>
        <sz val="9"/>
        <rFont val="宋体"/>
        <charset val="134"/>
      </rPr>
      <t xml:space="preserve">控制
</t>
    </r>
    <r>
      <rPr>
        <sz val="9"/>
        <rFont val="Times New Roman"/>
        <family val="1"/>
      </rPr>
      <t>1</t>
    </r>
    <r>
      <rPr>
        <sz val="9"/>
        <rFont val="宋体"/>
        <charset val="134"/>
      </rPr>
      <t>：无</t>
    </r>
    <r>
      <rPr>
        <sz val="9"/>
        <rFont val="Times New Roman"/>
        <family val="1"/>
      </rPr>
      <t>PG</t>
    </r>
    <r>
      <rPr>
        <sz val="9"/>
        <rFont val="宋体"/>
        <charset val="134"/>
      </rPr>
      <t>矢量控制</t>
    </r>
    <r>
      <rPr>
        <sz val="9"/>
        <rFont val="Times New Roman"/>
        <family val="1"/>
      </rPr>
      <t>1
2</t>
    </r>
    <r>
      <rPr>
        <sz val="9"/>
        <rFont val="宋体"/>
        <charset val="134"/>
      </rPr>
      <t>：无</t>
    </r>
    <r>
      <rPr>
        <sz val="9"/>
        <rFont val="Times New Roman"/>
        <family val="1"/>
      </rPr>
      <t>PG</t>
    </r>
    <r>
      <rPr>
        <sz val="9"/>
        <rFont val="宋体"/>
        <charset val="134"/>
      </rPr>
      <t>矢量控制</t>
    </r>
    <r>
      <rPr>
        <sz val="9"/>
        <rFont val="Times New Roman"/>
        <family val="1"/>
      </rPr>
      <t>2
3</t>
    </r>
    <r>
      <rPr>
        <sz val="9"/>
        <rFont val="宋体"/>
        <charset val="134"/>
      </rPr>
      <t>：有</t>
    </r>
    <r>
      <rPr>
        <sz val="9"/>
        <rFont val="Times New Roman"/>
        <family val="1"/>
      </rPr>
      <t>PG</t>
    </r>
    <r>
      <rPr>
        <sz val="9"/>
        <rFont val="宋体"/>
        <charset val="134"/>
      </rPr>
      <t>矢量控制</t>
    </r>
    <phoneticPr fontId="20" type="noConversion"/>
  </si>
  <si>
    <t>保留</t>
    <phoneticPr fontId="20" type="noConversion"/>
  </si>
  <si>
    <t>FcReservedA010</t>
    <phoneticPr fontId="20" type="noConversion"/>
  </si>
  <si>
    <t>FcDefineParaUser1</t>
    <phoneticPr fontId="20" type="noConversion"/>
  </si>
  <si>
    <t xml:space="preserve">千位设置范围：0、A、b、C、d、E、F、H、L、U
百位设置范围：0～9；
十位设置范围：0～9；
个位设置范围：0～9。
1）0000表示没有设置或者设置无效。
2）设置超范围时，按ENTER确认键后，自动变为0000，即设置无效
3）假设千位值为E，百位值为2，十位值为0，个位值为6，则对应用户自定义显示功能码将为E2.06。
4）功能码如有重复，将只显示一次
</t>
    <phoneticPr fontId="20" type="noConversion"/>
  </si>
  <si>
    <t>2FFF</t>
    <phoneticPr fontId="20" type="noConversion"/>
  </si>
  <si>
    <t>FcGroupShowHide1</t>
    <phoneticPr fontId="20" type="noConversion"/>
  </si>
  <si>
    <t>FFFF</t>
    <phoneticPr fontId="20" type="noConversion"/>
  </si>
  <si>
    <t>FcGroupShowHide2</t>
    <phoneticPr fontId="20" type="noConversion"/>
  </si>
  <si>
    <t>FcReservedA122</t>
    <phoneticPr fontId="20" type="noConversion"/>
  </si>
  <si>
    <t>FcFreqSetSour</t>
    <phoneticPr fontId="20" type="noConversion"/>
  </si>
  <si>
    <r>
      <t>0：频率主给定（</t>
    </r>
    <r>
      <rPr>
        <sz val="9"/>
        <rFont val="Times New Roman"/>
        <family val="1"/>
      </rPr>
      <t>b0.01</t>
    </r>
    <r>
      <rPr>
        <sz val="9"/>
        <rFont val="宋体"/>
        <charset val="134"/>
      </rPr>
      <t xml:space="preserve">）
</t>
    </r>
    <r>
      <rPr>
        <sz val="9"/>
        <rFont val="Times New Roman"/>
        <family val="1"/>
      </rPr>
      <t>1</t>
    </r>
    <r>
      <rPr>
        <sz val="9"/>
        <rFont val="宋体"/>
        <charset val="134"/>
      </rPr>
      <t>：主辅运算结果（运算关系由</t>
    </r>
    <r>
      <rPr>
        <sz val="9"/>
        <rFont val="Times New Roman"/>
        <family val="1"/>
      </rPr>
      <t>b0.07</t>
    </r>
    <r>
      <rPr>
        <sz val="9"/>
        <rFont val="宋体"/>
        <charset val="134"/>
      </rPr>
      <t xml:space="preserve">决定）
</t>
    </r>
    <r>
      <rPr>
        <sz val="9"/>
        <rFont val="Times New Roman"/>
        <family val="1"/>
      </rPr>
      <t>2</t>
    </r>
    <r>
      <rPr>
        <sz val="9"/>
        <rFont val="宋体"/>
        <charset val="134"/>
      </rPr>
      <t>：频率主给定与频率辅给定切换</t>
    </r>
    <r>
      <rPr>
        <sz val="9"/>
        <rFont val="Times New Roman"/>
        <family val="1"/>
      </rPr>
      <t xml:space="preserve"> </t>
    </r>
    <r>
      <rPr>
        <sz val="9"/>
        <rFont val="宋体"/>
        <charset val="134"/>
      </rPr>
      <t>由多功能端子</t>
    </r>
    <r>
      <rPr>
        <sz val="9"/>
        <rFont val="Times New Roman"/>
        <family val="1"/>
      </rPr>
      <t>X1</t>
    </r>
    <r>
      <rPr>
        <sz val="9"/>
        <rFont val="宋体"/>
        <charset val="134"/>
      </rPr>
      <t>～</t>
    </r>
    <r>
      <rPr>
        <sz val="9"/>
        <rFont val="Times New Roman"/>
        <family val="1"/>
      </rPr>
      <t>X7</t>
    </r>
    <r>
      <rPr>
        <sz val="9"/>
        <rFont val="宋体"/>
        <charset val="134"/>
      </rPr>
      <t>定义，参见</t>
    </r>
    <r>
      <rPr>
        <sz val="9"/>
        <rFont val="Times New Roman"/>
        <family val="1"/>
      </rPr>
      <t>C0</t>
    </r>
    <r>
      <rPr>
        <sz val="9"/>
        <rFont val="宋体"/>
        <charset val="134"/>
      </rPr>
      <t xml:space="preserve">组功能码
</t>
    </r>
    <r>
      <rPr>
        <sz val="9"/>
        <rFont val="Times New Roman"/>
        <family val="1"/>
      </rPr>
      <t>3</t>
    </r>
    <r>
      <rPr>
        <sz val="9"/>
        <rFont val="宋体"/>
        <charset val="134"/>
      </rPr>
      <t>：频率主给定与主辅运算结果切换由多功能端子</t>
    </r>
    <r>
      <rPr>
        <sz val="9"/>
        <rFont val="Times New Roman"/>
        <family val="1"/>
      </rPr>
      <t>X1</t>
    </r>
    <r>
      <rPr>
        <sz val="9"/>
        <rFont val="宋体"/>
        <charset val="134"/>
      </rPr>
      <t>～</t>
    </r>
    <r>
      <rPr>
        <sz val="9"/>
        <rFont val="Times New Roman"/>
        <family val="1"/>
      </rPr>
      <t>X7</t>
    </r>
    <r>
      <rPr>
        <sz val="9"/>
        <rFont val="宋体"/>
        <charset val="134"/>
      </rPr>
      <t>定义，参见</t>
    </r>
    <r>
      <rPr>
        <sz val="9"/>
        <rFont val="Times New Roman"/>
        <family val="1"/>
      </rPr>
      <t>C0</t>
    </r>
    <r>
      <rPr>
        <sz val="9"/>
        <rFont val="宋体"/>
        <charset val="134"/>
      </rPr>
      <t xml:space="preserve">组功能码
</t>
    </r>
    <r>
      <rPr>
        <sz val="9"/>
        <rFont val="Times New Roman"/>
        <family val="1"/>
      </rPr>
      <t>4</t>
    </r>
    <r>
      <rPr>
        <sz val="9"/>
        <rFont val="宋体"/>
        <charset val="134"/>
      </rPr>
      <t>：频率辅给定与主辅运算结果切换由多功能端子</t>
    </r>
    <r>
      <rPr>
        <sz val="9"/>
        <rFont val="Times New Roman"/>
        <family val="1"/>
      </rPr>
      <t>X1</t>
    </r>
    <r>
      <rPr>
        <sz val="9"/>
        <rFont val="宋体"/>
        <charset val="134"/>
      </rPr>
      <t>～</t>
    </r>
    <r>
      <rPr>
        <sz val="9"/>
        <rFont val="Times New Roman"/>
        <family val="1"/>
      </rPr>
      <t>X7</t>
    </r>
    <r>
      <rPr>
        <sz val="9"/>
        <rFont val="宋体"/>
        <charset val="134"/>
      </rPr>
      <t>定义，参见</t>
    </r>
    <r>
      <rPr>
        <sz val="9"/>
        <rFont val="Times New Roman"/>
        <family val="1"/>
      </rPr>
      <t>C0</t>
    </r>
    <r>
      <rPr>
        <sz val="9"/>
        <rFont val="宋体"/>
        <charset val="134"/>
      </rPr>
      <t xml:space="preserve">组功能码
</t>
    </r>
    <r>
      <rPr>
        <sz val="9"/>
        <color indexed="10"/>
        <rFont val="Times New Roman"/>
        <family val="1"/>
      </rPr>
      <t/>
    </r>
    <phoneticPr fontId="20" type="noConversion"/>
  </si>
  <si>
    <t>FcMainFreqGiveSour</t>
    <phoneticPr fontId="20" type="noConversion"/>
  </si>
  <si>
    <t>频率主给定数字设定</t>
    <phoneticPr fontId="20" type="noConversion"/>
  </si>
  <si>
    <t>FcMainFreqGiveNum</t>
    <phoneticPr fontId="20" type="noConversion"/>
  </si>
  <si>
    <t>b0.09</t>
    <phoneticPr fontId="20" type="noConversion"/>
  </si>
  <si>
    <t>b0.10</t>
    <phoneticPr fontId="20" type="noConversion"/>
  </si>
  <si>
    <t>H</t>
    <phoneticPr fontId="20" type="noConversion"/>
  </si>
  <si>
    <t>FcSubFreqGiveSour</t>
    <phoneticPr fontId="20" type="noConversion"/>
  </si>
  <si>
    <t>×</t>
    <phoneticPr fontId="20" type="noConversion"/>
  </si>
  <si>
    <t>FcSubFreqGiveNum</t>
    <phoneticPr fontId="20" type="noConversion"/>
  </si>
  <si>
    <t>FcSubFreqBound</t>
    <phoneticPr fontId="20" type="noConversion"/>
  </si>
  <si>
    <t>FcSubFreqModPer</t>
    <phoneticPr fontId="20" type="noConversion"/>
  </si>
  <si>
    <t>%</t>
    <phoneticPr fontId="20" type="noConversion"/>
  </si>
  <si>
    <t>FcMainSubFreqMath</t>
    <phoneticPr fontId="20" type="noConversion"/>
  </si>
  <si>
    <t>FcFreqMax</t>
    <phoneticPr fontId="20" type="noConversion"/>
  </si>
  <si>
    <t>b0.09</t>
    <phoneticPr fontId="20" type="noConversion"/>
  </si>
  <si>
    <t>FcFreqLimitUp</t>
    <phoneticPr fontId="20" type="noConversion"/>
  </si>
  <si>
    <t>b0.08</t>
    <phoneticPr fontId="20" type="noConversion"/>
  </si>
  <si>
    <t>FcFreqLimitDn</t>
    <phoneticPr fontId="20" type="noConversion"/>
  </si>
  <si>
    <t>FcFreqMinActMode</t>
    <phoneticPr fontId="20" type="noConversion"/>
  </si>
  <si>
    <t>FcFreqMinStopTime</t>
    <phoneticPr fontId="20" type="noConversion"/>
  </si>
  <si>
    <t>0.0~65535.5</t>
    <phoneticPr fontId="20" type="noConversion"/>
  </si>
  <si>
    <t>S</t>
    <phoneticPr fontId="20" type="noConversion"/>
  </si>
  <si>
    <t>FcJumpFreqDn1</t>
    <phoneticPr fontId="20" type="noConversion"/>
  </si>
  <si>
    <t>0～上限频率</t>
    <phoneticPr fontId="20" type="noConversion"/>
  </si>
  <si>
    <t>b0.09</t>
    <phoneticPr fontId="20" type="noConversion"/>
  </si>
  <si>
    <t>H</t>
    <phoneticPr fontId="20" type="noConversion"/>
  </si>
  <si>
    <t>FcJumpFreqUp1</t>
    <phoneticPr fontId="20" type="noConversion"/>
  </si>
  <si>
    <t>0～上限频率</t>
    <phoneticPr fontId="20" type="noConversion"/>
  </si>
  <si>
    <t>FcJumpFreqDn3</t>
    <phoneticPr fontId="20" type="noConversion"/>
  </si>
  <si>
    <t>FcJumpFreqUp3</t>
    <phoneticPr fontId="20" type="noConversion"/>
  </si>
  <si>
    <t>×</t>
    <phoneticPr fontId="20" type="noConversion"/>
  </si>
  <si>
    <t>FcJogFreq</t>
    <phoneticPr fontId="20" type="noConversion"/>
  </si>
  <si>
    <t>0.00Hz～上限频率</t>
    <phoneticPr fontId="20" type="noConversion"/>
  </si>
  <si>
    <t>b0.09</t>
    <phoneticPr fontId="20" type="noConversion"/>
  </si>
  <si>
    <t>保留</t>
    <phoneticPr fontId="20" type="noConversion"/>
  </si>
  <si>
    <t>FcReservedb020</t>
    <phoneticPr fontId="20" type="noConversion"/>
  </si>
  <si>
    <t>0~65535</t>
    <phoneticPr fontId="20" type="noConversion"/>
  </si>
  <si>
    <t>X</t>
    <phoneticPr fontId="20" type="noConversion"/>
  </si>
  <si>
    <t>运行命令给定方式</t>
    <phoneticPr fontId="20" type="noConversion"/>
  </si>
  <si>
    <t>FcCtrlCmdSour</t>
    <phoneticPr fontId="20" type="noConversion"/>
  </si>
  <si>
    <r>
      <t xml:space="preserve">0：操作面板控制
</t>
    </r>
    <r>
      <rPr>
        <sz val="9"/>
        <rFont val="Times New Roman"/>
        <family val="1"/>
      </rPr>
      <t>1</t>
    </r>
    <r>
      <rPr>
        <sz val="9"/>
        <rFont val="宋体"/>
        <charset val="134"/>
      </rPr>
      <t xml:space="preserve">：端子控制
</t>
    </r>
    <r>
      <rPr>
        <sz val="9"/>
        <rFont val="Times New Roman"/>
        <family val="1"/>
      </rPr>
      <t>2</t>
    </r>
    <r>
      <rPr>
        <sz val="9"/>
        <rFont val="宋体"/>
        <charset val="134"/>
      </rPr>
      <t>：通讯控制</t>
    </r>
    <phoneticPr fontId="20" type="noConversion"/>
  </si>
  <si>
    <t>b1.01</t>
    <phoneticPr fontId="20" type="noConversion"/>
  </si>
  <si>
    <t>FcCtrlCmdFreqBound</t>
    <phoneticPr fontId="20" type="noConversion"/>
  </si>
  <si>
    <t>AAA</t>
    <phoneticPr fontId="20" type="noConversion"/>
  </si>
  <si>
    <t>FcKeyPadRunDir</t>
    <phoneticPr fontId="20" type="noConversion"/>
  </si>
  <si>
    <r>
      <t xml:space="preserve">0：正向
</t>
    </r>
    <r>
      <rPr>
        <sz val="9"/>
        <rFont val="Times New Roman"/>
        <family val="1"/>
      </rPr>
      <t>1</t>
    </r>
    <r>
      <rPr>
        <sz val="9"/>
        <rFont val="宋体"/>
        <charset val="134"/>
      </rPr>
      <t>：反向</t>
    </r>
    <phoneticPr fontId="20" type="noConversion"/>
  </si>
  <si>
    <t>FcForbitRev</t>
    <phoneticPr fontId="20" type="noConversion"/>
  </si>
  <si>
    <t>FcFwdRevDeadTime</t>
    <phoneticPr fontId="20" type="noConversion"/>
  </si>
  <si>
    <t>FcStartMode</t>
    <phoneticPr fontId="20" type="noConversion"/>
  </si>
  <si>
    <t>FcStartFreq</t>
    <phoneticPr fontId="20" type="noConversion"/>
  </si>
  <si>
    <t>0.00Hz～上限频率</t>
    <phoneticPr fontId="20" type="noConversion"/>
  </si>
  <si>
    <t>FcStartFreqHoldTime</t>
    <phoneticPr fontId="20" type="noConversion"/>
  </si>
  <si>
    <t>FcStartDcCurrent</t>
    <phoneticPr fontId="20" type="noConversion"/>
  </si>
  <si>
    <t>FcStartDcTime</t>
    <phoneticPr fontId="20" type="noConversion"/>
  </si>
  <si>
    <t>Fcb1Reserved10</t>
    <phoneticPr fontId="20" type="noConversion"/>
  </si>
  <si>
    <t>转速跟踪起动用，保留</t>
    <phoneticPr fontId="20" type="noConversion"/>
  </si>
  <si>
    <t>b1.12</t>
    <phoneticPr fontId="20" type="noConversion"/>
  </si>
  <si>
    <t>Fcb1Reserved12</t>
    <phoneticPr fontId="20" type="noConversion"/>
  </si>
  <si>
    <t>FcStopMode</t>
    <phoneticPr fontId="20" type="noConversion"/>
  </si>
  <si>
    <r>
      <t xml:space="preserve">0：减速停机
</t>
    </r>
    <r>
      <rPr>
        <sz val="9"/>
        <rFont val="Times New Roman"/>
        <family val="1"/>
      </rPr>
      <t>1</t>
    </r>
    <r>
      <rPr>
        <sz val="9"/>
        <rFont val="宋体"/>
        <charset val="134"/>
      </rPr>
      <t xml:space="preserve">：自由停车
</t>
    </r>
    <r>
      <rPr>
        <sz val="9"/>
        <rFont val="Times New Roman"/>
        <family val="1"/>
      </rPr>
      <t>2</t>
    </r>
    <r>
      <rPr>
        <sz val="9"/>
        <rFont val="宋体"/>
        <charset val="134"/>
      </rPr>
      <t>：减速停机</t>
    </r>
    <r>
      <rPr>
        <sz val="9"/>
        <rFont val="Times New Roman"/>
        <family val="1"/>
      </rPr>
      <t>+</t>
    </r>
    <r>
      <rPr>
        <sz val="9"/>
        <rFont val="宋体"/>
        <charset val="134"/>
      </rPr>
      <t>直流制动</t>
    </r>
    <phoneticPr fontId="20" type="noConversion"/>
  </si>
  <si>
    <t>FcStopDcFreq</t>
    <phoneticPr fontId="20" type="noConversion"/>
  </si>
  <si>
    <t>FcStopDcCurrent</t>
    <phoneticPr fontId="20" type="noConversion"/>
  </si>
  <si>
    <t>FcStopDcTime</t>
    <phoneticPr fontId="20" type="noConversion"/>
  </si>
  <si>
    <t>FcMagnetBrk</t>
    <phoneticPr fontId="20" type="noConversion"/>
  </si>
  <si>
    <t>FcEnergLosBrk</t>
    <phoneticPr fontId="20" type="noConversion"/>
  </si>
  <si>
    <t>V</t>
    <phoneticPr fontId="20" type="noConversion"/>
  </si>
  <si>
    <t>FcPoffRestartMode</t>
    <phoneticPr fontId="20" type="noConversion"/>
  </si>
  <si>
    <t>FcRestartWaitTim</t>
    <phoneticPr fontId="20" type="noConversion"/>
  </si>
  <si>
    <t>b2.00</t>
    <phoneticPr fontId="20" type="noConversion"/>
  </si>
  <si>
    <t>FcAddDecTimeUnit</t>
    <phoneticPr fontId="20" type="noConversion"/>
  </si>
  <si>
    <t>0：0.01s
1：0.1s
2:1s</t>
    <phoneticPr fontId="20" type="noConversion"/>
  </si>
  <si>
    <t>FcAddTime1</t>
    <phoneticPr fontId="20" type="noConversion"/>
  </si>
  <si>
    <t>0.0～6000.0 s /600.00 s/60.000 s
6.0 s（变频器功率≤15KW）
20.0 s（变频器功率&gt; 15KW）</t>
    <phoneticPr fontId="20" type="noConversion"/>
  </si>
  <si>
    <t>△</t>
    <phoneticPr fontId="20" type="noConversion"/>
  </si>
  <si>
    <t>S</t>
    <phoneticPr fontId="20" type="noConversion"/>
  </si>
  <si>
    <t>FcDecTime1</t>
    <phoneticPr fontId="20" type="noConversion"/>
  </si>
  <si>
    <r>
      <t>0.0～</t>
    </r>
    <r>
      <rPr>
        <sz val="9"/>
        <rFont val="Times New Roman"/>
        <family val="1"/>
      </rPr>
      <t>6000.0 s/ 600.00 s/60.000 s</t>
    </r>
    <phoneticPr fontId="20" type="noConversion"/>
  </si>
  <si>
    <t>FcAddTime3</t>
    <phoneticPr fontId="20" type="noConversion"/>
  </si>
  <si>
    <t>FcDecTime3</t>
    <phoneticPr fontId="20" type="noConversion"/>
  </si>
  <si>
    <t>FcAddTime4</t>
    <phoneticPr fontId="20" type="noConversion"/>
  </si>
  <si>
    <t>FcDecTime4</t>
    <phoneticPr fontId="20" type="noConversion"/>
  </si>
  <si>
    <t>FcUrgStopDecTime</t>
    <phoneticPr fontId="20" type="noConversion"/>
  </si>
  <si>
    <t>FcJogAddTime</t>
    <phoneticPr fontId="20" type="noConversion"/>
  </si>
  <si>
    <t>FcJogDecTime</t>
    <phoneticPr fontId="20" type="noConversion"/>
  </si>
  <si>
    <t>FcRampCuvreChoice</t>
    <phoneticPr fontId="20" type="noConversion"/>
  </si>
  <si>
    <t>0：直线
1：折线1(b2.13~b2.14)
2：S曲线加减速(b2.15~b2.18)
3：S曲线加减速(b2.19~b2.22)
4：内置S曲线</t>
    <phoneticPr fontId="20" type="noConversion"/>
  </si>
  <si>
    <t>FcAddTimeSwitchFreq</t>
    <phoneticPr fontId="20" type="noConversion"/>
  </si>
  <si>
    <t>设定范围：0.00Hz～最大频率大于等于此频率时采用加速时间1，小于此频率时采用加速时间2；如加减速时间选择端子有效，则端子选择优先</t>
    <phoneticPr fontId="20" type="noConversion"/>
  </si>
  <si>
    <t>FcDecTimeSwitchFreq</t>
    <phoneticPr fontId="20" type="noConversion"/>
  </si>
  <si>
    <t xml:space="preserve">设定范围：0.00Hz～最大频率
大于等于此频率时采用加减速时间1，小于此频率时采用加减速时间2；
如加减速时间选择端子有效，则端子选择优先
</t>
    <phoneticPr fontId="20" type="noConversion"/>
  </si>
  <si>
    <t>FcAddStartSTime</t>
    <phoneticPr fontId="20" type="noConversion"/>
  </si>
  <si>
    <t>FcAddOverSTime</t>
    <phoneticPr fontId="20" type="noConversion"/>
  </si>
  <si>
    <t>FcDecStartSTime</t>
    <phoneticPr fontId="20" type="noConversion"/>
  </si>
  <si>
    <t>FcDecOverSTime</t>
    <phoneticPr fontId="20" type="noConversion"/>
  </si>
  <si>
    <t>FcAddStartSK</t>
    <phoneticPr fontId="20" type="noConversion"/>
  </si>
  <si>
    <t>0.1%～100.0%(b2.19+b2.20&lt;=100%)</t>
    <phoneticPr fontId="20" type="noConversion"/>
  </si>
  <si>
    <t>%</t>
    <phoneticPr fontId="20" type="noConversion"/>
  </si>
  <si>
    <t>FcAddOverSK</t>
    <phoneticPr fontId="20" type="noConversion"/>
  </si>
  <si>
    <t>0.1%～100.0%</t>
    <phoneticPr fontId="20" type="noConversion"/>
  </si>
  <si>
    <t>FcDecStartSK</t>
    <phoneticPr fontId="20" type="noConversion"/>
  </si>
  <si>
    <t>0.1%～100.0%(b2.21+b2.22&lt;=100%)</t>
    <phoneticPr fontId="20" type="noConversion"/>
  </si>
  <si>
    <t>FcDecOverSK</t>
    <phoneticPr fontId="20" type="noConversion"/>
  </si>
  <si>
    <t>0.1%～100.0%</t>
    <phoneticPr fontId="20" type="noConversion"/>
  </si>
  <si>
    <t>上电时运行端子动作选择</t>
    <phoneticPr fontId="20" type="noConversion"/>
  </si>
  <si>
    <t>FcPowOnTerminalAct</t>
    <phoneticPr fontId="20" type="noConversion"/>
  </si>
  <si>
    <t>本功能只针对设置为1～4号功能（正、反转点动和正、反转）的X端子，且只对上电后的首次运行有效
0：沿触发＋电平有效
上电后检测到端子有从无效至有效的跳变且维持有效时，变频器即开始运行
1：电平有效
上电后检测到运行端子有效，变频器即开始运行</t>
    <phoneticPr fontId="20" type="noConversion"/>
  </si>
  <si>
    <r>
      <t>端子</t>
    </r>
    <r>
      <rPr>
        <sz val="10"/>
        <rFont val="Times New Roman"/>
        <family val="1"/>
      </rPr>
      <t>X1</t>
    </r>
    <r>
      <rPr>
        <sz val="10"/>
        <rFont val="宋体"/>
        <charset val="134"/>
      </rPr>
      <t>功能选择</t>
    </r>
  </si>
  <si>
    <t>FcTerminalFuncX1</t>
    <phoneticPr fontId="20" type="noConversion"/>
  </si>
  <si>
    <t>见数字输入端子功能定义列表</t>
    <phoneticPr fontId="20" type="noConversion"/>
  </si>
  <si>
    <r>
      <t>端子</t>
    </r>
    <r>
      <rPr>
        <sz val="10"/>
        <rFont val="Times New Roman"/>
        <family val="1"/>
      </rPr>
      <t>X2</t>
    </r>
    <r>
      <rPr>
        <sz val="10"/>
        <rFont val="宋体"/>
        <charset val="134"/>
      </rPr>
      <t>功能选择</t>
    </r>
  </si>
  <si>
    <r>
      <t>FcTerminalFuncX2</t>
    </r>
    <r>
      <rPr>
        <sz val="11"/>
        <color indexed="8"/>
        <rFont val="宋体"/>
        <charset val="134"/>
      </rPr>
      <t/>
    </r>
    <phoneticPr fontId="20" type="noConversion"/>
  </si>
  <si>
    <r>
      <t>端子</t>
    </r>
    <r>
      <rPr>
        <sz val="10"/>
        <rFont val="Times New Roman"/>
        <family val="1"/>
      </rPr>
      <t>X3</t>
    </r>
    <r>
      <rPr>
        <sz val="10"/>
        <rFont val="宋体"/>
        <charset val="134"/>
      </rPr>
      <t>功能选择</t>
    </r>
  </si>
  <si>
    <r>
      <t>端子</t>
    </r>
    <r>
      <rPr>
        <sz val="10"/>
        <rFont val="Times New Roman"/>
        <family val="1"/>
      </rPr>
      <t>X4</t>
    </r>
    <r>
      <rPr>
        <sz val="10"/>
        <rFont val="宋体"/>
        <charset val="134"/>
      </rPr>
      <t>功能选择</t>
    </r>
  </si>
  <si>
    <r>
      <t>端子</t>
    </r>
    <r>
      <rPr>
        <sz val="10"/>
        <rFont val="Times New Roman"/>
        <family val="1"/>
      </rPr>
      <t>X5</t>
    </r>
    <r>
      <rPr>
        <sz val="10"/>
        <rFont val="宋体"/>
        <charset val="134"/>
      </rPr>
      <t>功能选择</t>
    </r>
  </si>
  <si>
    <r>
      <t>端子</t>
    </r>
    <r>
      <rPr>
        <sz val="10"/>
        <rFont val="Times New Roman"/>
        <family val="1"/>
      </rPr>
      <t>X6</t>
    </r>
    <r>
      <rPr>
        <sz val="10"/>
        <rFont val="宋体"/>
        <charset val="134"/>
      </rPr>
      <t>功能选择</t>
    </r>
    <phoneticPr fontId="20" type="noConversion"/>
  </si>
  <si>
    <t>见数字输入端子功能定义列表</t>
    <phoneticPr fontId="20" type="noConversion"/>
  </si>
  <si>
    <t>FcTerminalFuncAI1</t>
    <phoneticPr fontId="20" type="noConversion"/>
  </si>
  <si>
    <t>FcTermInFiltTime</t>
    <phoneticPr fontId="20" type="noConversion"/>
  </si>
  <si>
    <t>FcDelayTimeX1</t>
    <phoneticPr fontId="20" type="noConversion"/>
  </si>
  <si>
    <r>
      <t>多功能输入端子有效状态设定</t>
    </r>
    <r>
      <rPr>
        <sz val="10"/>
        <rFont val="Times New Roman"/>
        <family val="1"/>
      </rPr>
      <t>1</t>
    </r>
    <r>
      <rPr>
        <sz val="10"/>
        <rFont val="宋体"/>
        <charset val="134"/>
      </rPr>
      <t>（</t>
    </r>
    <r>
      <rPr>
        <sz val="10"/>
        <rFont val="Times New Roman"/>
        <family val="1"/>
      </rPr>
      <t>X1</t>
    </r>
    <r>
      <rPr>
        <sz val="10"/>
        <rFont val="宋体"/>
        <charset val="134"/>
      </rPr>
      <t>～</t>
    </r>
    <r>
      <rPr>
        <sz val="10"/>
        <rFont val="Times New Roman"/>
        <family val="1"/>
      </rPr>
      <t>X4</t>
    </r>
    <r>
      <rPr>
        <sz val="10"/>
        <rFont val="宋体"/>
        <charset val="134"/>
      </rPr>
      <t>）</t>
    </r>
    <phoneticPr fontId="20" type="noConversion"/>
  </si>
  <si>
    <t>FcLogicModeX1ToX4</t>
    <phoneticPr fontId="20" type="noConversion"/>
  </si>
  <si>
    <r>
      <t>个位：</t>
    </r>
    <r>
      <rPr>
        <sz val="9"/>
        <rFont val="Times New Roman"/>
        <family val="1"/>
      </rPr>
      <t>X1
0</t>
    </r>
    <r>
      <rPr>
        <sz val="9"/>
        <rFont val="宋体"/>
        <charset val="134"/>
      </rPr>
      <t xml:space="preserve">：正逻辑，闭合有效
</t>
    </r>
    <r>
      <rPr>
        <sz val="9"/>
        <rFont val="Times New Roman"/>
        <family val="1"/>
      </rPr>
      <t>1</t>
    </r>
    <r>
      <rPr>
        <sz val="9"/>
        <rFont val="宋体"/>
        <charset val="134"/>
      </rPr>
      <t>：反逻辑，断开有效
十位：</t>
    </r>
    <r>
      <rPr>
        <sz val="9"/>
        <rFont val="Times New Roman"/>
        <family val="1"/>
      </rPr>
      <t>X2</t>
    </r>
    <r>
      <rPr>
        <sz val="9"/>
        <rFont val="宋体"/>
        <charset val="134"/>
      </rPr>
      <t>（同上）
百位：</t>
    </r>
    <r>
      <rPr>
        <sz val="9"/>
        <rFont val="Times New Roman"/>
        <family val="1"/>
      </rPr>
      <t>X3</t>
    </r>
    <r>
      <rPr>
        <sz val="9"/>
        <rFont val="宋体"/>
        <charset val="134"/>
      </rPr>
      <t>（同上）
千位：</t>
    </r>
    <r>
      <rPr>
        <sz val="9"/>
        <rFont val="Times New Roman"/>
        <family val="1"/>
      </rPr>
      <t>X4</t>
    </r>
    <r>
      <rPr>
        <sz val="9"/>
        <rFont val="宋体"/>
        <charset val="134"/>
      </rPr>
      <t>（同上）</t>
    </r>
    <phoneticPr fontId="20" type="noConversion"/>
  </si>
  <si>
    <t>FcLogicModeX5ToX8</t>
    <phoneticPr fontId="20" type="noConversion"/>
  </si>
  <si>
    <t>FcLogicModeAI1ToAI4</t>
    <phoneticPr fontId="20" type="noConversion"/>
  </si>
  <si>
    <t>LOGIC_MODE_AI1TOAI4</t>
    <phoneticPr fontId="20" type="noConversion"/>
  </si>
  <si>
    <t>FcUpDnTerFreqCtrl</t>
    <phoneticPr fontId="20" type="noConversion"/>
  </si>
  <si>
    <t>TERMINUPDN_FREQCTRL</t>
    <phoneticPr fontId="20" type="noConversion"/>
  </si>
  <si>
    <t>FcUpDnTerFreqStep</t>
    <phoneticPr fontId="20" type="noConversion"/>
  </si>
  <si>
    <t>E</t>
    <phoneticPr fontId="20" type="noConversion"/>
  </si>
  <si>
    <t>FcTermFwdRevCtrl</t>
    <phoneticPr fontId="20" type="noConversion"/>
  </si>
  <si>
    <t>FcSciTerminalChoice</t>
    <phoneticPr fontId="20" type="noConversion"/>
  </si>
  <si>
    <t>77F</t>
    <phoneticPr fontId="20" type="noConversion"/>
  </si>
  <si>
    <t>FcReservedC021</t>
    <phoneticPr fontId="20" type="noConversion"/>
  </si>
  <si>
    <t>FcReservedC022</t>
    <phoneticPr fontId="20" type="noConversion"/>
  </si>
  <si>
    <t>FcTerminalFuncY1</t>
    <phoneticPr fontId="20" type="noConversion"/>
  </si>
  <si>
    <t>详见数字输出端子功能定义列表</t>
    <phoneticPr fontId="20" type="noConversion"/>
  </si>
  <si>
    <r>
      <t>继电器</t>
    </r>
    <r>
      <rPr>
        <sz val="10"/>
        <rFont val="Times New Roman"/>
        <family val="1"/>
      </rPr>
      <t>R1</t>
    </r>
    <r>
      <rPr>
        <sz val="10"/>
        <rFont val="宋体"/>
        <charset val="134"/>
      </rPr>
      <t>输出功能选择</t>
    </r>
  </si>
  <si>
    <t>FcTerminalFuncR1</t>
    <phoneticPr fontId="20" type="noConversion"/>
  </si>
  <si>
    <r>
      <t>继电器</t>
    </r>
    <r>
      <rPr>
        <sz val="10"/>
        <rFont val="Times New Roman"/>
        <family val="1"/>
      </rPr>
      <t>R2</t>
    </r>
    <r>
      <rPr>
        <sz val="10"/>
        <rFont val="宋体"/>
        <charset val="134"/>
      </rPr>
      <t>输出功能选择</t>
    </r>
    <phoneticPr fontId="20" type="noConversion"/>
  </si>
  <si>
    <t>FcTerminalFuncR2</t>
    <phoneticPr fontId="20" type="noConversion"/>
  </si>
  <si>
    <t>FcDelayTimeY1</t>
    <phoneticPr fontId="20" type="noConversion"/>
  </si>
  <si>
    <r>
      <t>继电器</t>
    </r>
    <r>
      <rPr>
        <sz val="10"/>
        <rFont val="Times New Roman"/>
        <family val="1"/>
      </rPr>
      <t>R1</t>
    </r>
    <r>
      <rPr>
        <sz val="10"/>
        <rFont val="宋体"/>
        <charset val="134"/>
      </rPr>
      <t>输出延迟时间</t>
    </r>
  </si>
  <si>
    <t>FcDelayTimeR1</t>
    <phoneticPr fontId="20" type="noConversion"/>
  </si>
  <si>
    <t>ANANLOG_INCURE</t>
    <phoneticPr fontId="20" type="noConversion"/>
  </si>
  <si>
    <r>
      <t>继电器</t>
    </r>
    <r>
      <rPr>
        <sz val="10"/>
        <rFont val="Times New Roman"/>
        <family val="1"/>
      </rPr>
      <t>R2</t>
    </r>
    <r>
      <rPr>
        <sz val="10"/>
        <rFont val="宋体"/>
        <charset val="134"/>
      </rPr>
      <t>输出延迟时间</t>
    </r>
    <phoneticPr fontId="20" type="noConversion"/>
  </si>
  <si>
    <t>FcDelayTimeR2</t>
    <phoneticPr fontId="20" type="noConversion"/>
  </si>
  <si>
    <t>FcLogicModeDo</t>
    <phoneticPr fontId="20" type="noConversion"/>
  </si>
  <si>
    <r>
      <t>个位：</t>
    </r>
    <r>
      <rPr>
        <sz val="9"/>
        <rFont val="Times New Roman"/>
        <family val="1"/>
      </rPr>
      <t>Y1
0</t>
    </r>
    <r>
      <rPr>
        <sz val="9"/>
        <rFont val="宋体"/>
        <charset val="134"/>
      </rPr>
      <t xml:space="preserve">：正逻辑，闭合有效
</t>
    </r>
    <r>
      <rPr>
        <sz val="9"/>
        <rFont val="Times New Roman"/>
        <family val="1"/>
      </rPr>
      <t>1</t>
    </r>
    <r>
      <rPr>
        <sz val="9"/>
        <rFont val="宋体"/>
        <charset val="134"/>
      </rPr>
      <t>：反逻辑，断开有效
十位：</t>
    </r>
    <r>
      <rPr>
        <sz val="9"/>
        <rFont val="Times New Roman"/>
        <family val="1"/>
      </rPr>
      <t>Y2</t>
    </r>
    <r>
      <rPr>
        <sz val="9"/>
        <rFont val="宋体"/>
        <charset val="134"/>
      </rPr>
      <t>（同上）
百位：继电器</t>
    </r>
    <r>
      <rPr>
        <sz val="9"/>
        <rFont val="Times New Roman"/>
        <family val="1"/>
      </rPr>
      <t>R1</t>
    </r>
    <r>
      <rPr>
        <sz val="9"/>
        <rFont val="宋体"/>
        <charset val="134"/>
      </rPr>
      <t>输出（同上）
千位：继电器</t>
    </r>
    <r>
      <rPr>
        <sz val="9"/>
        <rFont val="Times New Roman"/>
        <family val="1"/>
      </rPr>
      <t>R2</t>
    </r>
    <r>
      <rPr>
        <sz val="9"/>
        <rFont val="宋体"/>
        <charset val="134"/>
      </rPr>
      <t>输出（同上）</t>
    </r>
    <phoneticPr fontId="20" type="noConversion"/>
  </si>
  <si>
    <t>FcFDTMakeMode</t>
    <phoneticPr fontId="20" type="noConversion"/>
  </si>
  <si>
    <t>FcFDT1Up</t>
    <phoneticPr fontId="20" type="noConversion"/>
  </si>
  <si>
    <t>0.00Hz～b0.08</t>
    <phoneticPr fontId="20" type="noConversion"/>
  </si>
  <si>
    <t>b0.08</t>
    <phoneticPr fontId="20" type="noConversion"/>
  </si>
  <si>
    <t>FcFDT1Dn</t>
    <phoneticPr fontId="20" type="noConversion"/>
  </si>
  <si>
    <t>FcFDT2Up</t>
    <phoneticPr fontId="20" type="noConversion"/>
  </si>
  <si>
    <t>FcFDT2Dn</t>
    <phoneticPr fontId="20" type="noConversion"/>
  </si>
  <si>
    <t>FcFreqArriveRange</t>
    <phoneticPr fontId="20" type="noConversion"/>
  </si>
  <si>
    <t>FcZeroCurrLevel</t>
    <phoneticPr fontId="20" type="noConversion"/>
  </si>
  <si>
    <r>
      <t>电机</t>
    </r>
    <r>
      <rPr>
        <sz val="10"/>
        <rFont val="Times New Roman"/>
        <family val="1"/>
      </rPr>
      <t>1</t>
    </r>
    <r>
      <rPr>
        <sz val="10"/>
        <rFont val="宋体"/>
        <charset val="134"/>
      </rPr>
      <t>过载保护方式</t>
    </r>
  </si>
  <si>
    <t>FcOverLoadProtMot1</t>
    <phoneticPr fontId="20" type="noConversion"/>
  </si>
  <si>
    <r>
      <t xml:space="preserve">0：不动作
</t>
    </r>
    <r>
      <rPr>
        <sz val="9"/>
        <rFont val="Times New Roman"/>
        <family val="1"/>
      </rPr>
      <t>1</t>
    </r>
    <r>
      <rPr>
        <sz val="9"/>
        <rFont val="宋体"/>
        <charset val="134"/>
      </rPr>
      <t>：电机电流检测方式（功能码</t>
    </r>
    <r>
      <rPr>
        <sz val="9"/>
        <rFont val="Times New Roman"/>
        <family val="1"/>
      </rPr>
      <t>d0.26</t>
    </r>
    <r>
      <rPr>
        <sz val="9"/>
        <rFont val="宋体"/>
        <charset val="134"/>
      </rPr>
      <t xml:space="preserve">）
</t>
    </r>
    <r>
      <rPr>
        <sz val="9"/>
        <rFont val="Times New Roman"/>
        <family val="1"/>
      </rPr>
      <t>2</t>
    </r>
    <r>
      <rPr>
        <sz val="9"/>
        <rFont val="宋体"/>
        <charset val="134"/>
      </rPr>
      <t>：温度传感器检测方式（功能码</t>
    </r>
    <r>
      <rPr>
        <sz val="9"/>
        <rFont val="Times New Roman"/>
        <family val="1"/>
      </rPr>
      <t>d0.27</t>
    </r>
    <r>
      <rPr>
        <sz val="9"/>
        <rFont val="宋体"/>
        <charset val="134"/>
      </rPr>
      <t>）</t>
    </r>
    <phoneticPr fontId="20" type="noConversion"/>
  </si>
  <si>
    <t>X</t>
    <phoneticPr fontId="20" type="noConversion"/>
  </si>
  <si>
    <r>
      <t>电机</t>
    </r>
    <r>
      <rPr>
        <sz val="10"/>
        <rFont val="Times New Roman"/>
        <family val="1"/>
      </rPr>
      <t>1</t>
    </r>
    <r>
      <rPr>
        <sz val="10"/>
        <rFont val="宋体"/>
        <charset val="134"/>
      </rPr>
      <t>过载保护检出时间</t>
    </r>
    <phoneticPr fontId="20" type="noConversion"/>
  </si>
  <si>
    <t>FcOvLoadProtTimMot1</t>
    <phoneticPr fontId="20" type="noConversion"/>
  </si>
  <si>
    <r>
      <t>0.1～15</t>
    </r>
    <r>
      <rPr>
        <sz val="9"/>
        <rFont val="Times New Roman"/>
        <family val="1"/>
      </rPr>
      <t>.0min</t>
    </r>
    <phoneticPr fontId="20" type="noConversion"/>
  </si>
  <si>
    <r>
      <t>电机</t>
    </r>
    <r>
      <rPr>
        <sz val="10"/>
        <rFont val="Times New Roman"/>
        <family val="1"/>
      </rPr>
      <t>1</t>
    </r>
    <r>
      <rPr>
        <sz val="10"/>
        <rFont val="宋体"/>
        <charset val="134"/>
      </rPr>
      <t>温度传感器采样通道选择</t>
    </r>
  </si>
  <si>
    <t>FcSampSourTempeMot1</t>
    <phoneticPr fontId="20" type="noConversion"/>
  </si>
  <si>
    <r>
      <t>电机</t>
    </r>
    <r>
      <rPr>
        <sz val="10"/>
        <rFont val="Times New Roman"/>
        <family val="1"/>
      </rPr>
      <t>1</t>
    </r>
    <r>
      <rPr>
        <sz val="10"/>
        <rFont val="宋体"/>
        <charset val="134"/>
      </rPr>
      <t>传感器过温保护点</t>
    </r>
    <phoneticPr fontId="20" type="noConversion"/>
  </si>
  <si>
    <t>FcProtLeveTempeMot1</t>
    <phoneticPr fontId="20" type="noConversion"/>
  </si>
  <si>
    <r>
      <t>0.0～</t>
    </r>
    <r>
      <rPr>
        <sz val="9"/>
        <rFont val="Times New Roman"/>
        <family val="1"/>
      </rPr>
      <t>130.0</t>
    </r>
    <phoneticPr fontId="20" type="noConversion"/>
  </si>
  <si>
    <t>温度K</t>
    <phoneticPr fontId="20" type="noConversion"/>
  </si>
  <si>
    <t>FcMotorTemperK</t>
    <phoneticPr fontId="20" type="noConversion"/>
  </si>
  <si>
    <t>△</t>
    <phoneticPr fontId="20" type="noConversion"/>
  </si>
  <si>
    <t>电机温度</t>
    <phoneticPr fontId="20" type="noConversion"/>
  </si>
  <si>
    <r>
      <t>Fc</t>
    </r>
    <r>
      <rPr>
        <sz val="10"/>
        <rFont val="宋体"/>
        <charset val="134"/>
      </rPr>
      <t>MotorTemper</t>
    </r>
    <phoneticPr fontId="20" type="noConversion"/>
  </si>
  <si>
    <r>
      <rPr>
        <sz val="9"/>
        <rFont val="Times New Roman"/>
        <family val="1"/>
      </rPr>
      <t>-4</t>
    </r>
    <r>
      <rPr>
        <sz val="9"/>
        <rFont val="宋体"/>
        <charset val="134"/>
      </rPr>
      <t>0.0℃～</t>
    </r>
    <r>
      <rPr>
        <sz val="9"/>
        <rFont val="Times New Roman"/>
        <family val="1"/>
      </rPr>
      <t>100.0</t>
    </r>
    <r>
      <rPr>
        <sz val="9"/>
        <rFont val="宋体"/>
        <charset val="134"/>
      </rPr>
      <t>℃</t>
    </r>
    <phoneticPr fontId="20" type="noConversion"/>
  </si>
  <si>
    <r>
      <t>-</t>
    </r>
    <r>
      <rPr>
        <sz val="10"/>
        <rFont val="宋体"/>
        <charset val="134"/>
      </rPr>
      <t>8</t>
    </r>
    <r>
      <rPr>
        <sz val="10"/>
        <rFont val="宋体"/>
        <charset val="134"/>
      </rPr>
      <t>00</t>
    </r>
    <phoneticPr fontId="20" type="noConversion"/>
  </si>
  <si>
    <t>FcZeroCurrTime</t>
    <phoneticPr fontId="20" type="noConversion"/>
  </si>
  <si>
    <t>FcAnalogInCurve</t>
    <phoneticPr fontId="20" type="noConversion"/>
  </si>
  <si>
    <r>
      <t>曲线</t>
    </r>
    <r>
      <rPr>
        <sz val="10"/>
        <rFont val="Times New Roman"/>
        <family val="1"/>
      </rPr>
      <t>1</t>
    </r>
    <r>
      <rPr>
        <sz val="10"/>
        <rFont val="宋体"/>
        <charset val="134"/>
      </rPr>
      <t>最大输入</t>
    </r>
  </si>
  <si>
    <t>FcInputMaxCurve1</t>
    <phoneticPr fontId="20" type="noConversion"/>
  </si>
  <si>
    <r>
      <t>曲线</t>
    </r>
    <r>
      <rPr>
        <sz val="9"/>
        <rFont val="Times New Roman"/>
        <family val="1"/>
      </rPr>
      <t>1</t>
    </r>
    <r>
      <rPr>
        <sz val="9"/>
        <rFont val="宋体"/>
        <charset val="134"/>
      </rPr>
      <t>最小输入～</t>
    </r>
    <r>
      <rPr>
        <sz val="9"/>
        <rFont val="Times New Roman"/>
        <family val="1"/>
      </rPr>
      <t>110.0%</t>
    </r>
  </si>
  <si>
    <t>C2.03</t>
    <phoneticPr fontId="20" type="noConversion"/>
  </si>
  <si>
    <r>
      <t>曲线</t>
    </r>
    <r>
      <rPr>
        <sz val="10"/>
        <rFont val="Times New Roman"/>
        <family val="1"/>
      </rPr>
      <t>1</t>
    </r>
    <r>
      <rPr>
        <sz val="10"/>
        <rFont val="宋体"/>
        <charset val="134"/>
      </rPr>
      <t>最大输入对应设定值</t>
    </r>
  </si>
  <si>
    <t>FcSetMaxCurve1</t>
    <phoneticPr fontId="20" type="noConversion"/>
  </si>
  <si>
    <r>
      <t>－</t>
    </r>
    <r>
      <rPr>
        <sz val="9"/>
        <rFont val="Times New Roman"/>
        <family val="1"/>
      </rPr>
      <t>100.0%</t>
    </r>
    <r>
      <rPr>
        <sz val="9"/>
        <rFont val="宋体"/>
        <charset val="134"/>
      </rPr>
      <t>～</t>
    </r>
    <r>
      <rPr>
        <sz val="9"/>
        <rFont val="Times New Roman"/>
        <family val="1"/>
      </rPr>
      <t>100.0%</t>
    </r>
  </si>
  <si>
    <r>
      <t>曲线</t>
    </r>
    <r>
      <rPr>
        <sz val="10"/>
        <rFont val="Times New Roman"/>
        <family val="1"/>
      </rPr>
      <t>1</t>
    </r>
    <r>
      <rPr>
        <sz val="10"/>
        <rFont val="宋体"/>
        <charset val="134"/>
      </rPr>
      <t>最小输入</t>
    </r>
  </si>
  <si>
    <t>FcInputMinCurve1</t>
    <phoneticPr fontId="20" type="noConversion"/>
  </si>
  <si>
    <r>
      <t>0.0%～曲线</t>
    </r>
    <r>
      <rPr>
        <sz val="9"/>
        <rFont val="Times New Roman"/>
        <family val="1"/>
      </rPr>
      <t>1</t>
    </r>
    <r>
      <rPr>
        <sz val="9"/>
        <rFont val="宋体"/>
        <charset val="134"/>
      </rPr>
      <t>最大输入</t>
    </r>
  </si>
  <si>
    <t>C2.01</t>
    <phoneticPr fontId="20" type="noConversion"/>
  </si>
  <si>
    <r>
      <t>曲线</t>
    </r>
    <r>
      <rPr>
        <sz val="10"/>
        <rFont val="Times New Roman"/>
        <family val="1"/>
      </rPr>
      <t>1</t>
    </r>
    <r>
      <rPr>
        <sz val="10"/>
        <rFont val="宋体"/>
        <charset val="134"/>
      </rPr>
      <t>最小输入对应设定值</t>
    </r>
  </si>
  <si>
    <t>FcSetMinCurve1</t>
    <phoneticPr fontId="20" type="noConversion"/>
  </si>
  <si>
    <r>
      <t>曲线</t>
    </r>
    <r>
      <rPr>
        <sz val="10"/>
        <rFont val="Times New Roman"/>
        <family val="1"/>
      </rPr>
      <t>2</t>
    </r>
    <r>
      <rPr>
        <sz val="10"/>
        <rFont val="宋体"/>
        <charset val="134"/>
      </rPr>
      <t>最大输入</t>
    </r>
  </si>
  <si>
    <t>FcInputMaxCurve2</t>
    <phoneticPr fontId="20" type="noConversion"/>
  </si>
  <si>
    <r>
      <t>曲线</t>
    </r>
    <r>
      <rPr>
        <sz val="9"/>
        <rFont val="Times New Roman"/>
        <family val="1"/>
      </rPr>
      <t>2</t>
    </r>
    <r>
      <rPr>
        <sz val="9"/>
        <rFont val="宋体"/>
        <charset val="134"/>
      </rPr>
      <t>拐点</t>
    </r>
    <r>
      <rPr>
        <sz val="9"/>
        <rFont val="Times New Roman"/>
        <family val="1"/>
      </rPr>
      <t>A</t>
    </r>
    <r>
      <rPr>
        <sz val="9"/>
        <rFont val="宋体"/>
        <charset val="134"/>
      </rPr>
      <t>输入～</t>
    </r>
    <r>
      <rPr>
        <sz val="9"/>
        <rFont val="Times New Roman"/>
        <family val="1"/>
      </rPr>
      <t>110.0%</t>
    </r>
  </si>
  <si>
    <t>C2.07</t>
    <phoneticPr fontId="20" type="noConversion"/>
  </si>
  <si>
    <r>
      <t>曲线</t>
    </r>
    <r>
      <rPr>
        <sz val="10"/>
        <rFont val="Times New Roman"/>
        <family val="1"/>
      </rPr>
      <t>2</t>
    </r>
    <r>
      <rPr>
        <sz val="10"/>
        <rFont val="宋体"/>
        <charset val="134"/>
      </rPr>
      <t>最大输入对应设定值</t>
    </r>
  </si>
  <si>
    <t>FcSetMaxCurve2</t>
    <phoneticPr fontId="20" type="noConversion"/>
  </si>
  <si>
    <r>
      <t>曲线</t>
    </r>
    <r>
      <rPr>
        <sz val="10"/>
        <rFont val="Times New Roman"/>
        <family val="1"/>
      </rPr>
      <t>2</t>
    </r>
    <r>
      <rPr>
        <sz val="10"/>
        <rFont val="宋体"/>
        <charset val="134"/>
      </rPr>
      <t>拐点</t>
    </r>
    <r>
      <rPr>
        <sz val="10"/>
        <rFont val="Times New Roman"/>
        <family val="1"/>
      </rPr>
      <t>A</t>
    </r>
    <r>
      <rPr>
        <sz val="10"/>
        <rFont val="宋体"/>
        <charset val="134"/>
      </rPr>
      <t>输入</t>
    </r>
  </si>
  <si>
    <t>FcAInputCurve2</t>
    <phoneticPr fontId="20" type="noConversion"/>
  </si>
  <si>
    <r>
      <t>曲线</t>
    </r>
    <r>
      <rPr>
        <sz val="9"/>
        <rFont val="Times New Roman"/>
        <family val="1"/>
      </rPr>
      <t>2</t>
    </r>
    <r>
      <rPr>
        <sz val="9"/>
        <rFont val="宋体"/>
        <charset val="134"/>
      </rPr>
      <t>拐点</t>
    </r>
    <r>
      <rPr>
        <sz val="9"/>
        <rFont val="Times New Roman"/>
        <family val="1"/>
      </rPr>
      <t>B</t>
    </r>
    <r>
      <rPr>
        <sz val="9"/>
        <rFont val="宋体"/>
        <charset val="134"/>
      </rPr>
      <t>输入～曲线</t>
    </r>
    <r>
      <rPr>
        <sz val="9"/>
        <rFont val="Times New Roman"/>
        <family val="1"/>
      </rPr>
      <t>2</t>
    </r>
    <r>
      <rPr>
        <sz val="9"/>
        <rFont val="宋体"/>
        <charset val="134"/>
      </rPr>
      <t>最大输入</t>
    </r>
  </si>
  <si>
    <t>C2.05</t>
    <phoneticPr fontId="20" type="noConversion"/>
  </si>
  <si>
    <t>C2.09</t>
    <phoneticPr fontId="20" type="noConversion"/>
  </si>
  <si>
    <r>
      <t>曲线</t>
    </r>
    <r>
      <rPr>
        <sz val="10"/>
        <rFont val="Times New Roman"/>
        <family val="1"/>
      </rPr>
      <t>2</t>
    </r>
    <r>
      <rPr>
        <sz val="10"/>
        <rFont val="宋体"/>
        <charset val="134"/>
      </rPr>
      <t>拐点</t>
    </r>
    <r>
      <rPr>
        <sz val="10"/>
        <rFont val="Times New Roman"/>
        <family val="1"/>
      </rPr>
      <t>A</t>
    </r>
    <r>
      <rPr>
        <sz val="10"/>
        <rFont val="宋体"/>
        <charset val="134"/>
      </rPr>
      <t>输入对应设定值</t>
    </r>
  </si>
  <si>
    <t>FcASetCurve2</t>
    <phoneticPr fontId="20" type="noConversion"/>
  </si>
  <si>
    <r>
      <t>曲线</t>
    </r>
    <r>
      <rPr>
        <sz val="10"/>
        <rFont val="Times New Roman"/>
        <family val="1"/>
      </rPr>
      <t>2</t>
    </r>
    <r>
      <rPr>
        <sz val="10"/>
        <rFont val="宋体"/>
        <charset val="134"/>
      </rPr>
      <t>拐点</t>
    </r>
    <r>
      <rPr>
        <sz val="10"/>
        <rFont val="Times New Roman"/>
        <family val="1"/>
      </rPr>
      <t>B</t>
    </r>
    <r>
      <rPr>
        <sz val="10"/>
        <rFont val="宋体"/>
        <charset val="134"/>
      </rPr>
      <t>输入</t>
    </r>
  </si>
  <si>
    <t>FcBInputCurve2</t>
    <phoneticPr fontId="20" type="noConversion"/>
  </si>
  <si>
    <r>
      <t>曲线</t>
    </r>
    <r>
      <rPr>
        <sz val="9"/>
        <rFont val="Times New Roman"/>
        <family val="1"/>
      </rPr>
      <t>2</t>
    </r>
    <r>
      <rPr>
        <sz val="9"/>
        <rFont val="宋体"/>
        <charset val="134"/>
      </rPr>
      <t>最小输入～曲线</t>
    </r>
    <r>
      <rPr>
        <sz val="9"/>
        <rFont val="Times New Roman"/>
        <family val="1"/>
      </rPr>
      <t>2</t>
    </r>
    <r>
      <rPr>
        <sz val="9"/>
        <rFont val="宋体"/>
        <charset val="134"/>
      </rPr>
      <t>拐点</t>
    </r>
    <r>
      <rPr>
        <sz val="9"/>
        <rFont val="Times New Roman"/>
        <family val="1"/>
      </rPr>
      <t>A</t>
    </r>
    <r>
      <rPr>
        <sz val="9"/>
        <rFont val="宋体"/>
        <charset val="134"/>
      </rPr>
      <t>输入</t>
    </r>
  </si>
  <si>
    <t>C2.11</t>
    <phoneticPr fontId="20" type="noConversion"/>
  </si>
  <si>
    <r>
      <t>曲线</t>
    </r>
    <r>
      <rPr>
        <sz val="10"/>
        <rFont val="Times New Roman"/>
        <family val="1"/>
      </rPr>
      <t>2</t>
    </r>
    <r>
      <rPr>
        <sz val="10"/>
        <rFont val="宋体"/>
        <charset val="134"/>
      </rPr>
      <t>拐点</t>
    </r>
    <r>
      <rPr>
        <sz val="10"/>
        <rFont val="Times New Roman"/>
        <family val="1"/>
      </rPr>
      <t>B</t>
    </r>
    <r>
      <rPr>
        <sz val="10"/>
        <rFont val="宋体"/>
        <charset val="134"/>
      </rPr>
      <t>输入对应设定值</t>
    </r>
  </si>
  <si>
    <t>FcBSetCurve2</t>
    <phoneticPr fontId="20" type="noConversion"/>
  </si>
  <si>
    <r>
      <t>曲线</t>
    </r>
    <r>
      <rPr>
        <sz val="10"/>
        <rFont val="Times New Roman"/>
        <family val="1"/>
      </rPr>
      <t>2</t>
    </r>
    <r>
      <rPr>
        <sz val="10"/>
        <rFont val="宋体"/>
        <charset val="134"/>
      </rPr>
      <t>最小输入</t>
    </r>
  </si>
  <si>
    <t>FcInputMinCurve2</t>
    <phoneticPr fontId="20" type="noConversion"/>
  </si>
  <si>
    <r>
      <t>0.0%～曲线</t>
    </r>
    <r>
      <rPr>
        <sz val="9"/>
        <rFont val="Times New Roman"/>
        <family val="1"/>
      </rPr>
      <t>2</t>
    </r>
    <r>
      <rPr>
        <sz val="9"/>
        <rFont val="宋体"/>
        <charset val="134"/>
      </rPr>
      <t>拐点</t>
    </r>
    <r>
      <rPr>
        <sz val="9"/>
        <rFont val="Times New Roman"/>
        <family val="1"/>
      </rPr>
      <t>B</t>
    </r>
    <r>
      <rPr>
        <sz val="9"/>
        <rFont val="宋体"/>
        <charset val="134"/>
      </rPr>
      <t>输入</t>
    </r>
  </si>
  <si>
    <r>
      <t>曲线</t>
    </r>
    <r>
      <rPr>
        <sz val="10"/>
        <rFont val="Times New Roman"/>
        <family val="1"/>
      </rPr>
      <t>2</t>
    </r>
    <r>
      <rPr>
        <sz val="10"/>
        <rFont val="宋体"/>
        <charset val="134"/>
      </rPr>
      <t>最小输入对应设定值</t>
    </r>
  </si>
  <si>
    <t>FcSetMinCurve2</t>
    <phoneticPr fontId="20" type="noConversion"/>
  </si>
  <si>
    <r>
      <t>曲线</t>
    </r>
    <r>
      <rPr>
        <sz val="10"/>
        <rFont val="Times New Roman"/>
        <family val="1"/>
      </rPr>
      <t>3</t>
    </r>
    <r>
      <rPr>
        <sz val="10"/>
        <rFont val="宋体"/>
        <charset val="134"/>
      </rPr>
      <t>最大输入</t>
    </r>
  </si>
  <si>
    <r>
      <t>曲线</t>
    </r>
    <r>
      <rPr>
        <sz val="9"/>
        <rFont val="Times New Roman"/>
        <family val="1"/>
      </rPr>
      <t>3</t>
    </r>
    <r>
      <rPr>
        <sz val="9"/>
        <rFont val="宋体"/>
        <charset val="134"/>
      </rPr>
      <t>拐点</t>
    </r>
    <r>
      <rPr>
        <sz val="9"/>
        <rFont val="Times New Roman"/>
        <family val="1"/>
      </rPr>
      <t>A</t>
    </r>
    <r>
      <rPr>
        <sz val="9"/>
        <rFont val="宋体"/>
        <charset val="134"/>
      </rPr>
      <t>输入～</t>
    </r>
    <r>
      <rPr>
        <sz val="9"/>
        <rFont val="Times New Roman"/>
        <family val="1"/>
      </rPr>
      <t>110.0%</t>
    </r>
  </si>
  <si>
    <t>C2.15</t>
    <phoneticPr fontId="20" type="noConversion"/>
  </si>
  <si>
    <r>
      <t>曲线</t>
    </r>
    <r>
      <rPr>
        <sz val="10"/>
        <rFont val="Times New Roman"/>
        <family val="1"/>
      </rPr>
      <t>3</t>
    </r>
    <r>
      <rPr>
        <sz val="10"/>
        <rFont val="宋体"/>
        <charset val="134"/>
      </rPr>
      <t>最大输入对应设定值</t>
    </r>
  </si>
  <si>
    <r>
      <t>曲线</t>
    </r>
    <r>
      <rPr>
        <sz val="10"/>
        <rFont val="Times New Roman"/>
        <family val="1"/>
      </rPr>
      <t>3</t>
    </r>
    <r>
      <rPr>
        <sz val="10"/>
        <rFont val="宋体"/>
        <charset val="134"/>
      </rPr>
      <t>拐点</t>
    </r>
    <r>
      <rPr>
        <sz val="10"/>
        <rFont val="Times New Roman"/>
        <family val="1"/>
      </rPr>
      <t>A</t>
    </r>
    <r>
      <rPr>
        <sz val="10"/>
        <rFont val="宋体"/>
        <charset val="134"/>
      </rPr>
      <t>输入</t>
    </r>
  </si>
  <si>
    <r>
      <t>曲线</t>
    </r>
    <r>
      <rPr>
        <sz val="9"/>
        <rFont val="Times New Roman"/>
        <family val="1"/>
      </rPr>
      <t>3</t>
    </r>
    <r>
      <rPr>
        <sz val="9"/>
        <rFont val="宋体"/>
        <charset val="134"/>
      </rPr>
      <t>拐点</t>
    </r>
    <r>
      <rPr>
        <sz val="9"/>
        <rFont val="Times New Roman"/>
        <family val="1"/>
      </rPr>
      <t>B</t>
    </r>
    <r>
      <rPr>
        <sz val="9"/>
        <rFont val="宋体"/>
        <charset val="134"/>
      </rPr>
      <t>输入～曲线</t>
    </r>
    <r>
      <rPr>
        <sz val="9"/>
        <rFont val="Times New Roman"/>
        <family val="1"/>
      </rPr>
      <t>3</t>
    </r>
    <r>
      <rPr>
        <sz val="9"/>
        <rFont val="宋体"/>
        <charset val="134"/>
      </rPr>
      <t>最大输入</t>
    </r>
  </si>
  <si>
    <t>C2.13</t>
    <phoneticPr fontId="20" type="noConversion"/>
  </si>
  <si>
    <t>C2.17</t>
    <phoneticPr fontId="20" type="noConversion"/>
  </si>
  <si>
    <r>
      <t>曲线</t>
    </r>
    <r>
      <rPr>
        <sz val="10"/>
        <rFont val="Times New Roman"/>
        <family val="1"/>
      </rPr>
      <t>3</t>
    </r>
    <r>
      <rPr>
        <sz val="10"/>
        <rFont val="宋体"/>
        <charset val="134"/>
      </rPr>
      <t>拐点</t>
    </r>
    <r>
      <rPr>
        <sz val="10"/>
        <rFont val="Times New Roman"/>
        <family val="1"/>
      </rPr>
      <t>A</t>
    </r>
    <r>
      <rPr>
        <sz val="10"/>
        <rFont val="宋体"/>
        <charset val="134"/>
      </rPr>
      <t>输入对应设定值</t>
    </r>
  </si>
  <si>
    <r>
      <t>曲线</t>
    </r>
    <r>
      <rPr>
        <sz val="10"/>
        <rFont val="Times New Roman"/>
        <family val="1"/>
      </rPr>
      <t>3</t>
    </r>
    <r>
      <rPr>
        <sz val="10"/>
        <rFont val="宋体"/>
        <charset val="134"/>
      </rPr>
      <t>拐点</t>
    </r>
    <r>
      <rPr>
        <sz val="10"/>
        <rFont val="Times New Roman"/>
        <family val="1"/>
      </rPr>
      <t>B</t>
    </r>
    <r>
      <rPr>
        <sz val="10"/>
        <rFont val="宋体"/>
        <charset val="134"/>
      </rPr>
      <t>输入</t>
    </r>
  </si>
  <si>
    <r>
      <t>曲线</t>
    </r>
    <r>
      <rPr>
        <sz val="9"/>
        <rFont val="Times New Roman"/>
        <family val="1"/>
      </rPr>
      <t>3</t>
    </r>
    <r>
      <rPr>
        <sz val="9"/>
        <rFont val="宋体"/>
        <charset val="134"/>
      </rPr>
      <t>最小输入～曲线</t>
    </r>
    <r>
      <rPr>
        <sz val="9"/>
        <rFont val="Times New Roman"/>
        <family val="1"/>
      </rPr>
      <t>3</t>
    </r>
    <r>
      <rPr>
        <sz val="9"/>
        <rFont val="宋体"/>
        <charset val="134"/>
      </rPr>
      <t>拐点</t>
    </r>
    <r>
      <rPr>
        <sz val="9"/>
        <rFont val="Times New Roman"/>
        <family val="1"/>
      </rPr>
      <t>A</t>
    </r>
    <r>
      <rPr>
        <sz val="9"/>
        <rFont val="宋体"/>
        <charset val="134"/>
      </rPr>
      <t>输入</t>
    </r>
  </si>
  <si>
    <t>C2.15</t>
    <phoneticPr fontId="20" type="noConversion"/>
  </si>
  <si>
    <t>C2.19</t>
    <phoneticPr fontId="20" type="noConversion"/>
  </si>
  <si>
    <r>
      <t>曲线</t>
    </r>
    <r>
      <rPr>
        <sz val="10"/>
        <rFont val="Times New Roman"/>
        <family val="1"/>
      </rPr>
      <t>3</t>
    </r>
    <r>
      <rPr>
        <sz val="10"/>
        <rFont val="宋体"/>
        <charset val="134"/>
      </rPr>
      <t>拐点</t>
    </r>
    <r>
      <rPr>
        <sz val="10"/>
        <rFont val="Times New Roman"/>
        <family val="1"/>
      </rPr>
      <t>B</t>
    </r>
    <r>
      <rPr>
        <sz val="10"/>
        <rFont val="宋体"/>
        <charset val="134"/>
      </rPr>
      <t>输入对应设定值</t>
    </r>
  </si>
  <si>
    <r>
      <t>曲线</t>
    </r>
    <r>
      <rPr>
        <sz val="10"/>
        <rFont val="Times New Roman"/>
        <family val="1"/>
      </rPr>
      <t>3</t>
    </r>
    <r>
      <rPr>
        <sz val="10"/>
        <rFont val="宋体"/>
        <charset val="134"/>
      </rPr>
      <t>最小输入</t>
    </r>
  </si>
  <si>
    <r>
      <t>0.0%～曲线</t>
    </r>
    <r>
      <rPr>
        <sz val="9"/>
        <rFont val="Times New Roman"/>
        <family val="1"/>
      </rPr>
      <t>3</t>
    </r>
    <r>
      <rPr>
        <sz val="9"/>
        <rFont val="宋体"/>
        <charset val="134"/>
      </rPr>
      <t>拐点</t>
    </r>
    <r>
      <rPr>
        <sz val="9"/>
        <rFont val="Times New Roman"/>
        <family val="1"/>
      </rPr>
      <t>B</t>
    </r>
    <r>
      <rPr>
        <sz val="9"/>
        <rFont val="宋体"/>
        <charset val="134"/>
      </rPr>
      <t>输入</t>
    </r>
  </si>
  <si>
    <r>
      <t>曲线</t>
    </r>
    <r>
      <rPr>
        <sz val="10"/>
        <rFont val="Times New Roman"/>
        <family val="1"/>
      </rPr>
      <t>3</t>
    </r>
    <r>
      <rPr>
        <sz val="10"/>
        <rFont val="宋体"/>
        <charset val="134"/>
      </rPr>
      <t>最小输入对应设定值</t>
    </r>
  </si>
  <si>
    <t>FcTermFiltTimeAI1</t>
    <phoneticPr fontId="20" type="noConversion"/>
  </si>
  <si>
    <t>FcInputMaxDI</t>
    <phoneticPr fontId="20" type="noConversion"/>
  </si>
  <si>
    <t>C2.26</t>
    <phoneticPr fontId="20" type="noConversion"/>
  </si>
  <si>
    <t>K</t>
    <phoneticPr fontId="20" type="noConversion"/>
  </si>
  <si>
    <t>FcSetMaxDI</t>
    <phoneticPr fontId="20" type="noConversion"/>
  </si>
  <si>
    <t>FcInputMinDI</t>
    <phoneticPr fontId="20" type="noConversion"/>
  </si>
  <si>
    <t>C2.24</t>
    <phoneticPr fontId="20" type="noConversion"/>
  </si>
  <si>
    <t>FcSetMinDI</t>
    <phoneticPr fontId="20" type="noConversion"/>
  </si>
  <si>
    <t>FcFiltTimeDI</t>
    <phoneticPr fontId="20" type="noConversion"/>
  </si>
  <si>
    <t>FcChangK</t>
    <phoneticPr fontId="20" type="noConversion"/>
  </si>
  <si>
    <t>FcFuncAo1</t>
    <phoneticPr fontId="20" type="noConversion"/>
  </si>
  <si>
    <t>详见模拟量脉冲输出功能定义列表</t>
    <phoneticPr fontId="20" type="noConversion"/>
  </si>
  <si>
    <t>FcFuncDo</t>
    <phoneticPr fontId="20" type="noConversion"/>
  </si>
  <si>
    <t>FcBiasAo1</t>
    <phoneticPr fontId="20" type="noConversion"/>
  </si>
  <si>
    <t>FcScaleAo1</t>
    <phoneticPr fontId="20" type="noConversion"/>
  </si>
  <si>
    <t>FcFiltTimeAo1</t>
    <phoneticPr fontId="20" type="noConversion"/>
  </si>
  <si>
    <t>FcMaxFreqDo</t>
    <phoneticPr fontId="20" type="noConversion"/>
  </si>
  <si>
    <t>K</t>
    <phoneticPr fontId="20" type="noConversion"/>
  </si>
  <si>
    <t>FcCenterChoiceDo</t>
    <phoneticPr fontId="20" type="noConversion"/>
  </si>
  <si>
    <t>FcFiltTimeDo</t>
    <phoneticPr fontId="20" type="noConversion"/>
  </si>
  <si>
    <t>FcAnalogReviseAct</t>
    <phoneticPr fontId="20" type="noConversion"/>
  </si>
  <si>
    <t>C4.01</t>
    <phoneticPr fontId="20" type="noConversion"/>
  </si>
  <si>
    <t>FcSamp1ReviseAI1</t>
    <phoneticPr fontId="20" type="noConversion"/>
  </si>
  <si>
    <t>FcInput1ReviseAI1</t>
    <phoneticPr fontId="20" type="noConversion"/>
  </si>
  <si>
    <t>V</t>
    <phoneticPr fontId="20" type="noConversion"/>
  </si>
  <si>
    <t>FcSamp2ReviseAI1</t>
    <phoneticPr fontId="20" type="noConversion"/>
  </si>
  <si>
    <t>FcInput2ReviseAI1</t>
    <phoneticPr fontId="20" type="noConversion"/>
  </si>
  <si>
    <t>FcReservedC413</t>
    <phoneticPr fontId="20" type="noConversion"/>
  </si>
  <si>
    <t>FcReservedC414</t>
    <phoneticPr fontId="20" type="noConversion"/>
  </si>
  <si>
    <t>FcReservedC415</t>
    <phoneticPr fontId="20" type="noConversion"/>
  </si>
  <si>
    <t>FcReservedC416</t>
    <phoneticPr fontId="20" type="noConversion"/>
  </si>
  <si>
    <t>FcAI1Gain</t>
    <phoneticPr fontId="20" type="noConversion"/>
  </si>
  <si>
    <t>FcAI1Bias</t>
    <phoneticPr fontId="20" type="noConversion"/>
  </si>
  <si>
    <t>FcAI2Gain</t>
    <phoneticPr fontId="20" type="noConversion"/>
  </si>
  <si>
    <t>FcAI2Bias</t>
    <phoneticPr fontId="20" type="noConversion"/>
  </si>
  <si>
    <t>FcAI3Gain</t>
    <phoneticPr fontId="20" type="noConversion"/>
  </si>
  <si>
    <t>FcAI3Bias</t>
    <phoneticPr fontId="20" type="noConversion"/>
  </si>
  <si>
    <t>FcReservedC423</t>
    <phoneticPr fontId="20" type="noConversion"/>
  </si>
  <si>
    <t>FcReservedC424</t>
    <phoneticPr fontId="20" type="noConversion"/>
  </si>
  <si>
    <t>FcInput1ReviseAo1</t>
    <phoneticPr fontId="20" type="noConversion"/>
  </si>
  <si>
    <t>FcSamp1ReviseAo1</t>
    <phoneticPr fontId="20" type="noConversion"/>
  </si>
  <si>
    <t>FcInput2ReviseAo1</t>
    <phoneticPr fontId="20" type="noConversion"/>
  </si>
  <si>
    <t>FcSamp2ReviseAo1</t>
    <phoneticPr fontId="20" type="noConversion"/>
  </si>
  <si>
    <t>FcSamp2ReviseAo2</t>
    <phoneticPr fontId="20" type="noConversion"/>
  </si>
  <si>
    <r>
      <t>电机</t>
    </r>
    <r>
      <rPr>
        <sz val="10"/>
        <rFont val="Times New Roman"/>
        <family val="1"/>
      </rPr>
      <t>1</t>
    </r>
    <r>
      <rPr>
        <sz val="10"/>
        <rFont val="宋体"/>
        <charset val="134"/>
      </rPr>
      <t>类型</t>
    </r>
  </si>
  <si>
    <t>FcTypeChoiceMot1</t>
    <phoneticPr fontId="20" type="noConversion"/>
  </si>
  <si>
    <r>
      <t xml:space="preserve">0：普通异步电机
</t>
    </r>
    <r>
      <rPr>
        <sz val="9"/>
        <rFont val="Times New Roman"/>
        <family val="1"/>
      </rPr>
      <t>1</t>
    </r>
    <r>
      <rPr>
        <sz val="9"/>
        <rFont val="宋体"/>
        <charset val="134"/>
      </rPr>
      <t xml:space="preserve">：变频异步电机
</t>
    </r>
    <r>
      <rPr>
        <sz val="9"/>
        <rFont val="Times New Roman"/>
        <family val="1"/>
      </rPr>
      <t>2</t>
    </r>
    <r>
      <rPr>
        <sz val="9"/>
        <rFont val="宋体"/>
        <charset val="134"/>
      </rPr>
      <t>：同步电机</t>
    </r>
    <phoneticPr fontId="20" type="noConversion"/>
  </si>
  <si>
    <t>超低速速度</t>
  </si>
  <si>
    <t>FcPRunSpd</t>
  </si>
  <si>
    <t>0.00Hz～600.00Hz</t>
  </si>
  <si>
    <t>H</t>
  </si>
  <si>
    <t>超低速运行有效最大转矩</t>
  </si>
  <si>
    <t>%</t>
  </si>
  <si>
    <t>速度控制2使能</t>
  </si>
  <si>
    <t>FcSpdCtrl2</t>
  </si>
  <si>
    <t>X</t>
  </si>
  <si>
    <t>防溜坡延时时间</t>
  </si>
  <si>
    <t>FcLowSpdMaxTorTime</t>
  </si>
  <si>
    <t>防溜坡延时后的休息时间</t>
  </si>
  <si>
    <t>FcLowSpdMaxTorRestTime</t>
  </si>
  <si>
    <t>CAN协议加密使能</t>
  </si>
  <si>
    <t>FcCanEnCrypt</t>
  </si>
  <si>
    <t>0~1 0：不使能,非加密协议 1：使能,加密协议</t>
  </si>
  <si>
    <t>电度数</t>
  </si>
  <si>
    <t>FcEleDegree</t>
  </si>
  <si>
    <t>FcTorqLoopKp</t>
  </si>
  <si>
    <t>b1.19</t>
  </si>
  <si>
    <t>FcEnergLosBrkVol</t>
  </si>
  <si>
    <t>V</t>
  </si>
  <si>
    <t>FcRatePowMot1</t>
  </si>
  <si>
    <t>k</t>
  </si>
  <si>
    <t>FcRateVolMot1</t>
  </si>
  <si>
    <t>E1.01</t>
  </si>
  <si>
    <t>FcVolStallPoint</t>
  </si>
  <si>
    <t>FcProdKeyCode</t>
  </si>
  <si>
    <r>
      <t>0～</t>
    </r>
    <r>
      <rPr>
        <sz val="9"/>
        <color indexed="10"/>
        <rFont val="Times New Roman"/>
        <family val="1"/>
      </rPr>
      <t>FFFF</t>
    </r>
  </si>
  <si>
    <t>FcInvertType</t>
  </si>
  <si>
    <t>模块死区时间(增加)</t>
  </si>
  <si>
    <t>见机型</t>
  </si>
  <si>
    <t>FcInvertRatePow</t>
  </si>
  <si>
    <t>FcInvertRateVol</t>
  </si>
  <si>
    <t>FcInvertRateCurr</t>
  </si>
  <si>
    <t>A</t>
  </si>
  <si>
    <t>FcDcBusVolRevise</t>
  </si>
  <si>
    <t>FcInvCurrRevise</t>
  </si>
  <si>
    <t>FcDcBusVolHigh</t>
  </si>
  <si>
    <t>FcDcBusVolLow</t>
  </si>
  <si>
    <t>FcOutCurrHigh</t>
  </si>
  <si>
    <t>母线波动点</t>
  </si>
  <si>
    <t>FcInPhaseDcBias</t>
  </si>
  <si>
    <t>前4次故障类型</t>
  </si>
  <si>
    <t>FcSecFautType4</t>
  </si>
  <si>
    <r>
      <t>同</t>
    </r>
    <r>
      <rPr>
        <sz val="9"/>
        <rFont val="Times New Roman"/>
        <family val="1"/>
      </rPr>
      <t>U1.00</t>
    </r>
  </si>
  <si>
    <t>前4次故障时运行频率</t>
  </si>
  <si>
    <t>FcSecFautRunFreq4</t>
  </si>
  <si>
    <t>前4次故障时输出电流</t>
  </si>
  <si>
    <t>FcSecFautCurr4</t>
  </si>
  <si>
    <t>前4次故障时母线电压</t>
  </si>
  <si>
    <t>FcSecFautDCVol4</t>
  </si>
  <si>
    <t>前5次故障类型</t>
  </si>
  <si>
    <t>FcSecFautType5</t>
  </si>
  <si>
    <t>前5次故障时运行频率</t>
  </si>
  <si>
    <t>FcSecFautRunFreq5</t>
  </si>
  <si>
    <t>前5次故障时输出电流</t>
  </si>
  <si>
    <t>FcSecFautCurr5</t>
  </si>
  <si>
    <t>前5次故障时母线电压</t>
  </si>
  <si>
    <t>FcSecFautDCVol5</t>
  </si>
  <si>
    <t>前6次故障类型</t>
  </si>
  <si>
    <t>FcSecFautType6</t>
  </si>
  <si>
    <t>前6次故障时运行频率</t>
  </si>
  <si>
    <t>FcSecFautRunFreq6</t>
  </si>
  <si>
    <t>前6次故障时输出电流</t>
  </si>
  <si>
    <t>FcSecFautCurr6</t>
  </si>
  <si>
    <t>前6次故障时母线电压</t>
  </si>
  <si>
    <t>FcSecFautDCVol6</t>
  </si>
  <si>
    <t>前7次故障类型</t>
  </si>
  <si>
    <t>FcSecFautType7</t>
  </si>
  <si>
    <t>前7次故障时运行频率</t>
  </si>
  <si>
    <t>FcSecFautRunFreq7</t>
  </si>
  <si>
    <t>前7次故障时输出电流</t>
  </si>
  <si>
    <t>FcSecFautCurr7</t>
  </si>
  <si>
    <t>前7次故障时母线电压</t>
  </si>
  <si>
    <t>FcSecFautDCVol7</t>
  </si>
  <si>
    <t>前8次故障类型</t>
  </si>
  <si>
    <t>FcSecFautType8</t>
  </si>
  <si>
    <t>前8次故障时运行频率</t>
  </si>
  <si>
    <t>FcSecFautRunFreq8</t>
  </si>
  <si>
    <t>前8次故障时输出电流</t>
  </si>
  <si>
    <t>FcSecFautCurr8</t>
  </si>
  <si>
    <t>前8次故障时母线电压</t>
  </si>
  <si>
    <t>FcSecFautDCVol8</t>
  </si>
  <si>
    <t>前9次故障类型</t>
  </si>
  <si>
    <t>FcSecFautType9</t>
  </si>
  <si>
    <t>前9次故障时运行频率</t>
  </si>
  <si>
    <t>FcSecFautRunFreq9</t>
  </si>
  <si>
    <t>前9次故障时输出电流</t>
  </si>
  <si>
    <t>FcSecFautCurr9</t>
  </si>
  <si>
    <t>前9次故障时母线电压</t>
  </si>
  <si>
    <t>FcSecFautDCVol9</t>
  </si>
  <si>
    <t>前10次故障类型</t>
  </si>
  <si>
    <t>FcSecFautType10</t>
  </si>
  <si>
    <t>前10次故障时运行频率</t>
  </si>
  <si>
    <t>FcSecFautRunFreq10</t>
  </si>
  <si>
    <t>前10次故障时输出电流</t>
  </si>
  <si>
    <t>FcSecFautCurr10</t>
  </si>
  <si>
    <t>前10次故障时母线电压</t>
  </si>
  <si>
    <t>FcSecFautDCVol10</t>
  </si>
  <si>
    <t>前11次故障类型</t>
  </si>
  <si>
    <t>FcSecFautType11</t>
  </si>
  <si>
    <t>前11次故障时运行频率</t>
  </si>
  <si>
    <t>FcSecFautRunFreq11</t>
  </si>
  <si>
    <t>前11次故障时输出电流</t>
  </si>
  <si>
    <t>FcSecFautCurr11</t>
  </si>
  <si>
    <t>前11次故障时母线电压</t>
  </si>
  <si>
    <t>FcSecFautDCVol11</t>
  </si>
  <si>
    <t>前12次故障类型</t>
  </si>
  <si>
    <t>FcSecFautType12</t>
  </si>
  <si>
    <t>前12次故障时运行频率</t>
  </si>
  <si>
    <t>FcSecFautRunFreq12</t>
  </si>
  <si>
    <t>前12次故障时输出电流</t>
  </si>
  <si>
    <t>FcSecFautCurr12</t>
  </si>
  <si>
    <t>前12次故障时母线电压</t>
  </si>
  <si>
    <t>FcSecFautDCVol12</t>
  </si>
  <si>
    <t>前13次故障类型</t>
  </si>
  <si>
    <t>FcSecFautType13</t>
  </si>
  <si>
    <t>前13次故障时运行频率</t>
  </si>
  <si>
    <t>FcSecFautRunFreq13</t>
  </si>
  <si>
    <t>前13次故障时输出电流</t>
  </si>
  <si>
    <t>FcSecFautCurr13</t>
  </si>
  <si>
    <t>前13次故障时母线电压</t>
  </si>
  <si>
    <t>FcSecFautDCVol13</t>
  </si>
  <si>
    <t>前14次故障类型</t>
  </si>
  <si>
    <t>FcSecFautType14</t>
  </si>
  <si>
    <t>前14次故障时运行频率</t>
  </si>
  <si>
    <t>FcSecFautRunFreq14</t>
  </si>
  <si>
    <t>前14次故障时输出电流</t>
  </si>
  <si>
    <t>FcSecFautCurr14</t>
  </si>
  <si>
    <t>前14次故障时母线电压</t>
  </si>
  <si>
    <t>FcSecFautDCVol14</t>
  </si>
  <si>
    <t>前15次故障类型</t>
  </si>
  <si>
    <t>FcSecFautType15</t>
  </si>
  <si>
    <t>前15次故障时运行频率</t>
  </si>
  <si>
    <t>FcSecFautRunFreq15</t>
  </si>
  <si>
    <t>前15次故障时输出电流</t>
  </si>
  <si>
    <t>FcSecFautCurr15</t>
  </si>
  <si>
    <t>前15次故障时母线电压</t>
  </si>
  <si>
    <t>FcSecFautDCVol15</t>
  </si>
  <si>
    <t>前16次故障类型</t>
  </si>
  <si>
    <t>FcSecFautType16</t>
  </si>
  <si>
    <t>前16次故障时运行频率</t>
  </si>
  <si>
    <t>FcSecFautRunFreq16</t>
  </si>
  <si>
    <t>前16次故障时输出电流</t>
  </si>
  <si>
    <t>FcSecFautCurr16</t>
  </si>
  <si>
    <t>前16次故障时母线电压</t>
  </si>
  <si>
    <t>FcSecFautDCVol16</t>
  </si>
  <si>
    <t>前17次故障类型</t>
  </si>
  <si>
    <t>FcSecFautType17</t>
  </si>
  <si>
    <t>前17次故障时运行频率</t>
  </si>
  <si>
    <t>FcSecFautRunFreq17</t>
  </si>
  <si>
    <t>前17次故障时输出电流</t>
  </si>
  <si>
    <t>FcSecFautCurr17</t>
  </si>
  <si>
    <t>前17次故障时母线电压</t>
  </si>
  <si>
    <t>FcSecFautDCVol17</t>
  </si>
  <si>
    <t>前18次故障类型</t>
  </si>
  <si>
    <t>FcSecFautType18</t>
  </si>
  <si>
    <t>前18次故障时运行频率</t>
  </si>
  <si>
    <t>FcSecFautRunFreq18</t>
  </si>
  <si>
    <t>前18次故障时输出电流</t>
  </si>
  <si>
    <t>FcSecFautCurr18</t>
  </si>
  <si>
    <t>前18次故障时母线电压</t>
  </si>
  <si>
    <t>FcSecFautDCVol18</t>
  </si>
  <si>
    <t>FcReservedd376</t>
  </si>
  <si>
    <t>FcReservedd377</t>
  </si>
  <si>
    <t>FcReservedd378</t>
  </si>
  <si>
    <r>
      <t>d4.</t>
    </r>
    <r>
      <rPr>
        <sz val="10"/>
        <rFont val="宋体"/>
        <charset val="134"/>
      </rPr>
      <t>00</t>
    </r>
  </si>
  <si>
    <r>
      <t>FcReserved</t>
    </r>
    <r>
      <rPr>
        <sz val="10"/>
        <rFont val="宋体"/>
        <charset val="134"/>
      </rPr>
      <t>d400</t>
    </r>
  </si>
  <si>
    <r>
      <t>d</t>
    </r>
    <r>
      <rPr>
        <sz val="10"/>
        <rFont val="宋体"/>
        <charset val="134"/>
      </rPr>
      <t>5</t>
    </r>
    <r>
      <rPr>
        <sz val="10"/>
        <rFont val="宋体"/>
        <charset val="134"/>
      </rPr>
      <t>.</t>
    </r>
    <r>
      <rPr>
        <sz val="10"/>
        <rFont val="宋体"/>
        <charset val="134"/>
      </rPr>
      <t>00</t>
    </r>
  </si>
  <si>
    <r>
      <t>FcReserved</t>
    </r>
    <r>
      <rPr>
        <sz val="10"/>
        <rFont val="宋体"/>
        <charset val="134"/>
      </rPr>
      <t>d500</t>
    </r>
  </si>
  <si>
    <t>d3.29</t>
  </si>
  <si>
    <t>d3.30</t>
  </si>
  <si>
    <t>d3.31</t>
  </si>
  <si>
    <t>d3.32</t>
  </si>
  <si>
    <t>d3.33</t>
  </si>
  <si>
    <t>d3.34</t>
  </si>
  <si>
    <t>d3.35</t>
  </si>
  <si>
    <t>d3.36</t>
  </si>
  <si>
    <t>d3.37</t>
  </si>
  <si>
    <t>d3.38</t>
  </si>
  <si>
    <t>d3.39</t>
  </si>
  <si>
    <t>d3.40</t>
  </si>
  <si>
    <t>d3.41</t>
  </si>
  <si>
    <t>d3.42</t>
  </si>
  <si>
    <t>d3.43</t>
  </si>
  <si>
    <t>d3.44</t>
  </si>
  <si>
    <t>d3.45</t>
  </si>
  <si>
    <t>d3.46</t>
  </si>
  <si>
    <t>d3.47</t>
  </si>
  <si>
    <t>d3.48</t>
  </si>
  <si>
    <t>d3.49</t>
  </si>
  <si>
    <t>d3.50</t>
  </si>
  <si>
    <t>d3.51</t>
  </si>
  <si>
    <t>d3.52</t>
  </si>
  <si>
    <t>d3.53</t>
  </si>
  <si>
    <t>d3.54</t>
  </si>
  <si>
    <t>d3.55</t>
  </si>
  <si>
    <t>d3.56</t>
  </si>
  <si>
    <t>d3.57</t>
  </si>
  <si>
    <t>d3.58</t>
  </si>
  <si>
    <t>d3.59</t>
  </si>
  <si>
    <t>d3.60</t>
  </si>
  <si>
    <t>d3.61</t>
  </si>
  <si>
    <t>d3.62</t>
  </si>
  <si>
    <t>d3.63</t>
  </si>
  <si>
    <t>d3.64</t>
  </si>
  <si>
    <t>d3.65</t>
  </si>
  <si>
    <t>d3.66</t>
  </si>
  <si>
    <t>d3.67</t>
  </si>
  <si>
    <t>d3.68</t>
  </si>
  <si>
    <t>d3.69</t>
  </si>
  <si>
    <t>d3.70</t>
  </si>
  <si>
    <t>d3.71</t>
  </si>
  <si>
    <t>d3.72</t>
  </si>
  <si>
    <t>d3.73</t>
  </si>
  <si>
    <t>d3.74</t>
  </si>
  <si>
    <t>d3.75</t>
  </si>
  <si>
    <t>d3.76</t>
  </si>
  <si>
    <t>d3.77</t>
  </si>
  <si>
    <t>d3.78</t>
  </si>
  <si>
    <t>电压对地检测使能</t>
  </si>
  <si>
    <t>FcGndEnable</t>
  </si>
  <si>
    <t>前4次故障时累计运行时间</t>
  </si>
  <si>
    <t>FcSecFautTotalTime4</t>
  </si>
  <si>
    <t>h</t>
  </si>
  <si>
    <t>前5次故障时累计运行时间</t>
  </si>
  <si>
    <t>FcSecFautTotalTime5</t>
  </si>
  <si>
    <t>前6次故障时累计运行时间</t>
  </si>
  <si>
    <t>FcSecFautTotalTime6</t>
  </si>
  <si>
    <t>前7次故障时累计运行时间</t>
  </si>
  <si>
    <t>FcSecFautTotalTime7</t>
  </si>
  <si>
    <t>前8次故障时累计运行时间</t>
  </si>
  <si>
    <t>FcSecFautTotalTime8</t>
  </si>
  <si>
    <t>前9次故障时累计运行时间</t>
  </si>
  <si>
    <t>FcSecFautTotalTime9</t>
  </si>
  <si>
    <t>前10次故障时累计运行时间</t>
  </si>
  <si>
    <t>FcSecFautTotalTime10</t>
  </si>
  <si>
    <t>前11次故障时累计运行时间</t>
  </si>
  <si>
    <t>FcSecFautTotalTime11</t>
  </si>
  <si>
    <t>前12次故障时累计运行时间</t>
  </si>
  <si>
    <t>FcSecFautTotalTime12</t>
  </si>
  <si>
    <t>前13次故障时累计运行时间</t>
  </si>
  <si>
    <t>FcSecFautTotalTime13</t>
  </si>
  <si>
    <t>前14次故障时累计运行时间</t>
  </si>
  <si>
    <t>FcSecFautTotalTime14</t>
  </si>
  <si>
    <t>前15次故障时累计运行时间</t>
  </si>
  <si>
    <t>FcSecFautTotalTime15</t>
  </si>
  <si>
    <t>前16次故障时累计运行时间</t>
  </si>
  <si>
    <t>FcSecFautTotalTime16</t>
  </si>
  <si>
    <t>前17次故障时累计运行时间</t>
  </si>
  <si>
    <t>FcSecFautTotalTime17</t>
  </si>
  <si>
    <t>前18次故障时累计运行时间</t>
  </si>
  <si>
    <t>FcSecFautTotalTime18</t>
  </si>
  <si>
    <t>FcReservedd375</t>
  </si>
  <si>
    <r>
      <t>M</t>
    </r>
    <r>
      <rPr>
        <sz val="10"/>
        <rFont val="宋体"/>
        <family val="3"/>
        <charset val="134"/>
      </rPr>
      <t>odBus通讯命令字更新使能</t>
    </r>
  </si>
  <si>
    <r>
      <t>Fc</t>
    </r>
    <r>
      <rPr>
        <sz val="10"/>
        <rFont val="宋体"/>
        <family val="3"/>
        <charset val="134"/>
      </rPr>
      <t>MbParaRefreshEn</t>
    </r>
  </si>
  <si>
    <r>
      <t>0：</t>
    </r>
    <r>
      <rPr>
        <sz val="9"/>
        <rFont val="宋体"/>
        <family val="3"/>
        <charset val="134"/>
      </rPr>
      <t>ModBus</t>
    </r>
    <r>
      <rPr>
        <sz val="9"/>
        <rFont val="宋体"/>
        <family val="3"/>
        <charset val="134"/>
      </rPr>
      <t>通讯命令字不更新
1：</t>
    </r>
    <r>
      <rPr>
        <sz val="9"/>
        <rFont val="宋体"/>
        <family val="3"/>
        <charset val="134"/>
      </rPr>
      <t>ModBus</t>
    </r>
    <r>
      <rPr>
        <sz val="9"/>
        <rFont val="宋体"/>
        <family val="3"/>
        <charset val="134"/>
      </rPr>
      <t>通讯命令字更新</t>
    </r>
  </si>
  <si>
    <r>
      <t>是否开启4</t>
    </r>
    <r>
      <rPr>
        <sz val="10"/>
        <rFont val="宋体"/>
        <family val="3"/>
        <charset val="134"/>
      </rPr>
      <t>85调试功能</t>
    </r>
  </si>
  <si>
    <r>
      <t>Fc</t>
    </r>
    <r>
      <rPr>
        <sz val="10"/>
        <rFont val="宋体"/>
        <family val="3"/>
        <charset val="134"/>
      </rPr>
      <t>485Debug</t>
    </r>
  </si>
  <si>
    <t>0：不开启(参数地址为485参数地址)
1：开启(参数地址为内存中的地址)</t>
  </si>
  <si>
    <t>告警时间</t>
  </si>
  <si>
    <t>FcCanArlamTime</t>
  </si>
  <si>
    <r>
      <t>F0.0</t>
    </r>
    <r>
      <rPr>
        <sz val="10"/>
        <rFont val="宋体"/>
        <family val="3"/>
        <charset val="134"/>
      </rPr>
      <t>1</t>
    </r>
  </si>
  <si>
    <t>报故障时间</t>
  </si>
  <si>
    <t>FcCanErrorTime</t>
  </si>
  <si>
    <t>档位键</t>
  </si>
  <si>
    <t>0~65535（转矩控制有效）
100：通讯控制
20：键盘控制的前进挡
40：键盘控制的后退档</t>
  </si>
  <si>
    <r>
      <t>F0.03</t>
    </r>
    <r>
      <rPr>
        <sz val="10"/>
        <rFont val="宋体"/>
        <family val="3"/>
        <charset val="134"/>
      </rPr>
      <t/>
    </r>
  </si>
  <si>
    <t>电机方向变化</t>
  </si>
  <si>
    <t>FcMotPhaseSeq</t>
  </si>
  <si>
    <t>0~1</t>
  </si>
  <si>
    <t>最低速度限制</t>
  </si>
  <si>
    <t>FcSpdLimMin</t>
  </si>
  <si>
    <t>0~65535（防溜坡速度）</t>
  </si>
  <si>
    <r>
      <t>F0.05</t>
    </r>
    <r>
      <rPr>
        <sz val="10"/>
        <rFont val="宋体"/>
        <family val="3"/>
        <charset val="134"/>
      </rPr>
      <t/>
    </r>
  </si>
  <si>
    <r>
      <t>F0.07</t>
    </r>
    <r>
      <rPr>
        <sz val="10"/>
        <rFont val="宋体"/>
        <family val="3"/>
        <charset val="134"/>
      </rPr>
      <t/>
    </r>
  </si>
  <si>
    <t>转矩S曲线起始频率</t>
  </si>
  <si>
    <t>FcBusFreq3</t>
  </si>
  <si>
    <r>
      <t>b0.09</t>
    </r>
    <r>
      <rPr>
        <sz val="11"/>
        <color indexed="8"/>
        <rFont val="宋体"/>
        <family val="3"/>
        <charset val="134"/>
      </rPr>
      <t/>
    </r>
  </si>
  <si>
    <r>
      <t>b0.10</t>
    </r>
    <r>
      <rPr>
        <sz val="11"/>
        <color indexed="8"/>
        <rFont val="宋体"/>
        <family val="3"/>
        <charset val="134"/>
      </rPr>
      <t/>
    </r>
  </si>
  <si>
    <t>低速封锁输出频率</t>
  </si>
  <si>
    <t>FcBusFreq4</t>
  </si>
  <si>
    <r>
      <t>F0.09</t>
    </r>
    <r>
      <rPr>
        <sz val="10"/>
        <rFont val="宋体"/>
        <family val="3"/>
        <charset val="134"/>
      </rPr>
      <t/>
    </r>
  </si>
  <si>
    <t>转矩减速时间</t>
  </si>
  <si>
    <t>FcTorqSetDecTm</t>
  </si>
  <si>
    <t>S</t>
  </si>
  <si>
    <t>降功率使能</t>
  </si>
  <si>
    <t>FcPowerLimitEn</t>
  </si>
  <si>
    <r>
      <t>F0.11</t>
    </r>
    <r>
      <rPr>
        <sz val="10"/>
        <rFont val="宋体"/>
        <family val="3"/>
        <charset val="134"/>
      </rPr>
      <t/>
    </r>
  </si>
  <si>
    <t>载波频率上限运行频率</t>
  </si>
  <si>
    <t>载波频率下限运行频率</t>
  </si>
  <si>
    <r>
      <t>F0.13</t>
    </r>
    <r>
      <rPr>
        <sz val="10"/>
        <rFont val="宋体"/>
        <family val="3"/>
        <charset val="134"/>
      </rPr>
      <t/>
    </r>
  </si>
  <si>
    <t>最小载频</t>
  </si>
  <si>
    <t>K</t>
  </si>
  <si>
    <t>最大载频</t>
  </si>
  <si>
    <t>FcFreqCarriesMax</t>
  </si>
  <si>
    <r>
      <t>F0.15</t>
    </r>
    <r>
      <rPr>
        <sz val="10"/>
        <rFont val="宋体"/>
        <family val="3"/>
        <charset val="134"/>
      </rPr>
      <t/>
    </r>
  </si>
  <si>
    <t>速度滤波时间</t>
  </si>
  <si>
    <t>温度增量系数</t>
  </si>
  <si>
    <r>
      <t>F0.17</t>
    </r>
    <r>
      <rPr>
        <sz val="10"/>
        <rFont val="宋体"/>
        <family val="3"/>
        <charset val="134"/>
      </rPr>
      <t/>
    </r>
  </si>
  <si>
    <t>是否选刹车IO信号</t>
  </si>
  <si>
    <t>FcBrakeIO</t>
  </si>
  <si>
    <t>0~65535
0：不选
非零：选</t>
  </si>
  <si>
    <r>
      <t>F0.19</t>
    </r>
    <r>
      <rPr>
        <sz val="10"/>
        <rFont val="宋体"/>
        <family val="3"/>
        <charset val="134"/>
      </rPr>
      <t/>
    </r>
  </si>
  <si>
    <r>
      <t>F0.21</t>
    </r>
    <r>
      <rPr>
        <sz val="10"/>
        <rFont val="宋体"/>
        <family val="3"/>
        <charset val="134"/>
      </rPr>
      <t/>
    </r>
  </si>
  <si>
    <r>
      <t>F0.23</t>
    </r>
    <r>
      <rPr>
        <sz val="10"/>
        <rFont val="宋体"/>
        <family val="3"/>
        <charset val="134"/>
      </rPr>
      <t/>
    </r>
  </si>
  <si>
    <r>
      <t>F0.25</t>
    </r>
    <r>
      <rPr>
        <sz val="10"/>
        <rFont val="宋体"/>
        <family val="3"/>
        <charset val="134"/>
      </rPr>
      <t/>
    </r>
  </si>
  <si>
    <t>F0.26</t>
  </si>
  <si>
    <r>
      <t>F0.27</t>
    </r>
    <r>
      <rPr>
        <sz val="10"/>
        <rFont val="宋体"/>
        <family val="3"/>
        <charset val="134"/>
      </rPr>
      <t/>
    </r>
  </si>
  <si>
    <t>F0.28</t>
  </si>
  <si>
    <r>
      <t>F0.29</t>
    </r>
    <r>
      <rPr>
        <sz val="10"/>
        <rFont val="宋体"/>
        <family val="3"/>
        <charset val="134"/>
      </rPr>
      <t/>
    </r>
  </si>
  <si>
    <t>F0.30</t>
  </si>
  <si>
    <r>
      <t>F0.31</t>
    </r>
    <r>
      <rPr>
        <sz val="10"/>
        <rFont val="宋体"/>
        <family val="3"/>
        <charset val="134"/>
      </rPr>
      <t/>
    </r>
  </si>
  <si>
    <t>F0.32</t>
  </si>
  <si>
    <r>
      <t>F0.33</t>
    </r>
    <r>
      <rPr>
        <sz val="10"/>
        <rFont val="宋体"/>
        <family val="3"/>
        <charset val="134"/>
      </rPr>
      <t/>
    </r>
  </si>
  <si>
    <t>F0.34</t>
  </si>
  <si>
    <r>
      <t>F0.35</t>
    </r>
    <r>
      <rPr>
        <sz val="10"/>
        <rFont val="宋体"/>
        <family val="3"/>
        <charset val="134"/>
      </rPr>
      <t/>
    </r>
  </si>
  <si>
    <t>F0.36</t>
  </si>
  <si>
    <r>
      <t>F0.37</t>
    </r>
    <r>
      <rPr>
        <sz val="10"/>
        <rFont val="宋体"/>
        <family val="3"/>
        <charset val="134"/>
      </rPr>
      <t/>
    </r>
  </si>
  <si>
    <t>F0.38</t>
  </si>
  <si>
    <r>
      <t>F0.39</t>
    </r>
    <r>
      <rPr>
        <sz val="10"/>
        <rFont val="宋体"/>
        <family val="3"/>
        <charset val="134"/>
      </rPr>
      <t/>
    </r>
  </si>
  <si>
    <t>F0.40</t>
  </si>
  <si>
    <r>
      <t>F0.41</t>
    </r>
    <r>
      <rPr>
        <sz val="10"/>
        <rFont val="宋体"/>
        <family val="3"/>
        <charset val="134"/>
      </rPr>
      <t/>
    </r>
  </si>
  <si>
    <t>F0.42</t>
  </si>
  <si>
    <r>
      <t>F0.43</t>
    </r>
    <r>
      <rPr>
        <sz val="10"/>
        <rFont val="宋体"/>
        <family val="3"/>
        <charset val="134"/>
      </rPr>
      <t/>
    </r>
  </si>
  <si>
    <r>
      <t>FcReservedF043</t>
    </r>
    <r>
      <rPr>
        <sz val="10"/>
        <rFont val="宋体"/>
        <family val="3"/>
        <charset val="134"/>
      </rPr>
      <t/>
    </r>
  </si>
  <si>
    <t>F0.44</t>
  </si>
  <si>
    <r>
      <t>FcReservedF044</t>
    </r>
    <r>
      <rPr>
        <sz val="10"/>
        <rFont val="宋体"/>
        <family val="3"/>
        <charset val="134"/>
      </rPr>
      <t/>
    </r>
  </si>
  <si>
    <r>
      <t>F0.45</t>
    </r>
    <r>
      <rPr>
        <sz val="10"/>
        <rFont val="宋体"/>
        <family val="3"/>
        <charset val="134"/>
      </rPr>
      <t/>
    </r>
  </si>
  <si>
    <r>
      <t>FcReservedF045</t>
    </r>
    <r>
      <rPr>
        <sz val="10"/>
        <rFont val="宋体"/>
        <family val="3"/>
        <charset val="134"/>
      </rPr>
      <t/>
    </r>
  </si>
  <si>
    <t>F0.46</t>
  </si>
  <si>
    <r>
      <t>FcReservedF046</t>
    </r>
    <r>
      <rPr>
        <sz val="10"/>
        <rFont val="宋体"/>
        <family val="3"/>
        <charset val="134"/>
      </rPr>
      <t/>
    </r>
  </si>
  <si>
    <r>
      <t>F0.47</t>
    </r>
    <r>
      <rPr>
        <sz val="10"/>
        <rFont val="宋体"/>
        <family val="3"/>
        <charset val="134"/>
      </rPr>
      <t/>
    </r>
  </si>
  <si>
    <r>
      <t>FcReservedF047</t>
    </r>
    <r>
      <rPr>
        <sz val="10"/>
        <rFont val="宋体"/>
        <family val="3"/>
        <charset val="134"/>
      </rPr>
      <t/>
    </r>
  </si>
  <si>
    <r>
      <t>F</t>
    </r>
    <r>
      <rPr>
        <sz val="10"/>
        <rFont val="宋体"/>
        <family val="3"/>
        <charset val="134"/>
      </rPr>
      <t>1</t>
    </r>
    <r>
      <rPr>
        <sz val="10"/>
        <rFont val="宋体"/>
        <family val="3"/>
        <charset val="134"/>
      </rPr>
      <t>.</t>
    </r>
    <r>
      <rPr>
        <sz val="10"/>
        <rFont val="宋体"/>
        <family val="3"/>
        <charset val="134"/>
      </rPr>
      <t>00</t>
    </r>
  </si>
  <si>
    <t>高速封锁输出频率上限</t>
  </si>
  <si>
    <t>FcBusFreq1</t>
  </si>
  <si>
    <r>
      <t>F1</t>
    </r>
    <r>
      <rPr>
        <sz val="10"/>
        <rFont val="宋体"/>
        <family val="3"/>
        <charset val="134"/>
      </rPr>
      <t>.</t>
    </r>
    <r>
      <rPr>
        <sz val="10"/>
        <rFont val="宋体"/>
        <family val="3"/>
        <charset val="134"/>
      </rPr>
      <t>01</t>
    </r>
  </si>
  <si>
    <t>高速封锁输出频率下限</t>
  </si>
  <si>
    <t>FcBusFreq2</t>
  </si>
  <si>
    <r>
      <t>F</t>
    </r>
    <r>
      <rPr>
        <sz val="10"/>
        <rFont val="宋体"/>
        <family val="3"/>
        <charset val="134"/>
      </rPr>
      <t>1</t>
    </r>
    <r>
      <rPr>
        <sz val="10"/>
        <rFont val="宋体"/>
        <family val="3"/>
        <charset val="134"/>
      </rPr>
      <t>.</t>
    </r>
    <r>
      <rPr>
        <sz val="10"/>
        <rFont val="宋体"/>
        <family val="3"/>
        <charset val="134"/>
      </rPr>
      <t>02</t>
    </r>
    <r>
      <rPr>
        <sz val="11"/>
        <color indexed="8"/>
        <rFont val="宋体"/>
        <family val="3"/>
        <charset val="134"/>
      </rPr>
      <t/>
    </r>
  </si>
  <si>
    <r>
      <t>F1</t>
    </r>
    <r>
      <rPr>
        <sz val="10"/>
        <rFont val="宋体"/>
        <family val="3"/>
        <charset val="134"/>
      </rPr>
      <t>.</t>
    </r>
    <r>
      <rPr>
        <sz val="10"/>
        <rFont val="宋体"/>
        <family val="3"/>
        <charset val="134"/>
      </rPr>
      <t>03</t>
    </r>
    <r>
      <rPr>
        <sz val="11"/>
        <color indexed="8"/>
        <rFont val="宋体"/>
        <family val="3"/>
        <charset val="134"/>
      </rPr>
      <t/>
    </r>
  </si>
  <si>
    <t>单相保护电流</t>
  </si>
  <si>
    <t>FcSPhaseCurr</t>
  </si>
  <si>
    <r>
      <t>F</t>
    </r>
    <r>
      <rPr>
        <sz val="10"/>
        <rFont val="宋体"/>
        <family val="3"/>
        <charset val="134"/>
      </rPr>
      <t>1</t>
    </r>
    <r>
      <rPr>
        <sz val="10"/>
        <rFont val="宋体"/>
        <family val="3"/>
        <charset val="134"/>
      </rPr>
      <t>.</t>
    </r>
    <r>
      <rPr>
        <sz val="10"/>
        <rFont val="宋体"/>
        <family val="3"/>
        <charset val="134"/>
      </rPr>
      <t>04</t>
    </r>
    <r>
      <rPr>
        <sz val="11"/>
        <color indexed="8"/>
        <rFont val="宋体"/>
        <family val="3"/>
        <charset val="134"/>
      </rPr>
      <t/>
    </r>
  </si>
  <si>
    <t>单相保护时间</t>
  </si>
  <si>
    <t>FcSPhaseTime</t>
  </si>
  <si>
    <r>
      <t>F1</t>
    </r>
    <r>
      <rPr>
        <sz val="10"/>
        <rFont val="宋体"/>
        <family val="3"/>
        <charset val="134"/>
      </rPr>
      <t>.</t>
    </r>
    <r>
      <rPr>
        <sz val="10"/>
        <rFont val="宋体"/>
        <family val="3"/>
        <charset val="134"/>
      </rPr>
      <t>05</t>
    </r>
    <r>
      <rPr>
        <sz val="11"/>
        <color indexed="8"/>
        <rFont val="宋体"/>
        <family val="3"/>
        <charset val="134"/>
      </rPr>
      <t/>
    </r>
  </si>
  <si>
    <t>爬坡最大力矩</t>
  </si>
  <si>
    <t>FcMinSpdTorqMax</t>
  </si>
  <si>
    <r>
      <t>F</t>
    </r>
    <r>
      <rPr>
        <sz val="10"/>
        <rFont val="宋体"/>
        <family val="3"/>
        <charset val="134"/>
      </rPr>
      <t>1</t>
    </r>
    <r>
      <rPr>
        <sz val="10"/>
        <rFont val="宋体"/>
        <family val="3"/>
        <charset val="134"/>
      </rPr>
      <t>.</t>
    </r>
    <r>
      <rPr>
        <sz val="10"/>
        <rFont val="宋体"/>
        <family val="3"/>
        <charset val="134"/>
      </rPr>
      <t>06</t>
    </r>
    <r>
      <rPr>
        <sz val="11"/>
        <color indexed="8"/>
        <rFont val="宋体"/>
        <family val="3"/>
        <charset val="134"/>
      </rPr>
      <t/>
    </r>
  </si>
  <si>
    <t>爬坡判断最大速度</t>
  </si>
  <si>
    <t>FcSpdLimLPMax</t>
  </si>
  <si>
    <t>0~65535（防溜坡状态速度）</t>
  </si>
  <si>
    <r>
      <t>F1</t>
    </r>
    <r>
      <rPr>
        <sz val="10"/>
        <rFont val="宋体"/>
        <family val="3"/>
        <charset val="134"/>
      </rPr>
      <t>.</t>
    </r>
    <r>
      <rPr>
        <sz val="10"/>
        <rFont val="宋体"/>
        <family val="3"/>
        <charset val="134"/>
      </rPr>
      <t>07</t>
    </r>
    <r>
      <rPr>
        <sz val="11"/>
        <color indexed="8"/>
        <rFont val="宋体"/>
        <family val="3"/>
        <charset val="134"/>
      </rPr>
      <t/>
    </r>
  </si>
  <si>
    <r>
      <t>F</t>
    </r>
    <r>
      <rPr>
        <sz val="10"/>
        <rFont val="宋体"/>
        <family val="3"/>
        <charset val="134"/>
      </rPr>
      <t>1</t>
    </r>
    <r>
      <rPr>
        <sz val="10"/>
        <rFont val="宋体"/>
        <family val="3"/>
        <charset val="134"/>
      </rPr>
      <t>.</t>
    </r>
    <r>
      <rPr>
        <sz val="10"/>
        <rFont val="宋体"/>
        <family val="3"/>
        <charset val="134"/>
      </rPr>
      <t>08</t>
    </r>
    <r>
      <rPr>
        <sz val="11"/>
        <color indexed="8"/>
        <rFont val="宋体"/>
        <family val="3"/>
        <charset val="134"/>
      </rPr>
      <t/>
    </r>
  </si>
  <si>
    <r>
      <t>Fc</t>
    </r>
    <r>
      <rPr>
        <sz val="10"/>
        <rFont val="宋体"/>
        <family val="3"/>
        <charset val="134"/>
      </rPr>
      <t>PrunOkTorqMax</t>
    </r>
  </si>
  <si>
    <r>
      <t>F1</t>
    </r>
    <r>
      <rPr>
        <sz val="10"/>
        <rFont val="宋体"/>
        <family val="3"/>
        <charset val="134"/>
      </rPr>
      <t>.</t>
    </r>
    <r>
      <rPr>
        <sz val="10"/>
        <rFont val="宋体"/>
        <family val="3"/>
        <charset val="134"/>
      </rPr>
      <t>09</t>
    </r>
    <r>
      <rPr>
        <sz val="11"/>
        <color indexed="8"/>
        <rFont val="宋体"/>
        <family val="3"/>
        <charset val="134"/>
      </rPr>
      <t/>
    </r>
  </si>
  <si>
    <r>
      <t>FcSwitFreq1</t>
    </r>
    <r>
      <rPr>
        <sz val="10"/>
        <rFont val="宋体"/>
        <family val="3"/>
        <charset val="134"/>
      </rPr>
      <t>TorqMax</t>
    </r>
  </si>
  <si>
    <t>0.00Hz～d2.06</t>
  </si>
  <si>
    <r>
      <t>F</t>
    </r>
    <r>
      <rPr>
        <sz val="10"/>
        <rFont val="宋体"/>
        <family val="3"/>
        <charset val="134"/>
      </rPr>
      <t>1</t>
    </r>
    <r>
      <rPr>
        <sz val="10"/>
        <rFont val="宋体"/>
        <family val="3"/>
        <charset val="134"/>
      </rPr>
      <t>.</t>
    </r>
    <r>
      <rPr>
        <sz val="10"/>
        <rFont val="宋体"/>
        <family val="3"/>
        <charset val="134"/>
      </rPr>
      <t>10</t>
    </r>
    <r>
      <rPr>
        <sz val="11"/>
        <color indexed="8"/>
        <rFont val="宋体"/>
        <family val="3"/>
        <charset val="134"/>
      </rPr>
      <t/>
    </r>
  </si>
  <si>
    <r>
      <t>FcSwitFreq2TorqMax</t>
    </r>
    <r>
      <rPr>
        <sz val="10"/>
        <rFont val="宋体"/>
        <family val="3"/>
        <charset val="134"/>
      </rPr>
      <t/>
    </r>
  </si>
  <si>
    <t>d2.05～上限频率</t>
  </si>
  <si>
    <r>
      <t>F1</t>
    </r>
    <r>
      <rPr>
        <sz val="10"/>
        <rFont val="宋体"/>
        <family val="3"/>
        <charset val="134"/>
      </rPr>
      <t>.</t>
    </r>
    <r>
      <rPr>
        <sz val="10"/>
        <rFont val="宋体"/>
        <family val="3"/>
        <charset val="134"/>
      </rPr>
      <t>11</t>
    </r>
    <r>
      <rPr>
        <sz val="11"/>
        <color indexed="8"/>
        <rFont val="宋体"/>
        <family val="3"/>
        <charset val="134"/>
      </rPr>
      <t/>
    </r>
  </si>
  <si>
    <t>低速力矩</t>
  </si>
  <si>
    <t>FcLowSpdTorqMax</t>
  </si>
  <si>
    <r>
      <t>F</t>
    </r>
    <r>
      <rPr>
        <sz val="10"/>
        <rFont val="宋体"/>
        <family val="3"/>
        <charset val="134"/>
      </rPr>
      <t>1</t>
    </r>
    <r>
      <rPr>
        <sz val="10"/>
        <rFont val="宋体"/>
        <family val="3"/>
        <charset val="134"/>
      </rPr>
      <t>.</t>
    </r>
    <r>
      <rPr>
        <sz val="10"/>
        <rFont val="宋体"/>
        <family val="3"/>
        <charset val="134"/>
      </rPr>
      <t>12</t>
    </r>
    <r>
      <rPr>
        <sz val="11"/>
        <color indexed="8"/>
        <rFont val="宋体"/>
        <family val="3"/>
        <charset val="134"/>
      </rPr>
      <t/>
    </r>
  </si>
  <si>
    <t>速度超限故障点</t>
  </si>
  <si>
    <t>FcSpdLimitUp</t>
  </si>
  <si>
    <r>
      <t>F1</t>
    </r>
    <r>
      <rPr>
        <sz val="10"/>
        <rFont val="宋体"/>
        <family val="3"/>
        <charset val="134"/>
      </rPr>
      <t>.</t>
    </r>
    <r>
      <rPr>
        <sz val="10"/>
        <rFont val="宋体"/>
        <family val="3"/>
        <charset val="134"/>
      </rPr>
      <t>13</t>
    </r>
    <r>
      <rPr>
        <sz val="11"/>
        <color indexed="8"/>
        <rFont val="宋体"/>
        <family val="3"/>
        <charset val="134"/>
      </rPr>
      <t/>
    </r>
  </si>
  <si>
    <t>控制器过温点</t>
  </si>
  <si>
    <t>FcConvTempOvPoint</t>
  </si>
  <si>
    <r>
      <t>F</t>
    </r>
    <r>
      <rPr>
        <sz val="10"/>
        <rFont val="宋体"/>
        <family val="3"/>
        <charset val="134"/>
      </rPr>
      <t>1</t>
    </r>
    <r>
      <rPr>
        <sz val="10"/>
        <rFont val="宋体"/>
        <family val="3"/>
        <charset val="134"/>
      </rPr>
      <t>.</t>
    </r>
    <r>
      <rPr>
        <sz val="10"/>
        <rFont val="宋体"/>
        <family val="3"/>
        <charset val="134"/>
      </rPr>
      <t>14</t>
    </r>
    <r>
      <rPr>
        <sz val="11"/>
        <color indexed="8"/>
        <rFont val="宋体"/>
        <family val="3"/>
        <charset val="134"/>
      </rPr>
      <t/>
    </r>
  </si>
  <si>
    <r>
      <t>P</t>
    </r>
    <r>
      <rPr>
        <sz val="10"/>
        <rFont val="宋体"/>
        <family val="3"/>
        <charset val="134"/>
      </rPr>
      <t>G6断线保护时间</t>
    </r>
  </si>
  <si>
    <t>FcPG6ErrorTime</t>
  </si>
  <si>
    <r>
      <t>F1</t>
    </r>
    <r>
      <rPr>
        <sz val="10"/>
        <rFont val="宋体"/>
        <family val="3"/>
        <charset val="134"/>
      </rPr>
      <t>.</t>
    </r>
    <r>
      <rPr>
        <sz val="10"/>
        <rFont val="宋体"/>
        <family val="3"/>
        <charset val="134"/>
      </rPr>
      <t>15</t>
    </r>
    <r>
      <rPr>
        <sz val="11"/>
        <color indexed="8"/>
        <rFont val="宋体"/>
        <family val="3"/>
        <charset val="134"/>
      </rPr>
      <t/>
    </r>
  </si>
  <si>
    <t>对地短路低压电点</t>
  </si>
  <si>
    <t>FcLowVolPoint</t>
  </si>
  <si>
    <r>
      <t>F</t>
    </r>
    <r>
      <rPr>
        <sz val="10"/>
        <rFont val="宋体"/>
        <family val="3"/>
        <charset val="134"/>
      </rPr>
      <t>1</t>
    </r>
    <r>
      <rPr>
        <sz val="10"/>
        <rFont val="宋体"/>
        <family val="3"/>
        <charset val="134"/>
      </rPr>
      <t>.</t>
    </r>
    <r>
      <rPr>
        <sz val="10"/>
        <rFont val="宋体"/>
        <family val="3"/>
        <charset val="134"/>
      </rPr>
      <t>16</t>
    </r>
    <r>
      <rPr>
        <sz val="11"/>
        <color indexed="8"/>
        <rFont val="宋体"/>
        <family val="3"/>
        <charset val="134"/>
      </rPr>
      <t/>
    </r>
  </si>
  <si>
    <t>对地短路高压电点</t>
  </si>
  <si>
    <t>FcHighVolPoint</t>
  </si>
  <si>
    <r>
      <t>F1</t>
    </r>
    <r>
      <rPr>
        <sz val="10"/>
        <rFont val="宋体"/>
        <family val="3"/>
        <charset val="134"/>
      </rPr>
      <t>.</t>
    </r>
    <r>
      <rPr>
        <sz val="10"/>
        <rFont val="宋体"/>
        <family val="3"/>
        <charset val="134"/>
      </rPr>
      <t>17</t>
    </r>
    <r>
      <rPr>
        <sz val="11"/>
        <color indexed="8"/>
        <rFont val="宋体"/>
        <family val="3"/>
        <charset val="134"/>
      </rPr>
      <t/>
    </r>
  </si>
  <si>
    <t>直流对地故障屏蔽</t>
  </si>
  <si>
    <r>
      <t>Fc</t>
    </r>
    <r>
      <rPr>
        <sz val="10"/>
        <rFont val="宋体"/>
        <family val="3"/>
        <charset val="134"/>
      </rPr>
      <t>DCVolGndMask</t>
    </r>
  </si>
  <si>
    <r>
      <t>F</t>
    </r>
    <r>
      <rPr>
        <sz val="10"/>
        <rFont val="宋体"/>
        <family val="3"/>
        <charset val="134"/>
      </rPr>
      <t>1</t>
    </r>
    <r>
      <rPr>
        <sz val="10"/>
        <rFont val="宋体"/>
        <family val="3"/>
        <charset val="134"/>
      </rPr>
      <t>.</t>
    </r>
    <r>
      <rPr>
        <sz val="10"/>
        <rFont val="宋体"/>
        <family val="3"/>
        <charset val="134"/>
      </rPr>
      <t>18</t>
    </r>
    <r>
      <rPr>
        <sz val="11"/>
        <color indexed="8"/>
        <rFont val="宋体"/>
        <family val="3"/>
        <charset val="134"/>
      </rPr>
      <t/>
    </r>
  </si>
  <si>
    <t>交流对地故障屏蔽</t>
  </si>
  <si>
    <t>FcACVolGndMask</t>
  </si>
  <si>
    <r>
      <t>F1</t>
    </r>
    <r>
      <rPr>
        <sz val="10"/>
        <rFont val="宋体"/>
        <family val="3"/>
        <charset val="134"/>
      </rPr>
      <t>.</t>
    </r>
    <r>
      <rPr>
        <sz val="10"/>
        <rFont val="宋体"/>
        <family val="3"/>
        <charset val="134"/>
      </rPr>
      <t>19</t>
    </r>
    <r>
      <rPr>
        <sz val="11"/>
        <color indexed="8"/>
        <rFont val="宋体"/>
        <family val="3"/>
        <charset val="134"/>
      </rPr>
      <t/>
    </r>
  </si>
  <si>
    <r>
      <t>F</t>
    </r>
    <r>
      <rPr>
        <sz val="10"/>
        <rFont val="宋体"/>
        <family val="3"/>
        <charset val="134"/>
      </rPr>
      <t>1</t>
    </r>
    <r>
      <rPr>
        <sz val="10"/>
        <rFont val="宋体"/>
        <family val="3"/>
        <charset val="134"/>
      </rPr>
      <t>.</t>
    </r>
    <r>
      <rPr>
        <sz val="10"/>
        <rFont val="宋体"/>
        <family val="3"/>
        <charset val="134"/>
      </rPr>
      <t>20</t>
    </r>
    <r>
      <rPr>
        <sz val="11"/>
        <color indexed="8"/>
        <rFont val="宋体"/>
        <family val="3"/>
        <charset val="134"/>
      </rPr>
      <t/>
    </r>
  </si>
  <si>
    <t>直流负端侧对地检测次数</t>
  </si>
  <si>
    <t>FcDCNVolGndNum</t>
  </si>
  <si>
    <r>
      <t>F1</t>
    </r>
    <r>
      <rPr>
        <sz val="10"/>
        <rFont val="宋体"/>
        <family val="3"/>
        <charset val="134"/>
      </rPr>
      <t>.</t>
    </r>
    <r>
      <rPr>
        <sz val="10"/>
        <rFont val="宋体"/>
        <family val="3"/>
        <charset val="134"/>
      </rPr>
      <t>21</t>
    </r>
    <r>
      <rPr>
        <sz val="11"/>
        <color indexed="8"/>
        <rFont val="宋体"/>
        <family val="3"/>
        <charset val="134"/>
      </rPr>
      <t/>
    </r>
  </si>
  <si>
    <t>交流侧对地检测次数</t>
  </si>
  <si>
    <t>FcACVolGndNum</t>
  </si>
  <si>
    <r>
      <t>F</t>
    </r>
    <r>
      <rPr>
        <sz val="10"/>
        <rFont val="宋体"/>
        <family val="3"/>
        <charset val="134"/>
      </rPr>
      <t>1</t>
    </r>
    <r>
      <rPr>
        <sz val="10"/>
        <rFont val="宋体"/>
        <family val="3"/>
        <charset val="134"/>
      </rPr>
      <t>.</t>
    </r>
    <r>
      <rPr>
        <sz val="10"/>
        <rFont val="宋体"/>
        <family val="3"/>
        <charset val="134"/>
      </rPr>
      <t>22</t>
    </r>
    <r>
      <rPr>
        <sz val="11"/>
        <color indexed="8"/>
        <rFont val="宋体"/>
        <family val="3"/>
        <charset val="134"/>
      </rPr>
      <t/>
    </r>
  </si>
  <si>
    <t>电动转矩限制</t>
  </si>
  <si>
    <t>FcDrvTorqLimJJE</t>
  </si>
  <si>
    <r>
      <t>F1</t>
    </r>
    <r>
      <rPr>
        <sz val="10"/>
        <rFont val="宋体"/>
        <family val="3"/>
        <charset val="134"/>
      </rPr>
      <t>.</t>
    </r>
    <r>
      <rPr>
        <sz val="10"/>
        <rFont val="宋体"/>
        <family val="3"/>
        <charset val="134"/>
      </rPr>
      <t>23</t>
    </r>
    <r>
      <rPr>
        <sz val="11"/>
        <color indexed="8"/>
        <rFont val="宋体"/>
        <family val="3"/>
        <charset val="134"/>
      </rPr>
      <t/>
    </r>
  </si>
  <si>
    <t>制动转矩限制</t>
  </si>
  <si>
    <t>FcBrkTorqLimJJE</t>
  </si>
  <si>
    <r>
      <t>F</t>
    </r>
    <r>
      <rPr>
        <sz val="10"/>
        <rFont val="宋体"/>
        <family val="3"/>
        <charset val="134"/>
      </rPr>
      <t>1</t>
    </r>
    <r>
      <rPr>
        <sz val="10"/>
        <rFont val="宋体"/>
        <family val="3"/>
        <charset val="134"/>
      </rPr>
      <t>.</t>
    </r>
    <r>
      <rPr>
        <sz val="10"/>
        <rFont val="宋体"/>
        <family val="3"/>
        <charset val="134"/>
      </rPr>
      <t>24</t>
    </r>
    <r>
      <rPr>
        <sz val="11"/>
        <color indexed="8"/>
        <rFont val="宋体"/>
        <family val="3"/>
        <charset val="134"/>
      </rPr>
      <t/>
    </r>
  </si>
  <si>
    <t>制动转矩限制起始频率</t>
  </si>
  <si>
    <t>FcBrkTorqLimFreq</t>
  </si>
  <si>
    <r>
      <t>F1</t>
    </r>
    <r>
      <rPr>
        <sz val="10"/>
        <rFont val="宋体"/>
        <family val="3"/>
        <charset val="134"/>
      </rPr>
      <t>.</t>
    </r>
    <r>
      <rPr>
        <sz val="10"/>
        <rFont val="宋体"/>
        <family val="3"/>
        <charset val="134"/>
      </rPr>
      <t>25</t>
    </r>
    <r>
      <rPr>
        <sz val="11"/>
        <color indexed="8"/>
        <rFont val="宋体"/>
        <family val="3"/>
        <charset val="134"/>
      </rPr>
      <t/>
    </r>
  </si>
  <si>
    <r>
      <t>F</t>
    </r>
    <r>
      <rPr>
        <sz val="10"/>
        <rFont val="宋体"/>
        <family val="3"/>
        <charset val="134"/>
      </rPr>
      <t>1</t>
    </r>
    <r>
      <rPr>
        <sz val="10"/>
        <rFont val="宋体"/>
        <family val="3"/>
        <charset val="134"/>
      </rPr>
      <t>.</t>
    </r>
    <r>
      <rPr>
        <sz val="10"/>
        <rFont val="宋体"/>
        <family val="3"/>
        <charset val="134"/>
      </rPr>
      <t>26</t>
    </r>
    <r>
      <rPr>
        <sz val="11"/>
        <color indexed="8"/>
        <rFont val="宋体"/>
        <family val="3"/>
        <charset val="134"/>
      </rPr>
      <t/>
    </r>
  </si>
  <si>
    <r>
      <t>F1</t>
    </r>
    <r>
      <rPr>
        <sz val="10"/>
        <rFont val="宋体"/>
        <family val="3"/>
        <charset val="134"/>
      </rPr>
      <t>.</t>
    </r>
    <r>
      <rPr>
        <sz val="10"/>
        <rFont val="宋体"/>
        <family val="3"/>
        <charset val="134"/>
      </rPr>
      <t>27</t>
    </r>
    <r>
      <rPr>
        <sz val="11"/>
        <color indexed="8"/>
        <rFont val="宋体"/>
        <family val="3"/>
        <charset val="134"/>
      </rPr>
      <t/>
    </r>
  </si>
  <si>
    <r>
      <t>F</t>
    </r>
    <r>
      <rPr>
        <sz val="10"/>
        <rFont val="宋体"/>
        <family val="3"/>
        <charset val="134"/>
      </rPr>
      <t>1</t>
    </r>
    <r>
      <rPr>
        <sz val="10"/>
        <rFont val="宋体"/>
        <family val="3"/>
        <charset val="134"/>
      </rPr>
      <t>.</t>
    </r>
    <r>
      <rPr>
        <sz val="10"/>
        <rFont val="宋体"/>
        <family val="3"/>
        <charset val="134"/>
      </rPr>
      <t>28</t>
    </r>
    <r>
      <rPr>
        <sz val="11"/>
        <color indexed="8"/>
        <rFont val="宋体"/>
        <family val="3"/>
        <charset val="134"/>
      </rPr>
      <t/>
    </r>
  </si>
  <si>
    <r>
      <t>F1</t>
    </r>
    <r>
      <rPr>
        <sz val="10"/>
        <rFont val="宋体"/>
        <family val="3"/>
        <charset val="134"/>
      </rPr>
      <t>.</t>
    </r>
    <r>
      <rPr>
        <sz val="10"/>
        <rFont val="宋体"/>
        <family val="3"/>
        <charset val="134"/>
      </rPr>
      <t>29</t>
    </r>
    <r>
      <rPr>
        <sz val="11"/>
        <color indexed="8"/>
        <rFont val="宋体"/>
        <family val="3"/>
        <charset val="134"/>
      </rPr>
      <t/>
    </r>
  </si>
  <si>
    <r>
      <t>F</t>
    </r>
    <r>
      <rPr>
        <sz val="10"/>
        <rFont val="宋体"/>
        <family val="3"/>
        <charset val="134"/>
      </rPr>
      <t>1</t>
    </r>
    <r>
      <rPr>
        <sz val="10"/>
        <rFont val="宋体"/>
        <family val="3"/>
        <charset val="134"/>
      </rPr>
      <t>.</t>
    </r>
    <r>
      <rPr>
        <sz val="10"/>
        <rFont val="宋体"/>
        <family val="3"/>
        <charset val="134"/>
      </rPr>
      <t>30</t>
    </r>
    <r>
      <rPr>
        <sz val="11"/>
        <color indexed="8"/>
        <rFont val="宋体"/>
        <family val="3"/>
        <charset val="134"/>
      </rPr>
      <t/>
    </r>
  </si>
  <si>
    <r>
      <t>F1</t>
    </r>
    <r>
      <rPr>
        <sz val="10"/>
        <rFont val="宋体"/>
        <family val="3"/>
        <charset val="134"/>
      </rPr>
      <t>.</t>
    </r>
    <r>
      <rPr>
        <sz val="10"/>
        <rFont val="宋体"/>
        <family val="3"/>
        <charset val="134"/>
      </rPr>
      <t>31</t>
    </r>
    <r>
      <rPr>
        <sz val="11"/>
        <color indexed="8"/>
        <rFont val="宋体"/>
        <family val="3"/>
        <charset val="134"/>
      </rPr>
      <t/>
    </r>
  </si>
  <si>
    <r>
      <t>F</t>
    </r>
    <r>
      <rPr>
        <sz val="10"/>
        <rFont val="宋体"/>
        <family val="3"/>
        <charset val="134"/>
      </rPr>
      <t>1</t>
    </r>
    <r>
      <rPr>
        <sz val="10"/>
        <rFont val="宋体"/>
        <family val="3"/>
        <charset val="134"/>
      </rPr>
      <t>.</t>
    </r>
    <r>
      <rPr>
        <sz val="10"/>
        <rFont val="宋体"/>
        <family val="3"/>
        <charset val="134"/>
      </rPr>
      <t>32</t>
    </r>
    <r>
      <rPr>
        <sz val="11"/>
        <color indexed="8"/>
        <rFont val="宋体"/>
        <family val="3"/>
        <charset val="134"/>
      </rPr>
      <t/>
    </r>
  </si>
  <si>
    <r>
      <t>F1</t>
    </r>
    <r>
      <rPr>
        <sz val="10"/>
        <rFont val="宋体"/>
        <family val="3"/>
        <charset val="134"/>
      </rPr>
      <t>.</t>
    </r>
    <r>
      <rPr>
        <sz val="10"/>
        <rFont val="宋体"/>
        <family val="3"/>
        <charset val="134"/>
      </rPr>
      <t>33</t>
    </r>
    <r>
      <rPr>
        <sz val="11"/>
        <color indexed="8"/>
        <rFont val="宋体"/>
        <family val="3"/>
        <charset val="134"/>
      </rPr>
      <t/>
    </r>
  </si>
  <si>
    <r>
      <t>F</t>
    </r>
    <r>
      <rPr>
        <sz val="10"/>
        <rFont val="宋体"/>
        <family val="3"/>
        <charset val="134"/>
      </rPr>
      <t>1</t>
    </r>
    <r>
      <rPr>
        <sz val="10"/>
        <rFont val="宋体"/>
        <family val="3"/>
        <charset val="134"/>
      </rPr>
      <t>.</t>
    </r>
    <r>
      <rPr>
        <sz val="10"/>
        <rFont val="宋体"/>
        <family val="3"/>
        <charset val="134"/>
      </rPr>
      <t>34</t>
    </r>
    <r>
      <rPr>
        <sz val="11"/>
        <color indexed="8"/>
        <rFont val="宋体"/>
        <family val="3"/>
        <charset val="134"/>
      </rPr>
      <t/>
    </r>
  </si>
  <si>
    <r>
      <t>F1</t>
    </r>
    <r>
      <rPr>
        <sz val="10"/>
        <rFont val="宋体"/>
        <family val="3"/>
        <charset val="134"/>
      </rPr>
      <t>.</t>
    </r>
    <r>
      <rPr>
        <sz val="10"/>
        <rFont val="宋体"/>
        <family val="3"/>
        <charset val="134"/>
      </rPr>
      <t>35</t>
    </r>
    <r>
      <rPr>
        <sz val="11"/>
        <color indexed="8"/>
        <rFont val="宋体"/>
        <family val="3"/>
        <charset val="134"/>
      </rPr>
      <t/>
    </r>
  </si>
  <si>
    <r>
      <t>F</t>
    </r>
    <r>
      <rPr>
        <sz val="10"/>
        <rFont val="宋体"/>
        <family val="3"/>
        <charset val="134"/>
      </rPr>
      <t>1</t>
    </r>
    <r>
      <rPr>
        <sz val="10"/>
        <rFont val="宋体"/>
        <family val="3"/>
        <charset val="134"/>
      </rPr>
      <t>.</t>
    </r>
    <r>
      <rPr>
        <sz val="10"/>
        <rFont val="宋体"/>
        <family val="3"/>
        <charset val="134"/>
      </rPr>
      <t>36</t>
    </r>
    <r>
      <rPr>
        <sz val="11"/>
        <color indexed="8"/>
        <rFont val="宋体"/>
        <family val="3"/>
        <charset val="134"/>
      </rPr>
      <t/>
    </r>
  </si>
  <si>
    <r>
      <t>F1</t>
    </r>
    <r>
      <rPr>
        <sz val="10"/>
        <rFont val="宋体"/>
        <family val="3"/>
        <charset val="134"/>
      </rPr>
      <t>.</t>
    </r>
    <r>
      <rPr>
        <sz val="10"/>
        <rFont val="宋体"/>
        <family val="3"/>
        <charset val="134"/>
      </rPr>
      <t>37</t>
    </r>
    <r>
      <rPr>
        <sz val="11"/>
        <color indexed="8"/>
        <rFont val="宋体"/>
        <family val="3"/>
        <charset val="134"/>
      </rPr>
      <t/>
    </r>
  </si>
  <si>
    <r>
      <t>F</t>
    </r>
    <r>
      <rPr>
        <sz val="10"/>
        <rFont val="宋体"/>
        <family val="3"/>
        <charset val="134"/>
      </rPr>
      <t>1</t>
    </r>
    <r>
      <rPr>
        <sz val="10"/>
        <rFont val="宋体"/>
        <family val="3"/>
        <charset val="134"/>
      </rPr>
      <t>.</t>
    </r>
    <r>
      <rPr>
        <sz val="10"/>
        <rFont val="宋体"/>
        <family val="3"/>
        <charset val="134"/>
      </rPr>
      <t>38</t>
    </r>
    <r>
      <rPr>
        <sz val="11"/>
        <color indexed="8"/>
        <rFont val="宋体"/>
        <family val="3"/>
        <charset val="134"/>
      </rPr>
      <t/>
    </r>
  </si>
  <si>
    <t>FcReservedF138</t>
  </si>
  <si>
    <r>
      <t>F1</t>
    </r>
    <r>
      <rPr>
        <sz val="10"/>
        <rFont val="宋体"/>
        <family val="3"/>
        <charset val="134"/>
      </rPr>
      <t>.</t>
    </r>
    <r>
      <rPr>
        <sz val="10"/>
        <rFont val="宋体"/>
        <family val="3"/>
        <charset val="134"/>
      </rPr>
      <t>39</t>
    </r>
    <r>
      <rPr>
        <sz val="11"/>
        <color indexed="8"/>
        <rFont val="宋体"/>
        <family val="3"/>
        <charset val="134"/>
      </rPr>
      <t/>
    </r>
  </si>
  <si>
    <t>FcReservedF139</t>
  </si>
  <si>
    <r>
      <t>F2</t>
    </r>
    <r>
      <rPr>
        <sz val="10"/>
        <rFont val="宋体"/>
        <family val="3"/>
        <charset val="134"/>
      </rPr>
      <t>.</t>
    </r>
    <r>
      <rPr>
        <sz val="10"/>
        <rFont val="宋体"/>
        <family val="3"/>
        <charset val="134"/>
      </rPr>
      <t>00</t>
    </r>
  </si>
  <si>
    <t>PMSM控制模式</t>
  </si>
  <si>
    <t>FcMtpaEnable</t>
  </si>
  <si>
    <r>
      <t>F2</t>
    </r>
    <r>
      <rPr>
        <sz val="10"/>
        <rFont val="宋体"/>
        <family val="3"/>
        <charset val="134"/>
      </rPr>
      <t>.</t>
    </r>
    <r>
      <rPr>
        <sz val="10"/>
        <rFont val="宋体"/>
        <family val="3"/>
        <charset val="134"/>
      </rPr>
      <t>01</t>
    </r>
  </si>
  <si>
    <t>MTPA调试参数</t>
  </si>
  <si>
    <r>
      <t>F2</t>
    </r>
    <r>
      <rPr>
        <sz val="10"/>
        <rFont val="宋体"/>
        <family val="3"/>
        <charset val="134"/>
      </rPr>
      <t>.</t>
    </r>
    <r>
      <rPr>
        <sz val="10"/>
        <rFont val="宋体"/>
        <family val="3"/>
        <charset val="134"/>
      </rPr>
      <t>02</t>
    </r>
    <r>
      <rPr>
        <sz val="11"/>
        <color indexed="8"/>
        <rFont val="宋体"/>
        <family val="3"/>
        <charset val="134"/>
      </rPr>
      <t/>
    </r>
  </si>
  <si>
    <t>0.000～4.000</t>
  </si>
  <si>
    <r>
      <t>F2</t>
    </r>
    <r>
      <rPr>
        <sz val="10"/>
        <rFont val="宋体"/>
        <family val="3"/>
        <charset val="134"/>
      </rPr>
      <t>.</t>
    </r>
    <r>
      <rPr>
        <sz val="10"/>
        <rFont val="宋体"/>
        <family val="3"/>
        <charset val="134"/>
      </rPr>
      <t>03</t>
    </r>
    <r>
      <rPr>
        <sz val="11"/>
        <color indexed="8"/>
        <rFont val="宋体"/>
        <family val="3"/>
        <charset val="134"/>
      </rPr>
      <t/>
    </r>
  </si>
  <si>
    <r>
      <t>F2</t>
    </r>
    <r>
      <rPr>
        <sz val="10"/>
        <rFont val="宋体"/>
        <family val="3"/>
        <charset val="134"/>
      </rPr>
      <t>.</t>
    </r>
    <r>
      <rPr>
        <sz val="10"/>
        <rFont val="宋体"/>
        <family val="3"/>
        <charset val="134"/>
      </rPr>
      <t>04</t>
    </r>
    <r>
      <rPr>
        <sz val="11"/>
        <color indexed="8"/>
        <rFont val="宋体"/>
        <family val="3"/>
        <charset val="134"/>
      </rPr>
      <t/>
    </r>
  </si>
  <si>
    <t>弱磁环优化控制使能</t>
  </si>
  <si>
    <t>FcReservedF525</t>
  </si>
  <si>
    <r>
      <t>F2</t>
    </r>
    <r>
      <rPr>
        <sz val="10"/>
        <rFont val="宋体"/>
        <family val="3"/>
        <charset val="134"/>
      </rPr>
      <t>.</t>
    </r>
    <r>
      <rPr>
        <sz val="10"/>
        <rFont val="宋体"/>
        <family val="3"/>
        <charset val="134"/>
      </rPr>
      <t>05</t>
    </r>
    <r>
      <rPr>
        <sz val="11"/>
        <color indexed="8"/>
        <rFont val="宋体"/>
        <family val="3"/>
        <charset val="134"/>
      </rPr>
      <t/>
    </r>
  </si>
  <si>
    <t>弱磁电压Kp</t>
  </si>
  <si>
    <t>FcCurrCoffKp</t>
  </si>
  <si>
    <r>
      <t>F2</t>
    </r>
    <r>
      <rPr>
        <sz val="10"/>
        <rFont val="宋体"/>
        <family val="3"/>
        <charset val="134"/>
      </rPr>
      <t>.</t>
    </r>
    <r>
      <rPr>
        <sz val="10"/>
        <rFont val="宋体"/>
        <family val="3"/>
        <charset val="134"/>
      </rPr>
      <t>06</t>
    </r>
    <r>
      <rPr>
        <sz val="11"/>
        <color indexed="8"/>
        <rFont val="宋体"/>
        <family val="3"/>
        <charset val="134"/>
      </rPr>
      <t/>
    </r>
  </si>
  <si>
    <t>弱磁电压Ki</t>
  </si>
  <si>
    <t>FcCurrCoffKi</t>
  </si>
  <si>
    <r>
      <t>F2</t>
    </r>
    <r>
      <rPr>
        <sz val="10"/>
        <rFont val="宋体"/>
        <family val="3"/>
        <charset val="134"/>
      </rPr>
      <t>.</t>
    </r>
    <r>
      <rPr>
        <sz val="10"/>
        <rFont val="宋体"/>
        <family val="3"/>
        <charset val="134"/>
      </rPr>
      <t>07</t>
    </r>
    <r>
      <rPr>
        <sz val="11"/>
        <color indexed="8"/>
        <rFont val="宋体"/>
        <family val="3"/>
        <charset val="134"/>
      </rPr>
      <t/>
    </r>
  </si>
  <si>
    <t>弱磁滞环</t>
  </si>
  <si>
    <t>FcCurrDZH</t>
  </si>
  <si>
    <r>
      <t>F2</t>
    </r>
    <r>
      <rPr>
        <sz val="10"/>
        <rFont val="宋体"/>
        <family val="3"/>
        <charset val="134"/>
      </rPr>
      <t>.</t>
    </r>
    <r>
      <rPr>
        <sz val="10"/>
        <rFont val="宋体"/>
        <family val="3"/>
        <charset val="134"/>
      </rPr>
      <t>08</t>
    </r>
    <r>
      <rPr>
        <sz val="11"/>
        <color indexed="8"/>
        <rFont val="宋体"/>
        <family val="3"/>
        <charset val="134"/>
      </rPr>
      <t/>
    </r>
  </si>
  <si>
    <r>
      <t>F2</t>
    </r>
    <r>
      <rPr>
        <sz val="10"/>
        <rFont val="宋体"/>
        <family val="3"/>
        <charset val="134"/>
      </rPr>
      <t>.</t>
    </r>
    <r>
      <rPr>
        <sz val="10"/>
        <rFont val="宋体"/>
        <family val="3"/>
        <charset val="134"/>
      </rPr>
      <t>09</t>
    </r>
    <r>
      <rPr>
        <sz val="11"/>
        <color indexed="8"/>
        <rFont val="宋体"/>
        <family val="3"/>
        <charset val="134"/>
      </rPr>
      <t/>
    </r>
  </si>
  <si>
    <t>转矩环校正系数</t>
  </si>
  <si>
    <t>FcIPMTorqLoopK</t>
  </si>
  <si>
    <r>
      <t>F2</t>
    </r>
    <r>
      <rPr>
        <sz val="10"/>
        <rFont val="宋体"/>
        <family val="3"/>
        <charset val="134"/>
      </rPr>
      <t>.</t>
    </r>
    <r>
      <rPr>
        <sz val="10"/>
        <rFont val="宋体"/>
        <family val="3"/>
        <charset val="134"/>
      </rPr>
      <t>10</t>
    </r>
    <r>
      <rPr>
        <sz val="11"/>
        <color indexed="8"/>
        <rFont val="宋体"/>
        <family val="3"/>
        <charset val="134"/>
      </rPr>
      <t/>
    </r>
  </si>
  <si>
    <t>转矩环比例系数</t>
  </si>
  <si>
    <r>
      <t>F2</t>
    </r>
    <r>
      <rPr>
        <sz val="10"/>
        <rFont val="宋体"/>
        <family val="3"/>
        <charset val="134"/>
      </rPr>
      <t>.</t>
    </r>
    <r>
      <rPr>
        <sz val="10"/>
        <rFont val="宋体"/>
        <family val="3"/>
        <charset val="134"/>
      </rPr>
      <t>11</t>
    </r>
    <r>
      <rPr>
        <sz val="11"/>
        <color indexed="8"/>
        <rFont val="宋体"/>
        <family val="3"/>
        <charset val="134"/>
      </rPr>
      <t/>
    </r>
  </si>
  <si>
    <t>转矩环积分系数</t>
  </si>
  <si>
    <t>FcTorqLoopKi</t>
  </si>
  <si>
    <r>
      <t>F2</t>
    </r>
    <r>
      <rPr>
        <sz val="10"/>
        <rFont val="宋体"/>
        <family val="3"/>
        <charset val="134"/>
      </rPr>
      <t>.</t>
    </r>
    <r>
      <rPr>
        <sz val="10"/>
        <rFont val="宋体"/>
        <family val="3"/>
        <charset val="134"/>
      </rPr>
      <t>12</t>
    </r>
    <r>
      <rPr>
        <sz val="11"/>
        <color indexed="8"/>
        <rFont val="宋体"/>
        <family val="3"/>
        <charset val="134"/>
      </rPr>
      <t/>
    </r>
  </si>
  <si>
    <t>d轴电感标幺值</t>
  </si>
  <si>
    <t>FcLdpuCoef</t>
  </si>
  <si>
    <r>
      <t>F2</t>
    </r>
    <r>
      <rPr>
        <sz val="10"/>
        <rFont val="宋体"/>
        <family val="3"/>
        <charset val="134"/>
      </rPr>
      <t>.</t>
    </r>
    <r>
      <rPr>
        <sz val="10"/>
        <rFont val="宋体"/>
        <family val="3"/>
        <charset val="134"/>
      </rPr>
      <t>13</t>
    </r>
    <r>
      <rPr>
        <sz val="11"/>
        <color indexed="8"/>
        <rFont val="宋体"/>
        <family val="3"/>
        <charset val="134"/>
      </rPr>
      <t/>
    </r>
  </si>
  <si>
    <t>q轴电感标幺值</t>
  </si>
  <si>
    <t>FcLqpuCoef</t>
  </si>
  <si>
    <r>
      <t>F2</t>
    </r>
    <r>
      <rPr>
        <sz val="10"/>
        <rFont val="宋体"/>
        <family val="3"/>
        <charset val="134"/>
      </rPr>
      <t>.</t>
    </r>
    <r>
      <rPr>
        <sz val="10"/>
        <rFont val="宋体"/>
        <family val="3"/>
        <charset val="134"/>
      </rPr>
      <t>14</t>
    </r>
    <r>
      <rPr>
        <sz val="11"/>
        <color indexed="8"/>
        <rFont val="宋体"/>
        <family val="3"/>
        <charset val="134"/>
      </rPr>
      <t/>
    </r>
  </si>
  <si>
    <t>反电势标幺值</t>
  </si>
  <si>
    <t>FcBemfpuCoef</t>
  </si>
  <si>
    <r>
      <t>F2</t>
    </r>
    <r>
      <rPr>
        <sz val="10"/>
        <rFont val="宋体"/>
        <family val="3"/>
        <charset val="134"/>
      </rPr>
      <t>.</t>
    </r>
    <r>
      <rPr>
        <sz val="10"/>
        <rFont val="宋体"/>
        <family val="3"/>
        <charset val="134"/>
      </rPr>
      <t>15</t>
    </r>
    <r>
      <rPr>
        <sz val="11"/>
        <color indexed="8"/>
        <rFont val="宋体"/>
        <family val="3"/>
        <charset val="134"/>
      </rPr>
      <t/>
    </r>
  </si>
  <si>
    <r>
      <t>F2</t>
    </r>
    <r>
      <rPr>
        <sz val="10"/>
        <rFont val="宋体"/>
        <family val="3"/>
        <charset val="134"/>
      </rPr>
      <t>.</t>
    </r>
    <r>
      <rPr>
        <sz val="10"/>
        <rFont val="宋体"/>
        <family val="3"/>
        <charset val="134"/>
      </rPr>
      <t>16</t>
    </r>
    <r>
      <rPr>
        <sz val="11"/>
        <color indexed="8"/>
        <rFont val="宋体"/>
        <family val="3"/>
        <charset val="134"/>
      </rPr>
      <t/>
    </r>
  </si>
  <si>
    <t>调试性能稳定性</t>
  </si>
  <si>
    <t>FcPosStabEn</t>
  </si>
  <si>
    <t>00~11
LED个位：速度稳定选择
     0：不选择
     1：选择
LED十位：电流稳定选择
     0：不选择
     1：选择
LED百位：脉冲跟随停机清零选择
     0：清零
     1：不清零</t>
  </si>
  <si>
    <r>
      <t>F2</t>
    </r>
    <r>
      <rPr>
        <sz val="10"/>
        <rFont val="宋体"/>
        <family val="3"/>
        <charset val="134"/>
      </rPr>
      <t>.</t>
    </r>
    <r>
      <rPr>
        <sz val="10"/>
        <rFont val="宋体"/>
        <family val="3"/>
        <charset val="134"/>
      </rPr>
      <t>17</t>
    </r>
    <r>
      <rPr>
        <sz val="11"/>
        <color indexed="8"/>
        <rFont val="宋体"/>
        <family val="3"/>
        <charset val="134"/>
      </rPr>
      <t/>
    </r>
  </si>
  <si>
    <t>主控状态Id给定</t>
  </si>
  <si>
    <r>
      <t>F2</t>
    </r>
    <r>
      <rPr>
        <sz val="10"/>
        <rFont val="宋体"/>
        <family val="3"/>
        <charset val="134"/>
      </rPr>
      <t>.</t>
    </r>
    <r>
      <rPr>
        <sz val="10"/>
        <rFont val="宋体"/>
        <family val="3"/>
        <charset val="134"/>
      </rPr>
      <t>18</t>
    </r>
    <r>
      <rPr>
        <sz val="11"/>
        <color indexed="8"/>
        <rFont val="宋体"/>
        <family val="3"/>
        <charset val="134"/>
      </rPr>
      <t/>
    </r>
  </si>
  <si>
    <t>主控状态MKp</t>
  </si>
  <si>
    <t>FcMainCtrlMKp</t>
  </si>
  <si>
    <r>
      <t>F2</t>
    </r>
    <r>
      <rPr>
        <sz val="10"/>
        <rFont val="宋体"/>
        <family val="3"/>
        <charset val="134"/>
      </rPr>
      <t>.</t>
    </r>
    <r>
      <rPr>
        <sz val="10"/>
        <rFont val="宋体"/>
        <family val="3"/>
        <charset val="134"/>
      </rPr>
      <t>19</t>
    </r>
    <r>
      <rPr>
        <sz val="11"/>
        <color indexed="8"/>
        <rFont val="宋体"/>
        <family val="3"/>
        <charset val="134"/>
      </rPr>
      <t/>
    </r>
  </si>
  <si>
    <t>主控状态Mki</t>
  </si>
  <si>
    <t>FcMainCtrlMKi</t>
  </si>
  <si>
    <r>
      <t>F2</t>
    </r>
    <r>
      <rPr>
        <sz val="10"/>
        <rFont val="宋体"/>
        <family val="3"/>
        <charset val="134"/>
      </rPr>
      <t>.</t>
    </r>
    <r>
      <rPr>
        <sz val="10"/>
        <rFont val="宋体"/>
        <family val="3"/>
        <charset val="134"/>
      </rPr>
      <t>20</t>
    </r>
    <r>
      <rPr>
        <sz val="11"/>
        <color indexed="8"/>
        <rFont val="宋体"/>
        <family val="3"/>
        <charset val="134"/>
      </rPr>
      <t/>
    </r>
  </si>
  <si>
    <t>FcMainCtrlQKp</t>
  </si>
  <si>
    <r>
      <t>F2</t>
    </r>
    <r>
      <rPr>
        <sz val="10"/>
        <rFont val="宋体"/>
        <family val="3"/>
        <charset val="134"/>
      </rPr>
      <t>.</t>
    </r>
    <r>
      <rPr>
        <sz val="10"/>
        <rFont val="宋体"/>
        <family val="3"/>
        <charset val="134"/>
      </rPr>
      <t>21</t>
    </r>
    <r>
      <rPr>
        <sz val="11"/>
        <color indexed="8"/>
        <rFont val="宋体"/>
        <family val="3"/>
        <charset val="134"/>
      </rPr>
      <t/>
    </r>
  </si>
  <si>
    <t>FcMainCtrlQKi</t>
  </si>
  <si>
    <r>
      <t>F2</t>
    </r>
    <r>
      <rPr>
        <sz val="10"/>
        <rFont val="宋体"/>
        <family val="3"/>
        <charset val="134"/>
      </rPr>
      <t>.</t>
    </r>
    <r>
      <rPr>
        <sz val="10"/>
        <rFont val="宋体"/>
        <family val="3"/>
        <charset val="134"/>
      </rPr>
      <t>22</t>
    </r>
    <r>
      <rPr>
        <sz val="11"/>
        <color indexed="8"/>
        <rFont val="宋体"/>
        <family val="3"/>
        <charset val="134"/>
      </rPr>
      <t/>
    </r>
  </si>
  <si>
    <t>主控放电最低电压</t>
  </si>
  <si>
    <t>FcMainCtrlLowVol</t>
  </si>
  <si>
    <r>
      <t>F2</t>
    </r>
    <r>
      <rPr>
        <sz val="10"/>
        <rFont val="宋体"/>
        <family val="3"/>
        <charset val="134"/>
      </rPr>
      <t>.</t>
    </r>
    <r>
      <rPr>
        <sz val="10"/>
        <rFont val="宋体"/>
        <family val="3"/>
        <charset val="134"/>
      </rPr>
      <t>23</t>
    </r>
    <r>
      <rPr>
        <sz val="11"/>
        <color indexed="8"/>
        <rFont val="宋体"/>
        <family val="3"/>
        <charset val="134"/>
      </rPr>
      <t/>
    </r>
  </si>
  <si>
    <t>停机转矩</t>
  </si>
  <si>
    <t>FcStopTorq</t>
  </si>
  <si>
    <r>
      <t>F2</t>
    </r>
    <r>
      <rPr>
        <sz val="10"/>
        <rFont val="宋体"/>
        <family val="3"/>
        <charset val="134"/>
      </rPr>
      <t>.</t>
    </r>
    <r>
      <rPr>
        <sz val="10"/>
        <rFont val="宋体"/>
        <family val="3"/>
        <charset val="134"/>
      </rPr>
      <t>24</t>
    </r>
    <r>
      <rPr>
        <sz val="11"/>
        <color indexed="8"/>
        <rFont val="宋体"/>
        <family val="3"/>
        <charset val="134"/>
      </rPr>
      <t/>
    </r>
  </si>
  <si>
    <t>停机频率</t>
  </si>
  <si>
    <t>FcStopFreq</t>
  </si>
  <si>
    <r>
      <t>F2</t>
    </r>
    <r>
      <rPr>
        <sz val="10"/>
        <rFont val="宋体"/>
        <family val="3"/>
        <charset val="134"/>
      </rPr>
      <t>.</t>
    </r>
    <r>
      <rPr>
        <sz val="10"/>
        <rFont val="宋体"/>
        <family val="3"/>
        <charset val="134"/>
      </rPr>
      <t>25</t>
    </r>
    <r>
      <rPr>
        <sz val="11"/>
        <color indexed="8"/>
        <rFont val="宋体"/>
        <family val="3"/>
        <charset val="134"/>
      </rPr>
      <t/>
    </r>
  </si>
  <si>
    <t>调试1</t>
  </si>
  <si>
    <r>
      <t>F2</t>
    </r>
    <r>
      <rPr>
        <sz val="10"/>
        <rFont val="宋体"/>
        <family val="3"/>
        <charset val="134"/>
      </rPr>
      <t>.</t>
    </r>
    <r>
      <rPr>
        <sz val="10"/>
        <rFont val="宋体"/>
        <family val="3"/>
        <charset val="134"/>
      </rPr>
      <t>26</t>
    </r>
    <r>
      <rPr>
        <sz val="11"/>
        <color indexed="8"/>
        <rFont val="宋体"/>
        <family val="3"/>
        <charset val="134"/>
      </rPr>
      <t/>
    </r>
  </si>
  <si>
    <r>
      <t>F2</t>
    </r>
    <r>
      <rPr>
        <sz val="10"/>
        <rFont val="宋体"/>
        <family val="3"/>
        <charset val="134"/>
      </rPr>
      <t>.</t>
    </r>
    <r>
      <rPr>
        <sz val="10"/>
        <rFont val="宋体"/>
        <family val="3"/>
        <charset val="134"/>
      </rPr>
      <t>27</t>
    </r>
    <r>
      <rPr>
        <sz val="11"/>
        <color indexed="8"/>
        <rFont val="宋体"/>
        <family val="3"/>
        <charset val="134"/>
      </rPr>
      <t/>
    </r>
  </si>
  <si>
    <t>0~65535（弱磁转矩限定有效否
0：无效   非零：有效）</t>
  </si>
  <si>
    <r>
      <t>F2</t>
    </r>
    <r>
      <rPr>
        <sz val="10"/>
        <rFont val="宋体"/>
        <family val="3"/>
        <charset val="134"/>
      </rPr>
      <t>.</t>
    </r>
    <r>
      <rPr>
        <sz val="10"/>
        <rFont val="宋体"/>
        <family val="3"/>
        <charset val="134"/>
      </rPr>
      <t>28</t>
    </r>
    <r>
      <rPr>
        <sz val="11"/>
        <color indexed="8"/>
        <rFont val="宋体"/>
        <family val="3"/>
        <charset val="134"/>
      </rPr>
      <t/>
    </r>
  </si>
  <si>
    <t>0~65535（弱磁转矩限定系数）</t>
  </si>
  <si>
    <r>
      <t>F2</t>
    </r>
    <r>
      <rPr>
        <sz val="10"/>
        <rFont val="宋体"/>
        <family val="3"/>
        <charset val="134"/>
      </rPr>
      <t>.</t>
    </r>
    <r>
      <rPr>
        <sz val="10"/>
        <rFont val="宋体"/>
        <family val="3"/>
        <charset val="134"/>
      </rPr>
      <t>29</t>
    </r>
    <r>
      <rPr>
        <sz val="11"/>
        <color indexed="8"/>
        <rFont val="宋体"/>
        <family val="3"/>
        <charset val="134"/>
      </rPr>
      <t/>
    </r>
  </si>
  <si>
    <r>
      <t>F2</t>
    </r>
    <r>
      <rPr>
        <sz val="10"/>
        <rFont val="宋体"/>
        <family val="3"/>
        <charset val="134"/>
      </rPr>
      <t>.</t>
    </r>
    <r>
      <rPr>
        <sz val="10"/>
        <rFont val="宋体"/>
        <family val="3"/>
        <charset val="134"/>
      </rPr>
      <t>30</t>
    </r>
    <r>
      <rPr>
        <sz val="11"/>
        <color indexed="8"/>
        <rFont val="宋体"/>
        <family val="3"/>
        <charset val="134"/>
      </rPr>
      <t/>
    </r>
  </si>
  <si>
    <t>FcAngAddPerC</t>
  </si>
  <si>
    <t>0~65535（同步机PWM周期角度的个数，同步机发出角度增加量）</t>
  </si>
  <si>
    <r>
      <t>F2</t>
    </r>
    <r>
      <rPr>
        <sz val="10"/>
        <rFont val="宋体"/>
        <family val="3"/>
        <charset val="134"/>
      </rPr>
      <t>.</t>
    </r>
    <r>
      <rPr>
        <sz val="10"/>
        <rFont val="宋体"/>
        <family val="3"/>
        <charset val="134"/>
      </rPr>
      <t>31</t>
    </r>
    <r>
      <rPr>
        <sz val="11"/>
        <color indexed="8"/>
        <rFont val="宋体"/>
        <family val="3"/>
        <charset val="134"/>
      </rPr>
      <t/>
    </r>
  </si>
  <si>
    <t>D轴限幅</t>
  </si>
  <si>
    <t>FcDVolLimit</t>
  </si>
  <si>
    <r>
      <t>F2</t>
    </r>
    <r>
      <rPr>
        <sz val="10"/>
        <rFont val="宋体"/>
        <family val="3"/>
        <charset val="134"/>
      </rPr>
      <t>.</t>
    </r>
    <r>
      <rPr>
        <sz val="10"/>
        <rFont val="宋体"/>
        <family val="3"/>
        <charset val="134"/>
      </rPr>
      <t>32</t>
    </r>
    <r>
      <rPr>
        <sz val="11"/>
        <color indexed="8"/>
        <rFont val="宋体"/>
        <family val="3"/>
        <charset val="134"/>
      </rPr>
      <t/>
    </r>
  </si>
  <si>
    <r>
      <t>F2</t>
    </r>
    <r>
      <rPr>
        <sz val="10"/>
        <rFont val="宋体"/>
        <family val="3"/>
        <charset val="134"/>
      </rPr>
      <t>.</t>
    </r>
    <r>
      <rPr>
        <sz val="10"/>
        <rFont val="宋体"/>
        <family val="3"/>
        <charset val="134"/>
      </rPr>
      <t>33</t>
    </r>
    <r>
      <rPr>
        <sz val="11"/>
        <color indexed="8"/>
        <rFont val="宋体"/>
        <family val="3"/>
        <charset val="134"/>
      </rPr>
      <t/>
    </r>
  </si>
  <si>
    <t>同步机弱磁最大电压</t>
  </si>
  <si>
    <t>FcReservedF522</t>
  </si>
  <si>
    <r>
      <t>F2</t>
    </r>
    <r>
      <rPr>
        <sz val="10"/>
        <rFont val="宋体"/>
        <family val="3"/>
        <charset val="134"/>
      </rPr>
      <t>.</t>
    </r>
    <r>
      <rPr>
        <sz val="10"/>
        <rFont val="宋体"/>
        <family val="3"/>
        <charset val="134"/>
      </rPr>
      <t>34</t>
    </r>
    <r>
      <rPr>
        <sz val="11"/>
        <color indexed="8"/>
        <rFont val="宋体"/>
        <family val="3"/>
        <charset val="134"/>
      </rPr>
      <t/>
    </r>
  </si>
  <si>
    <t>最大输出电压</t>
  </si>
  <si>
    <t>FcVolMMax</t>
  </si>
  <si>
    <r>
      <t>F2</t>
    </r>
    <r>
      <rPr>
        <sz val="10"/>
        <rFont val="宋体"/>
        <family val="3"/>
        <charset val="134"/>
      </rPr>
      <t>.</t>
    </r>
    <r>
      <rPr>
        <sz val="10"/>
        <rFont val="宋体"/>
        <family val="3"/>
        <charset val="134"/>
      </rPr>
      <t>35</t>
    </r>
    <r>
      <rPr>
        <sz val="11"/>
        <color indexed="8"/>
        <rFont val="宋体"/>
        <family val="3"/>
        <charset val="134"/>
      </rPr>
      <t/>
    </r>
  </si>
  <si>
    <t>同步机最大励磁电流</t>
  </si>
  <si>
    <t>FcCurrDSetMax</t>
  </si>
  <si>
    <r>
      <t>F2</t>
    </r>
    <r>
      <rPr>
        <sz val="10"/>
        <rFont val="宋体"/>
        <family val="3"/>
        <charset val="134"/>
      </rPr>
      <t>.</t>
    </r>
    <r>
      <rPr>
        <sz val="10"/>
        <rFont val="宋体"/>
        <family val="3"/>
        <charset val="134"/>
      </rPr>
      <t>36</t>
    </r>
    <r>
      <rPr>
        <sz val="11"/>
        <color indexed="8"/>
        <rFont val="宋体"/>
        <family val="3"/>
        <charset val="134"/>
      </rPr>
      <t/>
    </r>
  </si>
  <si>
    <r>
      <t>F2</t>
    </r>
    <r>
      <rPr>
        <sz val="10"/>
        <rFont val="宋体"/>
        <family val="3"/>
        <charset val="134"/>
      </rPr>
      <t>.</t>
    </r>
    <r>
      <rPr>
        <sz val="10"/>
        <rFont val="宋体"/>
        <family val="3"/>
        <charset val="134"/>
      </rPr>
      <t>37</t>
    </r>
    <r>
      <rPr>
        <sz val="11"/>
        <color indexed="8"/>
        <rFont val="宋体"/>
        <family val="3"/>
        <charset val="134"/>
      </rPr>
      <t/>
    </r>
  </si>
  <si>
    <r>
      <t>F2</t>
    </r>
    <r>
      <rPr>
        <sz val="10"/>
        <rFont val="宋体"/>
        <family val="3"/>
        <charset val="134"/>
      </rPr>
      <t>.</t>
    </r>
    <r>
      <rPr>
        <sz val="10"/>
        <rFont val="宋体"/>
        <family val="3"/>
        <charset val="134"/>
      </rPr>
      <t>38</t>
    </r>
    <r>
      <rPr>
        <sz val="11"/>
        <color indexed="8"/>
        <rFont val="宋体"/>
        <family val="3"/>
        <charset val="134"/>
      </rPr>
      <t/>
    </r>
  </si>
  <si>
    <r>
      <t>F2</t>
    </r>
    <r>
      <rPr>
        <sz val="10"/>
        <rFont val="宋体"/>
        <family val="3"/>
        <charset val="134"/>
      </rPr>
      <t>.</t>
    </r>
    <r>
      <rPr>
        <sz val="10"/>
        <rFont val="宋体"/>
        <family val="3"/>
        <charset val="134"/>
      </rPr>
      <t>39</t>
    </r>
    <r>
      <rPr>
        <sz val="11"/>
        <color indexed="8"/>
        <rFont val="宋体"/>
        <family val="3"/>
        <charset val="134"/>
      </rPr>
      <t/>
    </r>
  </si>
  <si>
    <t>FcReservedF239</t>
  </si>
  <si>
    <r>
      <t>F2</t>
    </r>
    <r>
      <rPr>
        <sz val="10"/>
        <rFont val="宋体"/>
        <family val="3"/>
        <charset val="134"/>
      </rPr>
      <t>.</t>
    </r>
    <r>
      <rPr>
        <sz val="10"/>
        <rFont val="宋体"/>
        <family val="3"/>
        <charset val="134"/>
      </rPr>
      <t>40</t>
    </r>
    <r>
      <rPr>
        <sz val="11"/>
        <color indexed="8"/>
        <rFont val="宋体"/>
        <family val="3"/>
        <charset val="134"/>
      </rPr>
      <t/>
    </r>
  </si>
  <si>
    <t>FcReservedF240</t>
  </si>
  <si>
    <r>
      <t>F2</t>
    </r>
    <r>
      <rPr>
        <sz val="10"/>
        <rFont val="宋体"/>
        <family val="3"/>
        <charset val="134"/>
      </rPr>
      <t>.</t>
    </r>
    <r>
      <rPr>
        <sz val="10"/>
        <rFont val="宋体"/>
        <family val="3"/>
        <charset val="134"/>
      </rPr>
      <t>41</t>
    </r>
    <r>
      <rPr>
        <sz val="11"/>
        <color indexed="8"/>
        <rFont val="宋体"/>
        <family val="3"/>
        <charset val="134"/>
      </rPr>
      <t/>
    </r>
  </si>
  <si>
    <t>FcReservedF241</t>
  </si>
  <si>
    <r>
      <t>F2</t>
    </r>
    <r>
      <rPr>
        <sz val="10"/>
        <rFont val="宋体"/>
        <family val="3"/>
        <charset val="134"/>
      </rPr>
      <t>.</t>
    </r>
    <r>
      <rPr>
        <sz val="10"/>
        <rFont val="宋体"/>
        <family val="3"/>
        <charset val="134"/>
      </rPr>
      <t>42</t>
    </r>
    <r>
      <rPr>
        <sz val="11"/>
        <color indexed="8"/>
        <rFont val="宋体"/>
        <family val="3"/>
        <charset val="134"/>
      </rPr>
      <t/>
    </r>
  </si>
  <si>
    <t>FcReservedF242</t>
  </si>
  <si>
    <r>
      <t>F2</t>
    </r>
    <r>
      <rPr>
        <sz val="10"/>
        <rFont val="宋体"/>
        <family val="3"/>
        <charset val="134"/>
      </rPr>
      <t>.</t>
    </r>
    <r>
      <rPr>
        <sz val="10"/>
        <rFont val="宋体"/>
        <family val="3"/>
        <charset val="134"/>
      </rPr>
      <t>43</t>
    </r>
    <r>
      <rPr>
        <sz val="11"/>
        <color indexed="8"/>
        <rFont val="宋体"/>
        <family val="3"/>
        <charset val="134"/>
      </rPr>
      <t/>
    </r>
  </si>
  <si>
    <t>FcReservedF243</t>
  </si>
  <si>
    <r>
      <t>F2</t>
    </r>
    <r>
      <rPr>
        <sz val="10"/>
        <rFont val="宋体"/>
        <family val="3"/>
        <charset val="134"/>
      </rPr>
      <t>.</t>
    </r>
    <r>
      <rPr>
        <sz val="10"/>
        <rFont val="宋体"/>
        <family val="3"/>
        <charset val="134"/>
      </rPr>
      <t>44</t>
    </r>
    <r>
      <rPr>
        <sz val="11"/>
        <color indexed="8"/>
        <rFont val="宋体"/>
        <family val="3"/>
        <charset val="134"/>
      </rPr>
      <t/>
    </r>
  </si>
  <si>
    <t>FcReservedF244</t>
  </si>
  <si>
    <r>
      <t>F2</t>
    </r>
    <r>
      <rPr>
        <sz val="10"/>
        <rFont val="宋体"/>
        <family val="3"/>
        <charset val="134"/>
      </rPr>
      <t>.</t>
    </r>
    <r>
      <rPr>
        <sz val="10"/>
        <rFont val="宋体"/>
        <family val="3"/>
        <charset val="134"/>
      </rPr>
      <t>45</t>
    </r>
    <r>
      <rPr>
        <sz val="11"/>
        <color indexed="8"/>
        <rFont val="宋体"/>
        <family val="3"/>
        <charset val="134"/>
      </rPr>
      <t/>
    </r>
  </si>
  <si>
    <t>FcReservedF245</t>
  </si>
  <si>
    <r>
      <t>F2</t>
    </r>
    <r>
      <rPr>
        <sz val="10"/>
        <rFont val="宋体"/>
        <family val="3"/>
        <charset val="134"/>
      </rPr>
      <t>.</t>
    </r>
    <r>
      <rPr>
        <sz val="10"/>
        <rFont val="宋体"/>
        <family val="3"/>
        <charset val="134"/>
      </rPr>
      <t>46</t>
    </r>
    <r>
      <rPr>
        <sz val="11"/>
        <color indexed="8"/>
        <rFont val="宋体"/>
        <family val="3"/>
        <charset val="134"/>
      </rPr>
      <t/>
    </r>
  </si>
  <si>
    <t>FcReservedF246</t>
  </si>
  <si>
    <r>
      <t>F2</t>
    </r>
    <r>
      <rPr>
        <sz val="10"/>
        <rFont val="宋体"/>
        <family val="3"/>
        <charset val="134"/>
      </rPr>
      <t>.</t>
    </r>
    <r>
      <rPr>
        <sz val="10"/>
        <rFont val="宋体"/>
        <family val="3"/>
        <charset val="134"/>
      </rPr>
      <t>47</t>
    </r>
    <r>
      <rPr>
        <sz val="11"/>
        <color indexed="8"/>
        <rFont val="宋体"/>
        <family val="3"/>
        <charset val="134"/>
      </rPr>
      <t/>
    </r>
  </si>
  <si>
    <t>FcReservedF247</t>
  </si>
  <si>
    <r>
      <t>F2</t>
    </r>
    <r>
      <rPr>
        <sz val="10"/>
        <rFont val="宋体"/>
        <family val="3"/>
        <charset val="134"/>
      </rPr>
      <t>.</t>
    </r>
    <r>
      <rPr>
        <sz val="10"/>
        <rFont val="宋体"/>
        <family val="3"/>
        <charset val="134"/>
      </rPr>
      <t>48</t>
    </r>
    <r>
      <rPr>
        <sz val="11"/>
        <color indexed="8"/>
        <rFont val="宋体"/>
        <family val="3"/>
        <charset val="134"/>
      </rPr>
      <t/>
    </r>
  </si>
  <si>
    <t>FcReservedF248</t>
  </si>
  <si>
    <r>
      <t>F2</t>
    </r>
    <r>
      <rPr>
        <sz val="10"/>
        <rFont val="宋体"/>
        <family val="3"/>
        <charset val="134"/>
      </rPr>
      <t>.</t>
    </r>
    <r>
      <rPr>
        <sz val="10"/>
        <rFont val="宋体"/>
        <family val="3"/>
        <charset val="134"/>
      </rPr>
      <t>49</t>
    </r>
    <r>
      <rPr>
        <sz val="11"/>
        <color indexed="8"/>
        <rFont val="宋体"/>
        <family val="3"/>
        <charset val="134"/>
      </rPr>
      <t/>
    </r>
  </si>
  <si>
    <t>FcReservedF249</t>
  </si>
  <si>
    <r>
      <t>F2</t>
    </r>
    <r>
      <rPr>
        <sz val="10"/>
        <rFont val="宋体"/>
        <family val="3"/>
        <charset val="134"/>
      </rPr>
      <t>.</t>
    </r>
    <r>
      <rPr>
        <sz val="10"/>
        <rFont val="宋体"/>
        <family val="3"/>
        <charset val="134"/>
      </rPr>
      <t>50</t>
    </r>
    <r>
      <rPr>
        <sz val="11"/>
        <color indexed="8"/>
        <rFont val="宋体"/>
        <family val="3"/>
        <charset val="134"/>
      </rPr>
      <t/>
    </r>
  </si>
  <si>
    <t>FcReservedF250</t>
  </si>
  <si>
    <r>
      <t>F2</t>
    </r>
    <r>
      <rPr>
        <sz val="10"/>
        <rFont val="宋体"/>
        <family val="3"/>
        <charset val="134"/>
      </rPr>
      <t>.</t>
    </r>
    <r>
      <rPr>
        <sz val="10"/>
        <rFont val="宋体"/>
        <family val="3"/>
        <charset val="134"/>
      </rPr>
      <t>51</t>
    </r>
    <r>
      <rPr>
        <sz val="11"/>
        <color indexed="8"/>
        <rFont val="宋体"/>
        <family val="3"/>
        <charset val="134"/>
      </rPr>
      <t/>
    </r>
  </si>
  <si>
    <t>FcReservedF251</t>
  </si>
  <si>
    <r>
      <t>F2</t>
    </r>
    <r>
      <rPr>
        <sz val="10"/>
        <rFont val="宋体"/>
        <family val="3"/>
        <charset val="134"/>
      </rPr>
      <t>.</t>
    </r>
    <r>
      <rPr>
        <sz val="10"/>
        <rFont val="宋体"/>
        <family val="3"/>
        <charset val="134"/>
      </rPr>
      <t>52</t>
    </r>
    <r>
      <rPr>
        <sz val="11"/>
        <color indexed="8"/>
        <rFont val="宋体"/>
        <family val="3"/>
        <charset val="134"/>
      </rPr>
      <t/>
    </r>
  </si>
  <si>
    <t>FcReservedF252</t>
  </si>
  <si>
    <r>
      <t>F2</t>
    </r>
    <r>
      <rPr>
        <sz val="10"/>
        <rFont val="宋体"/>
        <family val="3"/>
        <charset val="134"/>
      </rPr>
      <t>.</t>
    </r>
    <r>
      <rPr>
        <sz val="10"/>
        <rFont val="宋体"/>
        <family val="3"/>
        <charset val="134"/>
      </rPr>
      <t>53</t>
    </r>
    <r>
      <rPr>
        <sz val="11"/>
        <color indexed="8"/>
        <rFont val="宋体"/>
        <family val="3"/>
        <charset val="134"/>
      </rPr>
      <t/>
    </r>
  </si>
  <si>
    <t>FcReservedF253</t>
  </si>
  <si>
    <r>
      <t>F2</t>
    </r>
    <r>
      <rPr>
        <sz val="10"/>
        <rFont val="宋体"/>
        <family val="3"/>
        <charset val="134"/>
      </rPr>
      <t>.</t>
    </r>
    <r>
      <rPr>
        <sz val="10"/>
        <rFont val="宋体"/>
        <family val="3"/>
        <charset val="134"/>
      </rPr>
      <t>54</t>
    </r>
    <r>
      <rPr>
        <sz val="11"/>
        <color indexed="8"/>
        <rFont val="宋体"/>
        <family val="3"/>
        <charset val="134"/>
      </rPr>
      <t/>
    </r>
  </si>
  <si>
    <t>FcReservedF254</t>
  </si>
  <si>
    <r>
      <t>F2</t>
    </r>
    <r>
      <rPr>
        <sz val="10"/>
        <rFont val="宋体"/>
        <family val="3"/>
        <charset val="134"/>
      </rPr>
      <t>.</t>
    </r>
    <r>
      <rPr>
        <sz val="10"/>
        <rFont val="宋体"/>
        <family val="3"/>
        <charset val="134"/>
      </rPr>
      <t>55</t>
    </r>
    <r>
      <rPr>
        <sz val="11"/>
        <color indexed="8"/>
        <rFont val="宋体"/>
        <family val="3"/>
        <charset val="134"/>
      </rPr>
      <t/>
    </r>
  </si>
  <si>
    <t>FcReservedF255</t>
  </si>
  <si>
    <r>
      <t>F2</t>
    </r>
    <r>
      <rPr>
        <sz val="10"/>
        <rFont val="宋体"/>
        <family val="3"/>
        <charset val="134"/>
      </rPr>
      <t>.</t>
    </r>
    <r>
      <rPr>
        <sz val="10"/>
        <rFont val="宋体"/>
        <family val="3"/>
        <charset val="134"/>
      </rPr>
      <t>56</t>
    </r>
    <r>
      <rPr>
        <sz val="11"/>
        <color indexed="8"/>
        <rFont val="宋体"/>
        <family val="3"/>
        <charset val="134"/>
      </rPr>
      <t/>
    </r>
  </si>
  <si>
    <t>FcReservedF256</t>
  </si>
  <si>
    <r>
      <t>F2</t>
    </r>
    <r>
      <rPr>
        <sz val="10"/>
        <rFont val="宋体"/>
        <family val="3"/>
        <charset val="134"/>
      </rPr>
      <t>.</t>
    </r>
    <r>
      <rPr>
        <sz val="10"/>
        <rFont val="宋体"/>
        <family val="3"/>
        <charset val="134"/>
      </rPr>
      <t>57</t>
    </r>
    <r>
      <rPr>
        <sz val="11"/>
        <color indexed="8"/>
        <rFont val="宋体"/>
        <family val="3"/>
        <charset val="134"/>
      </rPr>
      <t/>
    </r>
  </si>
  <si>
    <t>FcReservedF257</t>
  </si>
  <si>
    <r>
      <t>F2</t>
    </r>
    <r>
      <rPr>
        <sz val="10"/>
        <rFont val="宋体"/>
        <family val="3"/>
        <charset val="134"/>
      </rPr>
      <t>.</t>
    </r>
    <r>
      <rPr>
        <sz val="10"/>
        <rFont val="宋体"/>
        <family val="3"/>
        <charset val="134"/>
      </rPr>
      <t>58</t>
    </r>
    <r>
      <rPr>
        <sz val="11"/>
        <color indexed="8"/>
        <rFont val="宋体"/>
        <family val="3"/>
        <charset val="134"/>
      </rPr>
      <t/>
    </r>
  </si>
  <si>
    <t>FcReservedF258</t>
  </si>
  <si>
    <r>
      <t>F2</t>
    </r>
    <r>
      <rPr>
        <sz val="10"/>
        <rFont val="宋体"/>
        <family val="3"/>
        <charset val="134"/>
      </rPr>
      <t>.</t>
    </r>
    <r>
      <rPr>
        <sz val="10"/>
        <rFont val="宋体"/>
        <family val="3"/>
        <charset val="134"/>
      </rPr>
      <t>59</t>
    </r>
    <r>
      <rPr>
        <sz val="11"/>
        <color indexed="8"/>
        <rFont val="宋体"/>
        <family val="3"/>
        <charset val="134"/>
      </rPr>
      <t/>
    </r>
  </si>
  <si>
    <t>FcReservedF259</t>
  </si>
  <si>
    <r>
      <t>F2</t>
    </r>
    <r>
      <rPr>
        <sz val="10"/>
        <rFont val="宋体"/>
        <family val="3"/>
        <charset val="134"/>
      </rPr>
      <t>.</t>
    </r>
    <r>
      <rPr>
        <sz val="10"/>
        <rFont val="宋体"/>
        <family val="3"/>
        <charset val="134"/>
      </rPr>
      <t>60</t>
    </r>
    <r>
      <rPr>
        <sz val="11"/>
        <color indexed="8"/>
        <rFont val="宋体"/>
        <family val="3"/>
        <charset val="134"/>
      </rPr>
      <t/>
    </r>
  </si>
  <si>
    <t>FcReservedF260</t>
  </si>
  <si>
    <r>
      <t>F3</t>
    </r>
    <r>
      <rPr>
        <sz val="10"/>
        <rFont val="宋体"/>
        <family val="3"/>
        <charset val="134"/>
      </rPr>
      <t>.</t>
    </r>
    <r>
      <rPr>
        <sz val="10"/>
        <rFont val="宋体"/>
        <family val="3"/>
        <charset val="134"/>
      </rPr>
      <t>00</t>
    </r>
  </si>
  <si>
    <r>
      <t>F3</t>
    </r>
    <r>
      <rPr>
        <sz val="10"/>
        <rFont val="宋体"/>
        <family val="3"/>
        <charset val="134"/>
      </rPr>
      <t>.</t>
    </r>
    <r>
      <rPr>
        <sz val="10"/>
        <rFont val="宋体"/>
        <family val="3"/>
        <charset val="134"/>
      </rPr>
      <t>01</t>
    </r>
  </si>
  <si>
    <t>FcReservedF301</t>
  </si>
  <si>
    <r>
      <t>F3</t>
    </r>
    <r>
      <rPr>
        <sz val="10"/>
        <rFont val="宋体"/>
        <family val="3"/>
        <charset val="134"/>
      </rPr>
      <t>.</t>
    </r>
    <r>
      <rPr>
        <sz val="10"/>
        <rFont val="宋体"/>
        <family val="3"/>
        <charset val="134"/>
      </rPr>
      <t>02</t>
    </r>
    <r>
      <rPr>
        <sz val="11"/>
        <color indexed="8"/>
        <rFont val="宋体"/>
        <family val="3"/>
        <charset val="134"/>
      </rPr>
      <t/>
    </r>
  </si>
  <si>
    <t>FcReservedF302</t>
  </si>
  <si>
    <r>
      <t>F3</t>
    </r>
    <r>
      <rPr>
        <sz val="10"/>
        <rFont val="宋体"/>
        <family val="3"/>
        <charset val="134"/>
      </rPr>
      <t>.</t>
    </r>
    <r>
      <rPr>
        <sz val="10"/>
        <rFont val="宋体"/>
        <family val="3"/>
        <charset val="134"/>
      </rPr>
      <t>03</t>
    </r>
    <r>
      <rPr>
        <sz val="11"/>
        <color indexed="8"/>
        <rFont val="宋体"/>
        <family val="3"/>
        <charset val="134"/>
      </rPr>
      <t/>
    </r>
  </si>
  <si>
    <t>FcReservedF303</t>
  </si>
  <si>
    <r>
      <t>F3</t>
    </r>
    <r>
      <rPr>
        <sz val="10"/>
        <rFont val="宋体"/>
        <family val="3"/>
        <charset val="134"/>
      </rPr>
      <t>.</t>
    </r>
    <r>
      <rPr>
        <sz val="10"/>
        <rFont val="宋体"/>
        <family val="3"/>
        <charset val="134"/>
      </rPr>
      <t>04</t>
    </r>
    <r>
      <rPr>
        <sz val="11"/>
        <color indexed="8"/>
        <rFont val="宋体"/>
        <family val="3"/>
        <charset val="134"/>
      </rPr>
      <t/>
    </r>
  </si>
  <si>
    <t>FcReservedF304</t>
  </si>
  <si>
    <r>
      <t>F3</t>
    </r>
    <r>
      <rPr>
        <sz val="10"/>
        <rFont val="宋体"/>
        <family val="3"/>
        <charset val="134"/>
      </rPr>
      <t>.</t>
    </r>
    <r>
      <rPr>
        <sz val="10"/>
        <rFont val="宋体"/>
        <family val="3"/>
        <charset val="134"/>
      </rPr>
      <t>05</t>
    </r>
    <r>
      <rPr>
        <sz val="11"/>
        <color indexed="8"/>
        <rFont val="宋体"/>
        <family val="3"/>
        <charset val="134"/>
      </rPr>
      <t/>
    </r>
  </si>
  <si>
    <t>FcReservedF305</t>
  </si>
  <si>
    <r>
      <t>F3</t>
    </r>
    <r>
      <rPr>
        <sz val="10"/>
        <rFont val="宋体"/>
        <family val="3"/>
        <charset val="134"/>
      </rPr>
      <t>.</t>
    </r>
    <r>
      <rPr>
        <sz val="10"/>
        <rFont val="宋体"/>
        <family val="3"/>
        <charset val="134"/>
      </rPr>
      <t>06</t>
    </r>
    <r>
      <rPr>
        <sz val="11"/>
        <color indexed="8"/>
        <rFont val="宋体"/>
        <family val="3"/>
        <charset val="134"/>
      </rPr>
      <t/>
    </r>
  </si>
  <si>
    <t>FcReservedF306</t>
  </si>
  <si>
    <r>
      <t>F3</t>
    </r>
    <r>
      <rPr>
        <sz val="10"/>
        <rFont val="宋体"/>
        <family val="3"/>
        <charset val="134"/>
      </rPr>
      <t>.</t>
    </r>
    <r>
      <rPr>
        <sz val="10"/>
        <rFont val="宋体"/>
        <family val="3"/>
        <charset val="134"/>
      </rPr>
      <t>07</t>
    </r>
    <r>
      <rPr>
        <sz val="11"/>
        <color indexed="8"/>
        <rFont val="宋体"/>
        <family val="3"/>
        <charset val="134"/>
      </rPr>
      <t/>
    </r>
  </si>
  <si>
    <t>FcReservedF307</t>
  </si>
  <si>
    <r>
      <t>F3</t>
    </r>
    <r>
      <rPr>
        <sz val="10"/>
        <rFont val="宋体"/>
        <family val="3"/>
        <charset val="134"/>
      </rPr>
      <t>.</t>
    </r>
    <r>
      <rPr>
        <sz val="10"/>
        <rFont val="宋体"/>
        <family val="3"/>
        <charset val="134"/>
      </rPr>
      <t>08</t>
    </r>
    <r>
      <rPr>
        <sz val="11"/>
        <color indexed="8"/>
        <rFont val="宋体"/>
        <family val="3"/>
        <charset val="134"/>
      </rPr>
      <t/>
    </r>
  </si>
  <si>
    <t>FcReservedF308</t>
  </si>
  <si>
    <r>
      <t>F3</t>
    </r>
    <r>
      <rPr>
        <sz val="10"/>
        <rFont val="宋体"/>
        <family val="3"/>
        <charset val="134"/>
      </rPr>
      <t>.</t>
    </r>
    <r>
      <rPr>
        <sz val="10"/>
        <rFont val="宋体"/>
        <family val="3"/>
        <charset val="134"/>
      </rPr>
      <t>09</t>
    </r>
    <r>
      <rPr>
        <sz val="11"/>
        <color indexed="8"/>
        <rFont val="宋体"/>
        <family val="3"/>
        <charset val="134"/>
      </rPr>
      <t/>
    </r>
  </si>
  <si>
    <t>FcReservedF309</t>
  </si>
  <si>
    <r>
      <t>F3</t>
    </r>
    <r>
      <rPr>
        <sz val="10"/>
        <rFont val="宋体"/>
        <family val="3"/>
        <charset val="134"/>
      </rPr>
      <t>.</t>
    </r>
    <r>
      <rPr>
        <sz val="10"/>
        <rFont val="宋体"/>
        <family val="3"/>
        <charset val="134"/>
      </rPr>
      <t>10</t>
    </r>
    <r>
      <rPr>
        <sz val="11"/>
        <color indexed="8"/>
        <rFont val="宋体"/>
        <family val="3"/>
        <charset val="134"/>
      </rPr>
      <t/>
    </r>
  </si>
  <si>
    <t>FcReservedF310</t>
  </si>
  <si>
    <r>
      <t>F3</t>
    </r>
    <r>
      <rPr>
        <sz val="10"/>
        <rFont val="宋体"/>
        <family val="3"/>
        <charset val="134"/>
      </rPr>
      <t>.</t>
    </r>
    <r>
      <rPr>
        <sz val="10"/>
        <rFont val="宋体"/>
        <family val="3"/>
        <charset val="134"/>
      </rPr>
      <t>11</t>
    </r>
    <r>
      <rPr>
        <sz val="11"/>
        <color indexed="8"/>
        <rFont val="宋体"/>
        <family val="3"/>
        <charset val="134"/>
      </rPr>
      <t/>
    </r>
  </si>
  <si>
    <t>FcReservedF311</t>
  </si>
  <si>
    <r>
      <t>F3</t>
    </r>
    <r>
      <rPr>
        <sz val="10"/>
        <rFont val="宋体"/>
        <family val="3"/>
        <charset val="134"/>
      </rPr>
      <t>.</t>
    </r>
    <r>
      <rPr>
        <sz val="10"/>
        <rFont val="宋体"/>
        <family val="3"/>
        <charset val="134"/>
      </rPr>
      <t>12</t>
    </r>
    <r>
      <rPr>
        <sz val="11"/>
        <color indexed="8"/>
        <rFont val="宋体"/>
        <family val="3"/>
        <charset val="134"/>
      </rPr>
      <t/>
    </r>
  </si>
  <si>
    <t>FcReservedF312</t>
  </si>
  <si>
    <r>
      <t>F3</t>
    </r>
    <r>
      <rPr>
        <sz val="10"/>
        <rFont val="宋体"/>
        <family val="3"/>
        <charset val="134"/>
      </rPr>
      <t>.</t>
    </r>
    <r>
      <rPr>
        <sz val="10"/>
        <rFont val="宋体"/>
        <family val="3"/>
        <charset val="134"/>
      </rPr>
      <t>13</t>
    </r>
    <r>
      <rPr>
        <sz val="11"/>
        <color indexed="8"/>
        <rFont val="宋体"/>
        <family val="3"/>
        <charset val="134"/>
      </rPr>
      <t/>
    </r>
  </si>
  <si>
    <t>FcReservedF313</t>
  </si>
  <si>
    <r>
      <t>F3</t>
    </r>
    <r>
      <rPr>
        <sz val="10"/>
        <rFont val="宋体"/>
        <family val="3"/>
        <charset val="134"/>
      </rPr>
      <t>.</t>
    </r>
    <r>
      <rPr>
        <sz val="10"/>
        <rFont val="宋体"/>
        <family val="3"/>
        <charset val="134"/>
      </rPr>
      <t>14</t>
    </r>
    <r>
      <rPr>
        <sz val="11"/>
        <color indexed="8"/>
        <rFont val="宋体"/>
        <family val="3"/>
        <charset val="134"/>
      </rPr>
      <t/>
    </r>
  </si>
  <si>
    <t>FcReservedF314</t>
  </si>
  <si>
    <r>
      <t>F3</t>
    </r>
    <r>
      <rPr>
        <sz val="10"/>
        <rFont val="宋体"/>
        <family val="3"/>
        <charset val="134"/>
      </rPr>
      <t>.</t>
    </r>
    <r>
      <rPr>
        <sz val="10"/>
        <rFont val="宋体"/>
        <family val="3"/>
        <charset val="134"/>
      </rPr>
      <t>15</t>
    </r>
    <r>
      <rPr>
        <sz val="11"/>
        <color indexed="8"/>
        <rFont val="宋体"/>
        <family val="3"/>
        <charset val="134"/>
      </rPr>
      <t/>
    </r>
  </si>
  <si>
    <t>FcReservedF315</t>
  </si>
  <si>
    <r>
      <t>F3</t>
    </r>
    <r>
      <rPr>
        <sz val="10"/>
        <rFont val="宋体"/>
        <family val="3"/>
        <charset val="134"/>
      </rPr>
      <t>.</t>
    </r>
    <r>
      <rPr>
        <sz val="10"/>
        <rFont val="宋体"/>
        <family val="3"/>
        <charset val="134"/>
      </rPr>
      <t>16</t>
    </r>
    <r>
      <rPr>
        <sz val="11"/>
        <color indexed="8"/>
        <rFont val="宋体"/>
        <family val="3"/>
        <charset val="134"/>
      </rPr>
      <t/>
    </r>
  </si>
  <si>
    <t>FcReservedF316</t>
  </si>
  <si>
    <r>
      <t>F3</t>
    </r>
    <r>
      <rPr>
        <sz val="10"/>
        <rFont val="宋体"/>
        <family val="3"/>
        <charset val="134"/>
      </rPr>
      <t>.</t>
    </r>
    <r>
      <rPr>
        <sz val="10"/>
        <rFont val="宋体"/>
        <family val="3"/>
        <charset val="134"/>
      </rPr>
      <t>17</t>
    </r>
    <r>
      <rPr>
        <sz val="11"/>
        <color indexed="8"/>
        <rFont val="宋体"/>
        <family val="3"/>
        <charset val="134"/>
      </rPr>
      <t/>
    </r>
  </si>
  <si>
    <t>FcReservedF317</t>
  </si>
  <si>
    <r>
      <t>F3</t>
    </r>
    <r>
      <rPr>
        <sz val="10"/>
        <rFont val="宋体"/>
        <family val="3"/>
        <charset val="134"/>
      </rPr>
      <t>.</t>
    </r>
    <r>
      <rPr>
        <sz val="10"/>
        <rFont val="宋体"/>
        <family val="3"/>
        <charset val="134"/>
      </rPr>
      <t>18</t>
    </r>
    <r>
      <rPr>
        <sz val="11"/>
        <color indexed="8"/>
        <rFont val="宋体"/>
        <family val="3"/>
        <charset val="134"/>
      </rPr>
      <t/>
    </r>
  </si>
  <si>
    <t>FcReservedF318</t>
  </si>
  <si>
    <r>
      <t>F3</t>
    </r>
    <r>
      <rPr>
        <sz val="10"/>
        <rFont val="宋体"/>
        <family val="3"/>
        <charset val="134"/>
      </rPr>
      <t>.</t>
    </r>
    <r>
      <rPr>
        <sz val="10"/>
        <rFont val="宋体"/>
        <family val="3"/>
        <charset val="134"/>
      </rPr>
      <t>19</t>
    </r>
    <r>
      <rPr>
        <sz val="11"/>
        <color indexed="8"/>
        <rFont val="宋体"/>
        <family val="3"/>
        <charset val="134"/>
      </rPr>
      <t/>
    </r>
  </si>
  <si>
    <t>FcReservedF319</t>
  </si>
  <si>
    <r>
      <t>F3</t>
    </r>
    <r>
      <rPr>
        <sz val="10"/>
        <rFont val="宋体"/>
        <family val="3"/>
        <charset val="134"/>
      </rPr>
      <t>.</t>
    </r>
    <r>
      <rPr>
        <sz val="10"/>
        <rFont val="宋体"/>
        <family val="3"/>
        <charset val="134"/>
      </rPr>
      <t>20</t>
    </r>
    <r>
      <rPr>
        <sz val="11"/>
        <color indexed="8"/>
        <rFont val="宋体"/>
        <family val="3"/>
        <charset val="134"/>
      </rPr>
      <t/>
    </r>
  </si>
  <si>
    <t>FcReservedF320</t>
  </si>
  <si>
    <r>
      <t>F3</t>
    </r>
    <r>
      <rPr>
        <sz val="10"/>
        <rFont val="宋体"/>
        <family val="3"/>
        <charset val="134"/>
      </rPr>
      <t>.</t>
    </r>
    <r>
      <rPr>
        <sz val="10"/>
        <rFont val="宋体"/>
        <family val="3"/>
        <charset val="134"/>
      </rPr>
      <t>21</t>
    </r>
    <r>
      <rPr>
        <sz val="11"/>
        <color indexed="8"/>
        <rFont val="宋体"/>
        <family val="3"/>
        <charset val="134"/>
      </rPr>
      <t/>
    </r>
  </si>
  <si>
    <t>FcReservedF321</t>
  </si>
  <si>
    <r>
      <t>F3</t>
    </r>
    <r>
      <rPr>
        <sz val="10"/>
        <rFont val="宋体"/>
        <family val="3"/>
        <charset val="134"/>
      </rPr>
      <t>.</t>
    </r>
    <r>
      <rPr>
        <sz val="10"/>
        <rFont val="宋体"/>
        <family val="3"/>
        <charset val="134"/>
      </rPr>
      <t>22</t>
    </r>
    <r>
      <rPr>
        <sz val="11"/>
        <color indexed="8"/>
        <rFont val="宋体"/>
        <family val="3"/>
        <charset val="134"/>
      </rPr>
      <t/>
    </r>
  </si>
  <si>
    <t>FcReservedF322</t>
  </si>
  <si>
    <r>
      <t>F3</t>
    </r>
    <r>
      <rPr>
        <sz val="10"/>
        <rFont val="宋体"/>
        <family val="3"/>
        <charset val="134"/>
      </rPr>
      <t>.</t>
    </r>
    <r>
      <rPr>
        <sz val="10"/>
        <rFont val="宋体"/>
        <family val="3"/>
        <charset val="134"/>
      </rPr>
      <t>23</t>
    </r>
    <r>
      <rPr>
        <sz val="11"/>
        <color indexed="8"/>
        <rFont val="宋体"/>
        <family val="3"/>
        <charset val="134"/>
      </rPr>
      <t/>
    </r>
  </si>
  <si>
    <t>FcReservedF323</t>
  </si>
  <si>
    <r>
      <t>F3</t>
    </r>
    <r>
      <rPr>
        <sz val="10"/>
        <rFont val="宋体"/>
        <family val="3"/>
        <charset val="134"/>
      </rPr>
      <t>.</t>
    </r>
    <r>
      <rPr>
        <sz val="10"/>
        <rFont val="宋体"/>
        <family val="3"/>
        <charset val="134"/>
      </rPr>
      <t>24</t>
    </r>
    <r>
      <rPr>
        <sz val="11"/>
        <color indexed="8"/>
        <rFont val="宋体"/>
        <family val="3"/>
        <charset val="134"/>
      </rPr>
      <t/>
    </r>
  </si>
  <si>
    <t>FcReservedF324</t>
  </si>
  <si>
    <r>
      <t>F3</t>
    </r>
    <r>
      <rPr>
        <sz val="10"/>
        <rFont val="宋体"/>
        <family val="3"/>
        <charset val="134"/>
      </rPr>
      <t>.</t>
    </r>
    <r>
      <rPr>
        <sz val="10"/>
        <rFont val="宋体"/>
        <family val="3"/>
        <charset val="134"/>
      </rPr>
      <t>25</t>
    </r>
    <r>
      <rPr>
        <sz val="11"/>
        <color indexed="8"/>
        <rFont val="宋体"/>
        <family val="3"/>
        <charset val="134"/>
      </rPr>
      <t/>
    </r>
  </si>
  <si>
    <t>FcReservedF325</t>
  </si>
  <si>
    <r>
      <t>F3</t>
    </r>
    <r>
      <rPr>
        <sz val="10"/>
        <rFont val="宋体"/>
        <family val="3"/>
        <charset val="134"/>
      </rPr>
      <t>.</t>
    </r>
    <r>
      <rPr>
        <sz val="10"/>
        <rFont val="宋体"/>
        <family val="3"/>
        <charset val="134"/>
      </rPr>
      <t>26</t>
    </r>
    <r>
      <rPr>
        <sz val="11"/>
        <color indexed="8"/>
        <rFont val="宋体"/>
        <family val="3"/>
        <charset val="134"/>
      </rPr>
      <t/>
    </r>
  </si>
  <si>
    <t>FcReservedF326</t>
  </si>
  <si>
    <r>
      <t>F3</t>
    </r>
    <r>
      <rPr>
        <sz val="10"/>
        <rFont val="宋体"/>
        <family val="3"/>
        <charset val="134"/>
      </rPr>
      <t>.</t>
    </r>
    <r>
      <rPr>
        <sz val="10"/>
        <rFont val="宋体"/>
        <family val="3"/>
        <charset val="134"/>
      </rPr>
      <t>27</t>
    </r>
    <r>
      <rPr>
        <sz val="11"/>
        <color indexed="8"/>
        <rFont val="宋体"/>
        <family val="3"/>
        <charset val="134"/>
      </rPr>
      <t/>
    </r>
  </si>
  <si>
    <t>FcReservedF327</t>
  </si>
  <si>
    <r>
      <t>F3</t>
    </r>
    <r>
      <rPr>
        <sz val="10"/>
        <rFont val="宋体"/>
        <family val="3"/>
        <charset val="134"/>
      </rPr>
      <t>.</t>
    </r>
    <r>
      <rPr>
        <sz val="10"/>
        <rFont val="宋体"/>
        <family val="3"/>
        <charset val="134"/>
      </rPr>
      <t>28</t>
    </r>
    <r>
      <rPr>
        <sz val="11"/>
        <color indexed="8"/>
        <rFont val="宋体"/>
        <family val="3"/>
        <charset val="134"/>
      </rPr>
      <t/>
    </r>
  </si>
  <si>
    <t>FcReservedF328</t>
  </si>
  <si>
    <r>
      <t>F3</t>
    </r>
    <r>
      <rPr>
        <sz val="10"/>
        <rFont val="宋体"/>
        <family val="3"/>
        <charset val="134"/>
      </rPr>
      <t>.</t>
    </r>
    <r>
      <rPr>
        <sz val="10"/>
        <rFont val="宋体"/>
        <family val="3"/>
        <charset val="134"/>
      </rPr>
      <t>29</t>
    </r>
    <r>
      <rPr>
        <sz val="11"/>
        <color indexed="8"/>
        <rFont val="宋体"/>
        <family val="3"/>
        <charset val="134"/>
      </rPr>
      <t/>
    </r>
  </si>
  <si>
    <t>FcReservedF329</t>
  </si>
  <si>
    <r>
      <t>F3</t>
    </r>
    <r>
      <rPr>
        <sz val="10"/>
        <rFont val="宋体"/>
        <family val="3"/>
        <charset val="134"/>
      </rPr>
      <t>.</t>
    </r>
    <r>
      <rPr>
        <sz val="10"/>
        <rFont val="宋体"/>
        <family val="3"/>
        <charset val="134"/>
      </rPr>
      <t>30</t>
    </r>
    <r>
      <rPr>
        <sz val="11"/>
        <color indexed="8"/>
        <rFont val="宋体"/>
        <family val="3"/>
        <charset val="134"/>
      </rPr>
      <t/>
    </r>
  </si>
  <si>
    <t>FcReservedF330</t>
  </si>
  <si>
    <r>
      <t>F3</t>
    </r>
    <r>
      <rPr>
        <sz val="10"/>
        <rFont val="宋体"/>
        <family val="3"/>
        <charset val="134"/>
      </rPr>
      <t>.</t>
    </r>
    <r>
      <rPr>
        <sz val="10"/>
        <rFont val="宋体"/>
        <family val="3"/>
        <charset val="134"/>
      </rPr>
      <t>31</t>
    </r>
    <r>
      <rPr>
        <sz val="11"/>
        <color indexed="8"/>
        <rFont val="宋体"/>
        <family val="3"/>
        <charset val="134"/>
      </rPr>
      <t/>
    </r>
  </si>
  <si>
    <t>FcReservedF331</t>
  </si>
  <si>
    <r>
      <t>F3</t>
    </r>
    <r>
      <rPr>
        <sz val="10"/>
        <rFont val="宋体"/>
        <family val="3"/>
        <charset val="134"/>
      </rPr>
      <t>.</t>
    </r>
    <r>
      <rPr>
        <sz val="10"/>
        <rFont val="宋体"/>
        <family val="3"/>
        <charset val="134"/>
      </rPr>
      <t>32</t>
    </r>
    <r>
      <rPr>
        <sz val="11"/>
        <color indexed="8"/>
        <rFont val="宋体"/>
        <family val="3"/>
        <charset val="134"/>
      </rPr>
      <t/>
    </r>
  </si>
  <si>
    <t>FcReservedF332</t>
  </si>
  <si>
    <r>
      <t>F3</t>
    </r>
    <r>
      <rPr>
        <sz val="10"/>
        <rFont val="宋体"/>
        <family val="3"/>
        <charset val="134"/>
      </rPr>
      <t>.</t>
    </r>
    <r>
      <rPr>
        <sz val="10"/>
        <rFont val="宋体"/>
        <family val="3"/>
        <charset val="134"/>
      </rPr>
      <t>33</t>
    </r>
    <r>
      <rPr>
        <sz val="11"/>
        <color indexed="8"/>
        <rFont val="宋体"/>
        <family val="3"/>
        <charset val="134"/>
      </rPr>
      <t/>
    </r>
  </si>
  <si>
    <t>FcReservedF333</t>
  </si>
  <si>
    <r>
      <t>F3</t>
    </r>
    <r>
      <rPr>
        <sz val="10"/>
        <rFont val="宋体"/>
        <family val="3"/>
        <charset val="134"/>
      </rPr>
      <t>.</t>
    </r>
    <r>
      <rPr>
        <sz val="10"/>
        <rFont val="宋体"/>
        <family val="3"/>
        <charset val="134"/>
      </rPr>
      <t>34</t>
    </r>
    <r>
      <rPr>
        <sz val="11"/>
        <color indexed="8"/>
        <rFont val="宋体"/>
        <family val="3"/>
        <charset val="134"/>
      </rPr>
      <t/>
    </r>
  </si>
  <si>
    <t>FcReservedF334</t>
  </si>
  <si>
    <r>
      <t>F3</t>
    </r>
    <r>
      <rPr>
        <sz val="10"/>
        <rFont val="宋体"/>
        <family val="3"/>
        <charset val="134"/>
      </rPr>
      <t>.</t>
    </r>
    <r>
      <rPr>
        <sz val="10"/>
        <rFont val="宋体"/>
        <family val="3"/>
        <charset val="134"/>
      </rPr>
      <t>35</t>
    </r>
    <r>
      <rPr>
        <sz val="11"/>
        <color indexed="8"/>
        <rFont val="宋体"/>
        <family val="3"/>
        <charset val="134"/>
      </rPr>
      <t/>
    </r>
  </si>
  <si>
    <t>FcReservedF335</t>
  </si>
  <si>
    <r>
      <t>F3</t>
    </r>
    <r>
      <rPr>
        <sz val="10"/>
        <rFont val="宋体"/>
        <family val="3"/>
        <charset val="134"/>
      </rPr>
      <t>.</t>
    </r>
    <r>
      <rPr>
        <sz val="10"/>
        <rFont val="宋体"/>
        <family val="3"/>
        <charset val="134"/>
      </rPr>
      <t>36</t>
    </r>
    <r>
      <rPr>
        <sz val="11"/>
        <color indexed="8"/>
        <rFont val="宋体"/>
        <family val="3"/>
        <charset val="134"/>
      </rPr>
      <t/>
    </r>
  </si>
  <si>
    <t>FcReservedF336</t>
  </si>
  <si>
    <r>
      <t>F3</t>
    </r>
    <r>
      <rPr>
        <sz val="10"/>
        <rFont val="宋体"/>
        <family val="3"/>
        <charset val="134"/>
      </rPr>
      <t>.</t>
    </r>
    <r>
      <rPr>
        <sz val="10"/>
        <rFont val="宋体"/>
        <family val="3"/>
        <charset val="134"/>
      </rPr>
      <t>37</t>
    </r>
    <r>
      <rPr>
        <sz val="11"/>
        <color indexed="8"/>
        <rFont val="宋体"/>
        <family val="3"/>
        <charset val="134"/>
      </rPr>
      <t/>
    </r>
  </si>
  <si>
    <t>FcReservedF337</t>
  </si>
  <si>
    <r>
      <t>F3</t>
    </r>
    <r>
      <rPr>
        <sz val="10"/>
        <rFont val="宋体"/>
        <family val="3"/>
        <charset val="134"/>
      </rPr>
      <t>.</t>
    </r>
    <r>
      <rPr>
        <sz val="10"/>
        <rFont val="宋体"/>
        <family val="3"/>
        <charset val="134"/>
      </rPr>
      <t>38</t>
    </r>
    <r>
      <rPr>
        <sz val="11"/>
        <color indexed="8"/>
        <rFont val="宋体"/>
        <family val="3"/>
        <charset val="134"/>
      </rPr>
      <t/>
    </r>
  </si>
  <si>
    <t>FcReservedF338</t>
  </si>
  <si>
    <r>
      <t>F3</t>
    </r>
    <r>
      <rPr>
        <sz val="10"/>
        <rFont val="宋体"/>
        <family val="3"/>
        <charset val="134"/>
      </rPr>
      <t>.</t>
    </r>
    <r>
      <rPr>
        <sz val="10"/>
        <rFont val="宋体"/>
        <family val="3"/>
        <charset val="134"/>
      </rPr>
      <t>39</t>
    </r>
    <r>
      <rPr>
        <sz val="11"/>
        <color indexed="8"/>
        <rFont val="宋体"/>
        <family val="3"/>
        <charset val="134"/>
      </rPr>
      <t/>
    </r>
  </si>
  <si>
    <t>FcReservedF339</t>
  </si>
  <si>
    <r>
      <t>F3</t>
    </r>
    <r>
      <rPr>
        <sz val="10"/>
        <rFont val="宋体"/>
        <family val="3"/>
        <charset val="134"/>
      </rPr>
      <t>.</t>
    </r>
    <r>
      <rPr>
        <sz val="10"/>
        <rFont val="宋体"/>
        <family val="3"/>
        <charset val="134"/>
      </rPr>
      <t>40</t>
    </r>
    <r>
      <rPr>
        <sz val="11"/>
        <color indexed="8"/>
        <rFont val="宋体"/>
        <family val="3"/>
        <charset val="134"/>
      </rPr>
      <t/>
    </r>
  </si>
  <si>
    <t>FcReservedF340</t>
  </si>
  <si>
    <r>
      <t>F3</t>
    </r>
    <r>
      <rPr>
        <sz val="10"/>
        <rFont val="宋体"/>
        <family val="3"/>
        <charset val="134"/>
      </rPr>
      <t>.</t>
    </r>
    <r>
      <rPr>
        <sz val="10"/>
        <rFont val="宋体"/>
        <family val="3"/>
        <charset val="134"/>
      </rPr>
      <t>41</t>
    </r>
    <r>
      <rPr>
        <sz val="11"/>
        <color indexed="8"/>
        <rFont val="宋体"/>
        <family val="3"/>
        <charset val="134"/>
      </rPr>
      <t/>
    </r>
  </si>
  <si>
    <t>FcReservedF341</t>
  </si>
  <si>
    <r>
      <t>F3</t>
    </r>
    <r>
      <rPr>
        <sz val="10"/>
        <rFont val="宋体"/>
        <family val="3"/>
        <charset val="134"/>
      </rPr>
      <t>.</t>
    </r>
    <r>
      <rPr>
        <sz val="10"/>
        <rFont val="宋体"/>
        <family val="3"/>
        <charset val="134"/>
      </rPr>
      <t>42</t>
    </r>
    <r>
      <rPr>
        <sz val="11"/>
        <color indexed="8"/>
        <rFont val="宋体"/>
        <family val="3"/>
        <charset val="134"/>
      </rPr>
      <t/>
    </r>
  </si>
  <si>
    <t>FcReservedF342</t>
  </si>
  <si>
    <r>
      <t>F3</t>
    </r>
    <r>
      <rPr>
        <sz val="10"/>
        <rFont val="宋体"/>
        <family val="3"/>
        <charset val="134"/>
      </rPr>
      <t>.</t>
    </r>
    <r>
      <rPr>
        <sz val="10"/>
        <rFont val="宋体"/>
        <family val="3"/>
        <charset val="134"/>
      </rPr>
      <t>43</t>
    </r>
    <r>
      <rPr>
        <sz val="11"/>
        <color indexed="8"/>
        <rFont val="宋体"/>
        <family val="3"/>
        <charset val="134"/>
      </rPr>
      <t/>
    </r>
  </si>
  <si>
    <t>FcReservedF343</t>
  </si>
  <si>
    <r>
      <t>F3</t>
    </r>
    <r>
      <rPr>
        <sz val="10"/>
        <rFont val="宋体"/>
        <family val="3"/>
        <charset val="134"/>
      </rPr>
      <t>.</t>
    </r>
    <r>
      <rPr>
        <sz val="10"/>
        <rFont val="宋体"/>
        <family val="3"/>
        <charset val="134"/>
      </rPr>
      <t>44</t>
    </r>
    <r>
      <rPr>
        <sz val="11"/>
        <color indexed="8"/>
        <rFont val="宋体"/>
        <family val="3"/>
        <charset val="134"/>
      </rPr>
      <t/>
    </r>
  </si>
  <si>
    <t>FcReservedF344</t>
  </si>
  <si>
    <r>
      <t>F3</t>
    </r>
    <r>
      <rPr>
        <sz val="10"/>
        <rFont val="宋体"/>
        <family val="3"/>
        <charset val="134"/>
      </rPr>
      <t>.</t>
    </r>
    <r>
      <rPr>
        <sz val="10"/>
        <rFont val="宋体"/>
        <family val="3"/>
        <charset val="134"/>
      </rPr>
      <t>45</t>
    </r>
    <r>
      <rPr>
        <sz val="11"/>
        <color indexed="8"/>
        <rFont val="宋体"/>
        <family val="3"/>
        <charset val="134"/>
      </rPr>
      <t/>
    </r>
  </si>
  <si>
    <t>FcReservedF345</t>
  </si>
  <si>
    <r>
      <t>F3</t>
    </r>
    <r>
      <rPr>
        <sz val="10"/>
        <rFont val="宋体"/>
        <family val="3"/>
        <charset val="134"/>
      </rPr>
      <t>.</t>
    </r>
    <r>
      <rPr>
        <sz val="10"/>
        <rFont val="宋体"/>
        <family val="3"/>
        <charset val="134"/>
      </rPr>
      <t>46</t>
    </r>
    <r>
      <rPr>
        <sz val="11"/>
        <color indexed="8"/>
        <rFont val="宋体"/>
        <family val="3"/>
        <charset val="134"/>
      </rPr>
      <t/>
    </r>
  </si>
  <si>
    <t>FcReservedF346</t>
  </si>
  <si>
    <r>
      <t>F3</t>
    </r>
    <r>
      <rPr>
        <sz val="10"/>
        <rFont val="宋体"/>
        <family val="3"/>
        <charset val="134"/>
      </rPr>
      <t>.</t>
    </r>
    <r>
      <rPr>
        <sz val="10"/>
        <rFont val="宋体"/>
        <family val="3"/>
        <charset val="134"/>
      </rPr>
      <t>47</t>
    </r>
    <r>
      <rPr>
        <sz val="11"/>
        <color indexed="8"/>
        <rFont val="宋体"/>
        <family val="3"/>
        <charset val="134"/>
      </rPr>
      <t/>
    </r>
  </si>
  <si>
    <t>FcReservedF347</t>
  </si>
  <si>
    <r>
      <t>F3</t>
    </r>
    <r>
      <rPr>
        <sz val="10"/>
        <rFont val="宋体"/>
        <family val="3"/>
        <charset val="134"/>
      </rPr>
      <t>.</t>
    </r>
    <r>
      <rPr>
        <sz val="10"/>
        <rFont val="宋体"/>
        <family val="3"/>
        <charset val="134"/>
      </rPr>
      <t>48</t>
    </r>
    <r>
      <rPr>
        <sz val="11"/>
        <color indexed="8"/>
        <rFont val="宋体"/>
        <family val="3"/>
        <charset val="134"/>
      </rPr>
      <t/>
    </r>
  </si>
  <si>
    <t>FcReservedF348</t>
  </si>
  <si>
    <r>
      <t>F3</t>
    </r>
    <r>
      <rPr>
        <sz val="10"/>
        <rFont val="宋体"/>
        <family val="3"/>
        <charset val="134"/>
      </rPr>
      <t>.</t>
    </r>
    <r>
      <rPr>
        <sz val="10"/>
        <rFont val="宋体"/>
        <family val="3"/>
        <charset val="134"/>
      </rPr>
      <t>49</t>
    </r>
    <r>
      <rPr>
        <sz val="11"/>
        <color indexed="8"/>
        <rFont val="宋体"/>
        <family val="3"/>
        <charset val="134"/>
      </rPr>
      <t/>
    </r>
  </si>
  <si>
    <t>FcReservedF349</t>
  </si>
  <si>
    <r>
      <t>F3</t>
    </r>
    <r>
      <rPr>
        <sz val="10"/>
        <rFont val="宋体"/>
        <family val="3"/>
        <charset val="134"/>
      </rPr>
      <t>.</t>
    </r>
    <r>
      <rPr>
        <sz val="10"/>
        <rFont val="宋体"/>
        <family val="3"/>
        <charset val="134"/>
      </rPr>
      <t>50</t>
    </r>
    <r>
      <rPr>
        <sz val="11"/>
        <color indexed="8"/>
        <rFont val="宋体"/>
        <family val="3"/>
        <charset val="134"/>
      </rPr>
      <t/>
    </r>
  </si>
  <si>
    <t>FcReservedF350</t>
  </si>
  <si>
    <r>
      <t>F3</t>
    </r>
    <r>
      <rPr>
        <sz val="10"/>
        <rFont val="宋体"/>
        <family val="3"/>
        <charset val="134"/>
      </rPr>
      <t>.</t>
    </r>
    <r>
      <rPr>
        <sz val="10"/>
        <rFont val="宋体"/>
        <family val="3"/>
        <charset val="134"/>
      </rPr>
      <t>51</t>
    </r>
    <r>
      <rPr>
        <sz val="11"/>
        <color indexed="8"/>
        <rFont val="宋体"/>
        <family val="3"/>
        <charset val="134"/>
      </rPr>
      <t/>
    </r>
  </si>
  <si>
    <t>FcReservedF351</t>
  </si>
  <si>
    <r>
      <t>F3</t>
    </r>
    <r>
      <rPr>
        <sz val="10"/>
        <rFont val="宋体"/>
        <family val="3"/>
        <charset val="134"/>
      </rPr>
      <t>.</t>
    </r>
    <r>
      <rPr>
        <sz val="10"/>
        <rFont val="宋体"/>
        <family val="3"/>
        <charset val="134"/>
      </rPr>
      <t>52</t>
    </r>
    <r>
      <rPr>
        <sz val="11"/>
        <color indexed="8"/>
        <rFont val="宋体"/>
        <family val="3"/>
        <charset val="134"/>
      </rPr>
      <t/>
    </r>
  </si>
  <si>
    <t>FcReservedF352</t>
  </si>
  <si>
    <r>
      <t>F3</t>
    </r>
    <r>
      <rPr>
        <sz val="10"/>
        <rFont val="宋体"/>
        <family val="3"/>
        <charset val="134"/>
      </rPr>
      <t>.</t>
    </r>
    <r>
      <rPr>
        <sz val="10"/>
        <rFont val="宋体"/>
        <family val="3"/>
        <charset val="134"/>
      </rPr>
      <t>53</t>
    </r>
    <r>
      <rPr>
        <sz val="11"/>
        <color indexed="8"/>
        <rFont val="宋体"/>
        <family val="3"/>
        <charset val="134"/>
      </rPr>
      <t/>
    </r>
  </si>
  <si>
    <t>FcReservedF353</t>
  </si>
  <si>
    <t>FcPosCtrlMode</t>
  </si>
  <si>
    <t>FcPosArrivRang</t>
  </si>
  <si>
    <t>FcPosArrivTime</t>
  </si>
  <si>
    <t>FcPosGain</t>
  </si>
  <si>
    <t>FcZeroServoFreq</t>
  </si>
  <si>
    <t>FcPrinAxisAngSet1</t>
  </si>
  <si>
    <t>FcPrinAxisAngSet4</t>
  </si>
  <si>
    <t>FcPrinAxisDirect</t>
  </si>
  <si>
    <t>FcPrinAxisSpdMax</t>
  </si>
  <si>
    <t>FcPrinAxisDecTime</t>
  </si>
  <si>
    <t>FcPrinAxisTerTime</t>
  </si>
  <si>
    <t>FcPosIniFindAct</t>
  </si>
  <si>
    <t>FcPosIniFindDirect</t>
  </si>
  <si>
    <t>FcPosIniFindFreq1</t>
  </si>
  <si>
    <t>FcPosSetH0</t>
  </si>
  <si>
    <t>FcPosSetL0</t>
  </si>
  <si>
    <r>
      <t>FcPosSetH1</t>
    </r>
    <r>
      <rPr>
        <sz val="11"/>
        <color indexed="8"/>
        <rFont val="宋体"/>
        <family val="3"/>
        <charset val="134"/>
      </rPr>
      <t/>
    </r>
  </si>
  <si>
    <r>
      <t>FcPosSetH2</t>
    </r>
    <r>
      <rPr>
        <sz val="11"/>
        <color indexed="8"/>
        <rFont val="宋体"/>
        <family val="3"/>
        <charset val="134"/>
      </rPr>
      <t/>
    </r>
  </si>
  <si>
    <r>
      <t>FcPosSetH3</t>
    </r>
    <r>
      <rPr>
        <sz val="11"/>
        <color indexed="8"/>
        <rFont val="宋体"/>
        <family val="3"/>
        <charset val="134"/>
      </rPr>
      <t/>
    </r>
  </si>
  <si>
    <r>
      <t>FcPosSetH4</t>
    </r>
    <r>
      <rPr>
        <sz val="11"/>
        <color indexed="8"/>
        <rFont val="宋体"/>
        <family val="3"/>
        <charset val="134"/>
      </rPr>
      <t/>
    </r>
  </si>
  <si>
    <r>
      <t>FcPosSetH5</t>
    </r>
    <r>
      <rPr>
        <sz val="11"/>
        <color indexed="8"/>
        <rFont val="宋体"/>
        <family val="3"/>
        <charset val="134"/>
      </rPr>
      <t/>
    </r>
  </si>
  <si>
    <r>
      <t>FcPosSetH6</t>
    </r>
    <r>
      <rPr>
        <sz val="11"/>
        <color indexed="8"/>
        <rFont val="宋体"/>
        <family val="3"/>
        <charset val="134"/>
      </rPr>
      <t/>
    </r>
  </si>
  <si>
    <r>
      <t>FcPosSetH7</t>
    </r>
    <r>
      <rPr>
        <sz val="11"/>
        <color indexed="8"/>
        <rFont val="宋体"/>
        <family val="3"/>
        <charset val="134"/>
      </rPr>
      <t/>
    </r>
  </si>
  <si>
    <t>FcPosSetL7</t>
  </si>
  <si>
    <t>FcPosPulseSour</t>
  </si>
  <si>
    <t>FcEleGeerRatDivid1</t>
  </si>
  <si>
    <r>
      <t>FcEleGeerRatDivid2</t>
    </r>
    <r>
      <rPr>
        <sz val="11"/>
        <color indexed="8"/>
        <rFont val="宋体"/>
        <family val="3"/>
        <charset val="134"/>
      </rPr>
      <t/>
    </r>
  </si>
  <si>
    <t>FcFedFordGain</t>
  </si>
  <si>
    <t>FcFedFordFiltTim</t>
  </si>
  <si>
    <t>FcPosBiasPulRate</t>
  </si>
  <si>
    <t>FcEleGeerRatRamp</t>
  </si>
  <si>
    <t>0~9999/S</t>
  </si>
  <si>
    <t>FcPulseSpdUp</t>
  </si>
  <si>
    <t>0～100.0</t>
  </si>
  <si>
    <t>FcPosCtrlTorqLimK</t>
  </si>
  <si>
    <t>0~1
0：和速度控制一直
1：固定为d5-14和d5-15的值</t>
  </si>
  <si>
    <t>FcPosStabEn1</t>
  </si>
  <si>
    <t>FcReservedF443</t>
  </si>
  <si>
    <t>F5.00</t>
  </si>
  <si>
    <t>FcReservedF500</t>
  </si>
  <si>
    <t>F6.00</t>
  </si>
  <si>
    <t>FcReservedF600</t>
  </si>
  <si>
    <t>档位滤波次数</t>
  </si>
  <si>
    <t>FcDirFiltNum</t>
  </si>
  <si>
    <t>换挡频率</t>
  </si>
  <si>
    <t>FcDirJugeFreq</t>
  </si>
  <si>
    <t>空档停车使能</t>
  </si>
  <si>
    <t>FcNeutralStopEn</t>
  </si>
  <si>
    <t>空档停车使能频率</t>
  </si>
  <si>
    <t>FcNeutralStopEnFreq</t>
  </si>
  <si>
    <t>FcTorqPeakValue</t>
  </si>
  <si>
    <t>FcMtpaKf</t>
    <phoneticPr fontId="20" type="noConversion"/>
  </si>
  <si>
    <t>三相短路保护使能</t>
  </si>
  <si>
    <t>FcTriPhShortEnable</t>
  </si>
  <si>
    <t>FcKpCurrQLoopM</t>
    <phoneticPr fontId="20" type="noConversion"/>
  </si>
  <si>
    <t>FcKiCurrQLoopM</t>
    <phoneticPr fontId="20" type="noConversion"/>
  </si>
  <si>
    <t>FcKpCurrQLoopMREV</t>
    <phoneticPr fontId="20" type="noConversion"/>
  </si>
  <si>
    <t>FcKiCurrQLoopMREV</t>
    <phoneticPr fontId="20" type="noConversion"/>
  </si>
  <si>
    <t>超速后的制动转矩限定值数字设定</t>
  </si>
  <si>
    <t>防溜坡转矩减速时间</t>
  </si>
  <si>
    <t>FcTorqMinDecTm</t>
  </si>
  <si>
    <t>防溜坡后最小封锁转矩</t>
  </si>
  <si>
    <t>FcTorqMinStop</t>
  </si>
  <si>
    <t>FcBreakLimit</t>
    <phoneticPr fontId="20" type="noConversion"/>
  </si>
  <si>
    <t>FcTorqLimtCoffKCar</t>
    <phoneticPr fontId="20" type="noConversion"/>
  </si>
  <si>
    <t>FcTorqLimtCoffChoic</t>
    <phoneticPr fontId="20" type="noConversion"/>
  </si>
  <si>
    <t>FcDQDebug1</t>
    <phoneticPr fontId="20" type="noConversion"/>
  </si>
  <si>
    <t>FcMainCtrlId</t>
    <phoneticPr fontId="20" type="noConversion"/>
  </si>
  <si>
    <t>FcATMTSelect</t>
    <phoneticPr fontId="20" type="noConversion"/>
  </si>
  <si>
    <t>标定模式使能</t>
    <phoneticPr fontId="20" type="noConversion"/>
  </si>
  <si>
    <t>FcDangWeiCtrl</t>
    <phoneticPr fontId="20" type="noConversion"/>
  </si>
  <si>
    <t>油门踏板s曲线加速时间</t>
    <phoneticPr fontId="20" type="noConversion"/>
  </si>
  <si>
    <t>FcSoftAccTim</t>
    <phoneticPr fontId="20" type="noConversion"/>
  </si>
  <si>
    <r>
      <t>0.00s～</t>
    </r>
    <r>
      <rPr>
        <sz val="9"/>
        <color rgb="FFFF0000"/>
        <rFont val="Times New Roman"/>
        <family val="1"/>
      </rPr>
      <t>120.00s</t>
    </r>
  </si>
  <si>
    <t>油门踏板s曲线截止转矩</t>
    <phoneticPr fontId="20" type="noConversion"/>
  </si>
  <si>
    <t>FcSoftAccTorq</t>
    <phoneticPr fontId="20" type="noConversion"/>
  </si>
  <si>
    <t>刹车踏板s曲线加速时间</t>
    <phoneticPr fontId="20" type="noConversion"/>
  </si>
  <si>
    <t>FcSoftBrakeTim</t>
    <phoneticPr fontId="20" type="noConversion"/>
  </si>
  <si>
    <t>刹车踏板s曲线截止转矩</t>
    <phoneticPr fontId="20" type="noConversion"/>
  </si>
  <si>
    <t>FcSoftBrakeTorq</t>
    <phoneticPr fontId="20" type="noConversion"/>
  </si>
  <si>
    <r>
      <t>电机</t>
    </r>
    <r>
      <rPr>
        <sz val="10"/>
        <rFont val="Times New Roman"/>
        <family val="1"/>
      </rPr>
      <t>1</t>
    </r>
    <r>
      <rPr>
        <sz val="10"/>
        <rFont val="宋体"/>
        <family val="3"/>
        <charset val="134"/>
      </rPr>
      <t>额定功率</t>
    </r>
  </si>
  <si>
    <r>
      <t>电机</t>
    </r>
    <r>
      <rPr>
        <sz val="10"/>
        <rFont val="Times New Roman"/>
        <family val="1"/>
      </rPr>
      <t>1</t>
    </r>
    <r>
      <rPr>
        <sz val="10"/>
        <rFont val="宋体"/>
        <family val="3"/>
        <charset val="134"/>
      </rPr>
      <t>额定电压</t>
    </r>
  </si>
  <si>
    <r>
      <t>0V～</t>
    </r>
    <r>
      <rPr>
        <sz val="9"/>
        <rFont val="Times New Roman"/>
        <family val="1"/>
      </rPr>
      <t>480V</t>
    </r>
    <r>
      <rPr>
        <sz val="9"/>
        <rFont val="宋体"/>
        <family val="3"/>
        <charset val="134"/>
      </rPr>
      <t>（针对</t>
    </r>
    <r>
      <rPr>
        <sz val="9"/>
        <rFont val="Times New Roman"/>
        <family val="1"/>
      </rPr>
      <t>380V</t>
    </r>
    <r>
      <rPr>
        <sz val="9"/>
        <rFont val="宋体"/>
        <family val="3"/>
        <charset val="134"/>
      </rPr>
      <t>机型）</t>
    </r>
  </si>
  <si>
    <r>
      <t>电机</t>
    </r>
    <r>
      <rPr>
        <sz val="10"/>
        <rFont val="Times New Roman"/>
        <family val="1"/>
      </rPr>
      <t>1</t>
    </r>
    <r>
      <rPr>
        <sz val="10"/>
        <rFont val="宋体"/>
        <family val="3"/>
        <charset val="134"/>
      </rPr>
      <t>额定电流</t>
    </r>
  </si>
  <si>
    <t>FcRateCurrMot1</t>
  </si>
  <si>
    <r>
      <t>电机</t>
    </r>
    <r>
      <rPr>
        <sz val="10"/>
        <rFont val="Times New Roman"/>
        <family val="1"/>
      </rPr>
      <t>1</t>
    </r>
    <r>
      <rPr>
        <sz val="10"/>
        <rFont val="宋体"/>
        <family val="3"/>
        <charset val="134"/>
      </rPr>
      <t>额定频率</t>
    </r>
  </si>
  <si>
    <t>FcRateFreqMot1</t>
  </si>
  <si>
    <r>
      <t>电机</t>
    </r>
    <r>
      <rPr>
        <sz val="10"/>
        <rFont val="Times New Roman"/>
        <family val="1"/>
      </rPr>
      <t>1</t>
    </r>
    <r>
      <rPr>
        <sz val="10"/>
        <rFont val="宋体"/>
        <family val="3"/>
        <charset val="134"/>
      </rPr>
      <t>极数</t>
    </r>
  </si>
  <si>
    <t>FcPolesMot1</t>
  </si>
  <si>
    <r>
      <t>电机</t>
    </r>
    <r>
      <rPr>
        <sz val="10"/>
        <rFont val="Times New Roman"/>
        <family val="1"/>
      </rPr>
      <t>1</t>
    </r>
    <r>
      <rPr>
        <sz val="10"/>
        <rFont val="宋体"/>
        <family val="3"/>
        <charset val="134"/>
      </rPr>
      <t>额定转速</t>
    </r>
  </si>
  <si>
    <t>FcRateRpmMot1</t>
  </si>
  <si>
    <t>R</t>
  </si>
  <si>
    <t>FcInvDeadTime</t>
  </si>
  <si>
    <r>
      <t>90.0%～</t>
    </r>
    <r>
      <rPr>
        <sz val="9"/>
        <rFont val="Times New Roman"/>
        <family val="1"/>
      </rPr>
      <t>110.0%</t>
    </r>
  </si>
  <si>
    <r>
      <t>0V～</t>
    </r>
    <r>
      <rPr>
        <sz val="9"/>
        <rFont val="Times New Roman"/>
        <family val="1"/>
      </rPr>
      <t>n0.08</t>
    </r>
  </si>
  <si>
    <t>×</t>
    <phoneticPr fontId="20" type="noConversion"/>
  </si>
  <si>
    <t>B000</t>
    <phoneticPr fontId="20" type="noConversion"/>
  </si>
  <si>
    <r>
      <t>Fc</t>
    </r>
    <r>
      <rPr>
        <sz val="10"/>
        <rFont val="宋体"/>
        <family val="3"/>
        <charset val="134"/>
      </rPr>
      <t>IGBTTempU</t>
    </r>
    <phoneticPr fontId="20" type="noConversion"/>
  </si>
  <si>
    <t>FcIGBTTempV</t>
    <phoneticPr fontId="20" type="noConversion"/>
  </si>
  <si>
    <t>U相模块温度</t>
    <phoneticPr fontId="20" type="noConversion"/>
  </si>
  <si>
    <t>V相模块温度</t>
    <phoneticPr fontId="20" type="noConversion"/>
  </si>
  <si>
    <t>W相模块温度</t>
    <phoneticPr fontId="20" type="noConversion"/>
  </si>
  <si>
    <t>FcIGBTTempW</t>
    <phoneticPr fontId="20" type="noConversion"/>
  </si>
  <si>
    <t>%</t>
    <phoneticPr fontId="20" type="noConversion"/>
  </si>
  <si>
    <t>FcBATVolt</t>
  </si>
  <si>
    <t>蓄电池电压</t>
    <phoneticPr fontId="20" type="noConversion"/>
  </si>
  <si>
    <r>
      <t>Fc</t>
    </r>
    <r>
      <rPr>
        <sz val="10"/>
        <rFont val="宋体"/>
        <family val="3"/>
        <charset val="134"/>
      </rPr>
      <t>OverSpd</t>
    </r>
    <r>
      <rPr>
        <sz val="10"/>
        <rFont val="宋体"/>
        <family val="3"/>
        <charset val="134"/>
      </rPr>
      <t>BrkLimitSet</t>
    </r>
    <phoneticPr fontId="20" type="noConversion"/>
  </si>
  <si>
    <t>FcProtectSpeed</t>
    <phoneticPr fontId="20" type="noConversion"/>
  </si>
  <si>
    <t>FcRecoveryVolt</t>
  </si>
  <si>
    <t>三相短路保护恢复电压</t>
    <phoneticPr fontId="20" type="noConversion"/>
  </si>
  <si>
    <t>三相短路保护起始速度</t>
    <phoneticPr fontId="20" type="noConversion"/>
  </si>
  <si>
    <t>FcHVILErrorTime</t>
  </si>
  <si>
    <t>高压互锁断线保护时间</t>
    <phoneticPr fontId="20" type="noConversion"/>
  </si>
  <si>
    <t>保留</t>
    <phoneticPr fontId="20" type="noConversion"/>
  </si>
  <si>
    <r>
      <t>个位：</t>
    </r>
    <r>
      <rPr>
        <sz val="9"/>
        <rFont val="Times New Roman"/>
        <family val="1"/>
      </rPr>
      <t>AI1</t>
    </r>
    <r>
      <rPr>
        <sz val="9"/>
        <rFont val="宋体"/>
        <charset val="134"/>
      </rPr>
      <t xml:space="preserve">输入曲线选择
</t>
    </r>
    <r>
      <rPr>
        <sz val="9"/>
        <rFont val="Times New Roman"/>
        <family val="1"/>
      </rPr>
      <t>0</t>
    </r>
    <r>
      <rPr>
        <sz val="9"/>
        <rFont val="宋体"/>
        <charset val="134"/>
      </rPr>
      <t>：曲线</t>
    </r>
    <r>
      <rPr>
        <sz val="9"/>
        <rFont val="Times New Roman"/>
        <family val="1"/>
      </rPr>
      <t>1</t>
    </r>
    <r>
      <rPr>
        <sz val="9"/>
        <rFont val="宋体"/>
        <charset val="134"/>
      </rPr>
      <t>（</t>
    </r>
    <r>
      <rPr>
        <sz val="9"/>
        <rFont val="Times New Roman"/>
        <family val="1"/>
      </rPr>
      <t>2</t>
    </r>
    <r>
      <rPr>
        <sz val="9"/>
        <rFont val="宋体"/>
        <charset val="134"/>
      </rPr>
      <t xml:space="preserve">点）
</t>
    </r>
    <r>
      <rPr>
        <sz val="9"/>
        <rFont val="Times New Roman"/>
        <family val="1"/>
      </rPr>
      <t>1</t>
    </r>
    <r>
      <rPr>
        <sz val="9"/>
        <rFont val="宋体"/>
        <charset val="134"/>
      </rPr>
      <t>：曲线</t>
    </r>
    <r>
      <rPr>
        <sz val="9"/>
        <rFont val="Times New Roman"/>
        <family val="1"/>
      </rPr>
      <t>2</t>
    </r>
    <r>
      <rPr>
        <sz val="9"/>
        <rFont val="宋体"/>
        <charset val="134"/>
      </rPr>
      <t>（</t>
    </r>
    <r>
      <rPr>
        <sz val="9"/>
        <rFont val="Times New Roman"/>
        <family val="1"/>
      </rPr>
      <t>4</t>
    </r>
    <r>
      <rPr>
        <sz val="9"/>
        <rFont val="宋体"/>
        <charset val="134"/>
      </rPr>
      <t xml:space="preserve">点）
</t>
    </r>
    <r>
      <rPr>
        <sz val="9"/>
        <rFont val="Times New Roman"/>
        <family val="1"/>
      </rPr>
      <t>2</t>
    </r>
    <r>
      <rPr>
        <sz val="9"/>
        <rFont val="宋体"/>
        <charset val="134"/>
      </rPr>
      <t>：曲线</t>
    </r>
    <r>
      <rPr>
        <sz val="9"/>
        <rFont val="Times New Roman"/>
        <family val="1"/>
      </rPr>
      <t>3</t>
    </r>
    <r>
      <rPr>
        <sz val="9"/>
        <rFont val="宋体"/>
        <charset val="134"/>
      </rPr>
      <t>（</t>
    </r>
    <r>
      <rPr>
        <sz val="9"/>
        <rFont val="Times New Roman"/>
        <family val="1"/>
      </rPr>
      <t>4</t>
    </r>
    <r>
      <rPr>
        <sz val="9"/>
        <rFont val="宋体"/>
        <charset val="134"/>
      </rPr>
      <t xml:space="preserve">点）
</t>
    </r>
    <r>
      <rPr>
        <sz val="9"/>
        <rFont val="Times New Roman"/>
        <family val="1"/>
      </rPr>
      <t>3</t>
    </r>
    <r>
      <rPr>
        <sz val="9"/>
        <rFont val="宋体"/>
        <charset val="134"/>
      </rPr>
      <t>：</t>
    </r>
    <r>
      <rPr>
        <sz val="9"/>
        <rFont val="Times New Roman"/>
        <family val="1"/>
      </rPr>
      <t>X</t>
    </r>
    <r>
      <rPr>
        <sz val="9"/>
        <rFont val="宋体"/>
        <charset val="134"/>
      </rPr>
      <t>端子切换
十位：</t>
    </r>
    <r>
      <rPr>
        <sz val="9"/>
        <rFont val="Times New Roman"/>
        <family val="1"/>
      </rPr>
      <t>AI2</t>
    </r>
    <r>
      <rPr>
        <sz val="9"/>
        <rFont val="宋体"/>
        <charset val="134"/>
      </rPr>
      <t>输入曲线选择（同个位）
百位：保留
千位：保留</t>
    </r>
    <phoneticPr fontId="20" type="noConversion"/>
  </si>
  <si>
    <t>ANALOG_IN_CURVE</t>
    <phoneticPr fontId="20" type="noConversion"/>
  </si>
  <si>
    <t>保留</t>
    <phoneticPr fontId="20" type="noConversion"/>
  </si>
  <si>
    <t>保留</t>
    <phoneticPr fontId="20" type="noConversion"/>
  </si>
  <si>
    <t>保留</t>
    <phoneticPr fontId="20" type="noConversion"/>
  </si>
  <si>
    <r>
      <t>多功能输入端子有效状态设定</t>
    </r>
    <r>
      <rPr>
        <sz val="10"/>
        <rFont val="Times New Roman"/>
        <family val="1"/>
      </rPr>
      <t>2</t>
    </r>
    <r>
      <rPr>
        <sz val="10"/>
        <rFont val="宋体"/>
        <charset val="134"/>
      </rPr>
      <t>（</t>
    </r>
    <r>
      <rPr>
        <sz val="10"/>
        <rFont val="Times New Roman"/>
        <family val="1"/>
      </rPr>
      <t>X5</t>
    </r>
    <r>
      <rPr>
        <sz val="10"/>
        <rFont val="宋体"/>
        <charset val="134"/>
      </rPr>
      <t>～</t>
    </r>
    <r>
      <rPr>
        <sz val="10"/>
        <rFont val="Times New Roman"/>
        <family val="1"/>
      </rPr>
      <t>X6</t>
    </r>
    <r>
      <rPr>
        <sz val="10"/>
        <rFont val="宋体"/>
        <charset val="134"/>
      </rPr>
      <t>）</t>
    </r>
    <phoneticPr fontId="20" type="noConversion"/>
  </si>
  <si>
    <r>
      <t>个位：</t>
    </r>
    <r>
      <rPr>
        <sz val="9"/>
        <rFont val="Times New Roman"/>
        <family val="1"/>
      </rPr>
      <t>X5
0</t>
    </r>
    <r>
      <rPr>
        <sz val="9"/>
        <rFont val="宋体"/>
        <charset val="134"/>
      </rPr>
      <t xml:space="preserve">：正逻辑，闭合有效
</t>
    </r>
    <r>
      <rPr>
        <sz val="9"/>
        <rFont val="Times New Roman"/>
        <family val="1"/>
      </rPr>
      <t>1</t>
    </r>
    <r>
      <rPr>
        <sz val="9"/>
        <rFont val="宋体"/>
        <charset val="134"/>
      </rPr>
      <t>：反逻辑，断开有效
十位：</t>
    </r>
    <r>
      <rPr>
        <sz val="9"/>
        <rFont val="Times New Roman"/>
        <family val="1"/>
      </rPr>
      <t>X6</t>
    </r>
    <r>
      <rPr>
        <sz val="9"/>
        <rFont val="宋体"/>
        <charset val="134"/>
      </rPr>
      <t>（同上）
百位：</t>
    </r>
    <r>
      <rPr>
        <sz val="9"/>
        <rFont val="宋体"/>
        <family val="3"/>
        <charset val="134"/>
      </rPr>
      <t>保留</t>
    </r>
    <r>
      <rPr>
        <sz val="9"/>
        <rFont val="宋体"/>
        <charset val="134"/>
      </rPr>
      <t xml:space="preserve">
千位：保留</t>
    </r>
    <phoneticPr fontId="20" type="noConversion"/>
  </si>
  <si>
    <r>
      <t>0：数字给定（</t>
    </r>
    <r>
      <rPr>
        <sz val="9"/>
        <rFont val="Times New Roman"/>
        <family val="1"/>
      </rPr>
      <t>b0.02</t>
    </r>
    <r>
      <rPr>
        <sz val="9"/>
        <rFont val="宋体"/>
        <charset val="134"/>
      </rPr>
      <t xml:space="preserve">）＋操作面板∧/∨调节
</t>
    </r>
    <r>
      <rPr>
        <sz val="9"/>
        <rFont val="Times New Roman"/>
        <family val="1"/>
      </rPr>
      <t>1</t>
    </r>
    <r>
      <rPr>
        <sz val="9"/>
        <rFont val="宋体"/>
        <charset val="134"/>
      </rPr>
      <t>：数字给定（</t>
    </r>
    <r>
      <rPr>
        <sz val="9"/>
        <rFont val="Times New Roman"/>
        <family val="1"/>
      </rPr>
      <t>b0.02</t>
    </r>
    <r>
      <rPr>
        <sz val="9"/>
        <rFont val="宋体"/>
        <charset val="134"/>
      </rPr>
      <t>）＋端子</t>
    </r>
    <r>
      <rPr>
        <sz val="9"/>
        <rFont val="Times New Roman"/>
        <family val="1"/>
      </rPr>
      <t>UP/DOWN</t>
    </r>
    <r>
      <rPr>
        <sz val="9"/>
        <rFont val="宋体"/>
        <charset val="134"/>
      </rPr>
      <t xml:space="preserve">调节
</t>
    </r>
    <r>
      <rPr>
        <sz val="9"/>
        <rFont val="Times New Roman"/>
        <family val="1"/>
      </rPr>
      <t>2</t>
    </r>
    <r>
      <rPr>
        <sz val="9"/>
        <rFont val="宋体"/>
        <charset val="134"/>
      </rPr>
      <t>：模拟输入</t>
    </r>
    <r>
      <rPr>
        <sz val="9"/>
        <rFont val="Times New Roman"/>
        <family val="1"/>
      </rPr>
      <t xml:space="preserve"> AI1
3</t>
    </r>
    <r>
      <rPr>
        <sz val="9"/>
        <rFont val="宋体"/>
        <charset val="134"/>
      </rPr>
      <t>：模拟输入</t>
    </r>
    <r>
      <rPr>
        <sz val="9"/>
        <rFont val="Times New Roman"/>
        <family val="1"/>
      </rPr>
      <t xml:space="preserve"> AI2
4</t>
    </r>
    <r>
      <rPr>
        <sz val="9"/>
        <rFont val="宋体"/>
        <charset val="134"/>
      </rPr>
      <t>：模拟输入</t>
    </r>
    <r>
      <rPr>
        <sz val="9"/>
        <rFont val="Times New Roman"/>
        <family val="1"/>
      </rPr>
      <t xml:space="preserve"> AI3
5</t>
    </r>
    <r>
      <rPr>
        <sz val="9"/>
        <rFont val="宋体"/>
        <charset val="134"/>
      </rPr>
      <t>：</t>
    </r>
    <r>
      <rPr>
        <sz val="9"/>
        <rFont val="Times New Roman"/>
        <family val="1"/>
      </rPr>
      <t>X8/DI</t>
    </r>
    <r>
      <rPr>
        <sz val="9"/>
        <rFont val="宋体"/>
        <charset val="134"/>
      </rPr>
      <t xml:space="preserve">脉冲输入
</t>
    </r>
    <r>
      <rPr>
        <sz val="9"/>
        <rFont val="Times New Roman"/>
        <family val="1"/>
      </rPr>
      <t>6</t>
    </r>
    <r>
      <rPr>
        <sz val="9"/>
        <rFont val="宋体"/>
        <charset val="134"/>
      </rPr>
      <t>：过程</t>
    </r>
    <r>
      <rPr>
        <sz val="9"/>
        <rFont val="Times New Roman"/>
        <family val="1"/>
      </rPr>
      <t>PID</t>
    </r>
    <r>
      <rPr>
        <sz val="9"/>
        <rFont val="宋体"/>
        <charset val="134"/>
      </rPr>
      <t xml:space="preserve">输出
</t>
    </r>
    <r>
      <rPr>
        <sz val="9"/>
        <rFont val="Times New Roman"/>
        <family val="1"/>
      </rPr>
      <t>7</t>
    </r>
    <r>
      <rPr>
        <sz val="9"/>
        <rFont val="宋体"/>
        <charset val="134"/>
      </rPr>
      <t>：</t>
    </r>
    <r>
      <rPr>
        <sz val="9"/>
        <rFont val="Times New Roman"/>
        <family val="1"/>
      </rPr>
      <t>PLC
8</t>
    </r>
    <r>
      <rPr>
        <sz val="9"/>
        <rFont val="宋体"/>
        <charset val="134"/>
      </rPr>
      <t xml:space="preserve">：多段速
</t>
    </r>
    <r>
      <rPr>
        <sz val="9"/>
        <rFont val="Times New Roman"/>
        <family val="1"/>
      </rPr>
      <t>9</t>
    </r>
    <r>
      <rPr>
        <sz val="9"/>
        <rFont val="宋体"/>
        <charset val="134"/>
      </rPr>
      <t xml:space="preserve">：通讯输入
</t>
    </r>
    <r>
      <rPr>
        <sz val="9"/>
        <rFont val="Times New Roman"/>
        <family val="1"/>
      </rPr>
      <t>10</t>
    </r>
    <r>
      <rPr>
        <sz val="9"/>
        <rFont val="宋体"/>
        <charset val="134"/>
      </rPr>
      <t>：本地</t>
    </r>
    <r>
      <rPr>
        <sz val="9"/>
        <rFont val="Times New Roman"/>
        <family val="1"/>
      </rPr>
      <t>ABZ</t>
    </r>
    <r>
      <rPr>
        <sz val="9"/>
        <rFont val="宋体"/>
        <charset val="134"/>
      </rPr>
      <t>正交</t>
    </r>
    <r>
      <rPr>
        <sz val="9"/>
        <rFont val="Times New Roman"/>
        <family val="1"/>
      </rPr>
      <t xml:space="preserve">
11</t>
    </r>
    <r>
      <rPr>
        <sz val="9"/>
        <rFont val="宋体"/>
        <charset val="134"/>
      </rPr>
      <t>：本地单脉冲</t>
    </r>
    <r>
      <rPr>
        <sz val="9"/>
        <rFont val="Times New Roman"/>
        <family val="1"/>
      </rPr>
      <t>+X</t>
    </r>
    <r>
      <rPr>
        <sz val="9"/>
        <rFont val="宋体"/>
        <charset val="134"/>
      </rPr>
      <t>端子方向</t>
    </r>
    <phoneticPr fontId="20" type="noConversion"/>
  </si>
  <si>
    <t>保留</t>
    <phoneticPr fontId="20" type="noConversion"/>
  </si>
  <si>
    <t>保留</t>
    <phoneticPr fontId="20" type="noConversion"/>
  </si>
  <si>
    <t>FcTorqLimitCoffSvcM1</t>
    <phoneticPr fontId="20" type="noConversion"/>
  </si>
  <si>
    <t>FcFreqPulSet</t>
    <phoneticPr fontId="20" type="noConversion"/>
  </si>
  <si>
    <t>控制器温度调整系数2</t>
    <phoneticPr fontId="20" type="noConversion"/>
  </si>
  <si>
    <t>控制器温度调整系数1</t>
    <phoneticPr fontId="20" type="noConversion"/>
  </si>
  <si>
    <t>控制器温度调整系数3</t>
    <phoneticPr fontId="20" type="noConversion"/>
  </si>
  <si>
    <t>FcIgbtUTemperK</t>
    <phoneticPr fontId="20" type="noConversion"/>
  </si>
  <si>
    <t>FcIgbtVTemperK</t>
    <phoneticPr fontId="20" type="noConversion"/>
  </si>
  <si>
    <t>FcIgbtWTemperK</t>
    <phoneticPr fontId="20" type="noConversion"/>
  </si>
  <si>
    <t>0：无故障源
1：fail本身源
2：驱动电源欠压
3：过流
4：过压
5：其他类型</t>
    <phoneticPr fontId="80" type="noConversion"/>
  </si>
  <si>
    <r>
      <t>0～</t>
    </r>
    <r>
      <rPr>
        <sz val="9"/>
        <color rgb="FFFF0000"/>
        <rFont val="Times New Roman"/>
        <family val="1"/>
      </rPr>
      <t>FFFF</t>
    </r>
    <r>
      <rPr>
        <sz val="9"/>
        <color rgb="FFFF0000"/>
        <rFont val="宋体"/>
        <family val="3"/>
        <charset val="134"/>
      </rPr>
      <t>（设置为</t>
    </r>
    <r>
      <rPr>
        <sz val="9"/>
        <color rgb="FFFF0000"/>
        <rFont val="Times New Roman"/>
        <family val="1"/>
      </rPr>
      <t>0</t>
    </r>
    <r>
      <rPr>
        <sz val="9"/>
        <color rgb="FFFF0000"/>
        <rFont val="宋体"/>
        <family val="3"/>
        <charset val="134"/>
      </rPr>
      <t>表示无密码，非</t>
    </r>
    <r>
      <rPr>
        <sz val="9"/>
        <color rgb="FFFF0000"/>
        <rFont val="Times New Roman"/>
        <family val="1"/>
      </rPr>
      <t>0</t>
    </r>
    <r>
      <rPr>
        <sz val="9"/>
        <color rgb="FFFF0000"/>
        <rFont val="宋体"/>
        <family val="3"/>
        <charset val="134"/>
      </rPr>
      <t>表示有密码保护）</t>
    </r>
  </si>
  <si>
    <r>
      <t>0：显示所有功能码（</t>
    </r>
    <r>
      <rPr>
        <sz val="9"/>
        <color rgb="FFFF0000"/>
        <rFont val="Times New Roman"/>
        <family val="1"/>
      </rPr>
      <t>A1.21</t>
    </r>
    <r>
      <rPr>
        <sz val="9"/>
        <color rgb="FFFF0000"/>
        <rFont val="宋体"/>
        <family val="3"/>
        <charset val="134"/>
      </rPr>
      <t>～</t>
    </r>
    <r>
      <rPr>
        <sz val="9"/>
        <color rgb="FFFF0000"/>
        <rFont val="Times New Roman"/>
        <family val="1"/>
      </rPr>
      <t>A1.22</t>
    </r>
    <r>
      <rPr>
        <sz val="9"/>
        <color rgb="FFFF0000"/>
        <rFont val="宋体"/>
        <family val="3"/>
        <charset val="134"/>
      </rPr>
      <t xml:space="preserve">功能码组显隐性有效）
</t>
    </r>
    <r>
      <rPr>
        <sz val="9"/>
        <color rgb="FFFF0000"/>
        <rFont val="Times New Roman"/>
        <family val="1"/>
      </rPr>
      <t>1</t>
    </r>
    <r>
      <rPr>
        <sz val="9"/>
        <color rgb="FFFF0000"/>
        <rFont val="宋体"/>
        <family val="3"/>
        <charset val="134"/>
      </rPr>
      <t>：只显示</t>
    </r>
    <r>
      <rPr>
        <sz val="9"/>
        <color rgb="FFFF0000"/>
        <rFont val="Times New Roman"/>
        <family val="1"/>
      </rPr>
      <t>A0.00</t>
    </r>
    <r>
      <rPr>
        <sz val="9"/>
        <color rgb="FFFF0000"/>
        <rFont val="宋体"/>
        <family val="3"/>
        <charset val="134"/>
      </rPr>
      <t>和</t>
    </r>
    <r>
      <rPr>
        <sz val="9"/>
        <color rgb="FFFF0000"/>
        <rFont val="Times New Roman"/>
        <family val="1"/>
      </rPr>
      <t>A0.01</t>
    </r>
    <r>
      <rPr>
        <sz val="9"/>
        <color rgb="FFFF0000"/>
        <rFont val="宋体"/>
        <family val="3"/>
        <charset val="134"/>
      </rPr>
      <t xml:space="preserve">这两个功能码
</t>
    </r>
    <r>
      <rPr>
        <sz val="9"/>
        <color rgb="FFFF0000"/>
        <rFont val="Times New Roman"/>
        <family val="1"/>
      </rPr>
      <t>2</t>
    </r>
    <r>
      <rPr>
        <sz val="9"/>
        <color rgb="FFFF0000"/>
        <rFont val="宋体"/>
        <family val="3"/>
        <charset val="134"/>
      </rPr>
      <t>：只显示</t>
    </r>
    <r>
      <rPr>
        <sz val="9"/>
        <color rgb="FFFF0000"/>
        <rFont val="Times New Roman"/>
        <family val="1"/>
      </rPr>
      <t>A0.00</t>
    </r>
    <r>
      <rPr>
        <sz val="9"/>
        <color rgb="FFFF0000"/>
        <rFont val="宋体"/>
        <family val="3"/>
        <charset val="134"/>
      </rPr>
      <t>、</t>
    </r>
    <r>
      <rPr>
        <sz val="9"/>
        <color rgb="FFFF0000"/>
        <rFont val="Times New Roman"/>
        <family val="1"/>
      </rPr>
      <t>A0.01</t>
    </r>
    <r>
      <rPr>
        <sz val="9"/>
        <color rgb="FFFF0000"/>
        <rFont val="宋体"/>
        <family val="3"/>
        <charset val="134"/>
      </rPr>
      <t>和</t>
    </r>
    <r>
      <rPr>
        <sz val="9"/>
        <color rgb="FFFF0000"/>
        <rFont val="Times New Roman"/>
        <family val="1"/>
      </rPr>
      <t>A1.00</t>
    </r>
    <r>
      <rPr>
        <sz val="9"/>
        <color rgb="FFFF0000"/>
        <rFont val="宋体"/>
        <family val="3"/>
        <charset val="134"/>
      </rPr>
      <t>～</t>
    </r>
    <r>
      <rPr>
        <sz val="9"/>
        <color rgb="FFFF0000"/>
        <rFont val="Times New Roman"/>
        <family val="1"/>
      </rPr>
      <t>A1.20</t>
    </r>
    <r>
      <rPr>
        <sz val="9"/>
        <color rgb="FFFF0000"/>
        <rFont val="宋体"/>
        <family val="3"/>
        <charset val="134"/>
      </rPr>
      <t xml:space="preserve">用户自定义显示的功能码
</t>
    </r>
    <r>
      <rPr>
        <sz val="9"/>
        <color rgb="FFFF0000"/>
        <rFont val="Times New Roman"/>
        <family val="1"/>
      </rPr>
      <t>3</t>
    </r>
    <r>
      <rPr>
        <sz val="9"/>
        <color rgb="FFFF0000"/>
        <rFont val="宋体"/>
        <family val="3"/>
        <charset val="134"/>
      </rPr>
      <t>：只显示</t>
    </r>
    <r>
      <rPr>
        <sz val="9"/>
        <color rgb="FFFF0000"/>
        <rFont val="Times New Roman"/>
        <family val="1"/>
      </rPr>
      <t>A0.00</t>
    </r>
    <r>
      <rPr>
        <sz val="9"/>
        <color rgb="FFFF0000"/>
        <rFont val="宋体"/>
        <family val="3"/>
        <charset val="134"/>
      </rPr>
      <t>、</t>
    </r>
    <r>
      <rPr>
        <sz val="9"/>
        <color rgb="FFFF0000"/>
        <rFont val="Times New Roman"/>
        <family val="1"/>
      </rPr>
      <t>A0.01</t>
    </r>
    <r>
      <rPr>
        <sz val="9"/>
        <color rgb="FFFF0000"/>
        <rFont val="宋体"/>
        <family val="3"/>
        <charset val="134"/>
      </rPr>
      <t xml:space="preserve">和与出厂值不同的功能码
</t>
    </r>
    <r>
      <rPr>
        <sz val="9"/>
        <rFont val="Times New Roman"/>
        <family val="1"/>
      </rPr>
      <t/>
    </r>
    <phoneticPr fontId="20" type="noConversion"/>
  </si>
  <si>
    <r>
      <t xml:space="preserve">0：所有功能码允许修改
</t>
    </r>
    <r>
      <rPr>
        <sz val="9"/>
        <color rgb="FFFF0000"/>
        <rFont val="Times New Roman"/>
        <family val="1"/>
      </rPr>
      <t>1</t>
    </r>
    <r>
      <rPr>
        <sz val="9"/>
        <color rgb="FFFF0000"/>
        <rFont val="宋体"/>
        <family val="3"/>
        <charset val="134"/>
      </rPr>
      <t>：只有</t>
    </r>
    <r>
      <rPr>
        <sz val="9"/>
        <color rgb="FFFF0000"/>
        <rFont val="Times New Roman"/>
        <family val="1"/>
      </rPr>
      <t>A0.00</t>
    </r>
    <r>
      <rPr>
        <sz val="9"/>
        <color rgb="FFFF0000"/>
        <rFont val="宋体"/>
        <family val="3"/>
        <charset val="134"/>
      </rPr>
      <t>和本功能码允许修改</t>
    </r>
    <phoneticPr fontId="20" type="noConversion"/>
  </si>
  <si>
    <r>
      <t xml:space="preserve">0：不动作
</t>
    </r>
    <r>
      <rPr>
        <sz val="9"/>
        <color rgb="FFFF0000"/>
        <rFont val="Times New Roman"/>
        <family val="1"/>
      </rPr>
      <t>1</t>
    </r>
    <r>
      <rPr>
        <sz val="9"/>
        <color rgb="FFFF0000"/>
        <rFont val="宋体"/>
        <family val="3"/>
        <charset val="134"/>
      </rPr>
      <t>：将所有功能码存储到备份</t>
    </r>
    <r>
      <rPr>
        <sz val="9"/>
        <color rgb="FFFF0000"/>
        <rFont val="Times New Roman"/>
        <family val="1"/>
      </rPr>
      <t>1</t>
    </r>
    <r>
      <rPr>
        <sz val="9"/>
        <color rgb="FFFF0000"/>
        <rFont val="宋体"/>
        <family val="3"/>
        <charset val="134"/>
      </rPr>
      <t>参数（</t>
    </r>
    <r>
      <rPr>
        <sz val="9"/>
        <color rgb="FFFF0000"/>
        <rFont val="Times New Roman"/>
        <family val="1"/>
      </rPr>
      <t>U0</t>
    </r>
    <r>
      <rPr>
        <sz val="9"/>
        <color rgb="FFFF0000"/>
        <rFont val="宋体"/>
        <family val="3"/>
        <charset val="134"/>
      </rPr>
      <t xml:space="preserve">组之前）
</t>
    </r>
    <r>
      <rPr>
        <sz val="9"/>
        <rFont val="Times New Roman"/>
        <family val="1"/>
      </rPr>
      <t/>
    </r>
    <phoneticPr fontId="20" type="noConversion"/>
  </si>
  <si>
    <r>
      <t>0：</t>
    </r>
    <r>
      <rPr>
        <sz val="9"/>
        <color rgb="FFFF0000"/>
        <rFont val="Times New Roman"/>
        <family val="1"/>
      </rPr>
      <t>G</t>
    </r>
    <r>
      <rPr>
        <sz val="9"/>
        <color rgb="FFFF0000"/>
        <rFont val="宋体"/>
        <family val="3"/>
        <charset val="134"/>
      </rPr>
      <t xml:space="preserve">型（恒转矩负载）
</t>
    </r>
    <r>
      <rPr>
        <sz val="9"/>
        <color rgb="FFFF0000"/>
        <rFont val="Times New Roman"/>
        <family val="1"/>
      </rPr>
      <t>1</t>
    </r>
    <r>
      <rPr>
        <sz val="9"/>
        <color rgb="FFFF0000"/>
        <rFont val="宋体"/>
        <family val="3"/>
        <charset val="134"/>
      </rPr>
      <t>：</t>
    </r>
    <r>
      <rPr>
        <sz val="9"/>
        <color rgb="FFFF0000"/>
        <rFont val="Times New Roman"/>
        <family val="1"/>
      </rPr>
      <t>P</t>
    </r>
    <r>
      <rPr>
        <sz val="9"/>
        <color rgb="FFFF0000"/>
        <rFont val="宋体"/>
        <family val="3"/>
        <charset val="134"/>
      </rPr>
      <t>型（风机泵类负载）</t>
    </r>
    <phoneticPr fontId="20" type="noConversion"/>
  </si>
  <si>
    <r>
      <t xml:space="preserve">0：无操作
</t>
    </r>
    <r>
      <rPr>
        <sz val="9"/>
        <color rgb="FFFF0000"/>
        <rFont val="Times New Roman"/>
        <family val="1"/>
      </rPr>
      <t>1</t>
    </r>
    <r>
      <rPr>
        <sz val="9"/>
        <color rgb="FFFF0000"/>
        <rFont val="宋体"/>
        <family val="3"/>
        <charset val="134"/>
      </rPr>
      <t xml:space="preserve">：参数上传
</t>
    </r>
    <r>
      <rPr>
        <sz val="9"/>
        <color rgb="FFFF0000"/>
        <rFont val="Times New Roman"/>
        <family val="1"/>
      </rPr>
      <t>2</t>
    </r>
    <r>
      <rPr>
        <sz val="9"/>
        <color rgb="FFFF0000"/>
        <rFont val="宋体"/>
        <family val="3"/>
        <charset val="134"/>
      </rPr>
      <t xml:space="preserve">：参数下载（不含电机参数）
</t>
    </r>
    <r>
      <rPr>
        <sz val="9"/>
        <color rgb="FFFF0000"/>
        <rFont val="Times New Roman"/>
        <family val="1"/>
      </rPr>
      <t>3</t>
    </r>
    <r>
      <rPr>
        <sz val="9"/>
        <color rgb="FFFF0000"/>
        <rFont val="宋体"/>
        <family val="3"/>
        <charset val="134"/>
      </rPr>
      <t>：参数下载（含电机参数）</t>
    </r>
    <phoneticPr fontId="20" type="noConversion"/>
  </si>
  <si>
    <r>
      <t>0：电机</t>
    </r>
    <r>
      <rPr>
        <sz val="9"/>
        <color rgb="FFFF0000"/>
        <rFont val="Times New Roman"/>
        <family val="1"/>
      </rPr>
      <t>1
1</t>
    </r>
    <r>
      <rPr>
        <sz val="9"/>
        <color rgb="FFFF0000"/>
        <rFont val="宋体"/>
        <family val="3"/>
        <charset val="134"/>
      </rPr>
      <t>：电机</t>
    </r>
    <r>
      <rPr>
        <sz val="9"/>
        <color rgb="FFFF0000"/>
        <rFont val="Times New Roman"/>
        <family val="1"/>
      </rPr>
      <t>2</t>
    </r>
    <phoneticPr fontId="20" type="noConversion"/>
  </si>
  <si>
    <r>
      <t>0～</t>
    </r>
    <r>
      <rPr>
        <sz val="9"/>
        <color rgb="FFFF0000"/>
        <rFont val="Times New Roman"/>
        <family val="1"/>
      </rPr>
      <t>FFFF</t>
    </r>
    <phoneticPr fontId="20" type="noConversion"/>
  </si>
  <si>
    <r>
      <t xml:space="preserve">0：无给定
</t>
    </r>
    <r>
      <rPr>
        <sz val="9"/>
        <color rgb="FFFF0000"/>
        <rFont val="Times New Roman"/>
        <family val="1"/>
      </rPr>
      <t>1</t>
    </r>
    <r>
      <rPr>
        <sz val="9"/>
        <color rgb="FFFF0000"/>
        <rFont val="宋体"/>
        <family val="3"/>
        <charset val="134"/>
      </rPr>
      <t>：数字给定（</t>
    </r>
    <r>
      <rPr>
        <sz val="9"/>
        <color rgb="FFFF0000"/>
        <rFont val="Times New Roman"/>
        <family val="1"/>
      </rPr>
      <t>b0.04</t>
    </r>
    <r>
      <rPr>
        <sz val="9"/>
        <color rgb="FFFF0000"/>
        <rFont val="宋体"/>
        <family val="3"/>
        <charset val="134"/>
      </rPr>
      <t xml:space="preserve">）＋操作面板∧/∨调节
</t>
    </r>
    <r>
      <rPr>
        <sz val="9"/>
        <color rgb="FFFF0000"/>
        <rFont val="Times New Roman"/>
        <family val="1"/>
      </rPr>
      <t>2</t>
    </r>
    <r>
      <rPr>
        <sz val="9"/>
        <color rgb="FFFF0000"/>
        <rFont val="宋体"/>
        <family val="3"/>
        <charset val="134"/>
      </rPr>
      <t>：数字给定（</t>
    </r>
    <r>
      <rPr>
        <sz val="9"/>
        <color rgb="FFFF0000"/>
        <rFont val="Times New Roman"/>
        <family val="1"/>
      </rPr>
      <t>b0.04</t>
    </r>
    <r>
      <rPr>
        <sz val="9"/>
        <color rgb="FFFF0000"/>
        <rFont val="宋体"/>
        <family val="3"/>
        <charset val="134"/>
      </rPr>
      <t>）＋端子</t>
    </r>
    <r>
      <rPr>
        <sz val="9"/>
        <color rgb="FFFF0000"/>
        <rFont val="Times New Roman"/>
        <family val="1"/>
      </rPr>
      <t>UP/DOWN</t>
    </r>
    <r>
      <rPr>
        <sz val="9"/>
        <color rgb="FFFF0000"/>
        <rFont val="宋体"/>
        <family val="3"/>
        <charset val="134"/>
      </rPr>
      <t xml:space="preserve">调节
</t>
    </r>
    <r>
      <rPr>
        <sz val="9"/>
        <color rgb="FFFF0000"/>
        <rFont val="Times New Roman"/>
        <family val="1"/>
      </rPr>
      <t>3</t>
    </r>
    <r>
      <rPr>
        <sz val="9"/>
        <color rgb="FFFF0000"/>
        <rFont val="宋体"/>
        <family val="3"/>
        <charset val="134"/>
      </rPr>
      <t>：模拟输入</t>
    </r>
    <r>
      <rPr>
        <sz val="9"/>
        <color rgb="FFFF0000"/>
        <rFont val="Times New Roman"/>
        <family val="1"/>
      </rPr>
      <t xml:space="preserve"> AI1
4</t>
    </r>
    <r>
      <rPr>
        <sz val="9"/>
        <color rgb="FFFF0000"/>
        <rFont val="宋体"/>
        <family val="3"/>
        <charset val="134"/>
      </rPr>
      <t>：模拟输入</t>
    </r>
    <r>
      <rPr>
        <sz val="9"/>
        <color rgb="FFFF0000"/>
        <rFont val="Times New Roman"/>
        <family val="1"/>
      </rPr>
      <t xml:space="preserve"> AI2
5</t>
    </r>
    <r>
      <rPr>
        <sz val="9"/>
        <color rgb="FFFF0000"/>
        <rFont val="宋体"/>
        <family val="3"/>
        <charset val="134"/>
      </rPr>
      <t>：模拟输入</t>
    </r>
    <r>
      <rPr>
        <sz val="9"/>
        <color rgb="FFFF0000"/>
        <rFont val="Times New Roman"/>
        <family val="1"/>
      </rPr>
      <t xml:space="preserve"> AI3
6</t>
    </r>
    <r>
      <rPr>
        <sz val="9"/>
        <color rgb="FFFF0000"/>
        <rFont val="宋体"/>
        <family val="3"/>
        <charset val="134"/>
      </rPr>
      <t>：</t>
    </r>
    <r>
      <rPr>
        <sz val="9"/>
        <color rgb="FFFF0000"/>
        <rFont val="Times New Roman"/>
        <family val="1"/>
      </rPr>
      <t>X7/DI</t>
    </r>
    <r>
      <rPr>
        <sz val="9"/>
        <color rgb="FFFF0000"/>
        <rFont val="宋体"/>
        <family val="3"/>
        <charset val="134"/>
      </rPr>
      <t xml:space="preserve">脉冲输入
</t>
    </r>
    <r>
      <rPr>
        <sz val="9"/>
        <color rgb="FFFF0000"/>
        <rFont val="Times New Roman"/>
        <family val="1"/>
      </rPr>
      <t>7</t>
    </r>
    <r>
      <rPr>
        <sz val="9"/>
        <color rgb="FFFF0000"/>
        <rFont val="宋体"/>
        <family val="3"/>
        <charset val="134"/>
      </rPr>
      <t>：过程</t>
    </r>
    <r>
      <rPr>
        <sz val="9"/>
        <color rgb="FFFF0000"/>
        <rFont val="Times New Roman"/>
        <family val="1"/>
      </rPr>
      <t>PID</t>
    </r>
    <r>
      <rPr>
        <sz val="9"/>
        <color rgb="FFFF0000"/>
        <rFont val="宋体"/>
        <family val="3"/>
        <charset val="134"/>
      </rPr>
      <t xml:space="preserve">输出
</t>
    </r>
    <r>
      <rPr>
        <sz val="9"/>
        <color rgb="FFFF0000"/>
        <rFont val="Times New Roman"/>
        <family val="1"/>
      </rPr>
      <t>8</t>
    </r>
    <r>
      <rPr>
        <sz val="9"/>
        <color rgb="FFFF0000"/>
        <rFont val="宋体"/>
        <family val="3"/>
        <charset val="134"/>
      </rPr>
      <t>：</t>
    </r>
    <r>
      <rPr>
        <sz val="9"/>
        <color rgb="FFFF0000"/>
        <rFont val="Times New Roman"/>
        <family val="1"/>
      </rPr>
      <t>PLC
9</t>
    </r>
    <r>
      <rPr>
        <sz val="9"/>
        <color rgb="FFFF0000"/>
        <rFont val="宋体"/>
        <family val="3"/>
        <charset val="134"/>
      </rPr>
      <t xml:space="preserve">：多段速
</t>
    </r>
    <r>
      <rPr>
        <sz val="9"/>
        <color rgb="FFFF0000"/>
        <rFont val="Times New Roman"/>
        <family val="1"/>
      </rPr>
      <t>10</t>
    </r>
    <r>
      <rPr>
        <sz val="9"/>
        <color rgb="FFFF0000"/>
        <rFont val="宋体"/>
        <family val="3"/>
        <charset val="134"/>
      </rPr>
      <t>：通讯输入</t>
    </r>
    <phoneticPr fontId="20" type="noConversion"/>
  </si>
  <si>
    <r>
      <t xml:space="preserve">0：相对于最大输出频率
</t>
    </r>
    <r>
      <rPr>
        <sz val="9"/>
        <color rgb="FFFF0000"/>
        <rFont val="Times New Roman"/>
        <family val="1"/>
      </rPr>
      <t>1</t>
    </r>
    <r>
      <rPr>
        <sz val="9"/>
        <color rgb="FFFF0000"/>
        <rFont val="宋体"/>
        <family val="3"/>
        <charset val="134"/>
      </rPr>
      <t>：相对于主给定频率</t>
    </r>
    <phoneticPr fontId="20" type="noConversion"/>
  </si>
  <si>
    <r>
      <t>0.0%～1</t>
    </r>
    <r>
      <rPr>
        <sz val="9"/>
        <color rgb="FFFF0000"/>
        <rFont val="Times New Roman"/>
        <family val="1"/>
      </rPr>
      <t>00.0%</t>
    </r>
    <phoneticPr fontId="20" type="noConversion"/>
  </si>
  <si>
    <r>
      <t xml:space="preserve">0：主＋辅
</t>
    </r>
    <r>
      <rPr>
        <sz val="9"/>
        <color rgb="FFFF0000"/>
        <rFont val="Times New Roman"/>
        <family val="1"/>
      </rPr>
      <t>1</t>
    </r>
    <r>
      <rPr>
        <sz val="9"/>
        <color rgb="FFFF0000"/>
        <rFont val="宋体"/>
        <family val="3"/>
        <charset val="134"/>
      </rPr>
      <t xml:space="preserve">：主－辅
</t>
    </r>
    <r>
      <rPr>
        <sz val="9"/>
        <color rgb="FFFF0000"/>
        <rFont val="Times New Roman"/>
        <family val="1"/>
      </rPr>
      <t>2</t>
    </r>
    <r>
      <rPr>
        <sz val="9"/>
        <color rgb="FFFF0000"/>
        <rFont val="宋体"/>
        <family val="3"/>
        <charset val="134"/>
      </rPr>
      <t>：</t>
    </r>
    <r>
      <rPr>
        <sz val="9"/>
        <color rgb="FFFF0000"/>
        <rFont val="Times New Roman"/>
        <family val="1"/>
      </rPr>
      <t>max{</t>
    </r>
    <r>
      <rPr>
        <sz val="9"/>
        <color rgb="FFFF0000"/>
        <rFont val="宋体"/>
        <family val="3"/>
        <charset val="134"/>
      </rPr>
      <t>主给定，辅给定</t>
    </r>
    <r>
      <rPr>
        <sz val="9"/>
        <color rgb="FFFF0000"/>
        <rFont val="Times New Roman"/>
        <family val="1"/>
      </rPr>
      <t>}
3</t>
    </r>
    <r>
      <rPr>
        <sz val="9"/>
        <color rgb="FFFF0000"/>
        <rFont val="宋体"/>
        <family val="3"/>
        <charset val="134"/>
      </rPr>
      <t>：</t>
    </r>
    <r>
      <rPr>
        <sz val="9"/>
        <color rgb="FFFF0000"/>
        <rFont val="Times New Roman"/>
        <family val="1"/>
      </rPr>
      <t>min{</t>
    </r>
    <r>
      <rPr>
        <sz val="9"/>
        <color rgb="FFFF0000"/>
        <rFont val="宋体"/>
        <family val="3"/>
        <charset val="134"/>
      </rPr>
      <t>主给定，辅给定</t>
    </r>
    <r>
      <rPr>
        <sz val="9"/>
        <color rgb="FFFF0000"/>
        <rFont val="Times New Roman"/>
        <family val="1"/>
      </rPr>
      <t>}</t>
    </r>
    <phoneticPr fontId="20" type="noConversion"/>
  </si>
  <si>
    <r>
      <t xml:space="preserve">0：以下限频率运行
</t>
    </r>
    <r>
      <rPr>
        <sz val="9"/>
        <color rgb="FFFF0000"/>
        <rFont val="Times New Roman"/>
        <family val="1"/>
      </rPr>
      <t>1</t>
    </r>
    <r>
      <rPr>
        <sz val="9"/>
        <color rgb="FFFF0000"/>
        <rFont val="宋体"/>
        <family val="3"/>
        <charset val="134"/>
      </rPr>
      <t xml:space="preserve">：零频运行
</t>
    </r>
    <r>
      <rPr>
        <sz val="9"/>
        <color rgb="FFFF0000"/>
        <rFont val="Times New Roman"/>
        <family val="1"/>
      </rPr>
      <t>2</t>
    </r>
    <r>
      <rPr>
        <sz val="9"/>
        <color rgb="FFFF0000"/>
        <rFont val="宋体"/>
        <family val="3"/>
        <charset val="134"/>
      </rPr>
      <t>：停机</t>
    </r>
    <phoneticPr fontId="20" type="noConversion"/>
  </si>
  <si>
    <r>
      <t xml:space="preserve">个位：操作面板控制时绑定的频率给定方式：
</t>
    </r>
    <r>
      <rPr>
        <sz val="9"/>
        <color rgb="FFFF0000"/>
        <rFont val="Times New Roman"/>
        <family val="1"/>
      </rPr>
      <t>0:</t>
    </r>
    <r>
      <rPr>
        <sz val="9"/>
        <color rgb="FFFF0000"/>
        <rFont val="宋体"/>
        <family val="3"/>
        <charset val="134"/>
      </rPr>
      <t>无绑定</t>
    </r>
    <r>
      <rPr>
        <sz val="9"/>
        <color rgb="FFFF0000"/>
        <rFont val="Times New Roman"/>
        <family val="1"/>
      </rPr>
      <t xml:space="preserve"> </t>
    </r>
    <r>
      <rPr>
        <sz val="9"/>
        <color rgb="FFFF0000"/>
        <rFont val="宋体"/>
        <family val="3"/>
        <charset val="134"/>
      </rPr>
      <t xml:space="preserve">
</t>
    </r>
    <r>
      <rPr>
        <sz val="9"/>
        <color rgb="FFFF0000"/>
        <rFont val="Times New Roman"/>
        <family val="1"/>
      </rPr>
      <t>1</t>
    </r>
    <r>
      <rPr>
        <sz val="9"/>
        <color rgb="FFFF0000"/>
        <rFont val="宋体"/>
        <family val="3"/>
        <charset val="134"/>
      </rPr>
      <t>：数字给定（</t>
    </r>
    <r>
      <rPr>
        <sz val="9"/>
        <color rgb="FFFF0000"/>
        <rFont val="Times New Roman"/>
        <family val="1"/>
      </rPr>
      <t>b0.02</t>
    </r>
    <r>
      <rPr>
        <sz val="9"/>
        <color rgb="FFFF0000"/>
        <rFont val="宋体"/>
        <family val="3"/>
        <charset val="134"/>
      </rPr>
      <t xml:space="preserve">）＋操作面板∧/∨调节
</t>
    </r>
    <r>
      <rPr>
        <sz val="9"/>
        <color rgb="FFFF0000"/>
        <rFont val="Times New Roman"/>
        <family val="1"/>
      </rPr>
      <t>2</t>
    </r>
    <r>
      <rPr>
        <sz val="9"/>
        <color rgb="FFFF0000"/>
        <rFont val="宋体"/>
        <family val="3"/>
        <charset val="134"/>
      </rPr>
      <t>：数字给定（</t>
    </r>
    <r>
      <rPr>
        <sz val="9"/>
        <color rgb="FFFF0000"/>
        <rFont val="Times New Roman"/>
        <family val="1"/>
      </rPr>
      <t>b0.02</t>
    </r>
    <r>
      <rPr>
        <sz val="9"/>
        <color rgb="FFFF0000"/>
        <rFont val="宋体"/>
        <family val="3"/>
        <charset val="134"/>
      </rPr>
      <t>）＋端子</t>
    </r>
    <r>
      <rPr>
        <sz val="9"/>
        <color rgb="FFFF0000"/>
        <rFont val="Times New Roman"/>
        <family val="1"/>
      </rPr>
      <t>UP/DOWN</t>
    </r>
    <r>
      <rPr>
        <sz val="9"/>
        <color rgb="FFFF0000"/>
        <rFont val="宋体"/>
        <family val="3"/>
        <charset val="134"/>
      </rPr>
      <t xml:space="preserve">调节
</t>
    </r>
    <r>
      <rPr>
        <sz val="9"/>
        <color rgb="FFFF0000"/>
        <rFont val="Times New Roman"/>
        <family val="1"/>
      </rPr>
      <t>3</t>
    </r>
    <r>
      <rPr>
        <sz val="9"/>
        <color rgb="FFFF0000"/>
        <rFont val="宋体"/>
        <family val="3"/>
        <charset val="134"/>
      </rPr>
      <t>：模拟输入</t>
    </r>
    <r>
      <rPr>
        <sz val="9"/>
        <color rgb="FFFF0000"/>
        <rFont val="Times New Roman"/>
        <family val="1"/>
      </rPr>
      <t xml:space="preserve"> AI1
4</t>
    </r>
    <r>
      <rPr>
        <sz val="9"/>
        <color rgb="FFFF0000"/>
        <rFont val="宋体"/>
        <family val="3"/>
        <charset val="134"/>
      </rPr>
      <t>：模拟输入</t>
    </r>
    <r>
      <rPr>
        <sz val="9"/>
        <color rgb="FFFF0000"/>
        <rFont val="Times New Roman"/>
        <family val="1"/>
      </rPr>
      <t xml:space="preserve"> AI2
5</t>
    </r>
    <r>
      <rPr>
        <sz val="9"/>
        <color rgb="FFFF0000"/>
        <rFont val="宋体"/>
        <family val="3"/>
        <charset val="134"/>
      </rPr>
      <t>：模拟输入</t>
    </r>
    <r>
      <rPr>
        <sz val="9"/>
        <color rgb="FFFF0000"/>
        <rFont val="Times New Roman"/>
        <family val="1"/>
      </rPr>
      <t xml:space="preserve"> AI3
6</t>
    </r>
    <r>
      <rPr>
        <sz val="9"/>
        <color rgb="FFFF0000"/>
        <rFont val="宋体"/>
        <family val="3"/>
        <charset val="134"/>
      </rPr>
      <t>：</t>
    </r>
    <r>
      <rPr>
        <sz val="9"/>
        <color rgb="FFFF0000"/>
        <rFont val="Times New Roman"/>
        <family val="1"/>
      </rPr>
      <t>X7/DI</t>
    </r>
    <r>
      <rPr>
        <sz val="9"/>
        <color rgb="FFFF0000"/>
        <rFont val="宋体"/>
        <family val="3"/>
        <charset val="134"/>
      </rPr>
      <t xml:space="preserve">脉冲输入
</t>
    </r>
    <r>
      <rPr>
        <sz val="9"/>
        <color rgb="FFFF0000"/>
        <rFont val="Times New Roman"/>
        <family val="1"/>
      </rPr>
      <t>7</t>
    </r>
    <r>
      <rPr>
        <sz val="9"/>
        <color rgb="FFFF0000"/>
        <rFont val="宋体"/>
        <family val="3"/>
        <charset val="134"/>
      </rPr>
      <t>：过程</t>
    </r>
    <r>
      <rPr>
        <sz val="9"/>
        <color rgb="FFFF0000"/>
        <rFont val="Times New Roman"/>
        <family val="1"/>
      </rPr>
      <t>PID</t>
    </r>
    <r>
      <rPr>
        <sz val="9"/>
        <color rgb="FFFF0000"/>
        <rFont val="宋体"/>
        <family val="3"/>
        <charset val="134"/>
      </rPr>
      <t xml:space="preserve">输出
</t>
    </r>
    <r>
      <rPr>
        <sz val="9"/>
        <color rgb="FFFF0000"/>
        <rFont val="Times New Roman"/>
        <family val="1"/>
      </rPr>
      <t>8</t>
    </r>
    <r>
      <rPr>
        <sz val="9"/>
        <color rgb="FFFF0000"/>
        <rFont val="宋体"/>
        <family val="3"/>
        <charset val="134"/>
      </rPr>
      <t>：</t>
    </r>
    <r>
      <rPr>
        <sz val="9"/>
        <color rgb="FFFF0000"/>
        <rFont val="Times New Roman"/>
        <family val="1"/>
      </rPr>
      <t>PLC
9</t>
    </r>
    <r>
      <rPr>
        <sz val="9"/>
        <color rgb="FFFF0000"/>
        <rFont val="宋体"/>
        <family val="3"/>
        <charset val="134"/>
      </rPr>
      <t xml:space="preserve">：多段速
</t>
    </r>
    <r>
      <rPr>
        <sz val="9"/>
        <color rgb="FFFF0000"/>
        <rFont val="Times New Roman"/>
        <family val="1"/>
      </rPr>
      <t>A</t>
    </r>
    <r>
      <rPr>
        <sz val="9"/>
        <color rgb="FFFF0000"/>
        <rFont val="宋体"/>
        <family val="3"/>
        <charset val="134"/>
      </rPr>
      <t>：通讯输入
十位：端子控制时绑定的频率给定方式（同上）
百位：通讯控制时绑定的频率给定方式（同上）</t>
    </r>
    <phoneticPr fontId="20" type="noConversion"/>
  </si>
  <si>
    <r>
      <t xml:space="preserve">0：允许反转
</t>
    </r>
    <r>
      <rPr>
        <sz val="9"/>
        <color rgb="FFFF0000"/>
        <rFont val="Times New Roman"/>
        <family val="1"/>
      </rPr>
      <t>1</t>
    </r>
    <r>
      <rPr>
        <sz val="9"/>
        <color rgb="FFFF0000"/>
        <rFont val="宋体"/>
        <family val="3"/>
        <charset val="134"/>
      </rPr>
      <t>：禁止反转</t>
    </r>
    <phoneticPr fontId="20" type="noConversion"/>
  </si>
  <si>
    <r>
      <t>0.0s～</t>
    </r>
    <r>
      <rPr>
        <sz val="9"/>
        <color rgb="FFFF0000"/>
        <rFont val="Times New Roman"/>
        <family val="1"/>
      </rPr>
      <t>3600.0s</t>
    </r>
  </si>
  <si>
    <r>
      <t>0：从起动频率</t>
    </r>
    <r>
      <rPr>
        <sz val="9"/>
        <color rgb="FFFF0000"/>
        <rFont val="Times New Roman"/>
        <family val="1"/>
      </rPr>
      <t>b1.06</t>
    </r>
    <r>
      <rPr>
        <sz val="9"/>
        <color rgb="FFFF0000"/>
        <rFont val="宋体"/>
        <family val="3"/>
        <charset val="134"/>
      </rPr>
      <t xml:space="preserve">开始起动
</t>
    </r>
    <r>
      <rPr>
        <sz val="9"/>
        <color rgb="FFFF0000"/>
        <rFont val="Times New Roman"/>
        <family val="1"/>
      </rPr>
      <t>1</t>
    </r>
    <r>
      <rPr>
        <sz val="9"/>
        <color rgb="FFFF0000"/>
        <rFont val="宋体"/>
        <family val="3"/>
        <charset val="134"/>
      </rPr>
      <t xml:space="preserve">：先直流制动再起动
</t>
    </r>
    <r>
      <rPr>
        <sz val="9"/>
        <color rgb="FFFF0000"/>
        <rFont val="Times New Roman"/>
        <family val="1"/>
      </rPr>
      <t>2</t>
    </r>
    <r>
      <rPr>
        <sz val="9"/>
        <color rgb="FFFF0000"/>
        <rFont val="宋体"/>
        <family val="3"/>
        <charset val="134"/>
      </rPr>
      <t>：转速跟踪起动</t>
    </r>
    <phoneticPr fontId="20" type="noConversion"/>
  </si>
  <si>
    <r>
      <t>0.0%～</t>
    </r>
    <r>
      <rPr>
        <sz val="9"/>
        <color rgb="FFFF0000"/>
        <rFont val="Times New Roman"/>
        <family val="1"/>
      </rPr>
      <t>100.0%</t>
    </r>
  </si>
  <si>
    <r>
      <t>0.00s～</t>
    </r>
    <r>
      <rPr>
        <sz val="9"/>
        <color rgb="FFFF0000"/>
        <rFont val="Times New Roman"/>
        <family val="1"/>
      </rPr>
      <t>30.00s</t>
    </r>
  </si>
  <si>
    <r>
      <t xml:space="preserve">0：不动作
</t>
    </r>
    <r>
      <rPr>
        <sz val="9"/>
        <color rgb="FFFF0000"/>
        <rFont val="Times New Roman"/>
        <family val="1"/>
      </rPr>
      <t>1</t>
    </r>
    <r>
      <rPr>
        <sz val="9"/>
        <color rgb="FFFF0000"/>
        <rFont val="宋体"/>
        <family val="3"/>
        <charset val="134"/>
      </rPr>
      <t>：动作</t>
    </r>
    <phoneticPr fontId="20" type="noConversion"/>
  </si>
  <si>
    <r>
      <t>650V～</t>
    </r>
    <r>
      <rPr>
        <sz val="9"/>
        <color rgb="FFFF0000"/>
        <rFont val="Times New Roman"/>
        <family val="1"/>
      </rPr>
      <t>750V</t>
    </r>
  </si>
  <si>
    <r>
      <t>0.0s～</t>
    </r>
    <r>
      <rPr>
        <sz val="9"/>
        <color rgb="FFFF0000"/>
        <rFont val="Times New Roman"/>
        <family val="1"/>
      </rPr>
      <t>10.0s</t>
    </r>
  </si>
  <si>
    <r>
      <t>0.0～</t>
    </r>
    <r>
      <rPr>
        <sz val="9"/>
        <color rgb="FFFF0000"/>
        <rFont val="Times New Roman"/>
        <family val="1"/>
      </rPr>
      <t>6000.0 s/ 600.00 s/60.000 s</t>
    </r>
    <r>
      <rPr>
        <sz val="11"/>
        <color indexed="8"/>
        <rFont val="宋体"/>
        <charset val="134"/>
      </rPr>
      <t/>
    </r>
    <phoneticPr fontId="20" type="noConversion"/>
  </si>
  <si>
    <r>
      <t>0.0～</t>
    </r>
    <r>
      <rPr>
        <sz val="9"/>
        <color rgb="FFFF0000"/>
        <rFont val="Times New Roman"/>
        <family val="1"/>
      </rPr>
      <t>6000.0 s /600.00 s/60.000 s</t>
    </r>
    <r>
      <rPr>
        <sz val="11"/>
        <color indexed="8"/>
        <rFont val="宋体"/>
        <charset val="134"/>
      </rPr>
      <t/>
    </r>
    <phoneticPr fontId="20" type="noConversion"/>
  </si>
  <si>
    <r>
      <t>0.0～</t>
    </r>
    <r>
      <rPr>
        <sz val="9"/>
        <color rgb="FFFF0000"/>
        <rFont val="Times New Roman"/>
        <family val="1"/>
      </rPr>
      <t>6000.0 s/ 600.00 s/60.000 s</t>
    </r>
    <r>
      <rPr>
        <sz val="11"/>
        <color indexed="8"/>
        <rFont val="宋体"/>
        <charset val="134"/>
      </rPr>
      <t/>
    </r>
  </si>
  <si>
    <r>
      <t>0.0～</t>
    </r>
    <r>
      <rPr>
        <sz val="9"/>
        <color rgb="FFFF0000"/>
        <rFont val="Times New Roman"/>
        <family val="1"/>
      </rPr>
      <t>6000.0 s /600.00 s/60.001 s</t>
    </r>
    <r>
      <rPr>
        <sz val="11"/>
        <color indexed="8"/>
        <rFont val="宋体"/>
        <charset val="134"/>
      </rPr>
      <t/>
    </r>
  </si>
  <si>
    <r>
      <t>0.0～</t>
    </r>
    <r>
      <rPr>
        <sz val="9"/>
        <color rgb="FFFF0000"/>
        <rFont val="Times New Roman"/>
        <family val="1"/>
      </rPr>
      <t>6000.0 s /600.00 s/60.002 s</t>
    </r>
    <r>
      <rPr>
        <sz val="11"/>
        <color indexed="8"/>
        <rFont val="宋体"/>
        <charset val="134"/>
      </rPr>
      <t/>
    </r>
  </si>
  <si>
    <r>
      <t>0.00s～</t>
    </r>
    <r>
      <rPr>
        <sz val="9"/>
        <color rgb="FFFF0000"/>
        <rFont val="Times New Roman"/>
        <family val="1"/>
      </rPr>
      <t>60.00s</t>
    </r>
    <phoneticPr fontId="20" type="noConversion"/>
  </si>
  <si>
    <r>
      <t>FcTerminalFuncX7</t>
    </r>
    <r>
      <rPr>
        <sz val="11"/>
        <color indexed="8"/>
        <rFont val="宋体"/>
        <charset val="134"/>
      </rPr>
      <t/>
    </r>
    <phoneticPr fontId="20" type="noConversion"/>
  </si>
  <si>
    <r>
      <t>0.000～</t>
    </r>
    <r>
      <rPr>
        <sz val="9"/>
        <color rgb="FFFF0000"/>
        <rFont val="Times New Roman"/>
        <family val="1"/>
      </rPr>
      <t>1.000s</t>
    </r>
  </si>
  <si>
    <r>
      <t>个位：</t>
    </r>
    <r>
      <rPr>
        <sz val="9"/>
        <color rgb="FFFF0000"/>
        <rFont val="Times New Roman"/>
        <family val="1"/>
      </rPr>
      <t>AI1
0</t>
    </r>
    <r>
      <rPr>
        <sz val="9"/>
        <color rgb="FFFF0000"/>
        <rFont val="宋体"/>
        <family val="3"/>
        <charset val="134"/>
      </rPr>
      <t xml:space="preserve">：正逻辑，闭合有效
</t>
    </r>
    <r>
      <rPr>
        <sz val="9"/>
        <color rgb="FFFF0000"/>
        <rFont val="Times New Roman"/>
        <family val="1"/>
      </rPr>
      <t>1</t>
    </r>
    <r>
      <rPr>
        <sz val="9"/>
        <color rgb="FFFF0000"/>
        <rFont val="宋体"/>
        <family val="3"/>
        <charset val="134"/>
      </rPr>
      <t>：反逻辑，断开有效
十位：</t>
    </r>
    <r>
      <rPr>
        <sz val="9"/>
        <color rgb="FFFF0000"/>
        <rFont val="Times New Roman"/>
        <family val="1"/>
      </rPr>
      <t>AI2</t>
    </r>
    <r>
      <rPr>
        <sz val="9"/>
        <color rgb="FFFF0000"/>
        <rFont val="宋体"/>
        <family val="3"/>
        <charset val="134"/>
      </rPr>
      <t xml:space="preserve">（同上）
百位：保留
千位：保留
</t>
    </r>
    <phoneticPr fontId="20" type="noConversion"/>
  </si>
  <si>
    <r>
      <t>端子</t>
    </r>
    <r>
      <rPr>
        <sz val="10"/>
        <color rgb="FFFF0000"/>
        <rFont val="Times New Roman"/>
        <family val="1"/>
      </rPr>
      <t>UP/DOWN</t>
    </r>
    <r>
      <rPr>
        <sz val="10"/>
        <color rgb="FFFF0000"/>
        <rFont val="宋体"/>
        <family val="3"/>
        <charset val="134"/>
      </rPr>
      <t>频率调节控制</t>
    </r>
  </si>
  <si>
    <r>
      <t xml:space="preserve">个位：减速停机时动作选择
</t>
    </r>
    <r>
      <rPr>
        <sz val="9"/>
        <color rgb="FFFF0000"/>
        <rFont val="Times New Roman"/>
        <family val="1"/>
      </rPr>
      <t>0</t>
    </r>
    <r>
      <rPr>
        <sz val="9"/>
        <color rgb="FFFF0000"/>
        <rFont val="宋体"/>
        <family val="3"/>
        <charset val="134"/>
      </rPr>
      <t xml:space="preserve">：调节量清零
</t>
    </r>
    <r>
      <rPr>
        <sz val="9"/>
        <color rgb="FFFF0000"/>
        <rFont val="Times New Roman"/>
        <family val="1"/>
      </rPr>
      <t>1</t>
    </r>
    <r>
      <rPr>
        <sz val="9"/>
        <color rgb="FFFF0000"/>
        <rFont val="宋体"/>
        <family val="3"/>
        <charset val="134"/>
      </rPr>
      <t xml:space="preserve">：调节量保持
十位：掉电时动作选择
</t>
    </r>
    <r>
      <rPr>
        <sz val="9"/>
        <color rgb="FFFF0000"/>
        <rFont val="Times New Roman"/>
        <family val="1"/>
      </rPr>
      <t>0</t>
    </r>
    <r>
      <rPr>
        <sz val="9"/>
        <color rgb="FFFF0000"/>
        <rFont val="宋体"/>
        <family val="3"/>
        <charset val="134"/>
      </rPr>
      <t xml:space="preserve">：调节量清零
</t>
    </r>
    <r>
      <rPr>
        <sz val="9"/>
        <color rgb="FFFF0000"/>
        <rFont val="Times New Roman"/>
        <family val="1"/>
      </rPr>
      <t>1</t>
    </r>
    <r>
      <rPr>
        <sz val="9"/>
        <color rgb="FFFF0000"/>
        <rFont val="宋体"/>
        <family val="3"/>
        <charset val="134"/>
      </rPr>
      <t xml:space="preserve">：调节量保持
千位：
</t>
    </r>
    <r>
      <rPr>
        <sz val="9"/>
        <color rgb="FFFF0000"/>
        <rFont val="Times New Roman"/>
        <family val="1"/>
      </rPr>
      <t>0</t>
    </r>
    <r>
      <rPr>
        <sz val="9"/>
        <color rgb="FFFF0000"/>
        <rFont val="宋体"/>
        <family val="3"/>
        <charset val="134"/>
      </rPr>
      <t xml:space="preserve">：无累计功能；
</t>
    </r>
    <r>
      <rPr>
        <sz val="9"/>
        <color rgb="FFFF0000"/>
        <rFont val="Times New Roman"/>
        <family val="1"/>
      </rPr>
      <t>1</t>
    </r>
    <r>
      <rPr>
        <sz val="9"/>
        <color rgb="FFFF0000"/>
        <rFont val="宋体"/>
        <family val="3"/>
        <charset val="134"/>
      </rPr>
      <t>：有累计功能；
千位</t>
    </r>
    <r>
      <rPr>
        <sz val="9"/>
        <color rgb="FFFF0000"/>
        <rFont val="Times New Roman"/>
        <family val="1"/>
      </rPr>
      <t>:
0:</t>
    </r>
    <r>
      <rPr>
        <sz val="9"/>
        <color rgb="FFFF0000"/>
        <rFont val="宋体"/>
        <family val="3"/>
        <charset val="134"/>
      </rPr>
      <t>不允许</t>
    </r>
    <r>
      <rPr>
        <sz val="9"/>
        <color rgb="FFFF0000"/>
        <rFont val="Times New Roman"/>
        <family val="1"/>
      </rPr>
      <t>UPDOWN</t>
    </r>
    <r>
      <rPr>
        <sz val="9"/>
        <color rgb="FFFF0000"/>
        <rFont val="宋体"/>
        <family val="3"/>
        <charset val="134"/>
      </rPr>
      <t xml:space="preserve">正反转切换
</t>
    </r>
    <r>
      <rPr>
        <sz val="9"/>
        <color rgb="FFFF0000"/>
        <rFont val="Times New Roman"/>
        <family val="1"/>
      </rPr>
      <t>1:</t>
    </r>
    <r>
      <rPr>
        <sz val="9"/>
        <color rgb="FFFF0000"/>
        <rFont val="宋体"/>
        <family val="3"/>
        <charset val="134"/>
      </rPr>
      <t>允许</t>
    </r>
    <r>
      <rPr>
        <sz val="9"/>
        <color rgb="FFFF0000"/>
        <rFont val="Times New Roman"/>
        <family val="1"/>
      </rPr>
      <t>UPDOWN</t>
    </r>
    <r>
      <rPr>
        <sz val="9"/>
        <color rgb="FFFF0000"/>
        <rFont val="宋体"/>
        <family val="3"/>
        <charset val="134"/>
      </rPr>
      <t>正反转切换</t>
    </r>
    <phoneticPr fontId="20" type="noConversion"/>
  </si>
  <si>
    <r>
      <t>0.00Hz/s～</t>
    </r>
    <r>
      <rPr>
        <sz val="9"/>
        <color rgb="FFFF0000"/>
        <rFont val="Times New Roman"/>
        <family val="1"/>
      </rPr>
      <t>100.00Hz/s</t>
    </r>
    <phoneticPr fontId="20" type="noConversion"/>
  </si>
  <si>
    <r>
      <t>0：两线式运行控制</t>
    </r>
    <r>
      <rPr>
        <sz val="9"/>
        <color rgb="FFFF0000"/>
        <rFont val="Times New Roman"/>
        <family val="1"/>
      </rPr>
      <t>1
1</t>
    </r>
    <r>
      <rPr>
        <sz val="9"/>
        <color rgb="FFFF0000"/>
        <rFont val="宋体"/>
        <family val="3"/>
        <charset val="134"/>
      </rPr>
      <t>：两线式运行控制</t>
    </r>
    <r>
      <rPr>
        <sz val="9"/>
        <color rgb="FFFF0000"/>
        <rFont val="Times New Roman"/>
        <family val="1"/>
      </rPr>
      <t>2 
2</t>
    </r>
    <r>
      <rPr>
        <sz val="9"/>
        <color rgb="FFFF0000"/>
        <rFont val="宋体"/>
        <family val="3"/>
        <charset val="134"/>
      </rPr>
      <t>：三线式运行控制</t>
    </r>
    <r>
      <rPr>
        <sz val="9"/>
        <color rgb="FFFF0000"/>
        <rFont val="Times New Roman"/>
        <family val="1"/>
      </rPr>
      <t>1
3</t>
    </r>
    <r>
      <rPr>
        <sz val="9"/>
        <color rgb="FFFF0000"/>
        <rFont val="宋体"/>
        <family val="3"/>
        <charset val="134"/>
      </rPr>
      <t>：三线式运行控制</t>
    </r>
    <r>
      <rPr>
        <sz val="9"/>
        <color rgb="FFFF0000"/>
        <rFont val="Times New Roman"/>
        <family val="1"/>
      </rPr>
      <t>2</t>
    </r>
    <phoneticPr fontId="20" type="noConversion"/>
  </si>
  <si>
    <r>
      <t>00～FF</t>
    </r>
    <r>
      <rPr>
        <sz val="9"/>
        <color rgb="FFFF0000"/>
        <rFont val="Times New Roman"/>
        <family val="1"/>
      </rPr>
      <t>F
0</t>
    </r>
    <r>
      <rPr>
        <sz val="9"/>
        <color rgb="FFFF0000"/>
        <rFont val="宋体"/>
        <family val="3"/>
        <charset val="134"/>
      </rPr>
      <t xml:space="preserve">：实际端子有效
</t>
    </r>
    <r>
      <rPr>
        <sz val="9"/>
        <color rgb="FFFF0000"/>
        <rFont val="Times New Roman"/>
        <family val="1"/>
      </rPr>
      <t>1</t>
    </r>
    <r>
      <rPr>
        <sz val="9"/>
        <color rgb="FFFF0000"/>
        <rFont val="宋体"/>
        <family val="3"/>
        <charset val="134"/>
      </rPr>
      <t>：虚拟端子有效
个位：</t>
    </r>
    <r>
      <rPr>
        <sz val="9"/>
        <color rgb="FFFF0000"/>
        <rFont val="Times New Roman"/>
        <family val="1"/>
      </rPr>
      <t>BIT0</t>
    </r>
    <r>
      <rPr>
        <sz val="9"/>
        <color rgb="FFFF0000"/>
        <rFont val="宋体"/>
        <family val="3"/>
        <charset val="134"/>
      </rPr>
      <t>～</t>
    </r>
    <r>
      <rPr>
        <sz val="9"/>
        <color rgb="FFFF0000"/>
        <rFont val="Times New Roman"/>
        <family val="1"/>
      </rPr>
      <t>BIT3</t>
    </r>
    <r>
      <rPr>
        <sz val="9"/>
        <color rgb="FFFF0000"/>
        <rFont val="宋体"/>
        <family val="3"/>
        <charset val="134"/>
      </rPr>
      <t>：</t>
    </r>
    <r>
      <rPr>
        <sz val="9"/>
        <color rgb="FFFF0000"/>
        <rFont val="Times New Roman"/>
        <family val="1"/>
      </rPr>
      <t>X1</t>
    </r>
    <r>
      <rPr>
        <sz val="9"/>
        <color rgb="FFFF0000"/>
        <rFont val="宋体"/>
        <family val="3"/>
        <charset val="134"/>
      </rPr>
      <t>～</t>
    </r>
    <r>
      <rPr>
        <sz val="9"/>
        <color rgb="FFFF0000"/>
        <rFont val="Times New Roman"/>
        <family val="1"/>
      </rPr>
      <t xml:space="preserve">X4
</t>
    </r>
    <r>
      <rPr>
        <sz val="9"/>
        <color rgb="FFFF0000"/>
        <rFont val="宋体"/>
        <family val="3"/>
        <charset val="134"/>
      </rPr>
      <t>十位：</t>
    </r>
    <r>
      <rPr>
        <sz val="9"/>
        <color rgb="FFFF0000"/>
        <rFont val="Times New Roman"/>
        <family val="1"/>
      </rPr>
      <t>BIT0</t>
    </r>
    <r>
      <rPr>
        <sz val="9"/>
        <color rgb="FFFF0000"/>
        <rFont val="宋体"/>
        <family val="3"/>
        <charset val="134"/>
      </rPr>
      <t>～</t>
    </r>
    <r>
      <rPr>
        <sz val="9"/>
        <color rgb="FFFF0000"/>
        <rFont val="Times New Roman"/>
        <family val="1"/>
      </rPr>
      <t>BIT3</t>
    </r>
    <r>
      <rPr>
        <sz val="9"/>
        <color rgb="FFFF0000"/>
        <rFont val="宋体"/>
        <family val="3"/>
        <charset val="134"/>
      </rPr>
      <t>：</t>
    </r>
    <r>
      <rPr>
        <sz val="9"/>
        <color rgb="FFFF0000"/>
        <rFont val="Times New Roman"/>
        <family val="1"/>
      </rPr>
      <t>X5</t>
    </r>
    <r>
      <rPr>
        <sz val="9"/>
        <color rgb="FFFF0000"/>
        <rFont val="宋体"/>
        <family val="3"/>
        <charset val="134"/>
      </rPr>
      <t>～</t>
    </r>
    <r>
      <rPr>
        <sz val="9"/>
        <color rgb="FFFF0000"/>
        <rFont val="Times New Roman"/>
        <family val="1"/>
      </rPr>
      <t>X7</t>
    </r>
    <r>
      <rPr>
        <sz val="9"/>
        <color rgb="FFFF0000"/>
        <rFont val="宋体"/>
        <family val="3"/>
        <charset val="134"/>
      </rPr>
      <t>，</t>
    </r>
    <r>
      <rPr>
        <sz val="9"/>
        <color rgb="FFFF0000"/>
        <rFont val="Times New Roman"/>
        <family val="1"/>
      </rPr>
      <t xml:space="preserve">
</t>
    </r>
    <r>
      <rPr>
        <sz val="9"/>
        <color rgb="FFFF0000"/>
        <rFont val="宋体"/>
        <family val="3"/>
        <charset val="134"/>
      </rPr>
      <t>百位：</t>
    </r>
    <r>
      <rPr>
        <sz val="9"/>
        <color rgb="FFFF0000"/>
        <rFont val="Times New Roman"/>
        <family val="1"/>
      </rPr>
      <t>BIT0</t>
    </r>
    <r>
      <rPr>
        <sz val="9"/>
        <color rgb="FFFF0000"/>
        <rFont val="宋体"/>
        <family val="3"/>
        <charset val="134"/>
      </rPr>
      <t>～</t>
    </r>
    <r>
      <rPr>
        <sz val="9"/>
        <color rgb="FFFF0000"/>
        <rFont val="Times New Roman"/>
        <family val="1"/>
      </rPr>
      <t>BIT3</t>
    </r>
    <r>
      <rPr>
        <sz val="9"/>
        <color rgb="FFFF0000"/>
        <rFont val="宋体"/>
        <family val="3"/>
        <charset val="134"/>
      </rPr>
      <t>：</t>
    </r>
    <r>
      <rPr>
        <sz val="9"/>
        <color rgb="FFFF0000"/>
        <rFont val="Times New Roman"/>
        <family val="1"/>
      </rPr>
      <t>AI1, AI2</t>
    </r>
    <r>
      <rPr>
        <sz val="9"/>
        <color rgb="FFFF0000"/>
        <rFont val="宋体"/>
        <family val="3"/>
        <charset val="134"/>
      </rPr>
      <t>，</t>
    </r>
    <r>
      <rPr>
        <sz val="9"/>
        <color rgb="FFFF0000"/>
        <rFont val="Times New Roman"/>
        <family val="1"/>
      </rPr>
      <t>AI3</t>
    </r>
    <phoneticPr fontId="20" type="noConversion"/>
  </si>
  <si>
    <r>
      <t>个位：</t>
    </r>
    <r>
      <rPr>
        <sz val="9"/>
        <color rgb="FFFF0000"/>
        <rFont val="Times New Roman"/>
        <family val="1"/>
      </rPr>
      <t>FDT1</t>
    </r>
    <r>
      <rPr>
        <sz val="9"/>
        <color rgb="FFFF0000"/>
        <rFont val="宋体"/>
        <family val="3"/>
        <charset val="134"/>
      </rPr>
      <t xml:space="preserve">检出方式
</t>
    </r>
    <r>
      <rPr>
        <sz val="9"/>
        <color rgb="FFFF0000"/>
        <rFont val="Times New Roman"/>
        <family val="1"/>
      </rPr>
      <t>0</t>
    </r>
    <r>
      <rPr>
        <sz val="9"/>
        <color rgb="FFFF0000"/>
        <rFont val="宋体"/>
        <family val="3"/>
        <charset val="134"/>
      </rPr>
      <t xml:space="preserve">：速度设定值（加减速后的频率）
</t>
    </r>
    <r>
      <rPr>
        <sz val="9"/>
        <color rgb="FFFF0000"/>
        <rFont val="Times New Roman"/>
        <family val="1"/>
      </rPr>
      <t>1</t>
    </r>
    <r>
      <rPr>
        <sz val="9"/>
        <color rgb="FFFF0000"/>
        <rFont val="宋体"/>
        <family val="3"/>
        <charset val="134"/>
      </rPr>
      <t>：速度检测值
十位：</t>
    </r>
    <r>
      <rPr>
        <sz val="9"/>
        <color rgb="FFFF0000"/>
        <rFont val="Times New Roman"/>
        <family val="1"/>
      </rPr>
      <t>FDT2</t>
    </r>
    <r>
      <rPr>
        <sz val="9"/>
        <color rgb="FFFF0000"/>
        <rFont val="宋体"/>
        <family val="3"/>
        <charset val="134"/>
      </rPr>
      <t xml:space="preserve">检出方式
</t>
    </r>
    <r>
      <rPr>
        <sz val="9"/>
        <color rgb="FFFF0000"/>
        <rFont val="Times New Roman"/>
        <family val="1"/>
      </rPr>
      <t>0</t>
    </r>
    <r>
      <rPr>
        <sz val="9"/>
        <color rgb="FFFF0000"/>
        <rFont val="宋体"/>
        <family val="3"/>
        <charset val="134"/>
      </rPr>
      <t xml:space="preserve">：速度设定值（加减速后的频率）
</t>
    </r>
    <r>
      <rPr>
        <sz val="9"/>
        <color rgb="FFFF0000"/>
        <rFont val="Times New Roman"/>
        <family val="1"/>
      </rPr>
      <t>1</t>
    </r>
    <r>
      <rPr>
        <sz val="9"/>
        <color rgb="FFFF0000"/>
        <rFont val="宋体"/>
        <family val="3"/>
        <charset val="134"/>
      </rPr>
      <t>：速度检测值</t>
    </r>
    <phoneticPr fontId="20" type="noConversion"/>
  </si>
  <si>
    <r>
      <t>0.0%～</t>
    </r>
    <r>
      <rPr>
        <sz val="9"/>
        <color rgb="FFFF0000"/>
        <rFont val="Times New Roman"/>
        <family val="1"/>
      </rPr>
      <t>50.0%</t>
    </r>
    <r>
      <rPr>
        <sz val="9"/>
        <color rgb="FFFF0000"/>
        <rFont val="宋体"/>
        <family val="3"/>
        <charset val="134"/>
      </rPr>
      <t>当变频器输出电流低于</t>
    </r>
    <r>
      <rPr>
        <sz val="9"/>
        <color rgb="FFFF0000"/>
        <rFont val="Times New Roman"/>
        <family val="1"/>
      </rPr>
      <t>C1.13</t>
    </r>
    <r>
      <rPr>
        <sz val="9"/>
        <color rgb="FFFF0000"/>
        <rFont val="宋体"/>
        <family val="3"/>
        <charset val="134"/>
      </rPr>
      <t>设定值且持续</t>
    </r>
    <r>
      <rPr>
        <sz val="9"/>
        <color rgb="FFFF0000"/>
        <rFont val="Times New Roman"/>
        <family val="1"/>
      </rPr>
      <t>C1.14</t>
    </r>
    <r>
      <rPr>
        <sz val="9"/>
        <color rgb="FFFF0000"/>
        <rFont val="宋体"/>
        <family val="3"/>
        <charset val="134"/>
      </rPr>
      <t>的时间后</t>
    </r>
    <r>
      <rPr>
        <sz val="9"/>
        <color rgb="FFFF0000"/>
        <rFont val="Times New Roman"/>
        <family val="1"/>
      </rPr>
      <t>Y</t>
    </r>
    <r>
      <rPr>
        <sz val="9"/>
        <color rgb="FFFF0000"/>
        <rFont val="宋体"/>
        <family val="3"/>
        <charset val="134"/>
      </rPr>
      <t>端子输出“零电流检测信号”</t>
    </r>
    <r>
      <rPr>
        <sz val="9"/>
        <color rgb="FFFF0000"/>
        <rFont val="Times New Roman"/>
        <family val="1"/>
      </rPr>
      <t xml:space="preserve"> </t>
    </r>
  </si>
  <si>
    <r>
      <t>0.01s～</t>
    </r>
    <r>
      <rPr>
        <sz val="9"/>
        <color rgb="FFFF0000"/>
        <rFont val="Times New Roman"/>
        <family val="1"/>
      </rPr>
      <t>50.00s</t>
    </r>
  </si>
  <si>
    <r>
      <t>0.000s～</t>
    </r>
    <r>
      <rPr>
        <sz val="9"/>
        <color rgb="FFFF0000"/>
        <rFont val="Times New Roman"/>
        <family val="1"/>
      </rPr>
      <t>10.000s</t>
    </r>
  </si>
  <si>
    <r>
      <t>DI最小输入～5</t>
    </r>
    <r>
      <rPr>
        <sz val="9"/>
        <color rgb="FFFF0000"/>
        <rFont val="Times New Roman"/>
        <family val="1"/>
      </rPr>
      <t>0.0kHz</t>
    </r>
    <phoneticPr fontId="20" type="noConversion"/>
  </si>
  <si>
    <r>
      <t>－</t>
    </r>
    <r>
      <rPr>
        <sz val="9"/>
        <color rgb="FFFF0000"/>
        <rFont val="Times New Roman"/>
        <family val="1"/>
      </rPr>
      <t>100.0%</t>
    </r>
    <r>
      <rPr>
        <sz val="9"/>
        <color rgb="FFFF0000"/>
        <rFont val="宋体"/>
        <family val="3"/>
        <charset val="134"/>
      </rPr>
      <t>～</t>
    </r>
    <r>
      <rPr>
        <sz val="9"/>
        <color rgb="FFFF0000"/>
        <rFont val="Times New Roman"/>
        <family val="1"/>
      </rPr>
      <t>100.0%</t>
    </r>
  </si>
  <si>
    <r>
      <t>0.0 kHz～</t>
    </r>
    <r>
      <rPr>
        <sz val="9"/>
        <color rgb="FFFF0000"/>
        <rFont val="Times New Roman"/>
        <family val="1"/>
      </rPr>
      <t>DI</t>
    </r>
    <r>
      <rPr>
        <sz val="9"/>
        <color rgb="FFFF0000"/>
        <rFont val="宋体"/>
        <family val="3"/>
        <charset val="134"/>
      </rPr>
      <t>最大输入</t>
    </r>
  </si>
  <si>
    <r>
      <t>0.000s～</t>
    </r>
    <r>
      <rPr>
        <sz val="9"/>
        <color rgb="FFFF0000"/>
        <rFont val="Times New Roman"/>
        <family val="1"/>
      </rPr>
      <t>1.000s</t>
    </r>
  </si>
  <si>
    <r>
      <rPr>
        <sz val="9"/>
        <color rgb="FFFF0000"/>
        <rFont val="Times New Roman"/>
        <family val="1"/>
      </rPr>
      <t>0.0%</t>
    </r>
    <r>
      <rPr>
        <sz val="9"/>
        <color rgb="FFFF0000"/>
        <rFont val="宋体"/>
        <family val="3"/>
        <charset val="134"/>
      </rPr>
      <t>～</t>
    </r>
    <r>
      <rPr>
        <sz val="9"/>
        <color rgb="FFFF0000"/>
        <rFont val="Times New Roman"/>
        <family val="1"/>
      </rPr>
      <t>100.0%</t>
    </r>
    <phoneticPr fontId="20" type="noConversion"/>
  </si>
  <si>
    <r>
      <rPr>
        <sz val="9"/>
        <color rgb="FFFF0000"/>
        <rFont val="Times New Roman"/>
        <family val="1"/>
      </rPr>
      <t>－2.000</t>
    </r>
    <r>
      <rPr>
        <sz val="9"/>
        <color rgb="FFFF0000"/>
        <rFont val="宋体"/>
        <family val="3"/>
        <charset val="134"/>
      </rPr>
      <t>～</t>
    </r>
    <r>
      <rPr>
        <sz val="9"/>
        <color rgb="FFFF0000"/>
        <rFont val="Times New Roman"/>
        <family val="1"/>
      </rPr>
      <t>2.000</t>
    </r>
    <phoneticPr fontId="20" type="noConversion"/>
  </si>
  <si>
    <r>
      <t>0.1KHz～5</t>
    </r>
    <r>
      <rPr>
        <sz val="9"/>
        <color rgb="FFFF0000"/>
        <rFont val="Times New Roman"/>
        <family val="1"/>
      </rPr>
      <t>0.0KHz</t>
    </r>
    <phoneticPr fontId="20" type="noConversion"/>
  </si>
  <si>
    <r>
      <t xml:space="preserve">0：无中心点
</t>
    </r>
    <r>
      <rPr>
        <sz val="9"/>
        <color rgb="FFFF0000"/>
        <rFont val="Times New Roman"/>
        <family val="1"/>
      </rPr>
      <t>1</t>
    </r>
    <r>
      <rPr>
        <sz val="9"/>
        <color rgb="FFFF0000"/>
        <rFont val="宋体"/>
        <family val="3"/>
        <charset val="134"/>
      </rPr>
      <t>：有中心点，中心点为</t>
    </r>
    <r>
      <rPr>
        <sz val="9"/>
        <color rgb="FFFF0000"/>
        <rFont val="Times New Roman"/>
        <family val="1"/>
      </rPr>
      <t>C3.09/2</t>
    </r>
    <r>
      <rPr>
        <sz val="9"/>
        <color rgb="FFFF0000"/>
        <rFont val="宋体"/>
        <family val="3"/>
        <charset val="134"/>
      </rPr>
      <t xml:space="preserve">，频率大于中心点时对应的功能量为正
</t>
    </r>
    <r>
      <rPr>
        <sz val="9"/>
        <color rgb="FFFF0000"/>
        <rFont val="Times New Roman"/>
        <family val="1"/>
      </rPr>
      <t>2</t>
    </r>
    <r>
      <rPr>
        <sz val="9"/>
        <color rgb="FFFF0000"/>
        <rFont val="宋体"/>
        <family val="3"/>
        <charset val="134"/>
      </rPr>
      <t>：有中心点，中心点为</t>
    </r>
    <r>
      <rPr>
        <sz val="9"/>
        <color rgb="FFFF0000"/>
        <rFont val="Times New Roman"/>
        <family val="1"/>
      </rPr>
      <t>C3.09/2</t>
    </r>
    <r>
      <rPr>
        <sz val="9"/>
        <color rgb="FFFF0000"/>
        <rFont val="宋体"/>
        <family val="3"/>
        <charset val="134"/>
      </rPr>
      <t>，频率小于中心点时对应的功能量为正</t>
    </r>
    <phoneticPr fontId="20" type="noConversion"/>
  </si>
  <si>
    <r>
      <t>0.00s～</t>
    </r>
    <r>
      <rPr>
        <sz val="9"/>
        <color rgb="FFFF0000"/>
        <rFont val="Times New Roman"/>
        <family val="1"/>
      </rPr>
      <t>10.00s</t>
    </r>
  </si>
  <si>
    <r>
      <t xml:space="preserve">0：不动作
</t>
    </r>
    <r>
      <rPr>
        <sz val="9"/>
        <color rgb="FFFF0000"/>
        <rFont val="Times New Roman"/>
        <family val="1"/>
      </rPr>
      <t>1</t>
    </r>
    <r>
      <rPr>
        <sz val="9"/>
        <color rgb="FFFF0000"/>
        <rFont val="宋体"/>
        <family val="3"/>
        <charset val="134"/>
      </rPr>
      <t>：</t>
    </r>
    <r>
      <rPr>
        <sz val="9"/>
        <color rgb="FFFF0000"/>
        <rFont val="Times New Roman"/>
        <family val="1"/>
      </rPr>
      <t>AI1</t>
    </r>
    <r>
      <rPr>
        <sz val="9"/>
        <color rgb="FFFF0000"/>
        <rFont val="宋体"/>
        <family val="3"/>
        <charset val="134"/>
      </rPr>
      <t xml:space="preserve">通道校正
</t>
    </r>
    <r>
      <rPr>
        <sz val="9"/>
        <color rgb="FFFF0000"/>
        <rFont val="Times New Roman"/>
        <family val="1"/>
      </rPr>
      <t>2:AI2</t>
    </r>
    <r>
      <rPr>
        <sz val="9"/>
        <color rgb="FFFF0000"/>
        <rFont val="宋体"/>
        <family val="3"/>
        <charset val="134"/>
      </rPr>
      <t>通道校正</t>
    </r>
    <r>
      <rPr>
        <sz val="9"/>
        <rFont val="Times New Roman"/>
        <family val="1"/>
      </rPr>
      <t/>
    </r>
    <phoneticPr fontId="20" type="noConversion"/>
  </si>
  <si>
    <r>
      <rPr>
        <sz val="9"/>
        <color rgb="FFFF0000"/>
        <rFont val="Times New Roman"/>
        <family val="1"/>
      </rPr>
      <t>0</t>
    </r>
    <r>
      <rPr>
        <sz val="9"/>
        <color rgb="FFFF0000"/>
        <rFont val="宋体"/>
        <family val="3"/>
        <charset val="134"/>
      </rPr>
      <t>.00V～10</t>
    </r>
    <r>
      <rPr>
        <sz val="9"/>
        <color rgb="FFFF0000"/>
        <rFont val="Times New Roman"/>
        <family val="1"/>
      </rPr>
      <t>.00V</t>
    </r>
    <phoneticPr fontId="20" type="noConversion"/>
  </si>
  <si>
    <r>
      <rPr>
        <sz val="9"/>
        <color rgb="FFFF0000"/>
        <rFont val="Times New Roman"/>
        <family val="1"/>
      </rPr>
      <t>0</t>
    </r>
    <r>
      <rPr>
        <sz val="9"/>
        <color rgb="FFFF0000"/>
        <rFont val="宋体"/>
        <family val="3"/>
        <charset val="134"/>
      </rPr>
      <t>.00V～10</t>
    </r>
    <r>
      <rPr>
        <sz val="9"/>
        <color rgb="FFFF0000"/>
        <rFont val="Times New Roman"/>
        <family val="1"/>
      </rPr>
      <t>.00V</t>
    </r>
    <r>
      <rPr>
        <sz val="11"/>
        <color indexed="8"/>
        <rFont val="宋体"/>
        <charset val="134"/>
      </rPr>
      <t/>
    </r>
    <phoneticPr fontId="20" type="noConversion"/>
  </si>
  <si>
    <r>
      <rPr>
        <sz val="9"/>
        <color rgb="FFFF0000"/>
        <rFont val="Times New Roman"/>
        <family val="1"/>
      </rPr>
      <t>0.00V</t>
    </r>
    <r>
      <rPr>
        <sz val="9"/>
        <color rgb="FFFF0000"/>
        <rFont val="宋体"/>
        <family val="3"/>
        <charset val="134"/>
      </rPr>
      <t>～</t>
    </r>
    <r>
      <rPr>
        <sz val="9"/>
        <color rgb="FFFF0000"/>
        <rFont val="Times New Roman"/>
        <family val="1"/>
      </rPr>
      <t>10.00V</t>
    </r>
    <phoneticPr fontId="20" type="noConversion"/>
  </si>
  <si>
    <r>
      <rPr>
        <sz val="9"/>
        <color rgb="FFFF0000"/>
        <rFont val="Times New Roman"/>
        <family val="1"/>
      </rPr>
      <t>-10</t>
    </r>
    <r>
      <rPr>
        <sz val="9"/>
        <color rgb="FFFF0000"/>
        <rFont val="宋体"/>
        <family val="3"/>
        <charset val="134"/>
      </rPr>
      <t>.00V～10</t>
    </r>
    <r>
      <rPr>
        <sz val="9"/>
        <color rgb="FFFF0000"/>
        <rFont val="Times New Roman"/>
        <family val="1"/>
      </rPr>
      <t>.00V</t>
    </r>
    <r>
      <rPr>
        <sz val="11"/>
        <color indexed="8"/>
        <rFont val="宋体"/>
        <charset val="134"/>
      </rPr>
      <t/>
    </r>
    <phoneticPr fontId="20" type="noConversion"/>
  </si>
  <si>
    <r>
      <rPr>
        <sz val="9"/>
        <color rgb="FFFF0000"/>
        <rFont val="Times New Roman"/>
        <family val="1"/>
      </rPr>
      <t>-10.00V</t>
    </r>
    <r>
      <rPr>
        <sz val="9"/>
        <color rgb="FFFF0000"/>
        <rFont val="宋体"/>
        <family val="3"/>
        <charset val="134"/>
      </rPr>
      <t>～</t>
    </r>
    <r>
      <rPr>
        <sz val="9"/>
        <color rgb="FFFF0000"/>
        <rFont val="Times New Roman"/>
        <family val="1"/>
      </rPr>
      <t>10.00V</t>
    </r>
    <phoneticPr fontId="20" type="noConversion"/>
  </si>
  <si>
    <r>
      <t>-1</t>
    </r>
    <r>
      <rPr>
        <sz val="9"/>
        <color rgb="FFFF0000"/>
        <rFont val="Times New Roman"/>
        <family val="1"/>
      </rPr>
      <t>0</t>
    </r>
    <r>
      <rPr>
        <sz val="9"/>
        <color rgb="FFFF0000"/>
        <rFont val="宋体"/>
        <family val="3"/>
        <charset val="134"/>
      </rPr>
      <t>.00V～10</t>
    </r>
    <r>
      <rPr>
        <sz val="9"/>
        <color rgb="FFFF0000"/>
        <rFont val="Times New Roman"/>
        <family val="1"/>
      </rPr>
      <t>.00V</t>
    </r>
    <r>
      <rPr>
        <sz val="11"/>
        <color indexed="8"/>
        <rFont val="宋体"/>
        <charset val="134"/>
      </rPr>
      <t/>
    </r>
    <phoneticPr fontId="20" type="noConversion"/>
  </si>
  <si>
    <r>
      <t>-10.00V～10</t>
    </r>
    <r>
      <rPr>
        <sz val="9"/>
        <color rgb="FFFF0000"/>
        <rFont val="Times New Roman"/>
        <family val="1"/>
      </rPr>
      <t>.00V</t>
    </r>
    <r>
      <rPr>
        <sz val="11"/>
        <color indexed="8"/>
        <rFont val="宋体"/>
        <charset val="134"/>
      </rPr>
      <t/>
    </r>
    <phoneticPr fontId="20" type="noConversion"/>
  </si>
  <si>
    <r>
      <t>－</t>
    </r>
    <r>
      <rPr>
        <sz val="9"/>
        <color rgb="FFFF0000"/>
        <rFont val="Times New Roman"/>
        <family val="1"/>
      </rPr>
      <t>200.0%</t>
    </r>
    <r>
      <rPr>
        <sz val="9"/>
        <color rgb="FFFF0000"/>
        <rFont val="宋体"/>
        <family val="3"/>
        <charset val="134"/>
      </rPr>
      <t>～</t>
    </r>
    <r>
      <rPr>
        <sz val="9"/>
        <color rgb="FFFF0000"/>
        <rFont val="Times New Roman"/>
        <family val="1"/>
      </rPr>
      <t>200.0%</t>
    </r>
  </si>
  <si>
    <r>
      <rPr>
        <sz val="9"/>
        <color rgb="FFFF0000"/>
        <rFont val="Times New Roman"/>
        <family val="1"/>
      </rPr>
      <t>0</t>
    </r>
    <r>
      <rPr>
        <sz val="9"/>
        <color rgb="FFFF0000"/>
        <rFont val="宋体"/>
        <family val="3"/>
        <charset val="134"/>
      </rPr>
      <t>.000V～10</t>
    </r>
    <r>
      <rPr>
        <sz val="9"/>
        <color rgb="FFFF0000"/>
        <rFont val="Times New Roman"/>
        <family val="1"/>
      </rPr>
      <t>.000V</t>
    </r>
    <r>
      <rPr>
        <sz val="11"/>
        <color indexed="8"/>
        <rFont val="宋体"/>
        <charset val="134"/>
      </rPr>
      <t/>
    </r>
  </si>
  <si>
    <r>
      <t xml:space="preserve">个位：连续运行时间到达动作选择
</t>
    </r>
    <r>
      <rPr>
        <sz val="9"/>
        <color rgb="FFFF0000"/>
        <rFont val="Times New Roman"/>
        <family val="1"/>
      </rPr>
      <t>0</t>
    </r>
    <r>
      <rPr>
        <sz val="9"/>
        <color rgb="FFFF0000"/>
        <rFont val="宋体"/>
        <family val="3"/>
        <charset val="134"/>
      </rPr>
      <t xml:space="preserve">：继续运行
</t>
    </r>
    <r>
      <rPr>
        <sz val="9"/>
        <color rgb="FFFF0000"/>
        <rFont val="Times New Roman"/>
        <family val="1"/>
      </rPr>
      <t>1</t>
    </r>
    <r>
      <rPr>
        <sz val="9"/>
        <color rgb="FFFF0000"/>
        <rFont val="宋体"/>
        <family val="3"/>
        <charset val="134"/>
      </rPr>
      <t xml:space="preserve">：停机，报故障
十位：累计运行时间到达动作选择
</t>
    </r>
    <r>
      <rPr>
        <sz val="9"/>
        <color rgb="FFFF0000"/>
        <rFont val="Times New Roman"/>
        <family val="1"/>
      </rPr>
      <t>0</t>
    </r>
    <r>
      <rPr>
        <sz val="9"/>
        <color rgb="FFFF0000"/>
        <rFont val="宋体"/>
        <family val="3"/>
        <charset val="134"/>
      </rPr>
      <t xml:space="preserve">：继续运行
</t>
    </r>
    <r>
      <rPr>
        <sz val="9"/>
        <color rgb="FFFF0000"/>
        <rFont val="Times New Roman"/>
        <family val="1"/>
      </rPr>
      <t>1</t>
    </r>
    <r>
      <rPr>
        <sz val="9"/>
        <color rgb="FFFF0000"/>
        <rFont val="宋体"/>
        <family val="3"/>
        <charset val="134"/>
      </rPr>
      <t xml:space="preserve">：停机，报故障
百位：运行时间单位：
</t>
    </r>
    <r>
      <rPr>
        <sz val="9"/>
        <color rgb="FFFF0000"/>
        <rFont val="Times New Roman"/>
        <family val="1"/>
      </rPr>
      <t xml:space="preserve"> 0</t>
    </r>
    <r>
      <rPr>
        <sz val="9"/>
        <color rgb="FFFF0000"/>
        <rFont val="宋体"/>
        <family val="3"/>
        <charset val="134"/>
      </rPr>
      <t>：</t>
    </r>
    <r>
      <rPr>
        <sz val="9"/>
        <color rgb="FFFF0000"/>
        <rFont val="Times New Roman"/>
        <family val="1"/>
      </rPr>
      <t>s
 1</t>
    </r>
    <r>
      <rPr>
        <sz val="9"/>
        <color rgb="FFFF0000"/>
        <rFont val="宋体"/>
        <family val="3"/>
        <charset val="134"/>
      </rPr>
      <t>：</t>
    </r>
    <r>
      <rPr>
        <sz val="9"/>
        <color rgb="FFFF0000"/>
        <rFont val="Times New Roman"/>
        <family val="1"/>
      </rPr>
      <t xml:space="preserve">h </t>
    </r>
    <phoneticPr fontId="20" type="noConversion"/>
  </si>
  <si>
    <r>
      <t>0.0～</t>
    </r>
    <r>
      <rPr>
        <sz val="9"/>
        <color rgb="FFFF0000"/>
        <rFont val="Times New Roman"/>
        <family val="1"/>
      </rPr>
      <t>6000.0s</t>
    </r>
    <r>
      <rPr>
        <sz val="9"/>
        <color rgb="FFFF0000"/>
        <rFont val="宋体"/>
        <family val="3"/>
        <charset val="134"/>
      </rPr>
      <t>（</t>
    </r>
    <r>
      <rPr>
        <sz val="9"/>
        <color rgb="FFFF0000"/>
        <rFont val="Times New Roman"/>
        <family val="1"/>
      </rPr>
      <t>h</t>
    </r>
    <r>
      <rPr>
        <sz val="9"/>
        <color rgb="FFFF0000"/>
        <rFont val="宋体"/>
        <family val="3"/>
        <charset val="134"/>
      </rPr>
      <t>）（</t>
    </r>
    <r>
      <rPr>
        <sz val="9"/>
        <color rgb="FFFF0000"/>
        <rFont val="Times New Roman"/>
        <family val="1"/>
      </rPr>
      <t>0.0</t>
    </r>
    <r>
      <rPr>
        <sz val="9"/>
        <color rgb="FFFF0000"/>
        <rFont val="宋体"/>
        <family val="3"/>
        <charset val="134"/>
      </rPr>
      <t>表示此功能无效）</t>
    </r>
    <phoneticPr fontId="20" type="noConversion"/>
  </si>
  <si>
    <r>
      <t xml:space="preserve">0：无效
</t>
    </r>
    <r>
      <rPr>
        <sz val="9"/>
        <color rgb="FFFF0000"/>
        <rFont val="Times New Roman"/>
        <family val="1"/>
      </rPr>
      <t>1</t>
    </r>
    <r>
      <rPr>
        <sz val="9"/>
        <color rgb="FFFF0000"/>
        <rFont val="宋体"/>
        <family val="3"/>
        <charset val="134"/>
      </rPr>
      <t>：有效</t>
    </r>
    <phoneticPr fontId="20" type="noConversion"/>
  </si>
  <si>
    <r>
      <t>0.00Hz～</t>
    </r>
    <r>
      <rPr>
        <sz val="9"/>
        <color rgb="FFFF0000"/>
        <rFont val="Times New Roman"/>
        <family val="1"/>
      </rPr>
      <t>10.00Hz</t>
    </r>
    <phoneticPr fontId="20" type="noConversion"/>
  </si>
  <si>
    <r>
      <t>0.0%～</t>
    </r>
    <r>
      <rPr>
        <sz val="9"/>
        <color rgb="FFFF0000"/>
        <rFont val="Times New Roman"/>
        <family val="1"/>
      </rPr>
      <t>200.0%</t>
    </r>
    <phoneticPr fontId="20" type="noConversion"/>
  </si>
  <si>
    <r>
      <t>0.0s～</t>
    </r>
    <r>
      <rPr>
        <sz val="9"/>
        <color rgb="FFFF0000"/>
        <rFont val="Times New Roman"/>
        <family val="1"/>
      </rPr>
      <t>10.0s</t>
    </r>
    <phoneticPr fontId="20" type="noConversion"/>
  </si>
  <si>
    <r>
      <t>0.00Hz～</t>
    </r>
    <r>
      <rPr>
        <sz val="9"/>
        <color rgb="FFFF0000"/>
        <rFont val="Times New Roman"/>
        <family val="1"/>
      </rPr>
      <t>10.00Hz</t>
    </r>
    <phoneticPr fontId="20" type="noConversion"/>
  </si>
  <si>
    <r>
      <t xml:space="preserve">0：禁止
</t>
    </r>
    <r>
      <rPr>
        <sz val="9"/>
        <color rgb="FFFF0000"/>
        <rFont val="Times New Roman"/>
        <family val="1"/>
      </rPr>
      <t>1</t>
    </r>
    <r>
      <rPr>
        <sz val="9"/>
        <color rgb="FFFF0000"/>
        <rFont val="宋体"/>
        <family val="3"/>
        <charset val="134"/>
      </rPr>
      <t>：允许</t>
    </r>
    <phoneticPr fontId="20" type="noConversion"/>
  </si>
  <si>
    <r>
      <t>120%～</t>
    </r>
    <r>
      <rPr>
        <sz val="9"/>
        <color rgb="FFFF0000"/>
        <rFont val="Times New Roman"/>
        <family val="1"/>
      </rPr>
      <t>150%</t>
    </r>
    <r>
      <rPr>
        <sz val="9"/>
        <color rgb="FFFF0000"/>
        <rFont val="宋体"/>
        <family val="3"/>
        <charset val="134"/>
      </rPr>
      <t>（相对于标准母线电压）</t>
    </r>
  </si>
  <si>
    <r>
      <t xml:space="preserve">0：掉电时故障不记忆
</t>
    </r>
    <r>
      <rPr>
        <sz val="9"/>
        <color rgb="FFFF0000"/>
        <rFont val="Times New Roman"/>
        <family val="1"/>
      </rPr>
      <t>1</t>
    </r>
    <r>
      <rPr>
        <sz val="9"/>
        <color rgb="FFFF0000"/>
        <rFont val="宋体"/>
        <family val="3"/>
        <charset val="134"/>
      </rPr>
      <t>：掉电时故障记忆</t>
    </r>
    <phoneticPr fontId="20" type="noConversion"/>
  </si>
  <si>
    <t>F4.00</t>
  </si>
  <si>
    <r>
      <t>0：非位置控制；</t>
    </r>
    <r>
      <rPr>
        <sz val="9"/>
        <color rgb="FFFF0000"/>
        <rFont val="Times New Roman"/>
        <family val="1"/>
      </rPr>
      <t xml:space="preserve"> 
1</t>
    </r>
    <r>
      <rPr>
        <sz val="9"/>
        <color rgb="FFFF0000"/>
        <rFont val="宋体"/>
        <family val="3"/>
        <charset val="134"/>
      </rPr>
      <t xml:space="preserve">：零伺服（频率到达有效）
</t>
    </r>
    <r>
      <rPr>
        <sz val="9"/>
        <color rgb="FFFF0000"/>
        <rFont val="Times New Roman"/>
        <family val="1"/>
      </rPr>
      <t>2</t>
    </r>
    <r>
      <rPr>
        <sz val="9"/>
        <color rgb="FFFF0000"/>
        <rFont val="宋体"/>
        <family val="3"/>
        <charset val="134"/>
      </rPr>
      <t xml:space="preserve">：零伺服（端子有效）
</t>
    </r>
    <r>
      <rPr>
        <sz val="9"/>
        <color rgb="FFFF0000"/>
        <rFont val="Times New Roman"/>
        <family val="1"/>
      </rPr>
      <t>3</t>
    </r>
    <r>
      <rPr>
        <sz val="9"/>
        <color rgb="FFFF0000"/>
        <rFont val="宋体"/>
        <family val="3"/>
        <charset val="134"/>
      </rPr>
      <t xml:space="preserve">：定向控制
</t>
    </r>
    <r>
      <rPr>
        <sz val="9"/>
        <color rgb="FFFF0000"/>
        <rFont val="Times New Roman"/>
        <family val="1"/>
      </rPr>
      <t>4</t>
    </r>
    <r>
      <rPr>
        <sz val="9"/>
        <color rgb="FFFF0000"/>
        <rFont val="宋体"/>
        <family val="3"/>
        <charset val="134"/>
      </rPr>
      <t xml:space="preserve">：相对位置控制
</t>
    </r>
    <r>
      <rPr>
        <sz val="9"/>
        <color rgb="FFFF0000"/>
        <rFont val="Times New Roman"/>
        <family val="1"/>
      </rPr>
      <t>5</t>
    </r>
    <r>
      <rPr>
        <sz val="9"/>
        <color rgb="FFFF0000"/>
        <rFont val="宋体"/>
        <family val="3"/>
        <charset val="134"/>
      </rPr>
      <t xml:space="preserve">：脉冲列位置控制
</t>
    </r>
    <r>
      <rPr>
        <sz val="9"/>
        <rFont val="Times New Roman"/>
        <family val="1"/>
      </rPr>
      <t/>
    </r>
  </si>
  <si>
    <t>F4.01</t>
  </si>
  <si>
    <r>
      <t>0～3</t>
    </r>
    <r>
      <rPr>
        <sz val="9"/>
        <color rgb="FFFF0000"/>
        <rFont val="Times New Roman"/>
        <family val="1"/>
      </rPr>
      <t>000</t>
    </r>
  </si>
  <si>
    <r>
      <t>F4.02</t>
    </r>
    <r>
      <rPr>
        <sz val="11"/>
        <color indexed="8"/>
        <rFont val="宋体"/>
        <family val="3"/>
        <charset val="134"/>
      </rPr>
      <t/>
    </r>
  </si>
  <si>
    <r>
      <t>0.000S～4</t>
    </r>
    <r>
      <rPr>
        <sz val="9"/>
        <color rgb="FFFF0000"/>
        <rFont val="Times New Roman"/>
        <family val="1"/>
      </rPr>
      <t>0.000S</t>
    </r>
  </si>
  <si>
    <r>
      <t>F4.03</t>
    </r>
    <r>
      <rPr>
        <sz val="11"/>
        <color indexed="8"/>
        <rFont val="宋体"/>
        <family val="3"/>
        <charset val="134"/>
      </rPr>
      <t/>
    </r>
  </si>
  <si>
    <r>
      <t>0.000～4</t>
    </r>
    <r>
      <rPr>
        <sz val="9"/>
        <color rgb="FFFF0000"/>
        <rFont val="Times New Roman"/>
        <family val="1"/>
      </rPr>
      <t>0.000</t>
    </r>
    <r>
      <rPr>
        <sz val="9"/>
        <color rgb="FFFF0000"/>
        <rFont val="宋体"/>
        <family val="3"/>
        <charset val="134"/>
      </rPr>
      <t>（</t>
    </r>
    <r>
      <rPr>
        <sz val="9"/>
        <color rgb="FFFF0000"/>
        <rFont val="Times New Roman"/>
        <family val="1"/>
      </rPr>
      <t>F4.01</t>
    </r>
    <r>
      <rPr>
        <sz val="9"/>
        <color rgb="FFFF0000"/>
        <rFont val="宋体"/>
        <family val="3"/>
        <charset val="134"/>
      </rPr>
      <t>～</t>
    </r>
    <r>
      <rPr>
        <sz val="9"/>
        <color rgb="FFFF0000"/>
        <rFont val="Times New Roman"/>
        <family val="1"/>
      </rPr>
      <t>F4.03</t>
    </r>
    <r>
      <rPr>
        <sz val="9"/>
        <color rgb="FFFF0000"/>
        <rFont val="宋体"/>
        <family val="3"/>
        <charset val="134"/>
      </rPr>
      <t>对所有位置控制模式都适用）</t>
    </r>
  </si>
  <si>
    <r>
      <t>F4.04</t>
    </r>
    <r>
      <rPr>
        <sz val="11"/>
        <color indexed="8"/>
        <rFont val="宋体"/>
        <family val="3"/>
        <charset val="134"/>
      </rPr>
      <t/>
    </r>
  </si>
  <si>
    <r>
      <t>F4.05</t>
    </r>
    <r>
      <rPr>
        <sz val="11"/>
        <color indexed="8"/>
        <rFont val="宋体"/>
        <family val="3"/>
        <charset val="134"/>
      </rPr>
      <t/>
    </r>
  </si>
  <si>
    <r>
      <t>0～（</t>
    </r>
    <r>
      <rPr>
        <sz val="9"/>
        <color rgb="FFFF0000"/>
        <rFont val="Times New Roman"/>
        <family val="1"/>
      </rPr>
      <t>4</t>
    </r>
    <r>
      <rPr>
        <sz val="9"/>
        <color rgb="FFFF0000"/>
        <rFont val="宋体"/>
        <family val="3"/>
        <charset val="134"/>
      </rPr>
      <t>×编码器每转脉冲数-1）</t>
    </r>
  </si>
  <si>
    <r>
      <t>F4.06</t>
    </r>
    <r>
      <rPr>
        <sz val="11"/>
        <color indexed="8"/>
        <rFont val="宋体"/>
        <family val="3"/>
        <charset val="134"/>
      </rPr>
      <t/>
    </r>
  </si>
  <si>
    <r>
      <t>F4.07</t>
    </r>
    <r>
      <rPr>
        <sz val="11"/>
        <color indexed="8"/>
        <rFont val="宋体"/>
        <family val="3"/>
        <charset val="134"/>
      </rPr>
      <t/>
    </r>
  </si>
  <si>
    <r>
      <t>F4.08</t>
    </r>
    <r>
      <rPr>
        <sz val="11"/>
        <color indexed="8"/>
        <rFont val="宋体"/>
        <family val="3"/>
        <charset val="134"/>
      </rPr>
      <t/>
    </r>
  </si>
  <si>
    <r>
      <t>F4.09</t>
    </r>
    <r>
      <rPr>
        <sz val="11"/>
        <color indexed="8"/>
        <rFont val="宋体"/>
        <family val="3"/>
        <charset val="134"/>
      </rPr>
      <t/>
    </r>
  </si>
  <si>
    <r>
      <t>0：当前旋转方向搜索角度；</t>
    </r>
    <r>
      <rPr>
        <sz val="9"/>
        <color rgb="FFFF0000"/>
        <rFont val="Times New Roman"/>
        <family val="1"/>
      </rPr>
      <t xml:space="preserve"> 
1</t>
    </r>
    <r>
      <rPr>
        <sz val="9"/>
        <color rgb="FFFF0000"/>
        <rFont val="宋体"/>
        <family val="3"/>
        <charset val="134"/>
      </rPr>
      <t>：正转搜索角度；</t>
    </r>
    <r>
      <rPr>
        <sz val="9"/>
        <color rgb="FFFF0000"/>
        <rFont val="Times New Roman"/>
        <family val="1"/>
      </rPr>
      <t xml:space="preserve"> 
2</t>
    </r>
    <r>
      <rPr>
        <sz val="9"/>
        <color rgb="FFFF0000"/>
        <rFont val="宋体"/>
        <family val="3"/>
        <charset val="134"/>
      </rPr>
      <t>：反转搜索角度</t>
    </r>
  </si>
  <si>
    <r>
      <t>F4.10</t>
    </r>
    <r>
      <rPr>
        <sz val="11"/>
        <color indexed="8"/>
        <rFont val="宋体"/>
        <family val="3"/>
        <charset val="134"/>
      </rPr>
      <t/>
    </r>
  </si>
  <si>
    <r>
      <t>F4.11</t>
    </r>
    <r>
      <rPr>
        <sz val="11"/>
        <color indexed="8"/>
        <rFont val="宋体"/>
        <family val="3"/>
        <charset val="134"/>
      </rPr>
      <t/>
    </r>
  </si>
  <si>
    <r>
      <t>0～</t>
    </r>
    <r>
      <rPr>
        <sz val="9"/>
        <color rgb="FFFF0000"/>
        <rFont val="Times New Roman"/>
        <family val="1"/>
      </rPr>
      <t>60.0S</t>
    </r>
    <r>
      <rPr>
        <sz val="9"/>
        <color rgb="FFFF0000"/>
        <rFont val="宋体"/>
        <family val="3"/>
        <charset val="134"/>
      </rPr>
      <t>（从最大频率减速到</t>
    </r>
    <r>
      <rPr>
        <sz val="9"/>
        <color rgb="FFFF0000"/>
        <rFont val="Times New Roman"/>
        <family val="1"/>
      </rPr>
      <t>0</t>
    </r>
    <r>
      <rPr>
        <sz val="9"/>
        <color rgb="FFFF0000"/>
        <rFont val="宋体"/>
        <family val="3"/>
        <charset val="134"/>
      </rPr>
      <t>的时间）</t>
    </r>
  </si>
  <si>
    <r>
      <t>F4.12</t>
    </r>
    <r>
      <rPr>
        <sz val="11"/>
        <color indexed="8"/>
        <rFont val="宋体"/>
        <family val="3"/>
        <charset val="134"/>
      </rPr>
      <t/>
    </r>
  </si>
  <si>
    <r>
      <t>0.000S～</t>
    </r>
    <r>
      <rPr>
        <sz val="9"/>
        <color rgb="FFFF0000"/>
        <rFont val="Times New Roman"/>
        <family val="1"/>
      </rPr>
      <t>6.000S</t>
    </r>
  </si>
  <si>
    <r>
      <t>F4.13</t>
    </r>
    <r>
      <rPr>
        <sz val="11"/>
        <color indexed="8"/>
        <rFont val="宋体"/>
        <family val="3"/>
        <charset val="134"/>
      </rPr>
      <t/>
    </r>
  </si>
  <si>
    <r>
      <t xml:space="preserve">0：不动作
</t>
    </r>
    <r>
      <rPr>
        <sz val="9"/>
        <color rgb="FFFF0000"/>
        <rFont val="Times New Roman"/>
        <family val="1"/>
      </rPr>
      <t>1</t>
    </r>
    <r>
      <rPr>
        <sz val="9"/>
        <color rgb="FFFF0000"/>
        <rFont val="宋体"/>
        <family val="3"/>
        <charset val="134"/>
      </rPr>
      <t>：动作</t>
    </r>
  </si>
  <si>
    <r>
      <t>F4.14</t>
    </r>
    <r>
      <rPr>
        <sz val="11"/>
        <color indexed="8"/>
        <rFont val="宋体"/>
        <family val="3"/>
        <charset val="134"/>
      </rPr>
      <t/>
    </r>
  </si>
  <si>
    <r>
      <t xml:space="preserve">0：正转搜索位置
</t>
    </r>
    <r>
      <rPr>
        <sz val="9"/>
        <color rgb="FFFF0000"/>
        <rFont val="Times New Roman"/>
        <family val="1"/>
      </rPr>
      <t>1</t>
    </r>
    <r>
      <rPr>
        <sz val="9"/>
        <color rgb="FFFF0000"/>
        <rFont val="宋体"/>
        <family val="3"/>
        <charset val="134"/>
      </rPr>
      <t>：反转搜索位置</t>
    </r>
  </si>
  <si>
    <r>
      <t>F4.15</t>
    </r>
    <r>
      <rPr>
        <sz val="11"/>
        <color indexed="8"/>
        <rFont val="宋体"/>
        <family val="3"/>
        <charset val="134"/>
      </rPr>
      <t/>
    </r>
  </si>
  <si>
    <r>
      <t>F4.16</t>
    </r>
    <r>
      <rPr>
        <sz val="11"/>
        <color indexed="8"/>
        <rFont val="宋体"/>
        <family val="3"/>
        <charset val="134"/>
      </rPr>
      <t/>
    </r>
  </si>
  <si>
    <r>
      <t>0～</t>
    </r>
    <r>
      <rPr>
        <sz val="9"/>
        <color rgb="FFFF0000"/>
        <rFont val="Times New Roman"/>
        <family val="1"/>
      </rPr>
      <t>10.00Hz</t>
    </r>
  </si>
  <si>
    <r>
      <t>F4.17</t>
    </r>
    <r>
      <rPr>
        <sz val="11"/>
        <color indexed="8"/>
        <rFont val="宋体"/>
        <family val="3"/>
        <charset val="134"/>
      </rPr>
      <t/>
    </r>
  </si>
  <si>
    <r>
      <t>0～</t>
    </r>
    <r>
      <rPr>
        <sz val="9"/>
        <color rgb="FFFF0000"/>
        <rFont val="Times New Roman"/>
        <family val="1"/>
      </rPr>
      <t>9999</t>
    </r>
  </si>
  <si>
    <r>
      <t>F4.18</t>
    </r>
    <r>
      <rPr>
        <sz val="11"/>
        <color indexed="8"/>
        <rFont val="宋体"/>
        <family val="3"/>
        <charset val="134"/>
      </rPr>
      <t/>
    </r>
  </si>
  <si>
    <r>
      <t>F4.19</t>
    </r>
    <r>
      <rPr>
        <sz val="11"/>
        <color indexed="8"/>
        <rFont val="宋体"/>
        <family val="3"/>
        <charset val="134"/>
      </rPr>
      <t/>
    </r>
  </si>
  <si>
    <r>
      <t>F4.20</t>
    </r>
    <r>
      <rPr>
        <sz val="11"/>
        <color indexed="8"/>
        <rFont val="宋体"/>
        <family val="3"/>
        <charset val="134"/>
      </rPr>
      <t/>
    </r>
  </si>
  <si>
    <r>
      <t>F4.21</t>
    </r>
    <r>
      <rPr>
        <sz val="11"/>
        <color indexed="8"/>
        <rFont val="宋体"/>
        <family val="3"/>
        <charset val="134"/>
      </rPr>
      <t/>
    </r>
  </si>
  <si>
    <r>
      <t>F4.22</t>
    </r>
    <r>
      <rPr>
        <sz val="11"/>
        <color indexed="8"/>
        <rFont val="宋体"/>
        <family val="3"/>
        <charset val="134"/>
      </rPr>
      <t/>
    </r>
  </si>
  <si>
    <r>
      <t>F4.23</t>
    </r>
    <r>
      <rPr>
        <sz val="11"/>
        <color indexed="8"/>
        <rFont val="宋体"/>
        <family val="3"/>
        <charset val="134"/>
      </rPr>
      <t/>
    </r>
  </si>
  <si>
    <r>
      <t>F4.24</t>
    </r>
    <r>
      <rPr>
        <sz val="11"/>
        <color indexed="8"/>
        <rFont val="宋体"/>
        <family val="3"/>
        <charset val="134"/>
      </rPr>
      <t/>
    </r>
  </si>
  <si>
    <r>
      <t>F4.25</t>
    </r>
    <r>
      <rPr>
        <sz val="11"/>
        <color indexed="8"/>
        <rFont val="宋体"/>
        <family val="3"/>
        <charset val="134"/>
      </rPr>
      <t/>
    </r>
  </si>
  <si>
    <r>
      <t>F4.26</t>
    </r>
    <r>
      <rPr>
        <sz val="11"/>
        <color indexed="8"/>
        <rFont val="宋体"/>
        <family val="3"/>
        <charset val="134"/>
      </rPr>
      <t/>
    </r>
  </si>
  <si>
    <r>
      <t>F4.27</t>
    </r>
    <r>
      <rPr>
        <sz val="11"/>
        <color indexed="8"/>
        <rFont val="宋体"/>
        <family val="3"/>
        <charset val="134"/>
      </rPr>
      <t/>
    </r>
  </si>
  <si>
    <r>
      <t>F4.28</t>
    </r>
    <r>
      <rPr>
        <sz val="11"/>
        <color indexed="8"/>
        <rFont val="宋体"/>
        <family val="3"/>
        <charset val="134"/>
      </rPr>
      <t/>
    </r>
  </si>
  <si>
    <r>
      <t>F4.29</t>
    </r>
    <r>
      <rPr>
        <sz val="11"/>
        <color indexed="8"/>
        <rFont val="宋体"/>
        <family val="3"/>
        <charset val="134"/>
      </rPr>
      <t/>
    </r>
  </si>
  <si>
    <r>
      <t>F4.30</t>
    </r>
    <r>
      <rPr>
        <sz val="11"/>
        <color indexed="8"/>
        <rFont val="宋体"/>
        <family val="3"/>
        <charset val="134"/>
      </rPr>
      <t/>
    </r>
  </si>
  <si>
    <r>
      <t>F4.31</t>
    </r>
    <r>
      <rPr>
        <sz val="11"/>
        <color indexed="8"/>
        <rFont val="宋体"/>
        <family val="3"/>
        <charset val="134"/>
      </rPr>
      <t/>
    </r>
  </si>
  <si>
    <r>
      <t>F4.32</t>
    </r>
    <r>
      <rPr>
        <sz val="11"/>
        <color indexed="8"/>
        <rFont val="宋体"/>
        <family val="3"/>
        <charset val="134"/>
      </rPr>
      <t/>
    </r>
  </si>
  <si>
    <r>
      <t>F4.33</t>
    </r>
    <r>
      <rPr>
        <sz val="11"/>
        <color indexed="8"/>
        <rFont val="宋体"/>
        <family val="3"/>
        <charset val="134"/>
      </rPr>
      <t/>
    </r>
  </si>
  <si>
    <r>
      <t>0：</t>
    </r>
    <r>
      <rPr>
        <sz val="9"/>
        <color rgb="FFFF0000"/>
        <rFont val="Times New Roman"/>
        <family val="1"/>
      </rPr>
      <t>X7/DI</t>
    </r>
    <r>
      <rPr>
        <sz val="9"/>
        <color rgb="FFFF0000"/>
        <rFont val="宋体"/>
        <family val="3"/>
        <charset val="134"/>
      </rPr>
      <t>脉冲输入＋X端子方向输入
1：A超前B编码器1（本地）给定
2：B超前A编码器1（本地）给定
3：低电平正向+脉冲编码器1（本地）给定
4：高电平正向+脉冲编码器1（本地）给定
5：A超前B编码器2（扩展）给定
6：B超前A编码器2（扩展）给定
7：低电平正向+脉冲编码器2（扩展）给定
8：高电平正向+脉冲编码器2（扩展）给定</t>
    </r>
  </si>
  <si>
    <r>
      <t>F4.34</t>
    </r>
    <r>
      <rPr>
        <sz val="11"/>
        <color indexed="8"/>
        <rFont val="宋体"/>
        <family val="3"/>
        <charset val="134"/>
      </rPr>
      <t/>
    </r>
  </si>
  <si>
    <r>
      <t>0.000～</t>
    </r>
    <r>
      <rPr>
        <sz val="9"/>
        <color rgb="FFFF0000"/>
        <rFont val="Times New Roman"/>
        <family val="1"/>
      </rPr>
      <t>9.999</t>
    </r>
  </si>
  <si>
    <r>
      <t>F4.35</t>
    </r>
    <r>
      <rPr>
        <sz val="11"/>
        <color indexed="8"/>
        <rFont val="宋体"/>
        <family val="3"/>
        <charset val="134"/>
      </rPr>
      <t/>
    </r>
  </si>
  <si>
    <r>
      <t>F4.36</t>
    </r>
    <r>
      <rPr>
        <sz val="11"/>
        <color indexed="8"/>
        <rFont val="宋体"/>
        <family val="3"/>
        <charset val="134"/>
      </rPr>
      <t/>
    </r>
  </si>
  <si>
    <r>
      <t>0.000～7</t>
    </r>
    <r>
      <rPr>
        <sz val="9"/>
        <color rgb="FFFF0000"/>
        <rFont val="Times New Roman"/>
        <family val="1"/>
      </rPr>
      <t>.000</t>
    </r>
  </si>
  <si>
    <r>
      <t>F4.37</t>
    </r>
    <r>
      <rPr>
        <sz val="11"/>
        <color indexed="8"/>
        <rFont val="宋体"/>
        <family val="3"/>
        <charset val="134"/>
      </rPr>
      <t/>
    </r>
  </si>
  <si>
    <r>
      <t>0.000S～7</t>
    </r>
    <r>
      <rPr>
        <sz val="9"/>
        <color rgb="FFFF0000"/>
        <rFont val="Times New Roman"/>
        <family val="1"/>
      </rPr>
      <t>.000S</t>
    </r>
  </si>
  <si>
    <r>
      <t>F4.38</t>
    </r>
    <r>
      <rPr>
        <sz val="11"/>
        <color indexed="8"/>
        <rFont val="宋体"/>
        <family val="3"/>
        <charset val="134"/>
      </rPr>
      <t/>
    </r>
  </si>
  <si>
    <r>
      <t>F4.39</t>
    </r>
    <r>
      <rPr>
        <sz val="11"/>
        <color indexed="8"/>
        <rFont val="宋体"/>
        <family val="3"/>
        <charset val="134"/>
      </rPr>
      <t/>
    </r>
  </si>
  <si>
    <r>
      <t>F4.40</t>
    </r>
    <r>
      <rPr>
        <sz val="11"/>
        <color indexed="8"/>
        <rFont val="宋体"/>
        <family val="3"/>
        <charset val="134"/>
      </rPr>
      <t/>
    </r>
  </si>
  <si>
    <r>
      <t>F4.41</t>
    </r>
    <r>
      <rPr>
        <sz val="11"/>
        <color indexed="8"/>
        <rFont val="宋体"/>
        <family val="3"/>
        <charset val="134"/>
      </rPr>
      <t/>
    </r>
  </si>
  <si>
    <r>
      <t>F4.42</t>
    </r>
    <r>
      <rPr>
        <sz val="11"/>
        <color indexed="8"/>
        <rFont val="宋体"/>
        <family val="3"/>
        <charset val="134"/>
      </rPr>
      <t/>
    </r>
  </si>
  <si>
    <r>
      <t>F4.43</t>
    </r>
    <r>
      <rPr>
        <sz val="11"/>
        <color indexed="8"/>
        <rFont val="宋体"/>
        <family val="3"/>
        <charset val="134"/>
      </rPr>
      <t/>
    </r>
  </si>
  <si>
    <r>
      <t>FcPZDIn10</t>
    </r>
    <r>
      <rPr>
        <sz val="11"/>
        <color indexed="8"/>
        <rFont val="宋体"/>
        <charset val="134"/>
      </rPr>
      <t/>
    </r>
    <phoneticPr fontId="20" type="noConversion"/>
  </si>
  <si>
    <t>H2.00</t>
    <phoneticPr fontId="20" type="noConversion"/>
  </si>
  <si>
    <t>FcReservedH200</t>
    <phoneticPr fontId="20" type="noConversion"/>
  </si>
  <si>
    <t>H2.01</t>
    <phoneticPr fontId="20" type="noConversion"/>
  </si>
  <si>
    <t>FcReservedH201</t>
    <phoneticPr fontId="20" type="noConversion"/>
  </si>
  <si>
    <r>
      <t>0：仅在操作面板控制方式下，</t>
    </r>
    <r>
      <rPr>
        <sz val="9"/>
        <color rgb="FFFF0000"/>
        <rFont val="Times New Roman"/>
        <family val="1"/>
      </rPr>
      <t>STOP</t>
    </r>
    <r>
      <rPr>
        <sz val="9"/>
        <color rgb="FFFF0000"/>
        <rFont val="宋体"/>
        <family val="3"/>
        <charset val="134"/>
      </rPr>
      <t xml:space="preserve">键停机有效
</t>
    </r>
    <r>
      <rPr>
        <sz val="9"/>
        <color rgb="FFFF0000"/>
        <rFont val="Times New Roman"/>
        <family val="1"/>
      </rPr>
      <t>1</t>
    </r>
    <r>
      <rPr>
        <sz val="9"/>
        <color rgb="FFFF0000"/>
        <rFont val="宋体"/>
        <family val="3"/>
        <charset val="134"/>
      </rPr>
      <t>：无论何种控制方式，</t>
    </r>
    <r>
      <rPr>
        <sz val="9"/>
        <color rgb="FFFF0000"/>
        <rFont val="Times New Roman"/>
        <family val="1"/>
      </rPr>
      <t>STOP</t>
    </r>
    <r>
      <rPr>
        <sz val="9"/>
        <color rgb="FFFF0000"/>
        <rFont val="宋体"/>
        <family val="3"/>
        <charset val="134"/>
      </rPr>
      <t>键停机均有效</t>
    </r>
    <phoneticPr fontId="20" type="noConversion"/>
  </si>
  <si>
    <r>
      <t xml:space="preserve">个位：减速停机时动作选择
</t>
    </r>
    <r>
      <rPr>
        <sz val="9"/>
        <color rgb="FFFF0000"/>
        <rFont val="Times New Roman"/>
        <family val="1"/>
      </rPr>
      <t>0</t>
    </r>
    <r>
      <rPr>
        <sz val="9"/>
        <color rgb="FFFF0000"/>
        <rFont val="宋体"/>
        <family val="3"/>
        <charset val="134"/>
      </rPr>
      <t xml:space="preserve">：调节量清零
</t>
    </r>
    <r>
      <rPr>
        <sz val="9"/>
        <color rgb="FFFF0000"/>
        <rFont val="Times New Roman"/>
        <family val="1"/>
      </rPr>
      <t>1</t>
    </r>
    <r>
      <rPr>
        <sz val="9"/>
        <color rgb="FFFF0000"/>
        <rFont val="宋体"/>
        <family val="3"/>
        <charset val="134"/>
      </rPr>
      <t xml:space="preserve">：调节量保持
十位：掉电时动作选择
</t>
    </r>
    <r>
      <rPr>
        <sz val="9"/>
        <color rgb="FFFF0000"/>
        <rFont val="Times New Roman"/>
        <family val="1"/>
      </rPr>
      <t>0</t>
    </r>
    <r>
      <rPr>
        <sz val="9"/>
        <color rgb="FFFF0000"/>
        <rFont val="宋体"/>
        <family val="3"/>
        <charset val="134"/>
      </rPr>
      <t xml:space="preserve">：调节量清零
</t>
    </r>
    <r>
      <rPr>
        <sz val="9"/>
        <color rgb="FFFF0000"/>
        <rFont val="Times New Roman"/>
        <family val="1"/>
      </rPr>
      <t>1</t>
    </r>
    <r>
      <rPr>
        <sz val="9"/>
        <color rgb="FFFF0000"/>
        <rFont val="宋体"/>
        <family val="3"/>
        <charset val="134"/>
      </rPr>
      <t xml:space="preserve">：调节量保持
百位：
</t>
    </r>
    <r>
      <rPr>
        <sz val="9"/>
        <color rgb="FFFF0000"/>
        <rFont val="Times New Roman"/>
        <family val="1"/>
      </rPr>
      <t>0</t>
    </r>
    <r>
      <rPr>
        <sz val="9"/>
        <color rgb="FFFF0000"/>
        <rFont val="宋体"/>
        <family val="3"/>
        <charset val="134"/>
      </rPr>
      <t xml:space="preserve">：无累计功能；
</t>
    </r>
    <r>
      <rPr>
        <sz val="9"/>
        <color rgb="FFFF0000"/>
        <rFont val="Times New Roman"/>
        <family val="1"/>
      </rPr>
      <t>1</t>
    </r>
    <r>
      <rPr>
        <sz val="9"/>
        <color rgb="FFFF0000"/>
        <rFont val="宋体"/>
        <family val="3"/>
        <charset val="134"/>
      </rPr>
      <t>：有累计功能；
千位</t>
    </r>
    <r>
      <rPr>
        <sz val="9"/>
        <color rgb="FFFF0000"/>
        <rFont val="Times New Roman"/>
        <family val="1"/>
      </rPr>
      <t>:
0:</t>
    </r>
    <r>
      <rPr>
        <sz val="9"/>
        <color rgb="FFFF0000"/>
        <rFont val="宋体"/>
        <family val="3"/>
        <charset val="134"/>
      </rPr>
      <t>不允许</t>
    </r>
    <r>
      <rPr>
        <sz val="9"/>
        <color rgb="FFFF0000"/>
        <rFont val="Times New Roman"/>
        <family val="1"/>
      </rPr>
      <t>UPDOWN</t>
    </r>
    <r>
      <rPr>
        <sz val="9"/>
        <color rgb="FFFF0000"/>
        <rFont val="宋体"/>
        <family val="3"/>
        <charset val="134"/>
      </rPr>
      <t xml:space="preserve">正反转切换
</t>
    </r>
    <r>
      <rPr>
        <sz val="9"/>
        <color rgb="FFFF0000"/>
        <rFont val="Times New Roman"/>
        <family val="1"/>
      </rPr>
      <t>1:</t>
    </r>
    <r>
      <rPr>
        <sz val="9"/>
        <color rgb="FFFF0000"/>
        <rFont val="宋体"/>
        <family val="3"/>
        <charset val="134"/>
      </rPr>
      <t>允许</t>
    </r>
    <r>
      <rPr>
        <sz val="9"/>
        <color rgb="FFFF0000"/>
        <rFont val="Times New Roman"/>
        <family val="1"/>
      </rPr>
      <t>UPDOWN</t>
    </r>
    <r>
      <rPr>
        <sz val="9"/>
        <color rgb="FFFF0000"/>
        <rFont val="宋体"/>
        <family val="3"/>
        <charset val="134"/>
      </rPr>
      <t>正反转切换</t>
    </r>
    <phoneticPr fontId="20" type="noConversion"/>
  </si>
  <si>
    <r>
      <t>0.00Hz/s～</t>
    </r>
    <r>
      <rPr>
        <sz val="9"/>
        <color rgb="FFFF0000"/>
        <rFont val="Times New Roman"/>
        <family val="1"/>
      </rPr>
      <t>10.00Hz/s</t>
    </r>
    <phoneticPr fontId="20" type="noConversion"/>
  </si>
  <si>
    <r>
      <t>0.00Hz～</t>
    </r>
    <r>
      <rPr>
        <sz val="9"/>
        <color rgb="FFFF0000"/>
        <rFont val="Times New Roman"/>
        <family val="1"/>
      </rPr>
      <t>600.00Hz</t>
    </r>
  </si>
  <si>
    <r>
      <t>0.0KHz～</t>
    </r>
    <r>
      <rPr>
        <sz val="9"/>
        <color rgb="FFFF0000"/>
        <rFont val="Times New Roman"/>
        <family val="1"/>
      </rPr>
      <t>100.0KHz</t>
    </r>
  </si>
  <si>
    <r>
      <rPr>
        <sz val="9"/>
        <color rgb="FFFF0000"/>
        <rFont val="Times New Roman"/>
        <family val="1"/>
      </rPr>
      <t>-10</t>
    </r>
    <r>
      <rPr>
        <sz val="9"/>
        <color rgb="FFFF0000"/>
        <rFont val="宋体"/>
        <family val="3"/>
        <charset val="134"/>
      </rPr>
      <t>0.0%～</t>
    </r>
    <r>
      <rPr>
        <sz val="9"/>
        <color rgb="FFFF0000"/>
        <rFont val="Times New Roman"/>
        <family val="1"/>
      </rPr>
      <t>100.0%</t>
    </r>
    <phoneticPr fontId="20" type="noConversion"/>
  </si>
  <si>
    <r>
      <t>1～</t>
    </r>
    <r>
      <rPr>
        <sz val="9"/>
        <color rgb="FFFF0000"/>
        <rFont val="Times New Roman"/>
        <family val="1"/>
      </rPr>
      <t>16</t>
    </r>
  </si>
  <si>
    <r>
      <t>-</t>
    </r>
    <r>
      <rPr>
        <sz val="9"/>
        <color rgb="FFFF0000"/>
        <rFont val="Times New Roman"/>
        <family val="1"/>
      </rPr>
      <t>3000.0k</t>
    </r>
    <r>
      <rPr>
        <sz val="9"/>
        <color rgb="FFFF0000"/>
        <rFont val="宋体"/>
        <family val="3"/>
        <charset val="134"/>
      </rPr>
      <t>Hz～3000.0kHz</t>
    </r>
    <r>
      <rPr>
        <sz val="9"/>
        <rFont val="Times New Roman"/>
        <family val="1"/>
      </rPr>
      <t/>
    </r>
    <phoneticPr fontId="20" type="noConversion"/>
  </si>
  <si>
    <r>
      <rPr>
        <sz val="9"/>
        <color rgb="FFFF0000"/>
        <rFont val="Times New Roman"/>
        <family val="1"/>
      </rPr>
      <t>"-1</t>
    </r>
    <r>
      <rPr>
        <sz val="9"/>
        <color rgb="FFFF0000"/>
        <rFont val="宋体"/>
        <family val="3"/>
        <charset val="134"/>
      </rPr>
      <t>～</t>
    </r>
    <r>
      <rPr>
        <sz val="9"/>
        <color rgb="FFFF0000"/>
        <rFont val="Times New Roman"/>
        <family val="1"/>
      </rPr>
      <t>1</t>
    </r>
    <phoneticPr fontId="20" type="noConversion"/>
  </si>
  <si>
    <r>
      <t>0.00～</t>
    </r>
    <r>
      <rPr>
        <sz val="9"/>
        <color rgb="FFFF0000"/>
        <rFont val="Times New Roman"/>
        <family val="1"/>
      </rPr>
      <t>655.35</t>
    </r>
    <phoneticPr fontId="20" type="noConversion"/>
  </si>
  <si>
    <r>
      <t>0.00～</t>
    </r>
    <r>
      <rPr>
        <sz val="9"/>
        <color rgb="FFFF0000"/>
        <rFont val="Times New Roman"/>
        <family val="1"/>
      </rPr>
      <t>655.55</t>
    </r>
    <phoneticPr fontId="20" type="noConversion"/>
  </si>
  <si>
    <r>
      <t>-9999～</t>
    </r>
    <r>
      <rPr>
        <sz val="9"/>
        <color rgb="FFFF0000"/>
        <rFont val="Times New Roman"/>
        <family val="1"/>
      </rPr>
      <t>+9999</t>
    </r>
  </si>
  <si>
    <t>保留</t>
    <phoneticPr fontId="20" type="noConversion"/>
  </si>
  <si>
    <t>保留</t>
    <phoneticPr fontId="20" type="noConversion"/>
  </si>
  <si>
    <t>频率给定方式</t>
    <phoneticPr fontId="20" type="noConversion"/>
  </si>
  <si>
    <t>保留</t>
    <phoneticPr fontId="20" type="noConversion"/>
  </si>
  <si>
    <t>保留</t>
    <phoneticPr fontId="20" type="noConversion"/>
  </si>
  <si>
    <r>
      <t>（</t>
    </r>
    <r>
      <rPr>
        <sz val="10"/>
        <rFont val="Times New Roman"/>
        <family val="1"/>
      </rPr>
      <t>RAM</t>
    </r>
    <r>
      <rPr>
        <sz val="10"/>
        <rFont val="宋体"/>
        <charset val="134"/>
      </rPr>
      <t>变量</t>
    </r>
    <r>
      <rPr>
        <sz val="10"/>
        <rFont val="Times New Roman"/>
        <family val="1"/>
      </rPr>
      <t>1</t>
    </r>
    <r>
      <rPr>
        <sz val="10"/>
        <rFont val="宋体"/>
        <charset val="134"/>
      </rPr>
      <t>地址）</t>
    </r>
    <phoneticPr fontId="20" type="noConversion"/>
  </si>
  <si>
    <r>
      <t>（</t>
    </r>
    <r>
      <rPr>
        <sz val="10"/>
        <rFont val="Times New Roman"/>
        <family val="1"/>
      </rPr>
      <t>RAM</t>
    </r>
    <r>
      <rPr>
        <sz val="10"/>
        <rFont val="宋体"/>
        <charset val="134"/>
      </rPr>
      <t>变量</t>
    </r>
    <r>
      <rPr>
        <sz val="10"/>
        <rFont val="Times New Roman"/>
        <family val="1"/>
      </rPr>
      <t>1</t>
    </r>
    <r>
      <rPr>
        <sz val="10"/>
        <rFont val="宋体"/>
        <charset val="134"/>
      </rPr>
      <t>范围）</t>
    </r>
    <phoneticPr fontId="20" type="noConversion"/>
  </si>
  <si>
    <r>
      <t>（</t>
    </r>
    <r>
      <rPr>
        <sz val="10"/>
        <rFont val="Times New Roman"/>
        <family val="1"/>
      </rPr>
      <t>RAM</t>
    </r>
    <r>
      <rPr>
        <sz val="10"/>
        <rFont val="宋体"/>
        <charset val="134"/>
      </rPr>
      <t>变量</t>
    </r>
    <r>
      <rPr>
        <sz val="10"/>
        <rFont val="Times New Roman"/>
        <family val="1"/>
      </rPr>
      <t>1</t>
    </r>
    <r>
      <rPr>
        <sz val="10"/>
        <rFont val="宋体"/>
        <charset val="134"/>
      </rPr>
      <t>显示）</t>
    </r>
    <phoneticPr fontId="20" type="noConversion"/>
  </si>
  <si>
    <r>
      <t>（</t>
    </r>
    <r>
      <rPr>
        <sz val="10"/>
        <rFont val="Times New Roman"/>
        <family val="1"/>
      </rPr>
      <t>RAM</t>
    </r>
    <r>
      <rPr>
        <sz val="10"/>
        <rFont val="宋体"/>
        <charset val="134"/>
      </rPr>
      <t>变量</t>
    </r>
    <r>
      <rPr>
        <sz val="10"/>
        <rFont val="Times New Roman"/>
        <family val="1"/>
      </rPr>
      <t>2</t>
    </r>
    <r>
      <rPr>
        <sz val="10"/>
        <rFont val="宋体"/>
        <charset val="134"/>
      </rPr>
      <t>地址）</t>
    </r>
    <phoneticPr fontId="20" type="noConversion"/>
  </si>
  <si>
    <r>
      <t>（</t>
    </r>
    <r>
      <rPr>
        <sz val="10"/>
        <rFont val="Times New Roman"/>
        <family val="1"/>
      </rPr>
      <t>RAM</t>
    </r>
    <r>
      <rPr>
        <sz val="10"/>
        <rFont val="宋体"/>
        <charset val="134"/>
      </rPr>
      <t>变量</t>
    </r>
    <r>
      <rPr>
        <sz val="10"/>
        <rFont val="Times New Roman"/>
        <family val="1"/>
      </rPr>
      <t>2</t>
    </r>
    <r>
      <rPr>
        <sz val="10"/>
        <rFont val="宋体"/>
        <charset val="134"/>
      </rPr>
      <t>范围）</t>
    </r>
    <phoneticPr fontId="20" type="noConversion"/>
  </si>
  <si>
    <r>
      <t>（</t>
    </r>
    <r>
      <rPr>
        <sz val="10"/>
        <rFont val="Times New Roman"/>
        <family val="1"/>
      </rPr>
      <t>RAM</t>
    </r>
    <r>
      <rPr>
        <sz val="10"/>
        <rFont val="宋体"/>
        <charset val="134"/>
      </rPr>
      <t>变量</t>
    </r>
    <r>
      <rPr>
        <sz val="10"/>
        <rFont val="Times New Roman"/>
        <family val="1"/>
      </rPr>
      <t>2</t>
    </r>
    <r>
      <rPr>
        <sz val="10"/>
        <rFont val="宋体"/>
        <charset val="134"/>
      </rPr>
      <t>显示）</t>
    </r>
    <phoneticPr fontId="20" type="noConversion"/>
  </si>
  <si>
    <t>X</t>
    <phoneticPr fontId="20" type="noConversion"/>
  </si>
  <si>
    <r>
      <t>FcReservedU065</t>
    </r>
    <r>
      <rPr>
        <sz val="11"/>
        <color indexed="8"/>
        <rFont val="宋体"/>
        <charset val="134"/>
      </rPr>
      <t/>
    </r>
    <phoneticPr fontId="20" type="noConversion"/>
  </si>
  <si>
    <r>
      <t>FcReservedU06</t>
    </r>
    <r>
      <rPr>
        <sz val="10"/>
        <rFont val="宋体"/>
        <family val="3"/>
        <charset val="134"/>
      </rPr>
      <t>4</t>
    </r>
    <phoneticPr fontId="20" type="noConversion"/>
  </si>
  <si>
    <r>
      <t>0：无故障源
1：I</t>
    </r>
    <r>
      <rPr>
        <sz val="9"/>
        <rFont val="宋体"/>
        <family val="3"/>
        <charset val="134"/>
      </rPr>
      <t>W</t>
    </r>
    <r>
      <rPr>
        <sz val="9"/>
        <rFont val="宋体"/>
        <charset val="134"/>
      </rPr>
      <t>源
2：I</t>
    </r>
    <r>
      <rPr>
        <sz val="9"/>
        <rFont val="宋体"/>
        <family val="3"/>
        <charset val="134"/>
      </rPr>
      <t>U</t>
    </r>
    <r>
      <rPr>
        <sz val="9"/>
        <rFont val="宋体"/>
        <charset val="134"/>
      </rPr>
      <t>源
3：I</t>
    </r>
    <r>
      <rPr>
        <sz val="9"/>
        <rFont val="宋体"/>
        <family val="3"/>
        <charset val="134"/>
      </rPr>
      <t>V</t>
    </r>
    <r>
      <rPr>
        <sz val="9"/>
        <rFont val="宋体"/>
        <charset val="134"/>
      </rPr>
      <t>源</t>
    </r>
    <phoneticPr fontId="20" type="noConversion"/>
  </si>
  <si>
    <t>FcRunRelayTime</t>
  </si>
  <si>
    <t>FcStallFreq</t>
  </si>
  <si>
    <t>堵转识别频率</t>
  </si>
  <si>
    <t>堵转识别时间</t>
  </si>
  <si>
    <t>第一次运行删除PWM杂波</t>
  </si>
  <si>
    <t>0~3000</t>
  </si>
  <si>
    <t>0.00Hz～10.00Hz</t>
  </si>
  <si>
    <t>0.0S～40.0S</t>
  </si>
  <si>
    <t>FcStallTime</t>
    <phoneticPr fontId="20" type="noConversion"/>
  </si>
  <si>
    <r>
      <t>F</t>
    </r>
    <r>
      <rPr>
        <sz val="10"/>
        <rFont val="宋体"/>
        <family val="3"/>
        <charset val="134"/>
      </rPr>
      <t>FFF</t>
    </r>
    <phoneticPr fontId="20" type="noConversion"/>
  </si>
  <si>
    <t>同步机辨识Kp</t>
  </si>
  <si>
    <t>FcSysMotIdKp</t>
  </si>
  <si>
    <t>同步机辨识Ki</t>
  </si>
  <si>
    <t>FcSysMotIdKi</t>
  </si>
  <si>
    <t>AI3输入电压</t>
    <phoneticPr fontId="20" type="noConversion"/>
  </si>
  <si>
    <r>
      <rPr>
        <sz val="9"/>
        <rFont val="Times New Roman"/>
        <family val="1"/>
      </rPr>
      <t>0</t>
    </r>
    <r>
      <rPr>
        <sz val="9"/>
        <rFont val="宋体"/>
        <family val="3"/>
        <charset val="134"/>
      </rPr>
      <t>.00V～</t>
    </r>
    <r>
      <rPr>
        <sz val="9"/>
        <rFont val="Times New Roman"/>
        <family val="1"/>
      </rPr>
      <t>10.00V</t>
    </r>
    <phoneticPr fontId="20" type="noConversion"/>
  </si>
  <si>
    <t>旋变分辨率选择</t>
    <phoneticPr fontId="20" type="noConversion"/>
  </si>
  <si>
    <t>FcMDSEL</t>
    <phoneticPr fontId="20" type="noConversion"/>
  </si>
  <si>
    <t>0:1024;1:256</t>
    <phoneticPr fontId="20" type="noConversion"/>
  </si>
  <si>
    <t>母线电流调整系数</t>
  </si>
  <si>
    <t>FcDcCurrRevise</t>
  </si>
  <si>
    <t>母线电流</t>
  </si>
  <si>
    <t>FcDcCurr</t>
  </si>
  <si>
    <t>FcCurrDErrDisp</t>
  </si>
  <si>
    <t>FcCurrQErrDisp</t>
  </si>
  <si>
    <t>FcVoltDOutDisp</t>
    <phoneticPr fontId="20" type="noConversion"/>
  </si>
  <si>
    <t>FcVoltQOutDisp</t>
  </si>
  <si>
    <t>D轴电流误差</t>
    <phoneticPr fontId="20" type="noConversion"/>
  </si>
  <si>
    <t>Q轴电流误差</t>
    <phoneticPr fontId="20" type="noConversion"/>
  </si>
  <si>
    <t>D轴电压</t>
    <phoneticPr fontId="20" type="noConversion"/>
  </si>
  <si>
    <t>Q轴电压</t>
    <phoneticPr fontId="20" type="noConversion"/>
  </si>
  <si>
    <t>载频限制</t>
    <phoneticPr fontId="20" type="noConversion"/>
  </si>
  <si>
    <t>0~65536</t>
    <phoneticPr fontId="20" type="noConversion"/>
  </si>
  <si>
    <t>X</t>
    <phoneticPr fontId="43" type="noConversion"/>
  </si>
  <si>
    <t>FcCarrFre</t>
    <phoneticPr fontId="20" type="noConversion"/>
  </si>
  <si>
    <t>D轴电流增量</t>
  </si>
  <si>
    <t>FcDeltaCurrD</t>
  </si>
  <si>
    <t>Q轴电流增量</t>
    <phoneticPr fontId="20" type="noConversion"/>
  </si>
  <si>
    <t>FcDeltaCurrQ</t>
    <phoneticPr fontId="20" type="noConversion"/>
  </si>
  <si>
    <t>同步机标定电压</t>
  </si>
  <si>
    <t>FcMTDcVolt</t>
  </si>
  <si>
    <t>Gdp减计数值</t>
  </si>
  <si>
    <t>FcGdpDecrease</t>
  </si>
  <si>
    <t>Gdp类型</t>
  </si>
  <si>
    <t>FcGdpType</t>
  </si>
  <si>
    <t>1:AC;2:DCN;3DCP.</t>
  </si>
  <si>
    <t>堵转保护维持时间</t>
  </si>
  <si>
    <t>FcBlockPtTim</t>
  </si>
  <si>
    <t>堵转报警转矩</t>
  </si>
  <si>
    <t>FcBlockTorqPer</t>
  </si>
  <si>
    <t>0～8000</t>
  </si>
  <si>
    <t>DC对地短路电压限值</t>
  </si>
  <si>
    <t>FcDCGndShortVol</t>
  </si>
  <si>
    <t>DC对地短路减计数值</t>
  </si>
  <si>
    <t>FcGdpDCDecrease</t>
  </si>
  <si>
    <t>HALL方向选择</t>
    <phoneticPr fontId="20" type="noConversion"/>
  </si>
  <si>
    <t>FcHallDirSel</t>
    <phoneticPr fontId="20" type="noConversion"/>
  </si>
  <si>
    <t>0:REV;1:FWD.</t>
    <phoneticPr fontId="20" type="noConversion"/>
  </si>
  <si>
    <t>低压供电告警阈值选择</t>
  </si>
  <si>
    <t>FcBaltVoltSel</t>
  </si>
  <si>
    <t>0:屏蔽低压电告警
1:12V电池供电模式
2:24V电池供电模式</t>
  </si>
  <si>
    <t>低压告警故障记录电压</t>
  </si>
  <si>
    <t>FcBaltAlarmVolt</t>
  </si>
  <si>
    <t>0.0V～200.0V</t>
  </si>
  <si>
    <t>低压告警类型</t>
  </si>
  <si>
    <t>FcBaltVoltErrType</t>
  </si>
  <si>
    <t>个位：当前故障
0:无故障
1:低压过压
2:低压欠压
十位：历史故障
0:无故障
1:低压过压
2:低压欠压</t>
  </si>
  <si>
    <r>
      <t>U0.47</t>
    </r>
    <r>
      <rPr>
        <sz val="11"/>
        <color indexed="8"/>
        <rFont val="宋体"/>
        <charset val="134"/>
      </rPr>
      <t/>
    </r>
    <phoneticPr fontId="20" type="noConversion"/>
  </si>
  <si>
    <r>
      <t>0：模拟输入</t>
    </r>
    <r>
      <rPr>
        <sz val="9"/>
        <color indexed="10"/>
        <rFont val="Times New Roman"/>
        <family val="1"/>
      </rPr>
      <t>AI1
1</t>
    </r>
    <r>
      <rPr>
        <sz val="9"/>
        <color indexed="10"/>
        <rFont val="宋体"/>
        <charset val="134"/>
      </rPr>
      <t>：模拟输入</t>
    </r>
    <r>
      <rPr>
        <sz val="9"/>
        <color indexed="10"/>
        <rFont val="Times New Roman"/>
        <family val="1"/>
      </rPr>
      <t>AI2
2</t>
    </r>
    <r>
      <rPr>
        <sz val="9"/>
        <color indexed="10"/>
        <rFont val="宋体"/>
        <charset val="134"/>
      </rPr>
      <t>：模拟输入</t>
    </r>
    <r>
      <rPr>
        <sz val="9"/>
        <color indexed="10"/>
        <rFont val="Times New Roman"/>
        <family val="1"/>
      </rPr>
      <t>AI3
3</t>
    </r>
    <r>
      <rPr>
        <sz val="9"/>
        <color indexed="10"/>
        <rFont val="宋体"/>
        <charset val="134"/>
      </rPr>
      <t>：</t>
    </r>
    <r>
      <rPr>
        <sz val="9"/>
        <color indexed="10"/>
        <rFont val="Times New Roman"/>
        <family val="1"/>
      </rPr>
      <t>EAI1(PT100)
4</t>
    </r>
    <r>
      <rPr>
        <sz val="9"/>
        <color indexed="10"/>
        <rFont val="宋体"/>
        <charset val="134"/>
      </rPr>
      <t>：</t>
    </r>
    <r>
      <rPr>
        <sz val="9"/>
        <color indexed="10"/>
        <rFont val="Times New Roman"/>
        <family val="1"/>
      </rPr>
      <t>EAI1(PT1000)                                     5</t>
    </r>
    <r>
      <rPr>
        <sz val="9"/>
        <color indexed="10"/>
        <rFont val="宋体"/>
        <family val="3"/>
        <charset val="134"/>
      </rPr>
      <t>：</t>
    </r>
    <r>
      <rPr>
        <sz val="9"/>
        <color indexed="10"/>
        <rFont val="Times New Roman"/>
        <family val="1"/>
      </rPr>
      <t>KTY84_130/150                                                                        6</t>
    </r>
    <r>
      <rPr>
        <sz val="9"/>
        <color indexed="10"/>
        <rFont val="宋体"/>
        <family val="3"/>
        <charset val="134"/>
      </rPr>
      <t>：</t>
    </r>
    <r>
      <rPr>
        <sz val="9"/>
        <color indexed="10"/>
        <rFont val="Times New Roman"/>
        <family val="1"/>
      </rPr>
      <t>NTC30K                                            7</t>
    </r>
    <r>
      <rPr>
        <sz val="9"/>
        <color indexed="10"/>
        <rFont val="宋体"/>
        <family val="3"/>
        <charset val="134"/>
      </rPr>
      <t>：</t>
    </r>
    <r>
      <rPr>
        <sz val="9"/>
        <color indexed="10"/>
        <rFont val="Times New Roman"/>
        <family val="1"/>
      </rPr>
      <t>NTC100K                                           8</t>
    </r>
    <r>
      <rPr>
        <sz val="9"/>
        <color indexed="10"/>
        <rFont val="宋体"/>
        <family val="3"/>
        <charset val="134"/>
      </rPr>
      <t>：</t>
    </r>
    <r>
      <rPr>
        <sz val="9"/>
        <color indexed="10"/>
        <rFont val="Times New Roman"/>
        <family val="1"/>
      </rPr>
      <t>104GTA_2                                                                                                             9</t>
    </r>
    <r>
      <rPr>
        <sz val="9"/>
        <color indexed="10"/>
        <rFont val="宋体"/>
        <family val="3"/>
        <charset val="134"/>
      </rPr>
      <t>：</t>
    </r>
    <r>
      <rPr>
        <sz val="9"/>
        <color indexed="10"/>
        <rFont val="Times New Roman"/>
        <family val="1"/>
      </rPr>
      <t>KTY81_110                                       10</t>
    </r>
    <r>
      <rPr>
        <sz val="9"/>
        <color indexed="10"/>
        <rFont val="宋体"/>
        <family val="3"/>
        <charset val="134"/>
      </rPr>
      <t>：</t>
    </r>
    <r>
      <rPr>
        <sz val="9"/>
        <color indexed="10"/>
        <rFont val="Times New Roman"/>
        <family val="1"/>
      </rPr>
      <t xml:space="preserve">KTY81_210   </t>
    </r>
    <phoneticPr fontId="20" type="noConversion"/>
  </si>
  <si>
    <t>FcOffDelay</t>
  </si>
  <si>
    <t>低压下电延时</t>
    <phoneticPr fontId="20" type="noConversion"/>
  </si>
  <si>
    <t>温度设定</t>
  </si>
  <si>
    <t>FcTempDeltSet</t>
  </si>
  <si>
    <t>堵转最小时间</t>
  </si>
  <si>
    <t>FcBlockMinTim</t>
  </si>
  <si>
    <t>堵转最大时间</t>
  </si>
  <si>
    <t>FcBlockMaxTim</t>
  </si>
  <si>
    <t>031</t>
    <phoneticPr fontId="20" type="noConversion"/>
  </si>
  <si>
    <r>
      <t>FcReservedF040</t>
    </r>
    <r>
      <rPr>
        <sz val="10"/>
        <rFont val="宋体"/>
        <family val="3"/>
        <charset val="134"/>
      </rPr>
      <t/>
    </r>
  </si>
  <si>
    <r>
      <t>FcReservedF041</t>
    </r>
    <r>
      <rPr>
        <sz val="10"/>
        <rFont val="宋体"/>
        <family val="3"/>
        <charset val="134"/>
      </rPr>
      <t/>
    </r>
  </si>
  <si>
    <r>
      <t>FcReservedF042</t>
    </r>
    <r>
      <rPr>
        <sz val="10"/>
        <rFont val="宋体"/>
        <family val="3"/>
        <charset val="134"/>
      </rPr>
      <t/>
    </r>
  </si>
</sst>
</file>

<file path=xl/styles.xml><?xml version="1.0" encoding="utf-8"?>
<styleSheet xmlns="http://schemas.openxmlformats.org/spreadsheetml/2006/main" xmlns:mc="http://schemas.openxmlformats.org/markup-compatibility/2006" xmlns:x14ac="http://schemas.microsoft.com/office/spreadsheetml/2009/9/ac" mc:Ignorable="x14ac">
  <fonts count="132" x14ac:knownFonts="1">
    <font>
      <sz val="12"/>
      <name val="宋体"/>
      <charset val="134"/>
    </font>
    <font>
      <sz val="11"/>
      <color indexed="8"/>
      <name val="宋体"/>
      <charset val="134"/>
    </font>
    <font>
      <sz val="12"/>
      <name val="宋体"/>
      <charset val="134"/>
    </font>
    <font>
      <sz val="11"/>
      <color indexed="8"/>
      <name val="宋体"/>
      <charset val="134"/>
    </font>
    <font>
      <sz val="11"/>
      <color indexed="9"/>
      <name val="宋体"/>
      <charset val="134"/>
    </font>
    <font>
      <b/>
      <sz val="18"/>
      <color indexed="56"/>
      <name val="宋体"/>
      <charset val="134"/>
    </font>
    <font>
      <b/>
      <sz val="15"/>
      <color indexed="56"/>
      <name val="宋体"/>
      <charset val="134"/>
    </font>
    <font>
      <b/>
      <sz val="13"/>
      <color indexed="56"/>
      <name val="宋体"/>
      <charset val="134"/>
    </font>
    <font>
      <b/>
      <sz val="11"/>
      <color indexed="56"/>
      <name val="宋体"/>
      <charset val="134"/>
    </font>
    <font>
      <sz val="11"/>
      <color indexed="20"/>
      <name val="宋体"/>
      <charset val="134"/>
    </font>
    <font>
      <sz val="11"/>
      <color indexed="17"/>
      <name val="宋体"/>
      <charset val="134"/>
    </font>
    <font>
      <b/>
      <sz val="11"/>
      <color indexed="8"/>
      <name val="宋体"/>
      <charset val="134"/>
    </font>
    <font>
      <b/>
      <sz val="11"/>
      <color indexed="52"/>
      <name val="宋体"/>
      <charset val="134"/>
    </font>
    <font>
      <b/>
      <sz val="11"/>
      <color indexed="9"/>
      <name val="宋体"/>
      <charset val="134"/>
    </font>
    <font>
      <i/>
      <sz val="11"/>
      <color indexed="23"/>
      <name val="宋体"/>
      <charset val="134"/>
    </font>
    <font>
      <sz val="11"/>
      <color indexed="10"/>
      <name val="宋体"/>
      <charset val="134"/>
    </font>
    <font>
      <sz val="11"/>
      <color indexed="52"/>
      <name val="宋体"/>
      <charset val="134"/>
    </font>
    <font>
      <sz val="11"/>
      <color indexed="60"/>
      <name val="宋体"/>
      <charset val="134"/>
    </font>
    <font>
      <b/>
      <sz val="11"/>
      <color indexed="63"/>
      <name val="宋体"/>
      <charset val="134"/>
    </font>
    <font>
      <sz val="11"/>
      <color indexed="62"/>
      <name val="宋体"/>
      <charset val="134"/>
    </font>
    <font>
      <sz val="9"/>
      <name val="宋体"/>
      <charset val="134"/>
    </font>
    <font>
      <sz val="9"/>
      <color indexed="81"/>
      <name val="Tahoma"/>
      <family val="2"/>
    </font>
    <font>
      <sz val="12"/>
      <name val="宋体"/>
      <charset val="134"/>
    </font>
    <font>
      <sz val="9"/>
      <name val="宋体"/>
      <charset val="134"/>
    </font>
    <font>
      <sz val="10"/>
      <name val="宋体"/>
      <charset val="134"/>
    </font>
    <font>
      <sz val="9"/>
      <name val="Times New Roman"/>
      <family val="1"/>
    </font>
    <font>
      <sz val="9"/>
      <color indexed="10"/>
      <name val="Times New Roman"/>
      <family val="1"/>
    </font>
    <font>
      <sz val="10"/>
      <name val="Times New Roman"/>
      <family val="1"/>
    </font>
    <font>
      <b/>
      <sz val="10"/>
      <name val="宋体"/>
      <charset val="134"/>
    </font>
    <font>
      <sz val="10"/>
      <name val="宋体"/>
      <charset val="134"/>
    </font>
    <font>
      <sz val="9"/>
      <name val="宋体"/>
      <charset val="134"/>
    </font>
    <font>
      <sz val="12"/>
      <name val="宋体"/>
      <charset val="134"/>
    </font>
    <font>
      <u/>
      <sz val="9"/>
      <name val="宋体"/>
      <charset val="134"/>
    </font>
    <font>
      <sz val="10"/>
      <name val="宋体"/>
      <charset val="134"/>
    </font>
    <font>
      <sz val="10"/>
      <name val="宋体"/>
      <charset val="134"/>
    </font>
    <font>
      <sz val="9"/>
      <color indexed="10"/>
      <name val="宋体"/>
      <charset val="134"/>
    </font>
    <font>
      <sz val="9"/>
      <name val="宋体"/>
      <charset val="134"/>
    </font>
    <font>
      <sz val="10"/>
      <name val="宋体"/>
      <charset val="134"/>
    </font>
    <font>
      <sz val="10"/>
      <name val="宋体"/>
      <charset val="134"/>
    </font>
    <font>
      <sz val="9"/>
      <name val="宋体"/>
      <charset val="134"/>
    </font>
    <font>
      <sz val="10"/>
      <name val="宋体"/>
      <charset val="134"/>
    </font>
    <font>
      <sz val="12"/>
      <name val="宋体"/>
      <charset val="134"/>
    </font>
    <font>
      <sz val="10"/>
      <name val="宋体"/>
      <charset val="134"/>
    </font>
    <font>
      <sz val="9"/>
      <name val="宋体"/>
      <charset val="134"/>
    </font>
    <font>
      <sz val="9"/>
      <name val="宋体"/>
      <charset val="134"/>
    </font>
    <font>
      <sz val="10"/>
      <name val="宋体"/>
      <charset val="134"/>
    </font>
    <font>
      <sz val="10"/>
      <name val="宋体"/>
      <charset val="134"/>
    </font>
    <font>
      <sz val="10"/>
      <color indexed="10"/>
      <name val="宋体"/>
      <charset val="134"/>
    </font>
    <font>
      <sz val="9"/>
      <name val="宋体"/>
      <charset val="134"/>
    </font>
    <font>
      <sz val="11"/>
      <color indexed="8"/>
      <name val="宋体"/>
      <charset val="134"/>
    </font>
    <font>
      <sz val="10"/>
      <color indexed="8"/>
      <name val="宋体"/>
      <charset val="134"/>
    </font>
    <font>
      <sz val="9"/>
      <color indexed="8"/>
      <name val="宋体"/>
      <charset val="134"/>
    </font>
    <font>
      <sz val="10"/>
      <color indexed="10"/>
      <name val="宋体"/>
      <charset val="134"/>
    </font>
    <font>
      <sz val="9"/>
      <color indexed="10"/>
      <name val="宋体"/>
      <charset val="134"/>
    </font>
    <font>
      <sz val="12"/>
      <color indexed="10"/>
      <name val="宋体"/>
      <charset val="134"/>
    </font>
    <font>
      <sz val="9"/>
      <color indexed="10"/>
      <name val="宋体"/>
      <charset val="134"/>
    </font>
    <font>
      <sz val="10"/>
      <color indexed="10"/>
      <name val="宋体"/>
      <charset val="134"/>
    </font>
    <font>
      <sz val="12"/>
      <color indexed="10"/>
      <name val="宋体"/>
      <charset val="134"/>
    </font>
    <font>
      <sz val="10"/>
      <color indexed="10"/>
      <name val="宋体"/>
      <charset val="134"/>
    </font>
    <font>
      <sz val="11"/>
      <color theme="1"/>
      <name val="宋体"/>
      <charset val="134"/>
      <scheme val="minor"/>
    </font>
    <font>
      <sz val="11"/>
      <color theme="0"/>
      <name val="宋体"/>
      <charset val="134"/>
      <scheme val="minor"/>
    </font>
    <font>
      <b/>
      <sz val="15"/>
      <color theme="3"/>
      <name val="宋体"/>
      <charset val="134"/>
      <scheme val="minor"/>
    </font>
    <font>
      <b/>
      <sz val="13"/>
      <color theme="3"/>
      <name val="宋体"/>
      <charset val="134"/>
      <scheme val="minor"/>
    </font>
    <font>
      <b/>
      <sz val="11"/>
      <color theme="3"/>
      <name val="宋体"/>
      <charset val="134"/>
      <scheme val="minor"/>
    </font>
    <font>
      <b/>
      <sz val="18"/>
      <color theme="3"/>
      <name val="宋体"/>
      <charset val="134"/>
      <scheme val="major"/>
    </font>
    <font>
      <sz val="11"/>
      <color rgb="FF9C0006"/>
      <name val="宋体"/>
      <charset val="134"/>
      <scheme val="minor"/>
    </font>
    <font>
      <u/>
      <sz val="12"/>
      <color theme="10"/>
      <name val="宋体"/>
      <charset val="134"/>
    </font>
    <font>
      <sz val="11"/>
      <color rgb="FF006100"/>
      <name val="宋体"/>
      <charset val="134"/>
      <scheme val="minor"/>
    </font>
    <font>
      <b/>
      <sz val="11"/>
      <color theme="1"/>
      <name val="宋体"/>
      <charset val="134"/>
      <scheme val="minor"/>
    </font>
    <font>
      <b/>
      <sz val="11"/>
      <color rgb="FFFA7D00"/>
      <name val="宋体"/>
      <charset val="134"/>
      <scheme val="minor"/>
    </font>
    <font>
      <b/>
      <sz val="11"/>
      <color theme="0"/>
      <name val="宋体"/>
      <charset val="134"/>
      <scheme val="minor"/>
    </font>
    <font>
      <i/>
      <sz val="11"/>
      <color rgb="FF7F7F7F"/>
      <name val="宋体"/>
      <charset val="134"/>
      <scheme val="minor"/>
    </font>
    <font>
      <sz val="11"/>
      <color rgb="FFFF0000"/>
      <name val="宋体"/>
      <charset val="134"/>
      <scheme val="minor"/>
    </font>
    <font>
      <sz val="11"/>
      <color rgb="FFFA7D00"/>
      <name val="宋体"/>
      <charset val="134"/>
      <scheme val="minor"/>
    </font>
    <font>
      <sz val="11"/>
      <color rgb="FF9C6500"/>
      <name val="宋体"/>
      <charset val="134"/>
      <scheme val="minor"/>
    </font>
    <font>
      <b/>
      <sz val="11"/>
      <color rgb="FF3F3F3F"/>
      <name val="宋体"/>
      <charset val="134"/>
      <scheme val="minor"/>
    </font>
    <font>
      <sz val="11"/>
      <color rgb="FF3F3F76"/>
      <name val="宋体"/>
      <charset val="134"/>
      <scheme val="minor"/>
    </font>
    <font>
      <sz val="10"/>
      <color rgb="FFFF0000"/>
      <name val="宋体"/>
      <charset val="134"/>
    </font>
    <font>
      <sz val="9"/>
      <color rgb="FFFF0000"/>
      <name val="宋体"/>
      <charset val="134"/>
    </font>
    <font>
      <sz val="10"/>
      <name val="宋体"/>
      <family val="3"/>
      <charset val="134"/>
    </font>
    <font>
      <sz val="9"/>
      <name val="宋体"/>
      <family val="3"/>
      <charset val="134"/>
    </font>
    <font>
      <sz val="9"/>
      <color indexed="81"/>
      <name val="宋体"/>
      <family val="3"/>
      <charset val="134"/>
    </font>
    <font>
      <sz val="12"/>
      <name val="宋体"/>
      <family val="3"/>
      <charset val="134"/>
    </font>
    <font>
      <sz val="11"/>
      <color indexed="8"/>
      <name val="宋体"/>
      <family val="3"/>
      <charset val="134"/>
    </font>
    <font>
      <sz val="11"/>
      <color indexed="9"/>
      <name val="宋体"/>
      <family val="3"/>
      <charset val="134"/>
    </font>
    <font>
      <b/>
      <sz val="18"/>
      <color indexed="56"/>
      <name val="宋体"/>
      <family val="3"/>
      <charset val="134"/>
    </font>
    <font>
      <b/>
      <sz val="15"/>
      <color indexed="56"/>
      <name val="宋体"/>
      <family val="3"/>
      <charset val="134"/>
    </font>
    <font>
      <b/>
      <sz val="13"/>
      <color indexed="56"/>
      <name val="宋体"/>
      <family val="3"/>
      <charset val="134"/>
    </font>
    <font>
      <b/>
      <sz val="11"/>
      <color indexed="56"/>
      <name val="宋体"/>
      <family val="3"/>
      <charset val="134"/>
    </font>
    <font>
      <sz val="11"/>
      <color indexed="20"/>
      <name val="宋体"/>
      <family val="3"/>
      <charset val="134"/>
    </font>
    <font>
      <sz val="11"/>
      <color indexed="17"/>
      <name val="宋体"/>
      <family val="3"/>
      <charset val="134"/>
    </font>
    <font>
      <b/>
      <sz val="11"/>
      <color indexed="8"/>
      <name val="宋体"/>
      <family val="3"/>
      <charset val="134"/>
    </font>
    <font>
      <b/>
      <sz val="11"/>
      <color indexed="52"/>
      <name val="宋体"/>
      <family val="3"/>
      <charset val="134"/>
    </font>
    <font>
      <b/>
      <sz val="11"/>
      <color indexed="9"/>
      <name val="宋体"/>
      <family val="3"/>
      <charset val="134"/>
    </font>
    <font>
      <i/>
      <sz val="11"/>
      <color indexed="23"/>
      <name val="宋体"/>
      <family val="3"/>
      <charset val="134"/>
    </font>
    <font>
      <sz val="11"/>
      <color indexed="10"/>
      <name val="宋体"/>
      <family val="3"/>
      <charset val="134"/>
    </font>
    <font>
      <sz val="11"/>
      <color indexed="52"/>
      <name val="宋体"/>
      <family val="3"/>
      <charset val="134"/>
    </font>
    <font>
      <sz val="11"/>
      <color indexed="60"/>
      <name val="宋体"/>
      <family val="3"/>
      <charset val="134"/>
    </font>
    <font>
      <b/>
      <sz val="11"/>
      <color indexed="63"/>
      <name val="宋体"/>
      <family val="3"/>
      <charset val="134"/>
    </font>
    <font>
      <sz val="11"/>
      <color indexed="62"/>
      <name val="宋体"/>
      <family val="3"/>
      <charset val="134"/>
    </font>
    <font>
      <b/>
      <sz val="10"/>
      <color indexed="10"/>
      <name val="宋体"/>
      <family val="3"/>
      <charset val="134"/>
    </font>
    <font>
      <sz val="11"/>
      <color theme="1"/>
      <name val="宋体"/>
      <family val="3"/>
      <charset val="134"/>
      <scheme val="minor"/>
    </font>
    <font>
      <sz val="11"/>
      <color theme="0"/>
      <name val="宋体"/>
      <family val="3"/>
      <charset val="134"/>
      <scheme val="minor"/>
    </font>
    <font>
      <b/>
      <sz val="15"/>
      <color theme="3"/>
      <name val="宋体"/>
      <family val="3"/>
      <charset val="134"/>
      <scheme val="minor"/>
    </font>
    <font>
      <b/>
      <sz val="13"/>
      <color theme="3"/>
      <name val="宋体"/>
      <family val="3"/>
      <charset val="134"/>
      <scheme val="minor"/>
    </font>
    <font>
      <b/>
      <sz val="11"/>
      <color theme="3"/>
      <name val="宋体"/>
      <family val="3"/>
      <charset val="134"/>
      <scheme val="minor"/>
    </font>
    <font>
      <b/>
      <sz val="18"/>
      <color theme="3"/>
      <name val="宋体"/>
      <family val="3"/>
      <charset val="134"/>
      <scheme val="major"/>
    </font>
    <font>
      <sz val="11"/>
      <color rgb="FF9C0006"/>
      <name val="宋体"/>
      <family val="3"/>
      <charset val="134"/>
      <scheme val="minor"/>
    </font>
    <font>
      <sz val="11"/>
      <color rgb="FF006100"/>
      <name val="宋体"/>
      <family val="3"/>
      <charset val="134"/>
      <scheme val="minor"/>
    </font>
    <font>
      <b/>
      <sz val="11"/>
      <color theme="1"/>
      <name val="宋体"/>
      <family val="3"/>
      <charset val="134"/>
      <scheme val="minor"/>
    </font>
    <font>
      <b/>
      <sz val="11"/>
      <color rgb="FFFA7D00"/>
      <name val="宋体"/>
      <family val="3"/>
      <charset val="134"/>
      <scheme val="minor"/>
    </font>
    <font>
      <b/>
      <sz val="11"/>
      <color theme="0"/>
      <name val="宋体"/>
      <family val="3"/>
      <charset val="134"/>
      <scheme val="minor"/>
    </font>
    <font>
      <i/>
      <sz val="11"/>
      <color rgb="FF7F7F7F"/>
      <name val="宋体"/>
      <family val="3"/>
      <charset val="134"/>
      <scheme val="minor"/>
    </font>
    <font>
      <sz val="11"/>
      <color rgb="FFFF0000"/>
      <name val="宋体"/>
      <family val="3"/>
      <charset val="134"/>
      <scheme val="minor"/>
    </font>
    <font>
      <sz val="11"/>
      <color rgb="FFFA7D00"/>
      <name val="宋体"/>
      <family val="3"/>
      <charset val="134"/>
      <scheme val="minor"/>
    </font>
    <font>
      <sz val="11"/>
      <color rgb="FF9C6500"/>
      <name val="宋体"/>
      <family val="3"/>
      <charset val="134"/>
      <scheme val="minor"/>
    </font>
    <font>
      <b/>
      <sz val="11"/>
      <color rgb="FF3F3F3F"/>
      <name val="宋体"/>
      <family val="3"/>
      <charset val="134"/>
      <scheme val="minor"/>
    </font>
    <font>
      <sz val="11"/>
      <color rgb="FF3F3F76"/>
      <name val="宋体"/>
      <family val="3"/>
      <charset val="134"/>
      <scheme val="minor"/>
    </font>
    <font>
      <sz val="10"/>
      <color indexed="10"/>
      <name val="宋体"/>
      <family val="3"/>
      <charset val="134"/>
    </font>
    <font>
      <sz val="10"/>
      <color rgb="FFFF0000"/>
      <name val="宋体"/>
      <family val="3"/>
      <charset val="134"/>
    </font>
    <font>
      <sz val="9"/>
      <color rgb="FFFF0000"/>
      <name val="宋体"/>
      <family val="3"/>
      <charset val="134"/>
    </font>
    <font>
      <u/>
      <sz val="12"/>
      <color theme="10"/>
      <name val="宋体"/>
      <family val="3"/>
      <charset val="134"/>
    </font>
    <font>
      <sz val="9"/>
      <color rgb="FFFF0000"/>
      <name val="Times New Roman"/>
      <family val="1"/>
    </font>
    <font>
      <sz val="10"/>
      <color rgb="FF000000"/>
      <name val="宋体"/>
      <family val="3"/>
      <charset val="134"/>
    </font>
    <font>
      <sz val="9"/>
      <color rgb="FF000000"/>
      <name val="宋体"/>
      <family val="3"/>
      <charset val="134"/>
    </font>
    <font>
      <sz val="12"/>
      <color rgb="FFFF0000"/>
      <name val="宋体"/>
      <family val="3"/>
      <charset val="134"/>
    </font>
    <font>
      <sz val="10"/>
      <color rgb="FFFF0000"/>
      <name val="Times New Roman"/>
      <family val="1"/>
    </font>
    <font>
      <u/>
      <sz val="9"/>
      <color rgb="FFFF0000"/>
      <name val="宋体"/>
      <family val="3"/>
      <charset val="134"/>
    </font>
    <font>
      <sz val="10"/>
      <color theme="1"/>
      <name val="宋体"/>
      <family val="3"/>
      <charset val="134"/>
    </font>
    <font>
      <sz val="9"/>
      <color theme="1"/>
      <name val="宋体"/>
      <family val="3"/>
      <charset val="134"/>
    </font>
    <font>
      <sz val="12"/>
      <color theme="1"/>
      <name val="宋体"/>
      <family val="3"/>
      <charset val="134"/>
    </font>
    <font>
      <sz val="9"/>
      <color indexed="10"/>
      <name val="宋体"/>
      <family val="3"/>
      <charset val="134"/>
    </font>
  </fonts>
  <fills count="7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2"/>
      </patternFill>
    </fill>
    <fill>
      <patternFill patternType="solid">
        <fgColor indexed="55"/>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43"/>
      </patternFill>
    </fill>
    <fill>
      <patternFill patternType="solid">
        <fgColor indexed="26"/>
      </patternFill>
    </fill>
    <fill>
      <patternFill patternType="solid">
        <fgColor indexed="13"/>
        <bgColor indexed="64"/>
      </patternFill>
    </fill>
    <fill>
      <patternFill patternType="solid">
        <fgColor indexed="17"/>
        <bgColor indexed="64"/>
      </patternFill>
    </fill>
    <fill>
      <patternFill patternType="solid">
        <fgColor indexed="40"/>
        <bgColor indexed="64"/>
      </patternFill>
    </fill>
    <fill>
      <patternFill patternType="solid">
        <fgColor indexed="51"/>
        <bgColor indexed="64"/>
      </patternFill>
    </fill>
    <fill>
      <patternFill patternType="solid">
        <fgColor indexed="53"/>
        <bgColor indexed="64"/>
      </patternFill>
    </fill>
    <fill>
      <patternFill patternType="solid">
        <fgColor indexed="52"/>
        <bgColor indexed="64"/>
      </patternFill>
    </fill>
    <fill>
      <patternFill patternType="solid">
        <fgColor indexed="44"/>
        <bgColor indexed="64"/>
      </patternFill>
    </fill>
    <fill>
      <patternFill patternType="solid">
        <fgColor indexed="55"/>
        <bgColor indexed="64"/>
      </patternFill>
    </fill>
    <fill>
      <patternFill patternType="solid">
        <fgColor indexed="22"/>
        <bgColor indexed="64"/>
      </patternFill>
    </fill>
    <fill>
      <patternFill patternType="solid">
        <fgColor indexed="19"/>
        <bgColor indexed="64"/>
      </patternFill>
    </fill>
    <fill>
      <patternFill patternType="solid">
        <fgColor indexed="21"/>
        <bgColor indexed="64"/>
      </patternFill>
    </fill>
    <fill>
      <patternFill patternType="solid">
        <fgColor indexed="45"/>
        <bgColor indexed="64"/>
      </patternFill>
    </fill>
    <fill>
      <patternFill patternType="solid">
        <fgColor indexed="23"/>
        <bgColor indexed="64"/>
      </patternFill>
    </fill>
    <fill>
      <patternFill patternType="solid">
        <fgColor indexed="36"/>
        <bgColor indexed="64"/>
      </patternFill>
    </fill>
    <fill>
      <patternFill patternType="solid">
        <fgColor indexed="29"/>
        <bgColor indexed="64"/>
      </patternFill>
    </fill>
    <fill>
      <patternFill patternType="solid">
        <fgColor indexed="43"/>
        <bgColor indexed="64"/>
      </patternFill>
    </fill>
    <fill>
      <patternFill patternType="solid">
        <fgColor indexed="49"/>
        <bgColor indexed="64"/>
      </patternFill>
    </fill>
    <fill>
      <patternFill patternType="solid">
        <fgColor indexed="10"/>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rgb="FFFFC7CE"/>
      </patternFill>
    </fill>
    <fill>
      <patternFill patternType="solid">
        <fgColor rgb="FFC6EFCE"/>
      </patternFill>
    </fill>
    <fill>
      <patternFill patternType="solid">
        <fgColor rgb="FFF2F2F2"/>
      </patternFill>
    </fill>
    <fill>
      <patternFill patternType="solid">
        <fgColor rgb="FFA5A5A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EB9C"/>
      </patternFill>
    </fill>
    <fill>
      <patternFill patternType="solid">
        <fgColor rgb="FFFFCC99"/>
      </patternFill>
    </fill>
    <fill>
      <patternFill patternType="solid">
        <fgColor rgb="FFFFFFCC"/>
      </patternFill>
    </fill>
    <fill>
      <patternFill patternType="solid">
        <fgColor rgb="FF7030A0"/>
        <bgColor indexed="64"/>
      </patternFill>
    </fill>
    <fill>
      <patternFill patternType="solid">
        <fgColor theme="8" tint="0.599963377788628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rgb="FFFFFF00"/>
        <bgColor indexed="64"/>
      </patternFill>
    </fill>
    <fill>
      <patternFill patternType="solid">
        <fgColor rgb="FFFF0000"/>
        <bgColor indexed="64"/>
      </patternFill>
    </fill>
  </fills>
  <borders count="28">
    <border>
      <left/>
      <right/>
      <top/>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41"/>
      </left>
      <right style="thin">
        <color indexed="41"/>
      </right>
      <top style="thin">
        <color indexed="41"/>
      </top>
      <bottom/>
      <diagonal/>
    </border>
    <border>
      <left style="thin">
        <color indexed="41"/>
      </left>
      <right style="thin">
        <color indexed="41"/>
      </right>
      <top style="thin">
        <color indexed="41"/>
      </top>
      <bottom style="thin">
        <color indexed="41"/>
      </bottom>
      <diagonal/>
    </border>
    <border>
      <left style="thin">
        <color indexed="64"/>
      </left>
      <right style="thin">
        <color indexed="64"/>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s>
  <cellStyleXfs count="33626">
    <xf numFmtId="0" fontId="0" fillId="0" borderId="0">
      <alignment vertical="center"/>
    </xf>
    <xf numFmtId="0" fontId="3"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59" fillId="2" borderId="0" applyNumberFormat="0" applyBorder="0" applyAlignment="0" applyProtection="0">
      <alignment vertical="center"/>
    </xf>
    <xf numFmtId="0" fontId="59" fillId="42" borderId="0" applyNumberFormat="0" applyBorder="0" applyAlignment="0" applyProtection="0">
      <alignment vertical="center"/>
    </xf>
    <xf numFmtId="0" fontId="59" fillId="42" borderId="0" applyNumberFormat="0" applyBorder="0" applyAlignment="0" applyProtection="0">
      <alignment vertical="center"/>
    </xf>
    <xf numFmtId="0" fontId="59" fillId="42" borderId="0" applyNumberFormat="0" applyBorder="0" applyAlignment="0" applyProtection="0">
      <alignment vertical="center"/>
    </xf>
    <xf numFmtId="0" fontId="59" fillId="42" borderId="0" applyNumberFormat="0" applyBorder="0" applyAlignment="0" applyProtection="0">
      <alignment vertical="center"/>
    </xf>
    <xf numFmtId="0" fontId="59" fillId="42" borderId="0" applyNumberFormat="0" applyBorder="0" applyAlignment="0" applyProtection="0">
      <alignment vertical="center"/>
    </xf>
    <xf numFmtId="0" fontId="59" fillId="2" borderId="0" applyNumberFormat="0" applyBorder="0" applyAlignment="0" applyProtection="0">
      <alignment vertical="center"/>
    </xf>
    <xf numFmtId="0" fontId="59" fillId="2" borderId="0" applyNumberFormat="0" applyBorder="0" applyAlignment="0" applyProtection="0">
      <alignment vertical="center"/>
    </xf>
    <xf numFmtId="0" fontId="59" fillId="2" borderId="0" applyNumberFormat="0" applyBorder="0" applyAlignment="0" applyProtection="0">
      <alignment vertical="center"/>
    </xf>
    <xf numFmtId="0" fontId="59" fillId="2" borderId="0" applyNumberFormat="0" applyBorder="0" applyAlignment="0" applyProtection="0">
      <alignment vertical="center"/>
    </xf>
    <xf numFmtId="0" fontId="59" fillId="2" borderId="0" applyNumberFormat="0" applyBorder="0" applyAlignment="0" applyProtection="0">
      <alignment vertical="center"/>
    </xf>
    <xf numFmtId="0" fontId="59" fillId="42" borderId="0" applyNumberFormat="0" applyBorder="0" applyAlignment="0" applyProtection="0">
      <alignment vertical="center"/>
    </xf>
    <xf numFmtId="0" fontId="59" fillId="2" borderId="0" applyNumberFormat="0" applyBorder="0" applyAlignment="0" applyProtection="0">
      <alignment vertical="center"/>
    </xf>
    <xf numFmtId="0" fontId="59" fillId="42" borderId="0" applyNumberFormat="0" applyBorder="0" applyAlignment="0" applyProtection="0">
      <alignment vertical="center"/>
    </xf>
    <xf numFmtId="0" fontId="59" fillId="42" borderId="0" applyNumberFormat="0" applyBorder="0" applyAlignment="0" applyProtection="0">
      <alignment vertical="center"/>
    </xf>
    <xf numFmtId="0" fontId="59" fillId="42" borderId="0" applyNumberFormat="0" applyBorder="0" applyAlignment="0" applyProtection="0">
      <alignment vertical="center"/>
    </xf>
    <xf numFmtId="0" fontId="59" fillId="42" borderId="0" applyNumberFormat="0" applyBorder="0" applyAlignment="0" applyProtection="0">
      <alignment vertical="center"/>
    </xf>
    <xf numFmtId="0" fontId="59" fillId="42" borderId="0" applyNumberFormat="0" applyBorder="0" applyAlignment="0" applyProtection="0">
      <alignment vertical="center"/>
    </xf>
    <xf numFmtId="0" fontId="59" fillId="42" borderId="0" applyNumberFormat="0" applyBorder="0" applyAlignment="0" applyProtection="0">
      <alignment vertical="center"/>
    </xf>
    <xf numFmtId="0" fontId="59" fillId="42" borderId="0" applyNumberFormat="0" applyBorder="0" applyAlignment="0" applyProtection="0">
      <alignment vertical="center"/>
    </xf>
    <xf numFmtId="0" fontId="59" fillId="42" borderId="0" applyNumberFormat="0" applyBorder="0" applyAlignment="0" applyProtection="0">
      <alignment vertical="center"/>
    </xf>
    <xf numFmtId="0" fontId="59" fillId="42" borderId="0" applyNumberFormat="0" applyBorder="0" applyAlignment="0" applyProtection="0">
      <alignment vertical="center"/>
    </xf>
    <xf numFmtId="0" fontId="59" fillId="42" borderId="0" applyNumberFormat="0" applyBorder="0" applyAlignment="0" applyProtection="0">
      <alignment vertical="center"/>
    </xf>
    <xf numFmtId="0" fontId="59" fillId="42" borderId="0" applyNumberFormat="0" applyBorder="0" applyAlignment="0" applyProtection="0">
      <alignment vertical="center"/>
    </xf>
    <xf numFmtId="0" fontId="59" fillId="42" borderId="0" applyNumberFormat="0" applyBorder="0" applyAlignment="0" applyProtection="0">
      <alignment vertical="center"/>
    </xf>
    <xf numFmtId="0" fontId="59" fillId="4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1" fillId="2" borderId="0" applyNumberFormat="0" applyBorder="0" applyAlignment="0" applyProtection="0">
      <alignment vertical="center"/>
    </xf>
    <xf numFmtId="0" fontId="3"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59" fillId="3" borderId="0" applyNumberFormat="0" applyBorder="0" applyAlignment="0" applyProtection="0">
      <alignment vertical="center"/>
    </xf>
    <xf numFmtId="0" fontId="59" fillId="43" borderId="0" applyNumberFormat="0" applyBorder="0" applyAlignment="0" applyProtection="0">
      <alignment vertical="center"/>
    </xf>
    <xf numFmtId="0" fontId="59" fillId="43" borderId="0" applyNumberFormat="0" applyBorder="0" applyAlignment="0" applyProtection="0">
      <alignment vertical="center"/>
    </xf>
    <xf numFmtId="0" fontId="59" fillId="43" borderId="0" applyNumberFormat="0" applyBorder="0" applyAlignment="0" applyProtection="0">
      <alignment vertical="center"/>
    </xf>
    <xf numFmtId="0" fontId="59" fillId="43" borderId="0" applyNumberFormat="0" applyBorder="0" applyAlignment="0" applyProtection="0">
      <alignment vertical="center"/>
    </xf>
    <xf numFmtId="0" fontId="59" fillId="43" borderId="0" applyNumberFormat="0" applyBorder="0" applyAlignment="0" applyProtection="0">
      <alignment vertical="center"/>
    </xf>
    <xf numFmtId="0" fontId="59" fillId="3" borderId="0" applyNumberFormat="0" applyBorder="0" applyAlignment="0" applyProtection="0">
      <alignment vertical="center"/>
    </xf>
    <xf numFmtId="0" fontId="59" fillId="3" borderId="0" applyNumberFormat="0" applyBorder="0" applyAlignment="0" applyProtection="0">
      <alignment vertical="center"/>
    </xf>
    <xf numFmtId="0" fontId="59" fillId="3" borderId="0" applyNumberFormat="0" applyBorder="0" applyAlignment="0" applyProtection="0">
      <alignment vertical="center"/>
    </xf>
    <xf numFmtId="0" fontId="59" fillId="3" borderId="0" applyNumberFormat="0" applyBorder="0" applyAlignment="0" applyProtection="0">
      <alignment vertical="center"/>
    </xf>
    <xf numFmtId="0" fontId="59" fillId="3" borderId="0" applyNumberFormat="0" applyBorder="0" applyAlignment="0" applyProtection="0">
      <alignment vertical="center"/>
    </xf>
    <xf numFmtId="0" fontId="59" fillId="43" borderId="0" applyNumberFormat="0" applyBorder="0" applyAlignment="0" applyProtection="0">
      <alignment vertical="center"/>
    </xf>
    <xf numFmtId="0" fontId="59" fillId="3" borderId="0" applyNumberFormat="0" applyBorder="0" applyAlignment="0" applyProtection="0">
      <alignment vertical="center"/>
    </xf>
    <xf numFmtId="0" fontId="59" fillId="43" borderId="0" applyNumberFormat="0" applyBorder="0" applyAlignment="0" applyProtection="0">
      <alignment vertical="center"/>
    </xf>
    <xf numFmtId="0" fontId="59" fillId="43" borderId="0" applyNumberFormat="0" applyBorder="0" applyAlignment="0" applyProtection="0">
      <alignment vertical="center"/>
    </xf>
    <xf numFmtId="0" fontId="59" fillId="43" borderId="0" applyNumberFormat="0" applyBorder="0" applyAlignment="0" applyProtection="0">
      <alignment vertical="center"/>
    </xf>
    <xf numFmtId="0" fontId="59" fillId="43" borderId="0" applyNumberFormat="0" applyBorder="0" applyAlignment="0" applyProtection="0">
      <alignment vertical="center"/>
    </xf>
    <xf numFmtId="0" fontId="59" fillId="43" borderId="0" applyNumberFormat="0" applyBorder="0" applyAlignment="0" applyProtection="0">
      <alignment vertical="center"/>
    </xf>
    <xf numFmtId="0" fontId="59" fillId="43" borderId="0" applyNumberFormat="0" applyBorder="0" applyAlignment="0" applyProtection="0">
      <alignment vertical="center"/>
    </xf>
    <xf numFmtId="0" fontId="59" fillId="43" borderId="0" applyNumberFormat="0" applyBorder="0" applyAlignment="0" applyProtection="0">
      <alignment vertical="center"/>
    </xf>
    <xf numFmtId="0" fontId="59" fillId="43" borderId="0" applyNumberFormat="0" applyBorder="0" applyAlignment="0" applyProtection="0">
      <alignment vertical="center"/>
    </xf>
    <xf numFmtId="0" fontId="59" fillId="43" borderId="0" applyNumberFormat="0" applyBorder="0" applyAlignment="0" applyProtection="0">
      <alignment vertical="center"/>
    </xf>
    <xf numFmtId="0" fontId="59" fillId="43" borderId="0" applyNumberFormat="0" applyBorder="0" applyAlignment="0" applyProtection="0">
      <alignment vertical="center"/>
    </xf>
    <xf numFmtId="0" fontId="59" fillId="43" borderId="0" applyNumberFormat="0" applyBorder="0" applyAlignment="0" applyProtection="0">
      <alignment vertical="center"/>
    </xf>
    <xf numFmtId="0" fontId="59" fillId="43" borderId="0" applyNumberFormat="0" applyBorder="0" applyAlignment="0" applyProtection="0">
      <alignment vertical="center"/>
    </xf>
    <xf numFmtId="0" fontId="59" fillId="4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3"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59" fillId="4" borderId="0" applyNumberFormat="0" applyBorder="0" applyAlignment="0" applyProtection="0">
      <alignment vertical="center"/>
    </xf>
    <xf numFmtId="0" fontId="59" fillId="44" borderId="0" applyNumberFormat="0" applyBorder="0" applyAlignment="0" applyProtection="0">
      <alignment vertical="center"/>
    </xf>
    <xf numFmtId="0" fontId="59" fillId="44" borderId="0" applyNumberFormat="0" applyBorder="0" applyAlignment="0" applyProtection="0">
      <alignment vertical="center"/>
    </xf>
    <xf numFmtId="0" fontId="59" fillId="44" borderId="0" applyNumberFormat="0" applyBorder="0" applyAlignment="0" applyProtection="0">
      <alignment vertical="center"/>
    </xf>
    <xf numFmtId="0" fontId="59" fillId="44" borderId="0" applyNumberFormat="0" applyBorder="0" applyAlignment="0" applyProtection="0">
      <alignment vertical="center"/>
    </xf>
    <xf numFmtId="0" fontId="59" fillId="44" borderId="0" applyNumberFormat="0" applyBorder="0" applyAlignment="0" applyProtection="0">
      <alignment vertical="center"/>
    </xf>
    <xf numFmtId="0" fontId="59" fillId="4" borderId="0" applyNumberFormat="0" applyBorder="0" applyAlignment="0" applyProtection="0">
      <alignment vertical="center"/>
    </xf>
    <xf numFmtId="0" fontId="59" fillId="4" borderId="0" applyNumberFormat="0" applyBorder="0" applyAlignment="0" applyProtection="0">
      <alignment vertical="center"/>
    </xf>
    <xf numFmtId="0" fontId="59" fillId="4" borderId="0" applyNumberFormat="0" applyBorder="0" applyAlignment="0" applyProtection="0">
      <alignment vertical="center"/>
    </xf>
    <xf numFmtId="0" fontId="59" fillId="4" borderId="0" applyNumberFormat="0" applyBorder="0" applyAlignment="0" applyProtection="0">
      <alignment vertical="center"/>
    </xf>
    <xf numFmtId="0" fontId="59" fillId="4" borderId="0" applyNumberFormat="0" applyBorder="0" applyAlignment="0" applyProtection="0">
      <alignment vertical="center"/>
    </xf>
    <xf numFmtId="0" fontId="59" fillId="44" borderId="0" applyNumberFormat="0" applyBorder="0" applyAlignment="0" applyProtection="0">
      <alignment vertical="center"/>
    </xf>
    <xf numFmtId="0" fontId="59" fillId="4" borderId="0" applyNumberFormat="0" applyBorder="0" applyAlignment="0" applyProtection="0">
      <alignment vertical="center"/>
    </xf>
    <xf numFmtId="0" fontId="59" fillId="44" borderId="0" applyNumberFormat="0" applyBorder="0" applyAlignment="0" applyProtection="0">
      <alignment vertical="center"/>
    </xf>
    <xf numFmtId="0" fontId="59" fillId="44" borderId="0" applyNumberFormat="0" applyBorder="0" applyAlignment="0" applyProtection="0">
      <alignment vertical="center"/>
    </xf>
    <xf numFmtId="0" fontId="59" fillId="44" borderId="0" applyNumberFormat="0" applyBorder="0" applyAlignment="0" applyProtection="0">
      <alignment vertical="center"/>
    </xf>
    <xf numFmtId="0" fontId="59" fillId="44" borderId="0" applyNumberFormat="0" applyBorder="0" applyAlignment="0" applyProtection="0">
      <alignment vertical="center"/>
    </xf>
    <xf numFmtId="0" fontId="59" fillId="44" borderId="0" applyNumberFormat="0" applyBorder="0" applyAlignment="0" applyProtection="0">
      <alignment vertical="center"/>
    </xf>
    <xf numFmtId="0" fontId="59" fillId="44" borderId="0" applyNumberFormat="0" applyBorder="0" applyAlignment="0" applyProtection="0">
      <alignment vertical="center"/>
    </xf>
    <xf numFmtId="0" fontId="59" fillId="44" borderId="0" applyNumberFormat="0" applyBorder="0" applyAlignment="0" applyProtection="0">
      <alignment vertical="center"/>
    </xf>
    <xf numFmtId="0" fontId="59" fillId="44" borderId="0" applyNumberFormat="0" applyBorder="0" applyAlignment="0" applyProtection="0">
      <alignment vertical="center"/>
    </xf>
    <xf numFmtId="0" fontId="59" fillId="44" borderId="0" applyNumberFormat="0" applyBorder="0" applyAlignment="0" applyProtection="0">
      <alignment vertical="center"/>
    </xf>
    <xf numFmtId="0" fontId="59" fillId="44" borderId="0" applyNumberFormat="0" applyBorder="0" applyAlignment="0" applyProtection="0">
      <alignment vertical="center"/>
    </xf>
    <xf numFmtId="0" fontId="59" fillId="44" borderId="0" applyNumberFormat="0" applyBorder="0" applyAlignment="0" applyProtection="0">
      <alignment vertical="center"/>
    </xf>
    <xf numFmtId="0" fontId="59" fillId="44" borderId="0" applyNumberFormat="0" applyBorder="0" applyAlignment="0" applyProtection="0">
      <alignment vertical="center"/>
    </xf>
    <xf numFmtId="0" fontId="59" fillId="4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3"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59" fillId="5" borderId="0" applyNumberFormat="0" applyBorder="0" applyAlignment="0" applyProtection="0">
      <alignment vertical="center"/>
    </xf>
    <xf numFmtId="0" fontId="59" fillId="45" borderId="0" applyNumberFormat="0" applyBorder="0" applyAlignment="0" applyProtection="0">
      <alignment vertical="center"/>
    </xf>
    <xf numFmtId="0" fontId="59" fillId="45" borderId="0" applyNumberFormat="0" applyBorder="0" applyAlignment="0" applyProtection="0">
      <alignment vertical="center"/>
    </xf>
    <xf numFmtId="0" fontId="59" fillId="45" borderId="0" applyNumberFormat="0" applyBorder="0" applyAlignment="0" applyProtection="0">
      <alignment vertical="center"/>
    </xf>
    <xf numFmtId="0" fontId="59" fillId="45" borderId="0" applyNumberFormat="0" applyBorder="0" applyAlignment="0" applyProtection="0">
      <alignment vertical="center"/>
    </xf>
    <xf numFmtId="0" fontId="59" fillId="45" borderId="0" applyNumberFormat="0" applyBorder="0" applyAlignment="0" applyProtection="0">
      <alignment vertical="center"/>
    </xf>
    <xf numFmtId="0" fontId="59" fillId="5" borderId="0" applyNumberFormat="0" applyBorder="0" applyAlignment="0" applyProtection="0">
      <alignment vertical="center"/>
    </xf>
    <xf numFmtId="0" fontId="59" fillId="5" borderId="0" applyNumberFormat="0" applyBorder="0" applyAlignment="0" applyProtection="0">
      <alignment vertical="center"/>
    </xf>
    <xf numFmtId="0" fontId="59" fillId="5" borderId="0" applyNumberFormat="0" applyBorder="0" applyAlignment="0" applyProtection="0">
      <alignment vertical="center"/>
    </xf>
    <xf numFmtId="0" fontId="59" fillId="5" borderId="0" applyNumberFormat="0" applyBorder="0" applyAlignment="0" applyProtection="0">
      <alignment vertical="center"/>
    </xf>
    <xf numFmtId="0" fontId="59" fillId="5" borderId="0" applyNumberFormat="0" applyBorder="0" applyAlignment="0" applyProtection="0">
      <alignment vertical="center"/>
    </xf>
    <xf numFmtId="0" fontId="59" fillId="45" borderId="0" applyNumberFormat="0" applyBorder="0" applyAlignment="0" applyProtection="0">
      <alignment vertical="center"/>
    </xf>
    <xf numFmtId="0" fontId="59" fillId="5" borderId="0" applyNumberFormat="0" applyBorder="0" applyAlignment="0" applyProtection="0">
      <alignment vertical="center"/>
    </xf>
    <xf numFmtId="0" fontId="59" fillId="45" borderId="0" applyNumberFormat="0" applyBorder="0" applyAlignment="0" applyProtection="0">
      <alignment vertical="center"/>
    </xf>
    <xf numFmtId="0" fontId="59" fillId="45" borderId="0" applyNumberFormat="0" applyBorder="0" applyAlignment="0" applyProtection="0">
      <alignment vertical="center"/>
    </xf>
    <xf numFmtId="0" fontId="59" fillId="45" borderId="0" applyNumberFormat="0" applyBorder="0" applyAlignment="0" applyProtection="0">
      <alignment vertical="center"/>
    </xf>
    <xf numFmtId="0" fontId="59" fillId="45" borderId="0" applyNumberFormat="0" applyBorder="0" applyAlignment="0" applyProtection="0">
      <alignment vertical="center"/>
    </xf>
    <xf numFmtId="0" fontId="59" fillId="45" borderId="0" applyNumberFormat="0" applyBorder="0" applyAlignment="0" applyProtection="0">
      <alignment vertical="center"/>
    </xf>
    <xf numFmtId="0" fontId="59" fillId="45" borderId="0" applyNumberFormat="0" applyBorder="0" applyAlignment="0" applyProtection="0">
      <alignment vertical="center"/>
    </xf>
    <xf numFmtId="0" fontId="59" fillId="45" borderId="0" applyNumberFormat="0" applyBorder="0" applyAlignment="0" applyProtection="0">
      <alignment vertical="center"/>
    </xf>
    <xf numFmtId="0" fontId="59" fillId="45" borderId="0" applyNumberFormat="0" applyBorder="0" applyAlignment="0" applyProtection="0">
      <alignment vertical="center"/>
    </xf>
    <xf numFmtId="0" fontId="59" fillId="45" borderId="0" applyNumberFormat="0" applyBorder="0" applyAlignment="0" applyProtection="0">
      <alignment vertical="center"/>
    </xf>
    <xf numFmtId="0" fontId="59" fillId="45" borderId="0" applyNumberFormat="0" applyBorder="0" applyAlignment="0" applyProtection="0">
      <alignment vertical="center"/>
    </xf>
    <xf numFmtId="0" fontId="59" fillId="45" borderId="0" applyNumberFormat="0" applyBorder="0" applyAlignment="0" applyProtection="0">
      <alignment vertical="center"/>
    </xf>
    <xf numFmtId="0" fontId="59" fillId="45" borderId="0" applyNumberFormat="0" applyBorder="0" applyAlignment="0" applyProtection="0">
      <alignment vertical="center"/>
    </xf>
    <xf numFmtId="0" fontId="59" fillId="4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3"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3"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59" fillId="47" borderId="0" applyNumberFormat="0" applyBorder="0" applyAlignment="0" applyProtection="0">
      <alignment vertical="center"/>
    </xf>
    <xf numFmtId="0" fontId="59" fillId="47" borderId="0" applyNumberFormat="0" applyBorder="0" applyAlignment="0" applyProtection="0">
      <alignment vertical="center"/>
    </xf>
    <xf numFmtId="0" fontId="59" fillId="4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3"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59" fillId="48" borderId="0" applyNumberFormat="0" applyBorder="0" applyAlignment="0" applyProtection="0">
      <alignment vertical="center"/>
    </xf>
    <xf numFmtId="0" fontId="59" fillId="48" borderId="0" applyNumberFormat="0" applyBorder="0" applyAlignment="0" applyProtection="0">
      <alignment vertical="center"/>
    </xf>
    <xf numFmtId="0" fontId="59" fillId="4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3"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3"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59" fillId="1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10" borderId="0" applyNumberFormat="0" applyBorder="0" applyAlignment="0" applyProtection="0">
      <alignment vertical="center"/>
    </xf>
    <xf numFmtId="0" fontId="59" fillId="10" borderId="0" applyNumberFormat="0" applyBorder="0" applyAlignment="0" applyProtection="0">
      <alignment vertical="center"/>
    </xf>
    <xf numFmtId="0" fontId="59" fillId="10" borderId="0" applyNumberFormat="0" applyBorder="0" applyAlignment="0" applyProtection="0">
      <alignment vertical="center"/>
    </xf>
    <xf numFmtId="0" fontId="59" fillId="10" borderId="0" applyNumberFormat="0" applyBorder="0" applyAlignment="0" applyProtection="0">
      <alignment vertical="center"/>
    </xf>
    <xf numFmtId="0" fontId="59" fillId="10" borderId="0" applyNumberFormat="0" applyBorder="0" applyAlignment="0" applyProtection="0">
      <alignment vertical="center"/>
    </xf>
    <xf numFmtId="0" fontId="59" fillId="50" borderId="0" applyNumberFormat="0" applyBorder="0" applyAlignment="0" applyProtection="0">
      <alignment vertical="center"/>
    </xf>
    <xf numFmtId="0" fontId="59" fillId="1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3"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3"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59" fillId="52" borderId="0" applyNumberFormat="0" applyBorder="0" applyAlignment="0" applyProtection="0">
      <alignment vertical="center"/>
    </xf>
    <xf numFmtId="0" fontId="59" fillId="52" borderId="0" applyNumberFormat="0" applyBorder="0" applyAlignment="0" applyProtection="0">
      <alignment vertical="center"/>
    </xf>
    <xf numFmtId="0" fontId="59" fillId="52"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3"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4" fillId="12" borderId="0" applyNumberFormat="0" applyBorder="0" applyAlignment="0" applyProtection="0">
      <alignment vertical="center"/>
    </xf>
    <xf numFmtId="0" fontId="60" fillId="54" borderId="0" applyNumberFormat="0" applyBorder="0" applyAlignment="0" applyProtection="0">
      <alignment vertical="center"/>
    </xf>
    <xf numFmtId="0" fontId="60" fillId="54" borderId="0" applyNumberFormat="0" applyBorder="0" applyAlignment="0" applyProtection="0">
      <alignment vertical="center"/>
    </xf>
    <xf numFmtId="0" fontId="60" fillId="54"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9" borderId="0" applyNumberFormat="0" applyBorder="0" applyAlignment="0" applyProtection="0">
      <alignment vertical="center"/>
    </xf>
    <xf numFmtId="0" fontId="60" fillId="55" borderId="0" applyNumberFormat="0" applyBorder="0" applyAlignment="0" applyProtection="0">
      <alignment vertical="center"/>
    </xf>
    <xf numFmtId="0" fontId="60" fillId="55" borderId="0" applyNumberFormat="0" applyBorder="0" applyAlignment="0" applyProtection="0">
      <alignment vertical="center"/>
    </xf>
    <xf numFmtId="0" fontId="60" fillId="55"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10" borderId="0" applyNumberFormat="0" applyBorder="0" applyAlignment="0" applyProtection="0">
      <alignment vertical="center"/>
    </xf>
    <xf numFmtId="0" fontId="60" fillId="10" borderId="0" applyNumberFormat="0" applyBorder="0" applyAlignment="0" applyProtection="0">
      <alignment vertical="center"/>
    </xf>
    <xf numFmtId="0" fontId="60" fillId="56" borderId="0" applyNumberFormat="0" applyBorder="0" applyAlignment="0" applyProtection="0">
      <alignment vertical="center"/>
    </xf>
    <xf numFmtId="0" fontId="60" fillId="56" borderId="0" applyNumberFormat="0" applyBorder="0" applyAlignment="0" applyProtection="0">
      <alignment vertical="center"/>
    </xf>
    <xf numFmtId="0" fontId="60" fillId="56" borderId="0" applyNumberFormat="0" applyBorder="0" applyAlignment="0" applyProtection="0">
      <alignment vertical="center"/>
    </xf>
    <xf numFmtId="0" fontId="60" fillId="56" borderId="0" applyNumberFormat="0" applyBorder="0" applyAlignment="0" applyProtection="0">
      <alignment vertical="center"/>
    </xf>
    <xf numFmtId="0" fontId="60" fillId="56" borderId="0" applyNumberFormat="0" applyBorder="0" applyAlignment="0" applyProtection="0">
      <alignment vertical="center"/>
    </xf>
    <xf numFmtId="0" fontId="60" fillId="10" borderId="0" applyNumberFormat="0" applyBorder="0" applyAlignment="0" applyProtection="0">
      <alignment vertical="center"/>
    </xf>
    <xf numFmtId="0" fontId="60" fillId="10" borderId="0" applyNumberFormat="0" applyBorder="0" applyAlignment="0" applyProtection="0">
      <alignment vertical="center"/>
    </xf>
    <xf numFmtId="0" fontId="60" fillId="10" borderId="0" applyNumberFormat="0" applyBorder="0" applyAlignment="0" applyProtection="0">
      <alignment vertical="center"/>
    </xf>
    <xf numFmtId="0" fontId="60" fillId="10" borderId="0" applyNumberFormat="0" applyBorder="0" applyAlignment="0" applyProtection="0">
      <alignment vertical="center"/>
    </xf>
    <xf numFmtId="0" fontId="60" fillId="10" borderId="0" applyNumberFormat="0" applyBorder="0" applyAlignment="0" applyProtection="0">
      <alignment vertical="center"/>
    </xf>
    <xf numFmtId="0" fontId="60" fillId="56" borderId="0" applyNumberFormat="0" applyBorder="0" applyAlignment="0" applyProtection="0">
      <alignment vertical="center"/>
    </xf>
    <xf numFmtId="0" fontId="60" fillId="10" borderId="0" applyNumberFormat="0" applyBorder="0" applyAlignment="0" applyProtection="0">
      <alignment vertical="center"/>
    </xf>
    <xf numFmtId="0" fontId="60" fillId="56" borderId="0" applyNumberFormat="0" applyBorder="0" applyAlignment="0" applyProtection="0">
      <alignment vertical="center"/>
    </xf>
    <xf numFmtId="0" fontId="60" fillId="56" borderId="0" applyNumberFormat="0" applyBorder="0" applyAlignment="0" applyProtection="0">
      <alignment vertical="center"/>
    </xf>
    <xf numFmtId="0" fontId="60" fillId="56" borderId="0" applyNumberFormat="0" applyBorder="0" applyAlignment="0" applyProtection="0">
      <alignment vertical="center"/>
    </xf>
    <xf numFmtId="0" fontId="60" fillId="56" borderId="0" applyNumberFormat="0" applyBorder="0" applyAlignment="0" applyProtection="0">
      <alignment vertical="center"/>
    </xf>
    <xf numFmtId="0" fontId="60" fillId="56" borderId="0" applyNumberFormat="0" applyBorder="0" applyAlignment="0" applyProtection="0">
      <alignment vertical="center"/>
    </xf>
    <xf numFmtId="0" fontId="60" fillId="56" borderId="0" applyNumberFormat="0" applyBorder="0" applyAlignment="0" applyProtection="0">
      <alignment vertical="center"/>
    </xf>
    <xf numFmtId="0" fontId="60" fillId="56" borderId="0" applyNumberFormat="0" applyBorder="0" applyAlignment="0" applyProtection="0">
      <alignment vertical="center"/>
    </xf>
    <xf numFmtId="0" fontId="60" fillId="56" borderId="0" applyNumberFormat="0" applyBorder="0" applyAlignment="0" applyProtection="0">
      <alignment vertical="center"/>
    </xf>
    <xf numFmtId="0" fontId="60" fillId="56" borderId="0" applyNumberFormat="0" applyBorder="0" applyAlignment="0" applyProtection="0">
      <alignment vertical="center"/>
    </xf>
    <xf numFmtId="0" fontId="60" fillId="56" borderId="0" applyNumberFormat="0" applyBorder="0" applyAlignment="0" applyProtection="0">
      <alignment vertical="center"/>
    </xf>
    <xf numFmtId="0" fontId="60" fillId="56" borderId="0" applyNumberFormat="0" applyBorder="0" applyAlignment="0" applyProtection="0">
      <alignment vertical="center"/>
    </xf>
    <xf numFmtId="0" fontId="60" fillId="56" borderId="0" applyNumberFormat="0" applyBorder="0" applyAlignment="0" applyProtection="0">
      <alignment vertical="center"/>
    </xf>
    <xf numFmtId="0" fontId="60" fillId="56"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3" borderId="0" applyNumberFormat="0" applyBorder="0" applyAlignment="0" applyProtection="0">
      <alignment vertical="center"/>
    </xf>
    <xf numFmtId="0" fontId="60" fillId="13" borderId="0" applyNumberFormat="0" applyBorder="0" applyAlignment="0" applyProtection="0">
      <alignment vertical="center"/>
    </xf>
    <xf numFmtId="0" fontId="60" fillId="57" borderId="0" applyNumberFormat="0" applyBorder="0" applyAlignment="0" applyProtection="0">
      <alignment vertical="center"/>
    </xf>
    <xf numFmtId="0" fontId="60" fillId="57" borderId="0" applyNumberFormat="0" applyBorder="0" applyAlignment="0" applyProtection="0">
      <alignment vertical="center"/>
    </xf>
    <xf numFmtId="0" fontId="60" fillId="57" borderId="0" applyNumberFormat="0" applyBorder="0" applyAlignment="0" applyProtection="0">
      <alignment vertical="center"/>
    </xf>
    <xf numFmtId="0" fontId="60" fillId="57" borderId="0" applyNumberFormat="0" applyBorder="0" applyAlignment="0" applyProtection="0">
      <alignment vertical="center"/>
    </xf>
    <xf numFmtId="0" fontId="60" fillId="57" borderId="0" applyNumberFormat="0" applyBorder="0" applyAlignment="0" applyProtection="0">
      <alignment vertical="center"/>
    </xf>
    <xf numFmtId="0" fontId="60" fillId="13" borderId="0" applyNumberFormat="0" applyBorder="0" applyAlignment="0" applyProtection="0">
      <alignment vertical="center"/>
    </xf>
    <xf numFmtId="0" fontId="60" fillId="13" borderId="0" applyNumberFormat="0" applyBorder="0" applyAlignment="0" applyProtection="0">
      <alignment vertical="center"/>
    </xf>
    <xf numFmtId="0" fontId="60" fillId="13" borderId="0" applyNumberFormat="0" applyBorder="0" applyAlignment="0" applyProtection="0">
      <alignment vertical="center"/>
    </xf>
    <xf numFmtId="0" fontId="60" fillId="13" borderId="0" applyNumberFormat="0" applyBorder="0" applyAlignment="0" applyProtection="0">
      <alignment vertical="center"/>
    </xf>
    <xf numFmtId="0" fontId="60" fillId="13" borderId="0" applyNumberFormat="0" applyBorder="0" applyAlignment="0" applyProtection="0">
      <alignment vertical="center"/>
    </xf>
    <xf numFmtId="0" fontId="60" fillId="57" borderId="0" applyNumberFormat="0" applyBorder="0" applyAlignment="0" applyProtection="0">
      <alignment vertical="center"/>
    </xf>
    <xf numFmtId="0" fontId="60" fillId="13" borderId="0" applyNumberFormat="0" applyBorder="0" applyAlignment="0" applyProtection="0">
      <alignment vertical="center"/>
    </xf>
    <xf numFmtId="0" fontId="60" fillId="57" borderId="0" applyNumberFormat="0" applyBorder="0" applyAlignment="0" applyProtection="0">
      <alignment vertical="center"/>
    </xf>
    <xf numFmtId="0" fontId="60" fillId="57" borderId="0" applyNumberFormat="0" applyBorder="0" applyAlignment="0" applyProtection="0">
      <alignment vertical="center"/>
    </xf>
    <xf numFmtId="0" fontId="60" fillId="57" borderId="0" applyNumberFormat="0" applyBorder="0" applyAlignment="0" applyProtection="0">
      <alignment vertical="center"/>
    </xf>
    <xf numFmtId="0" fontId="60" fillId="57" borderId="0" applyNumberFormat="0" applyBorder="0" applyAlignment="0" applyProtection="0">
      <alignment vertical="center"/>
    </xf>
    <xf numFmtId="0" fontId="60" fillId="57" borderId="0" applyNumberFormat="0" applyBorder="0" applyAlignment="0" applyProtection="0">
      <alignment vertical="center"/>
    </xf>
    <xf numFmtId="0" fontId="60" fillId="57" borderId="0" applyNumberFormat="0" applyBorder="0" applyAlignment="0" applyProtection="0">
      <alignment vertical="center"/>
    </xf>
    <xf numFmtId="0" fontId="60" fillId="57" borderId="0" applyNumberFormat="0" applyBorder="0" applyAlignment="0" applyProtection="0">
      <alignment vertical="center"/>
    </xf>
    <xf numFmtId="0" fontId="60" fillId="57" borderId="0" applyNumberFormat="0" applyBorder="0" applyAlignment="0" applyProtection="0">
      <alignment vertical="center"/>
    </xf>
    <xf numFmtId="0" fontId="60" fillId="57" borderId="0" applyNumberFormat="0" applyBorder="0" applyAlignment="0" applyProtection="0">
      <alignment vertical="center"/>
    </xf>
    <xf numFmtId="0" fontId="60" fillId="57" borderId="0" applyNumberFormat="0" applyBorder="0" applyAlignment="0" applyProtection="0">
      <alignment vertical="center"/>
    </xf>
    <xf numFmtId="0" fontId="60" fillId="57" borderId="0" applyNumberFormat="0" applyBorder="0" applyAlignment="0" applyProtection="0">
      <alignment vertical="center"/>
    </xf>
    <xf numFmtId="0" fontId="60" fillId="57" borderId="0" applyNumberFormat="0" applyBorder="0" applyAlignment="0" applyProtection="0">
      <alignment vertical="center"/>
    </xf>
    <xf numFmtId="0" fontId="60" fillId="57"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4" borderId="0" applyNumberFormat="0" applyBorder="0" applyAlignment="0" applyProtection="0">
      <alignment vertical="center"/>
    </xf>
    <xf numFmtId="0" fontId="60" fillId="58" borderId="0" applyNumberFormat="0" applyBorder="0" applyAlignment="0" applyProtection="0">
      <alignment vertical="center"/>
    </xf>
    <xf numFmtId="0" fontId="60" fillId="58" borderId="0" applyNumberFormat="0" applyBorder="0" applyAlignment="0" applyProtection="0">
      <alignment vertical="center"/>
    </xf>
    <xf numFmtId="0" fontId="60" fillId="58"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60" fillId="15" borderId="0" applyNumberFormat="0" applyBorder="0" applyAlignment="0" applyProtection="0">
      <alignment vertical="center"/>
    </xf>
    <xf numFmtId="0" fontId="60" fillId="59" borderId="0" applyNumberFormat="0" applyBorder="0" applyAlignment="0" applyProtection="0">
      <alignment vertical="center"/>
    </xf>
    <xf numFmtId="0" fontId="60" fillId="59" borderId="0" applyNumberFormat="0" applyBorder="0" applyAlignment="0" applyProtection="0">
      <alignment vertical="center"/>
    </xf>
    <xf numFmtId="0" fontId="60" fillId="59" borderId="0" applyNumberFormat="0" applyBorder="0" applyAlignment="0" applyProtection="0">
      <alignment vertical="center"/>
    </xf>
    <xf numFmtId="0" fontId="60" fillId="59" borderId="0" applyNumberFormat="0" applyBorder="0" applyAlignment="0" applyProtection="0">
      <alignment vertical="center"/>
    </xf>
    <xf numFmtId="0" fontId="60" fillId="59" borderId="0" applyNumberFormat="0" applyBorder="0" applyAlignment="0" applyProtection="0">
      <alignment vertical="center"/>
    </xf>
    <xf numFmtId="0" fontId="60" fillId="15" borderId="0" applyNumberFormat="0" applyBorder="0" applyAlignment="0" applyProtection="0">
      <alignment vertical="center"/>
    </xf>
    <xf numFmtId="0" fontId="60" fillId="15" borderId="0" applyNumberFormat="0" applyBorder="0" applyAlignment="0" applyProtection="0">
      <alignment vertical="center"/>
    </xf>
    <xf numFmtId="0" fontId="60" fillId="15" borderId="0" applyNumberFormat="0" applyBorder="0" applyAlignment="0" applyProtection="0">
      <alignment vertical="center"/>
    </xf>
    <xf numFmtId="0" fontId="60" fillId="15" borderId="0" applyNumberFormat="0" applyBorder="0" applyAlignment="0" applyProtection="0">
      <alignment vertical="center"/>
    </xf>
    <xf numFmtId="0" fontId="60" fillId="15" borderId="0" applyNumberFormat="0" applyBorder="0" applyAlignment="0" applyProtection="0">
      <alignment vertical="center"/>
    </xf>
    <xf numFmtId="0" fontId="60" fillId="59" borderId="0" applyNumberFormat="0" applyBorder="0" applyAlignment="0" applyProtection="0">
      <alignment vertical="center"/>
    </xf>
    <xf numFmtId="0" fontId="60" fillId="15" borderId="0" applyNumberFormat="0" applyBorder="0" applyAlignment="0" applyProtection="0">
      <alignment vertical="center"/>
    </xf>
    <xf numFmtId="0" fontId="60" fillId="59" borderId="0" applyNumberFormat="0" applyBorder="0" applyAlignment="0" applyProtection="0">
      <alignment vertical="center"/>
    </xf>
    <xf numFmtId="0" fontId="60" fillId="59" borderId="0" applyNumberFormat="0" applyBorder="0" applyAlignment="0" applyProtection="0">
      <alignment vertical="center"/>
    </xf>
    <xf numFmtId="0" fontId="60" fillId="59" borderId="0" applyNumberFormat="0" applyBorder="0" applyAlignment="0" applyProtection="0">
      <alignment vertical="center"/>
    </xf>
    <xf numFmtId="0" fontId="60" fillId="59" borderId="0" applyNumberFormat="0" applyBorder="0" applyAlignment="0" applyProtection="0">
      <alignment vertical="center"/>
    </xf>
    <xf numFmtId="0" fontId="60" fillId="59" borderId="0" applyNumberFormat="0" applyBorder="0" applyAlignment="0" applyProtection="0">
      <alignment vertical="center"/>
    </xf>
    <xf numFmtId="0" fontId="60" fillId="59" borderId="0" applyNumberFormat="0" applyBorder="0" applyAlignment="0" applyProtection="0">
      <alignment vertical="center"/>
    </xf>
    <xf numFmtId="0" fontId="60" fillId="59" borderId="0" applyNumberFormat="0" applyBorder="0" applyAlignment="0" applyProtection="0">
      <alignment vertical="center"/>
    </xf>
    <xf numFmtId="0" fontId="60" fillId="59" borderId="0" applyNumberFormat="0" applyBorder="0" applyAlignment="0" applyProtection="0">
      <alignment vertical="center"/>
    </xf>
    <xf numFmtId="0" fontId="60" fillId="59" borderId="0" applyNumberFormat="0" applyBorder="0" applyAlignment="0" applyProtection="0">
      <alignment vertical="center"/>
    </xf>
    <xf numFmtId="0" fontId="60" fillId="59" borderId="0" applyNumberFormat="0" applyBorder="0" applyAlignment="0" applyProtection="0">
      <alignment vertical="center"/>
    </xf>
    <xf numFmtId="0" fontId="60" fillId="59" borderId="0" applyNumberFormat="0" applyBorder="0" applyAlignment="0" applyProtection="0">
      <alignment vertical="center"/>
    </xf>
    <xf numFmtId="0" fontId="60" fillId="59" borderId="0" applyNumberFormat="0" applyBorder="0" applyAlignment="0" applyProtection="0">
      <alignment vertical="center"/>
    </xf>
    <xf numFmtId="0" fontId="60" fillId="59"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5" fillId="0" borderId="0" applyNumberFormat="0" applyFill="0" applyBorder="0" applyAlignment="0" applyProtection="0">
      <alignment vertical="center"/>
    </xf>
    <xf numFmtId="0" fontId="6" fillId="0" borderId="1" applyNumberFormat="0" applyFill="0" applyAlignment="0" applyProtection="0">
      <alignment vertical="center"/>
    </xf>
    <xf numFmtId="0" fontId="61" fillId="0" borderId="19" applyNumberFormat="0" applyFill="0" applyAlignment="0" applyProtection="0">
      <alignment vertical="center"/>
    </xf>
    <xf numFmtId="0" fontId="61" fillId="0" borderId="19" applyNumberFormat="0" applyFill="0" applyAlignment="0" applyProtection="0">
      <alignment vertical="center"/>
    </xf>
    <xf numFmtId="0" fontId="61" fillId="0" borderId="19" applyNumberFormat="0" applyFill="0" applyAlignment="0" applyProtection="0">
      <alignment vertical="center"/>
    </xf>
    <xf numFmtId="0" fontId="6" fillId="0" borderId="1" applyNumberFormat="0" applyFill="0" applyAlignment="0" applyProtection="0">
      <alignment vertical="center"/>
    </xf>
    <xf numFmtId="0" fontId="6" fillId="0" borderId="1" applyNumberFormat="0" applyFill="0" applyAlignment="0" applyProtection="0">
      <alignment vertical="center"/>
    </xf>
    <xf numFmtId="0" fontId="6" fillId="0" borderId="1" applyNumberFormat="0" applyFill="0" applyAlignment="0" applyProtection="0">
      <alignment vertical="center"/>
    </xf>
    <xf numFmtId="0" fontId="6" fillId="0" borderId="1" applyNumberFormat="0" applyFill="0" applyAlignment="0" applyProtection="0">
      <alignment vertical="center"/>
    </xf>
    <xf numFmtId="0" fontId="6" fillId="0" borderId="1" applyNumberFormat="0" applyFill="0" applyAlignment="0" applyProtection="0">
      <alignment vertical="center"/>
    </xf>
    <xf numFmtId="0" fontId="6" fillId="0" borderId="1" applyNumberFormat="0" applyFill="0" applyAlignment="0" applyProtection="0">
      <alignment vertical="center"/>
    </xf>
    <xf numFmtId="0" fontId="7" fillId="0" borderId="2" applyNumberFormat="0" applyFill="0" applyAlignment="0" applyProtection="0">
      <alignment vertical="center"/>
    </xf>
    <xf numFmtId="0" fontId="62" fillId="0" borderId="20" applyNumberFormat="0" applyFill="0" applyAlignment="0" applyProtection="0">
      <alignment vertical="center"/>
    </xf>
    <xf numFmtId="0" fontId="62" fillId="0" borderId="20" applyNumberFormat="0" applyFill="0" applyAlignment="0" applyProtection="0">
      <alignment vertical="center"/>
    </xf>
    <xf numFmtId="0" fontId="62" fillId="0" borderId="20" applyNumberFormat="0" applyFill="0" applyAlignment="0" applyProtection="0">
      <alignment vertical="center"/>
    </xf>
    <xf numFmtId="0" fontId="7" fillId="0" borderId="2" applyNumberFormat="0" applyFill="0" applyAlignment="0" applyProtection="0">
      <alignment vertical="center"/>
    </xf>
    <xf numFmtId="0" fontId="7" fillId="0" borderId="2" applyNumberFormat="0" applyFill="0" applyAlignment="0" applyProtection="0">
      <alignment vertical="center"/>
    </xf>
    <xf numFmtId="0" fontId="7" fillId="0" borderId="2" applyNumberFormat="0" applyFill="0" applyAlignment="0" applyProtection="0">
      <alignment vertical="center"/>
    </xf>
    <xf numFmtId="0" fontId="7" fillId="0" borderId="2" applyNumberFormat="0" applyFill="0" applyAlignment="0" applyProtection="0">
      <alignment vertical="center"/>
    </xf>
    <xf numFmtId="0" fontId="7" fillId="0" borderId="2" applyNumberFormat="0" applyFill="0" applyAlignment="0" applyProtection="0">
      <alignment vertical="center"/>
    </xf>
    <xf numFmtId="0" fontId="7" fillId="0" borderId="2" applyNumberFormat="0" applyFill="0" applyAlignment="0" applyProtection="0">
      <alignment vertical="center"/>
    </xf>
    <xf numFmtId="0" fontId="8" fillId="0" borderId="3" applyNumberFormat="0" applyFill="0" applyAlignment="0" applyProtection="0">
      <alignment vertical="center"/>
    </xf>
    <xf numFmtId="0" fontId="63" fillId="0" borderId="21" applyNumberFormat="0" applyFill="0" applyAlignment="0" applyProtection="0">
      <alignment vertical="center"/>
    </xf>
    <xf numFmtId="0" fontId="63" fillId="0" borderId="21" applyNumberFormat="0" applyFill="0" applyAlignment="0" applyProtection="0">
      <alignment vertical="center"/>
    </xf>
    <xf numFmtId="0" fontId="63" fillId="0" borderId="21" applyNumberFormat="0" applyFill="0" applyAlignment="0" applyProtection="0">
      <alignment vertical="center"/>
    </xf>
    <xf numFmtId="0" fontId="8" fillId="0" borderId="3" applyNumberFormat="0" applyFill="0" applyAlignment="0" applyProtection="0">
      <alignment vertical="center"/>
    </xf>
    <xf numFmtId="0" fontId="8" fillId="0" borderId="3" applyNumberFormat="0" applyFill="0" applyAlignment="0" applyProtection="0">
      <alignment vertical="center"/>
    </xf>
    <xf numFmtId="0" fontId="8" fillId="0" borderId="3" applyNumberFormat="0" applyFill="0" applyAlignment="0" applyProtection="0">
      <alignment vertical="center"/>
    </xf>
    <xf numFmtId="0" fontId="8" fillId="0" borderId="3" applyNumberFormat="0" applyFill="0" applyAlignment="0" applyProtection="0">
      <alignment vertical="center"/>
    </xf>
    <xf numFmtId="0" fontId="8" fillId="0" borderId="3" applyNumberFormat="0" applyFill="0" applyAlignment="0" applyProtection="0">
      <alignment vertical="center"/>
    </xf>
    <xf numFmtId="0" fontId="8" fillId="0" borderId="3" applyNumberFormat="0" applyFill="0" applyAlignment="0" applyProtection="0">
      <alignment vertical="center"/>
    </xf>
    <xf numFmtId="0" fontId="8"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9" fillId="3" borderId="0" applyNumberFormat="0" applyBorder="0" applyAlignment="0" applyProtection="0">
      <alignment vertical="center"/>
    </xf>
    <xf numFmtId="0" fontId="65" fillId="60" borderId="0" applyNumberFormat="0" applyBorder="0" applyAlignment="0" applyProtection="0">
      <alignment vertical="center"/>
    </xf>
    <xf numFmtId="0" fontId="65" fillId="60" borderId="0" applyNumberFormat="0" applyBorder="0" applyAlignment="0" applyProtection="0">
      <alignment vertical="center"/>
    </xf>
    <xf numFmtId="0" fontId="65" fillId="60" borderId="0" applyNumberFormat="0" applyBorder="0" applyAlignment="0" applyProtection="0">
      <alignment vertical="center"/>
    </xf>
    <xf numFmtId="0" fontId="9" fillId="3" borderId="0" applyNumberFormat="0" applyBorder="0" applyAlignment="0" applyProtection="0">
      <alignment vertical="center"/>
    </xf>
    <xf numFmtId="0" fontId="9" fillId="3" borderId="0" applyNumberFormat="0" applyBorder="0" applyAlignment="0" applyProtection="0">
      <alignment vertical="center"/>
    </xf>
    <xf numFmtId="0" fontId="9" fillId="3" borderId="0" applyNumberFormat="0" applyBorder="0" applyAlignment="0" applyProtection="0">
      <alignment vertical="center"/>
    </xf>
    <xf numFmtId="0" fontId="9" fillId="3" borderId="0" applyNumberFormat="0" applyBorder="0" applyAlignment="0" applyProtection="0">
      <alignment vertical="center"/>
    </xf>
    <xf numFmtId="0" fontId="9" fillId="3" borderId="0" applyNumberFormat="0" applyBorder="0" applyAlignment="0" applyProtection="0">
      <alignment vertical="center"/>
    </xf>
    <xf numFmtId="0" fontId="9" fillId="3" borderId="0" applyNumberFormat="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59" fillId="0" borderId="0">
      <alignment vertical="center"/>
    </xf>
    <xf numFmtId="0" fontId="59" fillId="0" borderId="0">
      <alignment vertical="center"/>
    </xf>
    <xf numFmtId="0" fontId="59" fillId="0" borderId="0">
      <alignment vertical="center"/>
    </xf>
    <xf numFmtId="0" fontId="2" fillId="0" borderId="0">
      <alignment vertical="center"/>
    </xf>
    <xf numFmtId="0" fontId="2" fillId="0" borderId="0">
      <alignment vertical="center"/>
    </xf>
    <xf numFmtId="0" fontId="2" fillId="0" borderId="0">
      <alignment vertical="center"/>
    </xf>
    <xf numFmtId="0" fontId="66" fillId="0" borderId="0" applyNumberFormat="0" applyFill="0" applyBorder="0" applyAlignment="0" applyProtection="0">
      <alignment vertical="top"/>
      <protection locked="0"/>
    </xf>
    <xf numFmtId="0" fontId="10" fillId="4" borderId="0" applyNumberFormat="0" applyBorder="0" applyAlignment="0" applyProtection="0">
      <alignment vertical="center"/>
    </xf>
    <xf numFmtId="0" fontId="67" fillId="61" borderId="0" applyNumberFormat="0" applyBorder="0" applyAlignment="0" applyProtection="0">
      <alignment vertical="center"/>
    </xf>
    <xf numFmtId="0" fontId="67" fillId="61" borderId="0" applyNumberFormat="0" applyBorder="0" applyAlignment="0" applyProtection="0">
      <alignment vertical="center"/>
    </xf>
    <xf numFmtId="0" fontId="67" fillId="61" borderId="0" applyNumberFormat="0" applyBorder="0" applyAlignment="0" applyProtection="0">
      <alignment vertical="center"/>
    </xf>
    <xf numFmtId="0" fontId="10" fillId="4" borderId="0" applyNumberFormat="0" applyBorder="0" applyAlignment="0" applyProtection="0">
      <alignment vertical="center"/>
    </xf>
    <xf numFmtId="0" fontId="10" fillId="4" borderId="0" applyNumberFormat="0" applyBorder="0" applyAlignment="0" applyProtection="0">
      <alignment vertical="center"/>
    </xf>
    <xf numFmtId="0" fontId="10" fillId="4" borderId="0" applyNumberFormat="0" applyBorder="0" applyAlignment="0" applyProtection="0">
      <alignment vertical="center"/>
    </xf>
    <xf numFmtId="0" fontId="10" fillId="4" borderId="0" applyNumberFormat="0" applyBorder="0" applyAlignment="0" applyProtection="0">
      <alignment vertical="center"/>
    </xf>
    <xf numFmtId="0" fontId="10" fillId="4" borderId="0" applyNumberFormat="0" applyBorder="0" applyAlignment="0" applyProtection="0">
      <alignment vertical="center"/>
    </xf>
    <xf numFmtId="0" fontId="10" fillId="4" borderId="0" applyNumberFormat="0" applyBorder="0" applyAlignment="0" applyProtection="0">
      <alignment vertical="center"/>
    </xf>
    <xf numFmtId="0" fontId="11" fillId="0" borderId="4" applyNumberFormat="0" applyFill="0" applyAlignment="0" applyProtection="0">
      <alignment vertical="center"/>
    </xf>
    <xf numFmtId="0" fontId="68" fillId="0" borderId="22" applyNumberFormat="0" applyFill="0" applyAlignment="0" applyProtection="0">
      <alignment vertical="center"/>
    </xf>
    <xf numFmtId="0" fontId="68" fillId="0" borderId="22" applyNumberFormat="0" applyFill="0" applyAlignment="0" applyProtection="0">
      <alignment vertical="center"/>
    </xf>
    <xf numFmtId="0" fontId="68" fillId="0" borderId="22" applyNumberFormat="0" applyFill="0" applyAlignment="0" applyProtection="0">
      <alignment vertical="center"/>
    </xf>
    <xf numFmtId="0" fontId="11" fillId="0" borderId="4" applyNumberFormat="0" applyFill="0" applyAlignment="0" applyProtection="0">
      <alignment vertical="center"/>
    </xf>
    <xf numFmtId="0" fontId="11" fillId="0" borderId="4" applyNumberFormat="0" applyFill="0" applyAlignment="0" applyProtection="0">
      <alignment vertical="center"/>
    </xf>
    <xf numFmtId="0" fontId="11" fillId="0" borderId="4" applyNumberFormat="0" applyFill="0" applyAlignment="0" applyProtection="0">
      <alignment vertical="center"/>
    </xf>
    <xf numFmtId="0" fontId="11" fillId="0" borderId="4" applyNumberFormat="0" applyFill="0" applyAlignment="0" applyProtection="0">
      <alignment vertical="center"/>
    </xf>
    <xf numFmtId="0" fontId="11" fillId="0" borderId="4" applyNumberFormat="0" applyFill="0" applyAlignment="0" applyProtection="0">
      <alignment vertical="center"/>
    </xf>
    <xf numFmtId="0" fontId="11" fillId="0" borderId="4" applyNumberFormat="0" applyFill="0" applyAlignment="0" applyProtection="0">
      <alignment vertical="center"/>
    </xf>
    <xf numFmtId="0" fontId="12" fillId="16" borderId="5" applyNumberFormat="0" applyAlignment="0" applyProtection="0">
      <alignment vertical="center"/>
    </xf>
    <xf numFmtId="0" fontId="69" fillId="62" borderId="23" applyNumberFormat="0" applyAlignment="0" applyProtection="0">
      <alignment vertical="center"/>
    </xf>
    <xf numFmtId="0" fontId="69" fillId="62" borderId="23" applyNumberFormat="0" applyAlignment="0" applyProtection="0">
      <alignment vertical="center"/>
    </xf>
    <xf numFmtId="0" fontId="69" fillId="62" borderId="23" applyNumberFormat="0" applyAlignment="0" applyProtection="0">
      <alignment vertical="center"/>
    </xf>
    <xf numFmtId="0" fontId="12" fillId="16" borderId="5" applyNumberFormat="0" applyAlignment="0" applyProtection="0">
      <alignment vertical="center"/>
    </xf>
    <xf numFmtId="0" fontId="12" fillId="16" borderId="5" applyNumberFormat="0" applyAlignment="0" applyProtection="0">
      <alignment vertical="center"/>
    </xf>
    <xf numFmtId="0" fontId="12" fillId="16" borderId="5" applyNumberFormat="0" applyAlignment="0" applyProtection="0">
      <alignment vertical="center"/>
    </xf>
    <xf numFmtId="0" fontId="12" fillId="16" borderId="5" applyNumberFormat="0" applyAlignment="0" applyProtection="0">
      <alignment vertical="center"/>
    </xf>
    <xf numFmtId="0" fontId="12" fillId="16" borderId="5" applyNumberFormat="0" applyAlignment="0" applyProtection="0">
      <alignment vertical="center"/>
    </xf>
    <xf numFmtId="0" fontId="12" fillId="16" borderId="5" applyNumberFormat="0" applyAlignment="0" applyProtection="0">
      <alignment vertical="center"/>
    </xf>
    <xf numFmtId="0" fontId="13" fillId="17" borderId="6" applyNumberFormat="0" applyAlignment="0" applyProtection="0">
      <alignment vertical="center"/>
    </xf>
    <xf numFmtId="0" fontId="70" fillId="63" borderId="24" applyNumberFormat="0" applyAlignment="0" applyProtection="0">
      <alignment vertical="center"/>
    </xf>
    <xf numFmtId="0" fontId="70" fillId="63" borderId="24" applyNumberFormat="0" applyAlignment="0" applyProtection="0">
      <alignment vertical="center"/>
    </xf>
    <xf numFmtId="0" fontId="70" fillId="63" borderId="24" applyNumberFormat="0" applyAlignment="0" applyProtection="0">
      <alignment vertical="center"/>
    </xf>
    <xf numFmtId="0" fontId="13" fillId="17" borderId="6" applyNumberFormat="0" applyAlignment="0" applyProtection="0">
      <alignment vertical="center"/>
    </xf>
    <xf numFmtId="0" fontId="13" fillId="17" borderId="6" applyNumberFormat="0" applyAlignment="0" applyProtection="0">
      <alignment vertical="center"/>
    </xf>
    <xf numFmtId="0" fontId="13" fillId="17" borderId="6" applyNumberFormat="0" applyAlignment="0" applyProtection="0">
      <alignment vertical="center"/>
    </xf>
    <xf numFmtId="0" fontId="13" fillId="17" borderId="6" applyNumberFormat="0" applyAlignment="0" applyProtection="0">
      <alignment vertical="center"/>
    </xf>
    <xf numFmtId="0" fontId="13" fillId="17" borderId="6" applyNumberFormat="0" applyAlignment="0" applyProtection="0">
      <alignment vertical="center"/>
    </xf>
    <xf numFmtId="0" fontId="13" fillId="17" borderId="6" applyNumberFormat="0" applyAlignment="0" applyProtection="0">
      <alignment vertical="center"/>
    </xf>
    <xf numFmtId="0" fontId="14"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72" fillId="0" borderId="0" applyNumberFormat="0" applyFill="0" applyBorder="0" applyAlignment="0" applyProtection="0">
      <alignment vertical="center"/>
    </xf>
    <xf numFmtId="0" fontId="72" fillId="0" borderId="0" applyNumberFormat="0" applyFill="0" applyBorder="0" applyAlignment="0" applyProtection="0">
      <alignment vertical="center"/>
    </xf>
    <xf numFmtId="0" fontId="72"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7" applyNumberFormat="0" applyFill="0" applyAlignment="0" applyProtection="0">
      <alignment vertical="center"/>
    </xf>
    <xf numFmtId="0" fontId="73" fillId="0" borderId="25" applyNumberFormat="0" applyFill="0" applyAlignment="0" applyProtection="0">
      <alignment vertical="center"/>
    </xf>
    <xf numFmtId="0" fontId="73" fillId="0" borderId="25" applyNumberFormat="0" applyFill="0" applyAlignment="0" applyProtection="0">
      <alignment vertical="center"/>
    </xf>
    <xf numFmtId="0" fontId="73" fillId="0" borderId="25" applyNumberFormat="0" applyFill="0" applyAlignment="0" applyProtection="0">
      <alignment vertical="center"/>
    </xf>
    <xf numFmtId="0" fontId="16" fillId="0" borderId="7" applyNumberFormat="0" applyFill="0" applyAlignment="0" applyProtection="0">
      <alignment vertical="center"/>
    </xf>
    <xf numFmtId="0" fontId="16" fillId="0" borderId="7" applyNumberFormat="0" applyFill="0" applyAlignment="0" applyProtection="0">
      <alignment vertical="center"/>
    </xf>
    <xf numFmtId="0" fontId="16" fillId="0" borderId="7" applyNumberFormat="0" applyFill="0" applyAlignment="0" applyProtection="0">
      <alignment vertical="center"/>
    </xf>
    <xf numFmtId="0" fontId="16" fillId="0" borderId="7" applyNumberFormat="0" applyFill="0" applyAlignment="0" applyProtection="0">
      <alignment vertical="center"/>
    </xf>
    <xf numFmtId="0" fontId="16" fillId="0" borderId="7" applyNumberFormat="0" applyFill="0" applyAlignment="0" applyProtection="0">
      <alignment vertical="center"/>
    </xf>
    <xf numFmtId="0" fontId="16" fillId="0" borderId="7" applyNumberFormat="0" applyFill="0" applyAlignment="0" applyProtection="0">
      <alignment vertical="center"/>
    </xf>
    <xf numFmtId="0" fontId="4" fillId="18" borderId="0" applyNumberFormat="0" applyBorder="0" applyAlignment="0" applyProtection="0">
      <alignment vertical="center"/>
    </xf>
    <xf numFmtId="0" fontId="60" fillId="64" borderId="0" applyNumberFormat="0" applyBorder="0" applyAlignment="0" applyProtection="0">
      <alignment vertical="center"/>
    </xf>
    <xf numFmtId="0" fontId="60" fillId="64" borderId="0" applyNumberFormat="0" applyBorder="0" applyAlignment="0" applyProtection="0">
      <alignment vertical="center"/>
    </xf>
    <xf numFmtId="0" fontId="60" fillId="64"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60" fillId="65" borderId="0" applyNumberFormat="0" applyBorder="0" applyAlignment="0" applyProtection="0">
      <alignment vertical="center"/>
    </xf>
    <xf numFmtId="0" fontId="60" fillId="65" borderId="0" applyNumberFormat="0" applyBorder="0" applyAlignment="0" applyProtection="0">
      <alignment vertical="center"/>
    </xf>
    <xf numFmtId="0" fontId="60" fillId="65"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20" borderId="0" applyNumberFormat="0" applyBorder="0" applyAlignment="0" applyProtection="0">
      <alignment vertical="center"/>
    </xf>
    <xf numFmtId="0" fontId="60" fillId="66" borderId="0" applyNumberFormat="0" applyBorder="0" applyAlignment="0" applyProtection="0">
      <alignment vertical="center"/>
    </xf>
    <xf numFmtId="0" fontId="60" fillId="66" borderId="0" applyNumberFormat="0" applyBorder="0" applyAlignment="0" applyProtection="0">
      <alignment vertical="center"/>
    </xf>
    <xf numFmtId="0" fontId="60" fillId="66"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13" borderId="0" applyNumberFormat="0" applyBorder="0" applyAlignment="0" applyProtection="0">
      <alignment vertical="center"/>
    </xf>
    <xf numFmtId="0" fontId="60" fillId="67" borderId="0" applyNumberFormat="0" applyBorder="0" applyAlignment="0" applyProtection="0">
      <alignment vertical="center"/>
    </xf>
    <xf numFmtId="0" fontId="60" fillId="67" borderId="0" applyNumberFormat="0" applyBorder="0" applyAlignment="0" applyProtection="0">
      <alignment vertical="center"/>
    </xf>
    <xf numFmtId="0" fontId="60" fillId="67"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4" borderId="0" applyNumberFormat="0" applyBorder="0" applyAlignment="0" applyProtection="0">
      <alignment vertical="center"/>
    </xf>
    <xf numFmtId="0" fontId="60" fillId="68" borderId="0" applyNumberFormat="0" applyBorder="0" applyAlignment="0" applyProtection="0">
      <alignment vertical="center"/>
    </xf>
    <xf numFmtId="0" fontId="60" fillId="68" borderId="0" applyNumberFormat="0" applyBorder="0" applyAlignment="0" applyProtection="0">
      <alignment vertical="center"/>
    </xf>
    <xf numFmtId="0" fontId="60" fillId="68"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21" borderId="0" applyNumberFormat="0" applyBorder="0" applyAlignment="0" applyProtection="0">
      <alignment vertical="center"/>
    </xf>
    <xf numFmtId="0" fontId="60" fillId="69" borderId="0" applyNumberFormat="0" applyBorder="0" applyAlignment="0" applyProtection="0">
      <alignment vertical="center"/>
    </xf>
    <xf numFmtId="0" fontId="60" fillId="69" borderId="0" applyNumberFormat="0" applyBorder="0" applyAlignment="0" applyProtection="0">
      <alignment vertical="center"/>
    </xf>
    <xf numFmtId="0" fontId="60" fillId="69" borderId="0" applyNumberFormat="0" applyBorder="0" applyAlignment="0" applyProtection="0">
      <alignment vertical="center"/>
    </xf>
    <xf numFmtId="0" fontId="4" fillId="21" borderId="0" applyNumberFormat="0" applyBorder="0" applyAlignment="0" applyProtection="0">
      <alignment vertical="center"/>
    </xf>
    <xf numFmtId="0" fontId="4" fillId="21" borderId="0" applyNumberFormat="0" applyBorder="0" applyAlignment="0" applyProtection="0">
      <alignment vertical="center"/>
    </xf>
    <xf numFmtId="0" fontId="4" fillId="21" borderId="0" applyNumberFormat="0" applyBorder="0" applyAlignment="0" applyProtection="0">
      <alignment vertical="center"/>
    </xf>
    <xf numFmtId="0" fontId="4" fillId="21" borderId="0" applyNumberFormat="0" applyBorder="0" applyAlignment="0" applyProtection="0">
      <alignment vertical="center"/>
    </xf>
    <xf numFmtId="0" fontId="4" fillId="21" borderId="0" applyNumberFormat="0" applyBorder="0" applyAlignment="0" applyProtection="0">
      <alignment vertical="center"/>
    </xf>
    <xf numFmtId="0" fontId="4" fillId="21" borderId="0" applyNumberFormat="0" applyBorder="0" applyAlignment="0" applyProtection="0">
      <alignment vertical="center"/>
    </xf>
    <xf numFmtId="0" fontId="17" fillId="22" borderId="0" applyNumberFormat="0" applyBorder="0" applyAlignment="0" applyProtection="0">
      <alignment vertical="center"/>
    </xf>
    <xf numFmtId="0" fontId="74" fillId="70" borderId="0" applyNumberFormat="0" applyBorder="0" applyAlignment="0" applyProtection="0">
      <alignment vertical="center"/>
    </xf>
    <xf numFmtId="0" fontId="74" fillId="70" borderId="0" applyNumberFormat="0" applyBorder="0" applyAlignment="0" applyProtection="0">
      <alignment vertical="center"/>
    </xf>
    <xf numFmtId="0" fontId="74" fillId="70" borderId="0" applyNumberFormat="0" applyBorder="0" applyAlignment="0" applyProtection="0">
      <alignment vertical="center"/>
    </xf>
    <xf numFmtId="0" fontId="17" fillId="22" borderId="0" applyNumberFormat="0" applyBorder="0" applyAlignment="0" applyProtection="0">
      <alignment vertical="center"/>
    </xf>
    <xf numFmtId="0" fontId="17" fillId="22" borderId="0" applyNumberFormat="0" applyBorder="0" applyAlignment="0" applyProtection="0">
      <alignment vertical="center"/>
    </xf>
    <xf numFmtId="0" fontId="17" fillId="22" borderId="0" applyNumberFormat="0" applyBorder="0" applyAlignment="0" applyProtection="0">
      <alignment vertical="center"/>
    </xf>
    <xf numFmtId="0" fontId="17" fillId="22" borderId="0" applyNumberFormat="0" applyBorder="0" applyAlignment="0" applyProtection="0">
      <alignment vertical="center"/>
    </xf>
    <xf numFmtId="0" fontId="17" fillId="22" borderId="0" applyNumberFormat="0" applyBorder="0" applyAlignment="0" applyProtection="0">
      <alignment vertical="center"/>
    </xf>
    <xf numFmtId="0" fontId="17" fillId="22" borderId="0" applyNumberFormat="0" applyBorder="0" applyAlignment="0" applyProtection="0">
      <alignment vertical="center"/>
    </xf>
    <xf numFmtId="0" fontId="18" fillId="16" borderId="8" applyNumberFormat="0" applyAlignment="0" applyProtection="0">
      <alignment vertical="center"/>
    </xf>
    <xf numFmtId="0" fontId="75" fillId="62" borderId="26" applyNumberFormat="0" applyAlignment="0" applyProtection="0">
      <alignment vertical="center"/>
    </xf>
    <xf numFmtId="0" fontId="75" fillId="62" borderId="26" applyNumberFormat="0" applyAlignment="0" applyProtection="0">
      <alignment vertical="center"/>
    </xf>
    <xf numFmtId="0" fontId="75" fillId="62" borderId="26" applyNumberFormat="0" applyAlignment="0" applyProtection="0">
      <alignment vertical="center"/>
    </xf>
    <xf numFmtId="0" fontId="18" fillId="16" borderId="8" applyNumberFormat="0" applyAlignment="0" applyProtection="0">
      <alignment vertical="center"/>
    </xf>
    <xf numFmtId="0" fontId="18" fillId="16" borderId="8" applyNumberFormat="0" applyAlignment="0" applyProtection="0">
      <alignment vertical="center"/>
    </xf>
    <xf numFmtId="0" fontId="18" fillId="16" borderId="8" applyNumberFormat="0" applyAlignment="0" applyProtection="0">
      <alignment vertical="center"/>
    </xf>
    <xf numFmtId="0" fontId="18" fillId="16" borderId="8" applyNumberFormat="0" applyAlignment="0" applyProtection="0">
      <alignment vertical="center"/>
    </xf>
    <xf numFmtId="0" fontId="18" fillId="16" borderId="8" applyNumberFormat="0" applyAlignment="0" applyProtection="0">
      <alignment vertical="center"/>
    </xf>
    <xf numFmtId="0" fontId="18" fillId="16" borderId="8" applyNumberFormat="0" applyAlignment="0" applyProtection="0">
      <alignment vertical="center"/>
    </xf>
    <xf numFmtId="0" fontId="19" fillId="7" borderId="5" applyNumberFormat="0" applyAlignment="0" applyProtection="0">
      <alignment vertical="center"/>
    </xf>
    <xf numFmtId="0" fontId="76" fillId="71" borderId="23" applyNumberFormat="0" applyAlignment="0" applyProtection="0">
      <alignment vertical="center"/>
    </xf>
    <xf numFmtId="0" fontId="76" fillId="71" borderId="23" applyNumberFormat="0" applyAlignment="0" applyProtection="0">
      <alignment vertical="center"/>
    </xf>
    <xf numFmtId="0" fontId="76" fillId="71" borderId="23" applyNumberFormat="0" applyAlignment="0" applyProtection="0">
      <alignment vertical="center"/>
    </xf>
    <xf numFmtId="0" fontId="19" fillId="7" borderId="5" applyNumberFormat="0" applyAlignment="0" applyProtection="0">
      <alignment vertical="center"/>
    </xf>
    <xf numFmtId="0" fontId="19" fillId="7" borderId="5" applyNumberFormat="0" applyAlignment="0" applyProtection="0">
      <alignment vertical="center"/>
    </xf>
    <xf numFmtId="0" fontId="19" fillId="7" borderId="5" applyNumberFormat="0" applyAlignment="0" applyProtection="0">
      <alignment vertical="center"/>
    </xf>
    <xf numFmtId="0" fontId="19" fillId="7" borderId="5" applyNumberFormat="0" applyAlignment="0" applyProtection="0">
      <alignment vertical="center"/>
    </xf>
    <xf numFmtId="0" fontId="19" fillId="7" borderId="5" applyNumberFormat="0" applyAlignment="0" applyProtection="0">
      <alignment vertical="center"/>
    </xf>
    <xf numFmtId="0" fontId="19" fillId="7" borderId="5" applyNumberFormat="0" applyAlignment="0" applyProtection="0">
      <alignment vertical="center"/>
    </xf>
    <xf numFmtId="0" fontId="3"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49" fillId="72" borderId="27" applyNumberFormat="0" applyFont="0" applyAlignment="0" applyProtection="0">
      <alignment vertical="center"/>
    </xf>
    <xf numFmtId="0" fontId="1" fillId="72" borderId="27" applyNumberFormat="0" applyFont="0" applyAlignment="0" applyProtection="0">
      <alignment vertical="center"/>
    </xf>
    <xf numFmtId="0" fontId="1" fillId="72" borderId="27" applyNumberFormat="0" applyFont="0" applyAlignment="0" applyProtection="0">
      <alignment vertical="center"/>
    </xf>
    <xf numFmtId="0" fontId="1" fillId="72" borderId="27" applyNumberFormat="0" applyFont="0" applyAlignment="0" applyProtection="0">
      <alignment vertical="center"/>
    </xf>
    <xf numFmtId="0" fontId="1" fillId="72" borderId="27" applyNumberFormat="0" applyFont="0" applyAlignment="0" applyProtection="0">
      <alignment vertical="center"/>
    </xf>
    <xf numFmtId="0" fontId="1" fillId="72" borderId="27" applyNumberFormat="0" applyFont="0" applyAlignment="0" applyProtection="0">
      <alignment vertical="center"/>
    </xf>
    <xf numFmtId="0" fontId="1" fillId="72" borderId="27" applyNumberFormat="0" applyFont="0" applyAlignment="0" applyProtection="0">
      <alignment vertical="center"/>
    </xf>
    <xf numFmtId="0" fontId="59" fillId="72" borderId="27" applyNumberFormat="0" applyFont="0" applyAlignment="0" applyProtection="0">
      <alignment vertical="center"/>
    </xf>
    <xf numFmtId="0" fontId="1" fillId="72" borderId="27" applyNumberFormat="0" applyFont="0" applyAlignment="0" applyProtection="0">
      <alignment vertical="center"/>
    </xf>
    <xf numFmtId="0" fontId="59" fillId="72" borderId="27" applyNumberFormat="0" applyFont="0" applyAlignment="0" applyProtection="0">
      <alignment vertical="center"/>
    </xf>
    <xf numFmtId="0" fontId="59" fillId="72" borderId="27" applyNumberFormat="0" applyFont="0" applyAlignment="0" applyProtection="0">
      <alignment vertical="center"/>
    </xf>
    <xf numFmtId="0" fontId="59" fillId="72" borderId="27" applyNumberFormat="0" applyFont="0" applyAlignment="0" applyProtection="0">
      <alignment vertical="center"/>
    </xf>
    <xf numFmtId="0" fontId="1" fillId="72" borderId="27" applyNumberFormat="0" applyFont="0" applyAlignment="0" applyProtection="0">
      <alignment vertical="center"/>
    </xf>
    <xf numFmtId="0" fontId="1" fillId="72" borderId="27" applyNumberFormat="0" applyFont="0" applyAlignment="0" applyProtection="0">
      <alignment vertical="center"/>
    </xf>
    <xf numFmtId="0" fontId="1" fillId="72" borderId="27" applyNumberFormat="0" applyFont="0" applyAlignment="0" applyProtection="0">
      <alignment vertical="center"/>
    </xf>
    <xf numFmtId="0" fontId="59" fillId="72" borderId="27" applyNumberFormat="0" applyFont="0" applyAlignment="0" applyProtection="0">
      <alignment vertical="center"/>
    </xf>
    <xf numFmtId="0" fontId="1" fillId="72" borderId="27" applyNumberFormat="0" applyFont="0" applyAlignment="0" applyProtection="0">
      <alignment vertical="center"/>
    </xf>
    <xf numFmtId="0" fontId="1" fillId="72" borderId="27" applyNumberFormat="0" applyFont="0" applyAlignment="0" applyProtection="0">
      <alignment vertical="center"/>
    </xf>
    <xf numFmtId="0" fontId="1" fillId="72" borderId="27" applyNumberFormat="0" applyFont="0" applyAlignment="0" applyProtection="0">
      <alignment vertical="center"/>
    </xf>
    <xf numFmtId="0" fontId="1" fillId="72" borderId="27" applyNumberFormat="0" applyFont="0" applyAlignment="0" applyProtection="0">
      <alignment vertical="center"/>
    </xf>
    <xf numFmtId="0" fontId="1" fillId="72" borderId="27" applyNumberFormat="0" applyFont="0" applyAlignment="0" applyProtection="0">
      <alignment vertical="center"/>
    </xf>
    <xf numFmtId="0" fontId="1" fillId="72" borderId="27" applyNumberFormat="0" applyFont="0" applyAlignment="0" applyProtection="0">
      <alignment vertical="center"/>
    </xf>
    <xf numFmtId="0" fontId="59" fillId="72" borderId="27" applyNumberFormat="0" applyFont="0" applyAlignment="0" applyProtection="0">
      <alignment vertical="center"/>
    </xf>
    <xf numFmtId="0" fontId="59" fillId="72" borderId="27" applyNumberFormat="0" applyFont="0" applyAlignment="0" applyProtection="0">
      <alignment vertical="center"/>
    </xf>
    <xf numFmtId="0" fontId="59" fillId="72" borderId="27" applyNumberFormat="0" applyFont="0" applyAlignment="0" applyProtection="0">
      <alignment vertical="center"/>
    </xf>
    <xf numFmtId="0" fontId="1" fillId="72" borderId="27" applyNumberFormat="0" applyFont="0" applyAlignment="0" applyProtection="0">
      <alignment vertical="center"/>
    </xf>
    <xf numFmtId="0" fontId="1" fillId="72" borderId="27" applyNumberFormat="0" applyFont="0" applyAlignment="0" applyProtection="0">
      <alignment vertical="center"/>
    </xf>
    <xf numFmtId="0" fontId="1" fillId="72" borderId="27" applyNumberFormat="0" applyFont="0" applyAlignment="0" applyProtection="0">
      <alignment vertical="center"/>
    </xf>
    <xf numFmtId="0" fontId="1" fillId="72" borderId="27" applyNumberFormat="0" applyFont="0" applyAlignment="0" applyProtection="0">
      <alignment vertical="center"/>
    </xf>
    <xf numFmtId="0" fontId="1" fillId="72" borderId="27" applyNumberFormat="0" applyFont="0" applyAlignment="0" applyProtection="0">
      <alignment vertical="center"/>
    </xf>
    <xf numFmtId="0" fontId="1" fillId="72" borderId="27" applyNumberFormat="0" applyFont="0" applyAlignment="0" applyProtection="0">
      <alignment vertical="center"/>
    </xf>
    <xf numFmtId="0" fontId="1" fillId="72" borderId="27" applyNumberFormat="0" applyFont="0" applyAlignment="0" applyProtection="0">
      <alignment vertical="center"/>
    </xf>
    <xf numFmtId="0" fontId="1" fillId="72" borderId="27" applyNumberFormat="0" applyFont="0" applyAlignment="0" applyProtection="0">
      <alignment vertical="center"/>
    </xf>
    <xf numFmtId="0" fontId="59" fillId="72" borderId="27" applyNumberFormat="0" applyFont="0" applyAlignment="0" applyProtection="0">
      <alignment vertical="center"/>
    </xf>
    <xf numFmtId="0" fontId="59" fillId="72" borderId="27" applyNumberFormat="0" applyFont="0" applyAlignment="0" applyProtection="0">
      <alignment vertical="center"/>
    </xf>
    <xf numFmtId="0" fontId="1" fillId="72" borderId="27" applyNumberFormat="0" applyFont="0" applyAlignment="0" applyProtection="0">
      <alignment vertical="center"/>
    </xf>
    <xf numFmtId="0" fontId="59" fillId="72" borderId="27" applyNumberFormat="0" applyFont="0" applyAlignment="0" applyProtection="0">
      <alignment vertical="center"/>
    </xf>
    <xf numFmtId="0" fontId="59" fillId="72" borderId="27" applyNumberFormat="0" applyFont="0" applyAlignment="0" applyProtection="0">
      <alignment vertical="center"/>
    </xf>
    <xf numFmtId="0" fontId="1" fillId="72" borderId="27"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1" fillId="23" borderId="9" applyNumberFormat="0" applyFont="0" applyAlignment="0" applyProtection="0">
      <alignment vertical="center"/>
    </xf>
    <xf numFmtId="0" fontId="82" fillId="0" borderId="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2" borderId="0" applyNumberFormat="0" applyBorder="0" applyAlignment="0" applyProtection="0">
      <alignment vertical="center"/>
    </xf>
    <xf numFmtId="0" fontId="101" fillId="2" borderId="0" applyNumberFormat="0" applyBorder="0" applyAlignment="0" applyProtection="0">
      <alignment vertical="center"/>
    </xf>
    <xf numFmtId="0" fontId="101" fillId="2" borderId="0" applyNumberFormat="0" applyBorder="0" applyAlignment="0" applyProtection="0">
      <alignment vertical="center"/>
    </xf>
    <xf numFmtId="0" fontId="101" fillId="2" borderId="0" applyNumberFormat="0" applyBorder="0" applyAlignment="0" applyProtection="0">
      <alignment vertical="center"/>
    </xf>
    <xf numFmtId="0" fontId="101" fillId="2" borderId="0" applyNumberFormat="0" applyBorder="0" applyAlignment="0" applyProtection="0">
      <alignment vertical="center"/>
    </xf>
    <xf numFmtId="0" fontId="101" fillId="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2"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3" borderId="0" applyNumberFormat="0" applyBorder="0" applyAlignment="0" applyProtection="0">
      <alignment vertical="center"/>
    </xf>
    <xf numFmtId="0" fontId="101" fillId="3" borderId="0" applyNumberFormat="0" applyBorder="0" applyAlignment="0" applyProtection="0">
      <alignment vertical="center"/>
    </xf>
    <xf numFmtId="0" fontId="101" fillId="3" borderId="0" applyNumberFormat="0" applyBorder="0" applyAlignment="0" applyProtection="0">
      <alignment vertical="center"/>
    </xf>
    <xf numFmtId="0" fontId="101" fillId="3" borderId="0" applyNumberFormat="0" applyBorder="0" applyAlignment="0" applyProtection="0">
      <alignment vertical="center"/>
    </xf>
    <xf numFmtId="0" fontId="101" fillId="3" borderId="0" applyNumberFormat="0" applyBorder="0" applyAlignment="0" applyProtection="0">
      <alignment vertical="center"/>
    </xf>
    <xf numFmtId="0" fontId="101" fillId="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2"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2"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2"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2"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2"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2"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 borderId="0" applyNumberFormat="0" applyBorder="0" applyAlignment="0" applyProtection="0">
      <alignment vertical="center"/>
    </xf>
    <xf numFmtId="0" fontId="101" fillId="4" borderId="0" applyNumberFormat="0" applyBorder="0" applyAlignment="0" applyProtection="0">
      <alignment vertical="center"/>
    </xf>
    <xf numFmtId="0" fontId="101" fillId="4" borderId="0" applyNumberFormat="0" applyBorder="0" applyAlignment="0" applyProtection="0">
      <alignment vertical="center"/>
    </xf>
    <xf numFmtId="0" fontId="101" fillId="4" borderId="0" applyNumberFormat="0" applyBorder="0" applyAlignment="0" applyProtection="0">
      <alignment vertical="center"/>
    </xf>
    <xf numFmtId="0" fontId="101" fillId="4" borderId="0" applyNumberFormat="0" applyBorder="0" applyAlignment="0" applyProtection="0">
      <alignment vertical="center"/>
    </xf>
    <xf numFmtId="0" fontId="101" fillId="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2"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2"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2"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2"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2"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2"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5" borderId="0" applyNumberFormat="0" applyBorder="0" applyAlignment="0" applyProtection="0">
      <alignment vertical="center"/>
    </xf>
    <xf numFmtId="0" fontId="101" fillId="5" borderId="0" applyNumberFormat="0" applyBorder="0" applyAlignment="0" applyProtection="0">
      <alignment vertical="center"/>
    </xf>
    <xf numFmtId="0" fontId="101" fillId="5" borderId="0" applyNumberFormat="0" applyBorder="0" applyAlignment="0" applyProtection="0">
      <alignment vertical="center"/>
    </xf>
    <xf numFmtId="0" fontId="101" fillId="5" borderId="0" applyNumberFormat="0" applyBorder="0" applyAlignment="0" applyProtection="0">
      <alignment vertical="center"/>
    </xf>
    <xf numFmtId="0" fontId="101" fillId="5" borderId="0" applyNumberFormat="0" applyBorder="0" applyAlignment="0" applyProtection="0">
      <alignment vertical="center"/>
    </xf>
    <xf numFmtId="0" fontId="101" fillId="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2"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2"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2"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101" fillId="42"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101" fillId="42"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101" fillId="42"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101" fillId="46" borderId="0" applyNumberFormat="0" applyBorder="0" applyAlignment="0" applyProtection="0">
      <alignment vertical="center"/>
    </xf>
    <xf numFmtId="0" fontId="101" fillId="46" borderId="0" applyNumberFormat="0" applyBorder="0" applyAlignment="0" applyProtection="0">
      <alignment vertical="center"/>
    </xf>
    <xf numFmtId="0" fontId="101" fillId="4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101" fillId="42"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101" fillId="42"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101" fillId="42"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101" fillId="42"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101" fillId="42"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101" fillId="42"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101" fillId="47" borderId="0" applyNumberFormat="0" applyBorder="0" applyAlignment="0" applyProtection="0">
      <alignment vertical="center"/>
    </xf>
    <xf numFmtId="0" fontId="101" fillId="47" borderId="0" applyNumberFormat="0" applyBorder="0" applyAlignment="0" applyProtection="0">
      <alignment vertical="center"/>
    </xf>
    <xf numFmtId="0" fontId="101" fillId="4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101" fillId="42"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101" fillId="42"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101" fillId="42"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101" fillId="42"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101" fillId="2"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101" fillId="42"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101" fillId="48" borderId="0" applyNumberFormat="0" applyBorder="0" applyAlignment="0" applyProtection="0">
      <alignment vertical="center"/>
    </xf>
    <xf numFmtId="0" fontId="101" fillId="48" borderId="0" applyNumberFormat="0" applyBorder="0" applyAlignment="0" applyProtection="0">
      <alignment vertical="center"/>
    </xf>
    <xf numFmtId="0" fontId="101" fillId="4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101" fillId="2"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101" fillId="2"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101" fillId="2"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101" fillId="2"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101" fillId="2"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101" fillId="42"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101" fillId="49" borderId="0" applyNumberFormat="0" applyBorder="0" applyAlignment="0" applyProtection="0">
      <alignment vertical="center"/>
    </xf>
    <xf numFmtId="0" fontId="101" fillId="49" borderId="0" applyNumberFormat="0" applyBorder="0" applyAlignment="0" applyProtection="0">
      <alignment vertical="center"/>
    </xf>
    <xf numFmtId="0" fontId="101" fillId="4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101" fillId="42"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101" fillId="42"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101" fillId="42"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101" fillId="42"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101" fillId="2"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2"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10" borderId="0" applyNumberFormat="0" applyBorder="0" applyAlignment="0" applyProtection="0">
      <alignment vertical="center"/>
    </xf>
    <xf numFmtId="0" fontId="101" fillId="10" borderId="0" applyNumberFormat="0" applyBorder="0" applyAlignment="0" applyProtection="0">
      <alignment vertical="center"/>
    </xf>
    <xf numFmtId="0" fontId="101" fillId="10" borderId="0" applyNumberFormat="0" applyBorder="0" applyAlignment="0" applyProtection="0">
      <alignment vertical="center"/>
    </xf>
    <xf numFmtId="0" fontId="101" fillId="10" borderId="0" applyNumberFormat="0" applyBorder="0" applyAlignment="0" applyProtection="0">
      <alignment vertical="center"/>
    </xf>
    <xf numFmtId="0" fontId="101" fillId="10" borderId="0" applyNumberFormat="0" applyBorder="0" applyAlignment="0" applyProtection="0">
      <alignment vertical="center"/>
    </xf>
    <xf numFmtId="0" fontId="101" fillId="1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2"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2"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2"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2"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2"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2"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101" fillId="51" borderId="0" applyNumberFormat="0" applyBorder="0" applyAlignment="0" applyProtection="0">
      <alignment vertical="center"/>
    </xf>
    <xf numFmtId="0" fontId="101" fillId="51" borderId="0" applyNumberFormat="0" applyBorder="0" applyAlignment="0" applyProtection="0">
      <alignment vertical="center"/>
    </xf>
    <xf numFmtId="0" fontId="101" fillId="51"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2"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2"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2"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2"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2"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2"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101" fillId="52" borderId="0" applyNumberFormat="0" applyBorder="0" applyAlignment="0" applyProtection="0">
      <alignment vertical="center"/>
    </xf>
    <xf numFmtId="0" fontId="101" fillId="52" borderId="0" applyNumberFormat="0" applyBorder="0" applyAlignment="0" applyProtection="0">
      <alignment vertical="center"/>
    </xf>
    <xf numFmtId="0" fontId="101" fillId="52"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2"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2"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2"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2"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2"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2"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101" fillId="53" borderId="0" applyNumberFormat="0" applyBorder="0" applyAlignment="0" applyProtection="0">
      <alignment vertical="center"/>
    </xf>
    <xf numFmtId="0" fontId="101" fillId="53" borderId="0" applyNumberFormat="0" applyBorder="0" applyAlignment="0" applyProtection="0">
      <alignment vertical="center"/>
    </xf>
    <xf numFmtId="0" fontId="101" fillId="53"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2"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2"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2"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2"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2"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4" fillId="12" borderId="0" applyNumberFormat="0" applyBorder="0" applyAlignment="0" applyProtection="0">
      <alignment vertical="center"/>
    </xf>
    <xf numFmtId="0" fontId="102" fillId="54" borderId="0" applyNumberFormat="0" applyBorder="0" applyAlignment="0" applyProtection="0">
      <alignment vertical="center"/>
    </xf>
    <xf numFmtId="0" fontId="102" fillId="54" borderId="0" applyNumberFormat="0" applyBorder="0" applyAlignment="0" applyProtection="0">
      <alignment vertical="center"/>
    </xf>
    <xf numFmtId="0" fontId="102" fillId="54" borderId="0" applyNumberFormat="0" applyBorder="0" applyAlignment="0" applyProtection="0">
      <alignment vertical="center"/>
    </xf>
    <xf numFmtId="0" fontId="84" fillId="12" borderId="0" applyNumberFormat="0" applyBorder="0" applyAlignment="0" applyProtection="0">
      <alignment vertical="center"/>
    </xf>
    <xf numFmtId="0" fontId="84" fillId="12" borderId="0" applyNumberFormat="0" applyBorder="0" applyAlignment="0" applyProtection="0">
      <alignment vertical="center"/>
    </xf>
    <xf numFmtId="0" fontId="84" fillId="12" borderId="0" applyNumberFormat="0" applyBorder="0" applyAlignment="0" applyProtection="0">
      <alignment vertical="center"/>
    </xf>
    <xf numFmtId="0" fontId="84" fillId="12" borderId="0" applyNumberFormat="0" applyBorder="0" applyAlignment="0" applyProtection="0">
      <alignment vertical="center"/>
    </xf>
    <xf numFmtId="0" fontId="84" fillId="12" borderId="0" applyNumberFormat="0" applyBorder="0" applyAlignment="0" applyProtection="0">
      <alignment vertical="center"/>
    </xf>
    <xf numFmtId="0" fontId="84" fillId="12" borderId="0" applyNumberFormat="0" applyBorder="0" applyAlignment="0" applyProtection="0">
      <alignment vertical="center"/>
    </xf>
    <xf numFmtId="0" fontId="84" fillId="9" borderId="0" applyNumberFormat="0" applyBorder="0" applyAlignment="0" applyProtection="0">
      <alignment vertical="center"/>
    </xf>
    <xf numFmtId="0" fontId="102" fillId="55" borderId="0" applyNumberFormat="0" applyBorder="0" applyAlignment="0" applyProtection="0">
      <alignment vertical="center"/>
    </xf>
    <xf numFmtId="0" fontId="102" fillId="55" borderId="0" applyNumberFormat="0" applyBorder="0" applyAlignment="0" applyProtection="0">
      <alignment vertical="center"/>
    </xf>
    <xf numFmtId="0" fontId="102" fillId="55" borderId="0" applyNumberFormat="0" applyBorder="0" applyAlignment="0" applyProtection="0">
      <alignment vertical="center"/>
    </xf>
    <xf numFmtId="0" fontId="84" fillId="9" borderId="0" applyNumberFormat="0" applyBorder="0" applyAlignment="0" applyProtection="0">
      <alignment vertical="center"/>
    </xf>
    <xf numFmtId="0" fontId="84" fillId="9" borderId="0" applyNumberFormat="0" applyBorder="0" applyAlignment="0" applyProtection="0">
      <alignment vertical="center"/>
    </xf>
    <xf numFmtId="0" fontId="84" fillId="9" borderId="0" applyNumberFormat="0" applyBorder="0" applyAlignment="0" applyProtection="0">
      <alignment vertical="center"/>
    </xf>
    <xf numFmtId="0" fontId="84" fillId="9" borderId="0" applyNumberFormat="0" applyBorder="0" applyAlignment="0" applyProtection="0">
      <alignment vertical="center"/>
    </xf>
    <xf numFmtId="0" fontId="84" fillId="9" borderId="0" applyNumberFormat="0" applyBorder="0" applyAlignment="0" applyProtection="0">
      <alignment vertical="center"/>
    </xf>
    <xf numFmtId="0" fontId="84" fillId="9" borderId="0" applyNumberFormat="0" applyBorder="0" applyAlignment="0" applyProtection="0">
      <alignment vertical="center"/>
    </xf>
    <xf numFmtId="0" fontId="84" fillId="10"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84" fillId="10" borderId="0" applyNumberFormat="0" applyBorder="0" applyAlignment="0" applyProtection="0">
      <alignment vertical="center"/>
    </xf>
    <xf numFmtId="0" fontId="84" fillId="10" borderId="0" applyNumberFormat="0" applyBorder="0" applyAlignment="0" applyProtection="0">
      <alignment vertical="center"/>
    </xf>
    <xf numFmtId="0" fontId="84" fillId="10" borderId="0" applyNumberFormat="0" applyBorder="0" applyAlignment="0" applyProtection="0">
      <alignment vertical="center"/>
    </xf>
    <xf numFmtId="0" fontId="84" fillId="10" borderId="0" applyNumberFormat="0" applyBorder="0" applyAlignment="0" applyProtection="0">
      <alignment vertical="center"/>
    </xf>
    <xf numFmtId="0" fontId="84" fillId="10" borderId="0" applyNumberFormat="0" applyBorder="0" applyAlignment="0" applyProtection="0">
      <alignment vertical="center"/>
    </xf>
    <xf numFmtId="0" fontId="84" fillId="10" borderId="0" applyNumberFormat="0" applyBorder="0" applyAlignment="0" applyProtection="0">
      <alignment vertical="center"/>
    </xf>
    <xf numFmtId="0" fontId="84" fillId="13"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13" borderId="0" applyNumberFormat="0" applyBorder="0" applyAlignment="0" applyProtection="0">
      <alignment vertical="center"/>
    </xf>
    <xf numFmtId="0" fontId="102" fillId="13" borderId="0" applyNumberFormat="0" applyBorder="0" applyAlignment="0" applyProtection="0">
      <alignment vertical="center"/>
    </xf>
    <xf numFmtId="0" fontId="102" fillId="13" borderId="0" applyNumberFormat="0" applyBorder="0" applyAlignment="0" applyProtection="0">
      <alignment vertical="center"/>
    </xf>
    <xf numFmtId="0" fontId="102" fillId="13" borderId="0" applyNumberFormat="0" applyBorder="0" applyAlignment="0" applyProtection="0">
      <alignment vertical="center"/>
    </xf>
    <xf numFmtId="0" fontId="102" fillId="13" borderId="0" applyNumberFormat="0" applyBorder="0" applyAlignment="0" applyProtection="0">
      <alignment vertical="center"/>
    </xf>
    <xf numFmtId="0" fontId="102" fillId="13"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84" fillId="13" borderId="0" applyNumberFormat="0" applyBorder="0" applyAlignment="0" applyProtection="0">
      <alignment vertical="center"/>
    </xf>
    <xf numFmtId="0" fontId="84" fillId="13" borderId="0" applyNumberFormat="0" applyBorder="0" applyAlignment="0" applyProtection="0">
      <alignment vertical="center"/>
    </xf>
    <xf numFmtId="0" fontId="84" fillId="13" borderId="0" applyNumberFormat="0" applyBorder="0" applyAlignment="0" applyProtection="0">
      <alignment vertical="center"/>
    </xf>
    <xf numFmtId="0" fontId="84" fillId="13" borderId="0" applyNumberFormat="0" applyBorder="0" applyAlignment="0" applyProtection="0">
      <alignment vertical="center"/>
    </xf>
    <xf numFmtId="0" fontId="84" fillId="13" borderId="0" applyNumberFormat="0" applyBorder="0" applyAlignment="0" applyProtection="0">
      <alignment vertical="center"/>
    </xf>
    <xf numFmtId="0" fontId="84" fillId="13" borderId="0" applyNumberFormat="0" applyBorder="0" applyAlignment="0" applyProtection="0">
      <alignment vertical="center"/>
    </xf>
    <xf numFmtId="0" fontId="84" fillId="14" borderId="0" applyNumberFormat="0" applyBorder="0" applyAlignment="0" applyProtection="0">
      <alignment vertical="center"/>
    </xf>
    <xf numFmtId="0" fontId="102" fillId="58" borderId="0" applyNumberFormat="0" applyBorder="0" applyAlignment="0" applyProtection="0">
      <alignment vertical="center"/>
    </xf>
    <xf numFmtId="0" fontId="102" fillId="58" borderId="0" applyNumberFormat="0" applyBorder="0" applyAlignment="0" applyProtection="0">
      <alignment vertical="center"/>
    </xf>
    <xf numFmtId="0" fontId="102" fillId="58" borderId="0" applyNumberFormat="0" applyBorder="0" applyAlignment="0" applyProtection="0">
      <alignment vertical="center"/>
    </xf>
    <xf numFmtId="0" fontId="84" fillId="14" borderId="0" applyNumberFormat="0" applyBorder="0" applyAlignment="0" applyProtection="0">
      <alignment vertical="center"/>
    </xf>
    <xf numFmtId="0" fontId="84" fillId="14" borderId="0" applyNumberFormat="0" applyBorder="0" applyAlignment="0" applyProtection="0">
      <alignment vertical="center"/>
    </xf>
    <xf numFmtId="0" fontId="84" fillId="14" borderId="0" applyNumberFormat="0" applyBorder="0" applyAlignment="0" applyProtection="0">
      <alignment vertical="center"/>
    </xf>
    <xf numFmtId="0" fontId="84" fillId="14" borderId="0" applyNumberFormat="0" applyBorder="0" applyAlignment="0" applyProtection="0">
      <alignment vertical="center"/>
    </xf>
    <xf numFmtId="0" fontId="84" fillId="14" borderId="0" applyNumberFormat="0" applyBorder="0" applyAlignment="0" applyProtection="0">
      <alignment vertical="center"/>
    </xf>
    <xf numFmtId="0" fontId="84" fillId="14" borderId="0" applyNumberFormat="0" applyBorder="0" applyAlignment="0" applyProtection="0">
      <alignment vertical="center"/>
    </xf>
    <xf numFmtId="0" fontId="84" fillId="15"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15" borderId="0" applyNumberFormat="0" applyBorder="0" applyAlignment="0" applyProtection="0">
      <alignment vertical="center"/>
    </xf>
    <xf numFmtId="0" fontId="102" fillId="15" borderId="0" applyNumberFormat="0" applyBorder="0" applyAlignment="0" applyProtection="0">
      <alignment vertical="center"/>
    </xf>
    <xf numFmtId="0" fontId="102" fillId="15" borderId="0" applyNumberFormat="0" applyBorder="0" applyAlignment="0" applyProtection="0">
      <alignment vertical="center"/>
    </xf>
    <xf numFmtId="0" fontId="102" fillId="15" borderId="0" applyNumberFormat="0" applyBorder="0" applyAlignment="0" applyProtection="0">
      <alignment vertical="center"/>
    </xf>
    <xf numFmtId="0" fontId="102" fillId="15" borderId="0" applyNumberFormat="0" applyBorder="0" applyAlignment="0" applyProtection="0">
      <alignment vertical="center"/>
    </xf>
    <xf numFmtId="0" fontId="102" fillId="15"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84" fillId="15" borderId="0" applyNumberFormat="0" applyBorder="0" applyAlignment="0" applyProtection="0">
      <alignment vertical="center"/>
    </xf>
    <xf numFmtId="0" fontId="84" fillId="15" borderId="0" applyNumberFormat="0" applyBorder="0" applyAlignment="0" applyProtection="0">
      <alignment vertical="center"/>
    </xf>
    <xf numFmtId="0" fontId="84" fillId="15" borderId="0" applyNumberFormat="0" applyBorder="0" applyAlignment="0" applyProtection="0">
      <alignment vertical="center"/>
    </xf>
    <xf numFmtId="0" fontId="84" fillId="15" borderId="0" applyNumberFormat="0" applyBorder="0" applyAlignment="0" applyProtection="0">
      <alignment vertical="center"/>
    </xf>
    <xf numFmtId="0" fontId="84" fillId="15" borderId="0" applyNumberFormat="0" applyBorder="0" applyAlignment="0" applyProtection="0">
      <alignment vertical="center"/>
    </xf>
    <xf numFmtId="0" fontId="84" fillId="15" borderId="0" applyNumberFormat="0" applyBorder="0" applyAlignment="0" applyProtection="0">
      <alignment vertical="center"/>
    </xf>
    <xf numFmtId="0" fontId="85" fillId="0" borderId="0" applyNumberFormat="0" applyFill="0" applyBorder="0" applyAlignment="0" applyProtection="0">
      <alignment vertical="center"/>
    </xf>
    <xf numFmtId="0" fontId="86" fillId="0" borderId="1" applyNumberFormat="0" applyFill="0" applyAlignment="0" applyProtection="0">
      <alignment vertical="center"/>
    </xf>
    <xf numFmtId="0" fontId="103" fillId="0" borderId="19" applyNumberFormat="0" applyFill="0" applyAlignment="0" applyProtection="0">
      <alignment vertical="center"/>
    </xf>
    <xf numFmtId="0" fontId="103" fillId="0" borderId="19" applyNumberFormat="0" applyFill="0" applyAlignment="0" applyProtection="0">
      <alignment vertical="center"/>
    </xf>
    <xf numFmtId="0" fontId="103" fillId="0" borderId="19" applyNumberFormat="0" applyFill="0" applyAlignment="0" applyProtection="0">
      <alignment vertical="center"/>
    </xf>
    <xf numFmtId="0" fontId="86" fillId="0" borderId="1" applyNumberFormat="0" applyFill="0" applyAlignment="0" applyProtection="0">
      <alignment vertical="center"/>
    </xf>
    <xf numFmtId="0" fontId="86" fillId="0" borderId="1" applyNumberFormat="0" applyFill="0" applyAlignment="0" applyProtection="0">
      <alignment vertical="center"/>
    </xf>
    <xf numFmtId="0" fontId="86" fillId="0" borderId="1" applyNumberFormat="0" applyFill="0" applyAlignment="0" applyProtection="0">
      <alignment vertical="center"/>
    </xf>
    <xf numFmtId="0" fontId="86" fillId="0" borderId="1" applyNumberFormat="0" applyFill="0" applyAlignment="0" applyProtection="0">
      <alignment vertical="center"/>
    </xf>
    <xf numFmtId="0" fontId="86" fillId="0" borderId="1" applyNumberFormat="0" applyFill="0" applyAlignment="0" applyProtection="0">
      <alignment vertical="center"/>
    </xf>
    <xf numFmtId="0" fontId="86" fillId="0" borderId="1" applyNumberFormat="0" applyFill="0" applyAlignment="0" applyProtection="0">
      <alignment vertical="center"/>
    </xf>
    <xf numFmtId="0" fontId="87" fillId="0" borderId="2" applyNumberFormat="0" applyFill="0" applyAlignment="0" applyProtection="0">
      <alignment vertical="center"/>
    </xf>
    <xf numFmtId="0" fontId="104" fillId="0" borderId="20" applyNumberFormat="0" applyFill="0" applyAlignment="0" applyProtection="0">
      <alignment vertical="center"/>
    </xf>
    <xf numFmtId="0" fontId="104" fillId="0" borderId="20" applyNumberFormat="0" applyFill="0" applyAlignment="0" applyProtection="0">
      <alignment vertical="center"/>
    </xf>
    <xf numFmtId="0" fontId="104" fillId="0" borderId="20" applyNumberFormat="0" applyFill="0" applyAlignment="0" applyProtection="0">
      <alignment vertical="center"/>
    </xf>
    <xf numFmtId="0" fontId="87" fillId="0" borderId="2" applyNumberFormat="0" applyFill="0" applyAlignment="0" applyProtection="0">
      <alignment vertical="center"/>
    </xf>
    <xf numFmtId="0" fontId="87" fillId="0" borderId="2" applyNumberFormat="0" applyFill="0" applyAlignment="0" applyProtection="0">
      <alignment vertical="center"/>
    </xf>
    <xf numFmtId="0" fontId="87" fillId="0" borderId="2" applyNumberFormat="0" applyFill="0" applyAlignment="0" applyProtection="0">
      <alignment vertical="center"/>
    </xf>
    <xf numFmtId="0" fontId="87" fillId="0" borderId="2" applyNumberFormat="0" applyFill="0" applyAlignment="0" applyProtection="0">
      <alignment vertical="center"/>
    </xf>
    <xf numFmtId="0" fontId="87" fillId="0" borderId="2" applyNumberFormat="0" applyFill="0" applyAlignment="0" applyProtection="0">
      <alignment vertical="center"/>
    </xf>
    <xf numFmtId="0" fontId="87" fillId="0" borderId="2" applyNumberFormat="0" applyFill="0" applyAlignment="0" applyProtection="0">
      <alignment vertical="center"/>
    </xf>
    <xf numFmtId="0" fontId="88" fillId="0" borderId="3" applyNumberFormat="0" applyFill="0" applyAlignment="0" applyProtection="0">
      <alignment vertical="center"/>
    </xf>
    <xf numFmtId="0" fontId="105" fillId="0" borderId="21" applyNumberFormat="0" applyFill="0" applyAlignment="0" applyProtection="0">
      <alignment vertical="center"/>
    </xf>
    <xf numFmtId="0" fontId="105" fillId="0" borderId="21" applyNumberFormat="0" applyFill="0" applyAlignment="0" applyProtection="0">
      <alignment vertical="center"/>
    </xf>
    <xf numFmtId="0" fontId="105" fillId="0" borderId="21" applyNumberFormat="0" applyFill="0" applyAlignment="0" applyProtection="0">
      <alignment vertical="center"/>
    </xf>
    <xf numFmtId="0" fontId="88" fillId="0" borderId="3" applyNumberFormat="0" applyFill="0" applyAlignment="0" applyProtection="0">
      <alignment vertical="center"/>
    </xf>
    <xf numFmtId="0" fontId="88" fillId="0" borderId="3" applyNumberFormat="0" applyFill="0" applyAlignment="0" applyProtection="0">
      <alignment vertical="center"/>
    </xf>
    <xf numFmtId="0" fontId="88" fillId="0" borderId="3" applyNumberFormat="0" applyFill="0" applyAlignment="0" applyProtection="0">
      <alignment vertical="center"/>
    </xf>
    <xf numFmtId="0" fontId="88" fillId="0" borderId="3" applyNumberFormat="0" applyFill="0" applyAlignment="0" applyProtection="0">
      <alignment vertical="center"/>
    </xf>
    <xf numFmtId="0" fontId="88" fillId="0" borderId="3" applyNumberFormat="0" applyFill="0" applyAlignment="0" applyProtection="0">
      <alignment vertical="center"/>
    </xf>
    <xf numFmtId="0" fontId="88" fillId="0" borderId="3" applyNumberFormat="0" applyFill="0" applyAlignment="0" applyProtection="0">
      <alignment vertical="center"/>
    </xf>
    <xf numFmtId="0" fontId="88" fillId="0" borderId="0" applyNumberFormat="0" applyFill="0" applyBorder="0" applyAlignment="0" applyProtection="0">
      <alignment vertical="center"/>
    </xf>
    <xf numFmtId="0" fontId="105" fillId="0" borderId="0" applyNumberFormat="0" applyFill="0" applyBorder="0" applyAlignment="0" applyProtection="0">
      <alignment vertical="center"/>
    </xf>
    <xf numFmtId="0" fontId="105" fillId="0" borderId="0" applyNumberFormat="0" applyFill="0" applyBorder="0" applyAlignment="0" applyProtection="0">
      <alignment vertical="center"/>
    </xf>
    <xf numFmtId="0" fontId="105"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106" fillId="0" borderId="0" applyNumberFormat="0" applyFill="0" applyBorder="0" applyAlignment="0" applyProtection="0">
      <alignment vertical="center"/>
    </xf>
    <xf numFmtId="0" fontId="106" fillId="0" borderId="0" applyNumberFormat="0" applyFill="0" applyBorder="0" applyAlignment="0" applyProtection="0">
      <alignment vertical="center"/>
    </xf>
    <xf numFmtId="0" fontId="106" fillId="0" borderId="0" applyNumberFormat="0" applyFill="0" applyBorder="0" applyAlignment="0" applyProtection="0">
      <alignment vertical="center"/>
    </xf>
    <xf numFmtId="0" fontId="85" fillId="0" borderId="0" applyNumberFormat="0" applyFill="0" applyBorder="0" applyAlignment="0" applyProtection="0">
      <alignment vertical="center"/>
    </xf>
    <xf numFmtId="0" fontId="85" fillId="0" borderId="0" applyNumberFormat="0" applyFill="0" applyBorder="0" applyAlignment="0" applyProtection="0">
      <alignment vertical="center"/>
    </xf>
    <xf numFmtId="0" fontId="85" fillId="0" borderId="0" applyNumberFormat="0" applyFill="0" applyBorder="0" applyAlignment="0" applyProtection="0">
      <alignment vertical="center"/>
    </xf>
    <xf numFmtId="0" fontId="85" fillId="0" borderId="0" applyNumberFormat="0" applyFill="0" applyBorder="0" applyAlignment="0" applyProtection="0">
      <alignment vertical="center"/>
    </xf>
    <xf numFmtId="0" fontId="85" fillId="0" borderId="0" applyNumberFormat="0" applyFill="0" applyBorder="0" applyAlignment="0" applyProtection="0">
      <alignment vertical="center"/>
    </xf>
    <xf numFmtId="0" fontId="85" fillId="0" borderId="0" applyNumberFormat="0" applyFill="0" applyBorder="0" applyAlignment="0" applyProtection="0">
      <alignment vertical="center"/>
    </xf>
    <xf numFmtId="0" fontId="89" fillId="3" borderId="0" applyNumberFormat="0" applyBorder="0" applyAlignment="0" applyProtection="0">
      <alignment vertical="center"/>
    </xf>
    <xf numFmtId="0" fontId="107" fillId="60" borderId="0" applyNumberFormat="0" applyBorder="0" applyAlignment="0" applyProtection="0">
      <alignment vertical="center"/>
    </xf>
    <xf numFmtId="0" fontId="107" fillId="60" borderId="0" applyNumberFormat="0" applyBorder="0" applyAlignment="0" applyProtection="0">
      <alignment vertical="center"/>
    </xf>
    <xf numFmtId="0" fontId="107" fillId="60" borderId="0" applyNumberFormat="0" applyBorder="0" applyAlignment="0" applyProtection="0">
      <alignment vertical="center"/>
    </xf>
    <xf numFmtId="0" fontId="89" fillId="3" borderId="0" applyNumberFormat="0" applyBorder="0" applyAlignment="0" applyProtection="0">
      <alignment vertical="center"/>
    </xf>
    <xf numFmtId="0" fontId="89" fillId="3" borderId="0" applyNumberFormat="0" applyBorder="0" applyAlignment="0" applyProtection="0">
      <alignment vertical="center"/>
    </xf>
    <xf numFmtId="0" fontId="89" fillId="3" borderId="0" applyNumberFormat="0" applyBorder="0" applyAlignment="0" applyProtection="0">
      <alignment vertical="center"/>
    </xf>
    <xf numFmtId="0" fontId="89" fillId="3" borderId="0" applyNumberFormat="0" applyBorder="0" applyAlignment="0" applyProtection="0">
      <alignment vertical="center"/>
    </xf>
    <xf numFmtId="0" fontId="89" fillId="3" borderId="0" applyNumberFormat="0" applyBorder="0" applyAlignment="0" applyProtection="0">
      <alignment vertical="center"/>
    </xf>
    <xf numFmtId="0" fontId="89" fillId="3" borderId="0" applyNumberFormat="0" applyBorder="0" applyAlignment="0" applyProtection="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101" fillId="0" borderId="0">
      <alignment vertical="center"/>
    </xf>
    <xf numFmtId="0" fontId="101" fillId="0" borderId="0">
      <alignment vertical="center"/>
    </xf>
    <xf numFmtId="0" fontId="101" fillId="0" borderId="0">
      <alignment vertical="center"/>
    </xf>
    <xf numFmtId="0" fontId="82" fillId="0" borderId="0">
      <alignment vertical="center"/>
    </xf>
    <xf numFmtId="0" fontId="82" fillId="0" borderId="0">
      <alignment vertical="center"/>
    </xf>
    <xf numFmtId="0" fontId="82" fillId="0" borderId="0">
      <alignment vertical="center"/>
    </xf>
    <xf numFmtId="0" fontId="90" fillId="4" borderId="0" applyNumberFormat="0" applyBorder="0" applyAlignment="0" applyProtection="0">
      <alignment vertical="center"/>
    </xf>
    <xf numFmtId="0" fontId="108" fillId="61" borderId="0" applyNumberFormat="0" applyBorder="0" applyAlignment="0" applyProtection="0">
      <alignment vertical="center"/>
    </xf>
    <xf numFmtId="0" fontId="108" fillId="61" borderId="0" applyNumberFormat="0" applyBorder="0" applyAlignment="0" applyProtection="0">
      <alignment vertical="center"/>
    </xf>
    <xf numFmtId="0" fontId="108" fillId="61" borderId="0" applyNumberFormat="0" applyBorder="0" applyAlignment="0" applyProtection="0">
      <alignment vertical="center"/>
    </xf>
    <xf numFmtId="0" fontId="90" fillId="4" borderId="0" applyNumberFormat="0" applyBorder="0" applyAlignment="0" applyProtection="0">
      <alignment vertical="center"/>
    </xf>
    <xf numFmtId="0" fontId="90" fillId="4" borderId="0" applyNumberFormat="0" applyBorder="0" applyAlignment="0" applyProtection="0">
      <alignment vertical="center"/>
    </xf>
    <xf numFmtId="0" fontId="90" fillId="4" borderId="0" applyNumberFormat="0" applyBorder="0" applyAlignment="0" applyProtection="0">
      <alignment vertical="center"/>
    </xf>
    <xf numFmtId="0" fontId="90" fillId="4" borderId="0" applyNumberFormat="0" applyBorder="0" applyAlignment="0" applyProtection="0">
      <alignment vertical="center"/>
    </xf>
    <xf numFmtId="0" fontId="90" fillId="4" borderId="0" applyNumberFormat="0" applyBorder="0" applyAlignment="0" applyProtection="0">
      <alignment vertical="center"/>
    </xf>
    <xf numFmtId="0" fontId="90" fillId="4" borderId="0" applyNumberFormat="0" applyBorder="0" applyAlignment="0" applyProtection="0">
      <alignment vertical="center"/>
    </xf>
    <xf numFmtId="0" fontId="91" fillId="0" borderId="4" applyNumberFormat="0" applyFill="0" applyAlignment="0" applyProtection="0">
      <alignment vertical="center"/>
    </xf>
    <xf numFmtId="0" fontId="109" fillId="0" borderId="22" applyNumberFormat="0" applyFill="0" applyAlignment="0" applyProtection="0">
      <alignment vertical="center"/>
    </xf>
    <xf numFmtId="0" fontId="109" fillId="0" borderId="22" applyNumberFormat="0" applyFill="0" applyAlignment="0" applyProtection="0">
      <alignment vertical="center"/>
    </xf>
    <xf numFmtId="0" fontId="109" fillId="0" borderId="22" applyNumberFormat="0" applyFill="0" applyAlignment="0" applyProtection="0">
      <alignment vertical="center"/>
    </xf>
    <xf numFmtId="0" fontId="91" fillId="0" borderId="4" applyNumberFormat="0" applyFill="0" applyAlignment="0" applyProtection="0">
      <alignment vertical="center"/>
    </xf>
    <xf numFmtId="0" fontId="91" fillId="0" borderId="4" applyNumberFormat="0" applyFill="0" applyAlignment="0" applyProtection="0">
      <alignment vertical="center"/>
    </xf>
    <xf numFmtId="0" fontId="91" fillId="0" borderId="4" applyNumberFormat="0" applyFill="0" applyAlignment="0" applyProtection="0">
      <alignment vertical="center"/>
    </xf>
    <xf numFmtId="0" fontId="91" fillId="0" borderId="4" applyNumberFormat="0" applyFill="0" applyAlignment="0" applyProtection="0">
      <alignment vertical="center"/>
    </xf>
    <xf numFmtId="0" fontId="91" fillId="0" borderId="4" applyNumberFormat="0" applyFill="0" applyAlignment="0" applyProtection="0">
      <alignment vertical="center"/>
    </xf>
    <xf numFmtId="0" fontId="91" fillId="0" borderId="4" applyNumberFormat="0" applyFill="0" applyAlignment="0" applyProtection="0">
      <alignment vertical="center"/>
    </xf>
    <xf numFmtId="0" fontId="92" fillId="16" borderId="5" applyNumberFormat="0" applyAlignment="0" applyProtection="0">
      <alignment vertical="center"/>
    </xf>
    <xf numFmtId="0" fontId="110" fillId="62" borderId="23" applyNumberFormat="0" applyAlignment="0" applyProtection="0">
      <alignment vertical="center"/>
    </xf>
    <xf numFmtId="0" fontId="110" fillId="62" borderId="23" applyNumberFormat="0" applyAlignment="0" applyProtection="0">
      <alignment vertical="center"/>
    </xf>
    <xf numFmtId="0" fontId="110" fillId="62" borderId="23" applyNumberFormat="0" applyAlignment="0" applyProtection="0">
      <alignment vertical="center"/>
    </xf>
    <xf numFmtId="0" fontId="92" fillId="16" borderId="5" applyNumberFormat="0" applyAlignment="0" applyProtection="0">
      <alignment vertical="center"/>
    </xf>
    <xf numFmtId="0" fontId="92" fillId="16" borderId="5" applyNumberFormat="0" applyAlignment="0" applyProtection="0">
      <alignment vertical="center"/>
    </xf>
    <xf numFmtId="0" fontId="92" fillId="16" borderId="5" applyNumberFormat="0" applyAlignment="0" applyProtection="0">
      <alignment vertical="center"/>
    </xf>
    <xf numFmtId="0" fontId="92" fillId="16" borderId="5" applyNumberFormat="0" applyAlignment="0" applyProtection="0">
      <alignment vertical="center"/>
    </xf>
    <xf numFmtId="0" fontId="92" fillId="16" borderId="5" applyNumberFormat="0" applyAlignment="0" applyProtection="0">
      <alignment vertical="center"/>
    </xf>
    <xf numFmtId="0" fontId="92" fillId="16" borderId="5" applyNumberFormat="0" applyAlignment="0" applyProtection="0">
      <alignment vertical="center"/>
    </xf>
    <xf numFmtId="0" fontId="93" fillId="17" borderId="6" applyNumberFormat="0" applyAlignment="0" applyProtection="0">
      <alignment vertical="center"/>
    </xf>
    <xf numFmtId="0" fontId="111" fillId="63" borderId="24" applyNumberFormat="0" applyAlignment="0" applyProtection="0">
      <alignment vertical="center"/>
    </xf>
    <xf numFmtId="0" fontId="111" fillId="63" borderId="24" applyNumberFormat="0" applyAlignment="0" applyProtection="0">
      <alignment vertical="center"/>
    </xf>
    <xf numFmtId="0" fontId="111" fillId="63" borderId="24" applyNumberFormat="0" applyAlignment="0" applyProtection="0">
      <alignment vertical="center"/>
    </xf>
    <xf numFmtId="0" fontId="93" fillId="17" borderId="6" applyNumberFormat="0" applyAlignment="0" applyProtection="0">
      <alignment vertical="center"/>
    </xf>
    <xf numFmtId="0" fontId="93" fillId="17" borderId="6" applyNumberFormat="0" applyAlignment="0" applyProtection="0">
      <alignment vertical="center"/>
    </xf>
    <xf numFmtId="0" fontId="93" fillId="17" borderId="6" applyNumberFormat="0" applyAlignment="0" applyProtection="0">
      <alignment vertical="center"/>
    </xf>
    <xf numFmtId="0" fontId="93" fillId="17" borderId="6" applyNumberFormat="0" applyAlignment="0" applyProtection="0">
      <alignment vertical="center"/>
    </xf>
    <xf numFmtId="0" fontId="93" fillId="17" borderId="6" applyNumberFormat="0" applyAlignment="0" applyProtection="0">
      <alignment vertical="center"/>
    </xf>
    <xf numFmtId="0" fontId="93" fillId="17" borderId="6" applyNumberFormat="0" applyAlignment="0" applyProtection="0">
      <alignment vertical="center"/>
    </xf>
    <xf numFmtId="0" fontId="94" fillId="0" borderId="0" applyNumberFormat="0" applyFill="0" applyBorder="0" applyAlignment="0" applyProtection="0">
      <alignment vertical="center"/>
    </xf>
    <xf numFmtId="0" fontId="112" fillId="0" borderId="0" applyNumberFormat="0" applyFill="0" applyBorder="0" applyAlignment="0" applyProtection="0">
      <alignment vertical="center"/>
    </xf>
    <xf numFmtId="0" fontId="112" fillId="0" borderId="0" applyNumberFormat="0" applyFill="0" applyBorder="0" applyAlignment="0" applyProtection="0">
      <alignment vertical="center"/>
    </xf>
    <xf numFmtId="0" fontId="112"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113" fillId="0" borderId="0" applyNumberFormat="0" applyFill="0" applyBorder="0" applyAlignment="0" applyProtection="0">
      <alignment vertical="center"/>
    </xf>
    <xf numFmtId="0" fontId="113" fillId="0" borderId="0" applyNumberFormat="0" applyFill="0" applyBorder="0" applyAlignment="0" applyProtection="0">
      <alignment vertical="center"/>
    </xf>
    <xf numFmtId="0" fontId="113"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6" fillId="0" borderId="7" applyNumberFormat="0" applyFill="0" applyAlignment="0" applyProtection="0">
      <alignment vertical="center"/>
    </xf>
    <xf numFmtId="0" fontId="114" fillId="0" borderId="25" applyNumberFormat="0" applyFill="0" applyAlignment="0" applyProtection="0">
      <alignment vertical="center"/>
    </xf>
    <xf numFmtId="0" fontId="114" fillId="0" borderId="25" applyNumberFormat="0" applyFill="0" applyAlignment="0" applyProtection="0">
      <alignment vertical="center"/>
    </xf>
    <xf numFmtId="0" fontId="114" fillId="0" borderId="25" applyNumberFormat="0" applyFill="0" applyAlignment="0" applyProtection="0">
      <alignment vertical="center"/>
    </xf>
    <xf numFmtId="0" fontId="96" fillId="0" borderId="7" applyNumberFormat="0" applyFill="0" applyAlignment="0" applyProtection="0">
      <alignment vertical="center"/>
    </xf>
    <xf numFmtId="0" fontId="96" fillId="0" borderId="7" applyNumberFormat="0" applyFill="0" applyAlignment="0" applyProtection="0">
      <alignment vertical="center"/>
    </xf>
    <xf numFmtId="0" fontId="96" fillId="0" borderId="7" applyNumberFormat="0" applyFill="0" applyAlignment="0" applyProtection="0">
      <alignment vertical="center"/>
    </xf>
    <xf numFmtId="0" fontId="96" fillId="0" borderId="7" applyNumberFormat="0" applyFill="0" applyAlignment="0" applyProtection="0">
      <alignment vertical="center"/>
    </xf>
    <xf numFmtId="0" fontId="96" fillId="0" borderId="7" applyNumberFormat="0" applyFill="0" applyAlignment="0" applyProtection="0">
      <alignment vertical="center"/>
    </xf>
    <xf numFmtId="0" fontId="96" fillId="0" borderId="7" applyNumberFormat="0" applyFill="0" applyAlignment="0" applyProtection="0">
      <alignment vertical="center"/>
    </xf>
    <xf numFmtId="0" fontId="84" fillId="18" borderId="0" applyNumberFormat="0" applyBorder="0" applyAlignment="0" applyProtection="0">
      <alignment vertical="center"/>
    </xf>
    <xf numFmtId="0" fontId="102" fillId="64" borderId="0" applyNumberFormat="0" applyBorder="0" applyAlignment="0" applyProtection="0">
      <alignment vertical="center"/>
    </xf>
    <xf numFmtId="0" fontId="102" fillId="64" borderId="0" applyNumberFormat="0" applyBorder="0" applyAlignment="0" applyProtection="0">
      <alignment vertical="center"/>
    </xf>
    <xf numFmtId="0" fontId="102" fillId="64" borderId="0" applyNumberFormat="0" applyBorder="0" applyAlignment="0" applyProtection="0">
      <alignment vertical="center"/>
    </xf>
    <xf numFmtId="0" fontId="84" fillId="18" borderId="0" applyNumberFormat="0" applyBorder="0" applyAlignment="0" applyProtection="0">
      <alignment vertical="center"/>
    </xf>
    <xf numFmtId="0" fontId="84" fillId="18" borderId="0" applyNumberFormat="0" applyBorder="0" applyAlignment="0" applyProtection="0">
      <alignment vertical="center"/>
    </xf>
    <xf numFmtId="0" fontId="84" fillId="18" borderId="0" applyNumberFormat="0" applyBorder="0" applyAlignment="0" applyProtection="0">
      <alignment vertical="center"/>
    </xf>
    <xf numFmtId="0" fontId="84" fillId="18" borderId="0" applyNumberFormat="0" applyBorder="0" applyAlignment="0" applyProtection="0">
      <alignment vertical="center"/>
    </xf>
    <xf numFmtId="0" fontId="84" fillId="18" borderId="0" applyNumberFormat="0" applyBorder="0" applyAlignment="0" applyProtection="0">
      <alignment vertical="center"/>
    </xf>
    <xf numFmtId="0" fontId="84" fillId="18" borderId="0" applyNumberFormat="0" applyBorder="0" applyAlignment="0" applyProtection="0">
      <alignment vertical="center"/>
    </xf>
    <xf numFmtId="0" fontId="84" fillId="19" borderId="0" applyNumberFormat="0" applyBorder="0" applyAlignment="0" applyProtection="0">
      <alignment vertical="center"/>
    </xf>
    <xf numFmtId="0" fontId="102" fillId="65" borderId="0" applyNumberFormat="0" applyBorder="0" applyAlignment="0" applyProtection="0">
      <alignment vertical="center"/>
    </xf>
    <xf numFmtId="0" fontId="102" fillId="65" borderId="0" applyNumberFormat="0" applyBorder="0" applyAlignment="0" applyProtection="0">
      <alignment vertical="center"/>
    </xf>
    <xf numFmtId="0" fontId="102" fillId="65" borderId="0" applyNumberFormat="0" applyBorder="0" applyAlignment="0" applyProtection="0">
      <alignment vertical="center"/>
    </xf>
    <xf numFmtId="0" fontId="84" fillId="19" borderId="0" applyNumberFormat="0" applyBorder="0" applyAlignment="0" applyProtection="0">
      <alignment vertical="center"/>
    </xf>
    <xf numFmtId="0" fontId="84" fillId="19" borderId="0" applyNumberFormat="0" applyBorder="0" applyAlignment="0" applyProtection="0">
      <alignment vertical="center"/>
    </xf>
    <xf numFmtId="0" fontId="84" fillId="19" borderId="0" applyNumberFormat="0" applyBorder="0" applyAlignment="0" applyProtection="0">
      <alignment vertical="center"/>
    </xf>
    <xf numFmtId="0" fontId="84" fillId="19" borderId="0" applyNumberFormat="0" applyBorder="0" applyAlignment="0" applyProtection="0">
      <alignment vertical="center"/>
    </xf>
    <xf numFmtId="0" fontId="84" fillId="19" borderId="0" applyNumberFormat="0" applyBorder="0" applyAlignment="0" applyProtection="0">
      <alignment vertical="center"/>
    </xf>
    <xf numFmtId="0" fontId="84" fillId="19" borderId="0" applyNumberFormat="0" applyBorder="0" applyAlignment="0" applyProtection="0">
      <alignment vertical="center"/>
    </xf>
    <xf numFmtId="0" fontId="84" fillId="20" borderId="0" applyNumberFormat="0" applyBorder="0" applyAlignment="0" applyProtection="0">
      <alignment vertical="center"/>
    </xf>
    <xf numFmtId="0" fontId="102" fillId="66" borderId="0" applyNumberFormat="0" applyBorder="0" applyAlignment="0" applyProtection="0">
      <alignment vertical="center"/>
    </xf>
    <xf numFmtId="0" fontId="102" fillId="66" borderId="0" applyNumberFormat="0" applyBorder="0" applyAlignment="0" applyProtection="0">
      <alignment vertical="center"/>
    </xf>
    <xf numFmtId="0" fontId="102" fillId="66" borderId="0" applyNumberFormat="0" applyBorder="0" applyAlignment="0" applyProtection="0">
      <alignment vertical="center"/>
    </xf>
    <xf numFmtId="0" fontId="84" fillId="20" borderId="0" applyNumberFormat="0" applyBorder="0" applyAlignment="0" applyProtection="0">
      <alignment vertical="center"/>
    </xf>
    <xf numFmtId="0" fontId="84" fillId="20" borderId="0" applyNumberFormat="0" applyBorder="0" applyAlignment="0" applyProtection="0">
      <alignment vertical="center"/>
    </xf>
    <xf numFmtId="0" fontId="84" fillId="20" borderId="0" applyNumberFormat="0" applyBorder="0" applyAlignment="0" applyProtection="0">
      <alignment vertical="center"/>
    </xf>
    <xf numFmtId="0" fontId="84" fillId="20" borderId="0" applyNumberFormat="0" applyBorder="0" applyAlignment="0" applyProtection="0">
      <alignment vertical="center"/>
    </xf>
    <xf numFmtId="0" fontId="84" fillId="20" borderId="0" applyNumberFormat="0" applyBorder="0" applyAlignment="0" applyProtection="0">
      <alignment vertical="center"/>
    </xf>
    <xf numFmtId="0" fontId="84" fillId="20" borderId="0" applyNumberFormat="0" applyBorder="0" applyAlignment="0" applyProtection="0">
      <alignment vertical="center"/>
    </xf>
    <xf numFmtId="0" fontId="84" fillId="13" borderId="0" applyNumberFormat="0" applyBorder="0" applyAlignment="0" applyProtection="0">
      <alignment vertical="center"/>
    </xf>
    <xf numFmtId="0" fontId="102" fillId="67" borderId="0" applyNumberFormat="0" applyBorder="0" applyAlignment="0" applyProtection="0">
      <alignment vertical="center"/>
    </xf>
    <xf numFmtId="0" fontId="102" fillId="67" borderId="0" applyNumberFormat="0" applyBorder="0" applyAlignment="0" applyProtection="0">
      <alignment vertical="center"/>
    </xf>
    <xf numFmtId="0" fontId="102" fillId="67" borderId="0" applyNumberFormat="0" applyBorder="0" applyAlignment="0" applyProtection="0">
      <alignment vertical="center"/>
    </xf>
    <xf numFmtId="0" fontId="84" fillId="13" borderId="0" applyNumberFormat="0" applyBorder="0" applyAlignment="0" applyProtection="0">
      <alignment vertical="center"/>
    </xf>
    <xf numFmtId="0" fontId="84" fillId="13" borderId="0" applyNumberFormat="0" applyBorder="0" applyAlignment="0" applyProtection="0">
      <alignment vertical="center"/>
    </xf>
    <xf numFmtId="0" fontId="84" fillId="13" borderId="0" applyNumberFormat="0" applyBorder="0" applyAlignment="0" applyProtection="0">
      <alignment vertical="center"/>
    </xf>
    <xf numFmtId="0" fontId="84" fillId="13" borderId="0" applyNumberFormat="0" applyBorder="0" applyAlignment="0" applyProtection="0">
      <alignment vertical="center"/>
    </xf>
    <xf numFmtId="0" fontId="84" fillId="13" borderId="0" applyNumberFormat="0" applyBorder="0" applyAlignment="0" applyProtection="0">
      <alignment vertical="center"/>
    </xf>
    <xf numFmtId="0" fontId="84" fillId="13" borderId="0" applyNumberFormat="0" applyBorder="0" applyAlignment="0" applyProtection="0">
      <alignment vertical="center"/>
    </xf>
    <xf numFmtId="0" fontId="84" fillId="14" borderId="0" applyNumberFormat="0" applyBorder="0" applyAlignment="0" applyProtection="0">
      <alignment vertical="center"/>
    </xf>
    <xf numFmtId="0" fontId="102" fillId="68" borderId="0" applyNumberFormat="0" applyBorder="0" applyAlignment="0" applyProtection="0">
      <alignment vertical="center"/>
    </xf>
    <xf numFmtId="0" fontId="102" fillId="68" borderId="0" applyNumberFormat="0" applyBorder="0" applyAlignment="0" applyProtection="0">
      <alignment vertical="center"/>
    </xf>
    <xf numFmtId="0" fontId="102" fillId="68" borderId="0" applyNumberFormat="0" applyBorder="0" applyAlignment="0" applyProtection="0">
      <alignment vertical="center"/>
    </xf>
    <xf numFmtId="0" fontId="84" fillId="14" borderId="0" applyNumberFormat="0" applyBorder="0" applyAlignment="0" applyProtection="0">
      <alignment vertical="center"/>
    </xf>
    <xf numFmtId="0" fontId="84" fillId="14" borderId="0" applyNumberFormat="0" applyBorder="0" applyAlignment="0" applyProtection="0">
      <alignment vertical="center"/>
    </xf>
    <xf numFmtId="0" fontId="84" fillId="14" borderId="0" applyNumberFormat="0" applyBorder="0" applyAlignment="0" applyProtection="0">
      <alignment vertical="center"/>
    </xf>
    <xf numFmtId="0" fontId="84" fillId="14" borderId="0" applyNumberFormat="0" applyBorder="0" applyAlignment="0" applyProtection="0">
      <alignment vertical="center"/>
    </xf>
    <xf numFmtId="0" fontId="84" fillId="14" borderId="0" applyNumberFormat="0" applyBorder="0" applyAlignment="0" applyProtection="0">
      <alignment vertical="center"/>
    </xf>
    <xf numFmtId="0" fontId="84" fillId="14" borderId="0" applyNumberFormat="0" applyBorder="0" applyAlignment="0" applyProtection="0">
      <alignment vertical="center"/>
    </xf>
    <xf numFmtId="0" fontId="84" fillId="21" borderId="0" applyNumberFormat="0" applyBorder="0" applyAlignment="0" applyProtection="0">
      <alignment vertical="center"/>
    </xf>
    <xf numFmtId="0" fontId="102" fillId="69" borderId="0" applyNumberFormat="0" applyBorder="0" applyAlignment="0" applyProtection="0">
      <alignment vertical="center"/>
    </xf>
    <xf numFmtId="0" fontId="102" fillId="69" borderId="0" applyNumberFormat="0" applyBorder="0" applyAlignment="0" applyProtection="0">
      <alignment vertical="center"/>
    </xf>
    <xf numFmtId="0" fontId="102" fillId="69" borderId="0" applyNumberFormat="0" applyBorder="0" applyAlignment="0" applyProtection="0">
      <alignment vertical="center"/>
    </xf>
    <xf numFmtId="0" fontId="84" fillId="21" borderId="0" applyNumberFormat="0" applyBorder="0" applyAlignment="0" applyProtection="0">
      <alignment vertical="center"/>
    </xf>
    <xf numFmtId="0" fontId="84" fillId="21" borderId="0" applyNumberFormat="0" applyBorder="0" applyAlignment="0" applyProtection="0">
      <alignment vertical="center"/>
    </xf>
    <xf numFmtId="0" fontId="84" fillId="21" borderId="0" applyNumberFormat="0" applyBorder="0" applyAlignment="0" applyProtection="0">
      <alignment vertical="center"/>
    </xf>
    <xf numFmtId="0" fontId="84" fillId="21" borderId="0" applyNumberFormat="0" applyBorder="0" applyAlignment="0" applyProtection="0">
      <alignment vertical="center"/>
    </xf>
    <xf numFmtId="0" fontId="84" fillId="21" borderId="0" applyNumberFormat="0" applyBorder="0" applyAlignment="0" applyProtection="0">
      <alignment vertical="center"/>
    </xf>
    <xf numFmtId="0" fontId="84" fillId="21" borderId="0" applyNumberFormat="0" applyBorder="0" applyAlignment="0" applyProtection="0">
      <alignment vertical="center"/>
    </xf>
    <xf numFmtId="0" fontId="97" fillId="22" borderId="0" applyNumberFormat="0" applyBorder="0" applyAlignment="0" applyProtection="0">
      <alignment vertical="center"/>
    </xf>
    <xf numFmtId="0" fontId="115" fillId="70" borderId="0" applyNumberFormat="0" applyBorder="0" applyAlignment="0" applyProtection="0">
      <alignment vertical="center"/>
    </xf>
    <xf numFmtId="0" fontId="115" fillId="70" borderId="0" applyNumberFormat="0" applyBorder="0" applyAlignment="0" applyProtection="0">
      <alignment vertical="center"/>
    </xf>
    <xf numFmtId="0" fontId="115" fillId="70" borderId="0" applyNumberFormat="0" applyBorder="0" applyAlignment="0" applyProtection="0">
      <alignment vertical="center"/>
    </xf>
    <xf numFmtId="0" fontId="97" fillId="22" borderId="0" applyNumberFormat="0" applyBorder="0" applyAlignment="0" applyProtection="0">
      <alignment vertical="center"/>
    </xf>
    <xf numFmtId="0" fontId="97" fillId="22" borderId="0" applyNumberFormat="0" applyBorder="0" applyAlignment="0" applyProtection="0">
      <alignment vertical="center"/>
    </xf>
    <xf numFmtId="0" fontId="97" fillId="22" borderId="0" applyNumberFormat="0" applyBorder="0" applyAlignment="0" applyProtection="0">
      <alignment vertical="center"/>
    </xf>
    <xf numFmtId="0" fontId="97" fillId="22" borderId="0" applyNumberFormat="0" applyBorder="0" applyAlignment="0" applyProtection="0">
      <alignment vertical="center"/>
    </xf>
    <xf numFmtId="0" fontId="97" fillId="22" borderId="0" applyNumberFormat="0" applyBorder="0" applyAlignment="0" applyProtection="0">
      <alignment vertical="center"/>
    </xf>
    <xf numFmtId="0" fontId="97" fillId="22" borderId="0" applyNumberFormat="0" applyBorder="0" applyAlignment="0" applyProtection="0">
      <alignment vertical="center"/>
    </xf>
    <xf numFmtId="0" fontId="98" fillId="16" borderId="8" applyNumberFormat="0" applyAlignment="0" applyProtection="0">
      <alignment vertical="center"/>
    </xf>
    <xf numFmtId="0" fontId="116" fillId="62" borderId="26" applyNumberFormat="0" applyAlignment="0" applyProtection="0">
      <alignment vertical="center"/>
    </xf>
    <xf numFmtId="0" fontId="116" fillId="62" borderId="26" applyNumberFormat="0" applyAlignment="0" applyProtection="0">
      <alignment vertical="center"/>
    </xf>
    <xf numFmtId="0" fontId="116" fillId="62" borderId="26" applyNumberFormat="0" applyAlignment="0" applyProtection="0">
      <alignment vertical="center"/>
    </xf>
    <xf numFmtId="0" fontId="98" fillId="16" borderId="8" applyNumberFormat="0" applyAlignment="0" applyProtection="0">
      <alignment vertical="center"/>
    </xf>
    <xf numFmtId="0" fontId="98" fillId="16" borderId="8" applyNumberFormat="0" applyAlignment="0" applyProtection="0">
      <alignment vertical="center"/>
    </xf>
    <xf numFmtId="0" fontId="98" fillId="16" borderId="8" applyNumberFormat="0" applyAlignment="0" applyProtection="0">
      <alignment vertical="center"/>
    </xf>
    <xf numFmtId="0" fontId="98" fillId="16" borderId="8" applyNumberFormat="0" applyAlignment="0" applyProtection="0">
      <alignment vertical="center"/>
    </xf>
    <xf numFmtId="0" fontId="98" fillId="16" borderId="8" applyNumberFormat="0" applyAlignment="0" applyProtection="0">
      <alignment vertical="center"/>
    </xf>
    <xf numFmtId="0" fontId="98" fillId="16" borderId="8" applyNumberFormat="0" applyAlignment="0" applyProtection="0">
      <alignment vertical="center"/>
    </xf>
    <xf numFmtId="0" fontId="99" fillId="7" borderId="5" applyNumberFormat="0" applyAlignment="0" applyProtection="0">
      <alignment vertical="center"/>
    </xf>
    <xf numFmtId="0" fontId="117" fillId="71" borderId="23" applyNumberFormat="0" applyAlignment="0" applyProtection="0">
      <alignment vertical="center"/>
    </xf>
    <xf numFmtId="0" fontId="117" fillId="71" borderId="23" applyNumberFormat="0" applyAlignment="0" applyProtection="0">
      <alignment vertical="center"/>
    </xf>
    <xf numFmtId="0" fontId="117" fillId="71" borderId="23" applyNumberFormat="0" applyAlignment="0" applyProtection="0">
      <alignment vertical="center"/>
    </xf>
    <xf numFmtId="0" fontId="99" fillId="7" borderId="5" applyNumberFormat="0" applyAlignment="0" applyProtection="0">
      <alignment vertical="center"/>
    </xf>
    <xf numFmtId="0" fontId="99" fillId="7" borderId="5" applyNumberFormat="0" applyAlignment="0" applyProtection="0">
      <alignment vertical="center"/>
    </xf>
    <xf numFmtId="0" fontId="99" fillId="7" borderId="5" applyNumberFormat="0" applyAlignment="0" applyProtection="0">
      <alignment vertical="center"/>
    </xf>
    <xf numFmtId="0" fontId="99" fillId="7" borderId="5" applyNumberFormat="0" applyAlignment="0" applyProtection="0">
      <alignment vertical="center"/>
    </xf>
    <xf numFmtId="0" fontId="99" fillId="7" borderId="5" applyNumberFormat="0" applyAlignment="0" applyProtection="0">
      <alignment vertical="center"/>
    </xf>
    <xf numFmtId="0" fontId="99" fillId="7" borderId="5" applyNumberForma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 borderId="0" applyNumberFormat="0" applyBorder="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2" borderId="0" applyNumberFormat="0" applyBorder="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2" borderId="0" applyNumberFormat="0" applyBorder="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2" borderId="0" applyNumberFormat="0" applyBorder="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2" borderId="0" applyNumberFormat="0" applyBorder="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2" borderId="0" applyNumberFormat="0" applyBorder="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2" borderId="0" applyNumberFormat="0" applyBorder="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2" borderId="0" applyNumberFormat="0" applyBorder="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2" borderId="0" applyNumberFormat="0" applyBorder="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2" borderId="0" applyNumberFormat="0" applyBorder="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2" borderId="0" applyNumberFormat="0" applyBorder="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2" borderId="0" applyNumberFormat="0" applyBorder="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 borderId="0" applyNumberFormat="0" applyBorder="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 borderId="0" applyNumberFormat="0" applyBorder="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 borderId="0" applyNumberFormat="0" applyBorder="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 borderId="0" applyNumberFormat="0" applyBorder="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101" fillId="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3" borderId="0" applyNumberFormat="0" applyBorder="0" applyAlignment="0" applyProtection="0">
      <alignment vertical="center"/>
    </xf>
    <xf numFmtId="0" fontId="101" fillId="3" borderId="0" applyNumberFormat="0" applyBorder="0" applyAlignment="0" applyProtection="0">
      <alignment vertical="center"/>
    </xf>
    <xf numFmtId="0" fontId="101" fillId="3" borderId="0" applyNumberFormat="0" applyBorder="0" applyAlignment="0" applyProtection="0">
      <alignment vertical="center"/>
    </xf>
    <xf numFmtId="0" fontId="101" fillId="3" borderId="0" applyNumberFormat="0" applyBorder="0" applyAlignment="0" applyProtection="0">
      <alignment vertical="center"/>
    </xf>
    <xf numFmtId="0" fontId="101" fillId="3" borderId="0" applyNumberFormat="0" applyBorder="0" applyAlignment="0" applyProtection="0">
      <alignment vertical="center"/>
    </xf>
    <xf numFmtId="0" fontId="101" fillId="43" borderId="0" applyNumberFormat="0" applyBorder="0" applyAlignment="0" applyProtection="0">
      <alignment vertical="center"/>
    </xf>
    <xf numFmtId="0" fontId="101" fillId="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101" fillId="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 borderId="0" applyNumberFormat="0" applyBorder="0" applyAlignment="0" applyProtection="0">
      <alignment vertical="center"/>
    </xf>
    <xf numFmtId="0" fontId="101" fillId="4" borderId="0" applyNumberFormat="0" applyBorder="0" applyAlignment="0" applyProtection="0">
      <alignment vertical="center"/>
    </xf>
    <xf numFmtId="0" fontId="101" fillId="4" borderId="0" applyNumberFormat="0" applyBorder="0" applyAlignment="0" applyProtection="0">
      <alignment vertical="center"/>
    </xf>
    <xf numFmtId="0" fontId="101" fillId="4" borderId="0" applyNumberFormat="0" applyBorder="0" applyAlignment="0" applyProtection="0">
      <alignment vertical="center"/>
    </xf>
    <xf numFmtId="0" fontId="101" fillId="4" borderId="0" applyNumberFormat="0" applyBorder="0" applyAlignment="0" applyProtection="0">
      <alignment vertical="center"/>
    </xf>
    <xf numFmtId="0" fontId="101" fillId="44" borderId="0" applyNumberFormat="0" applyBorder="0" applyAlignment="0" applyProtection="0">
      <alignment vertical="center"/>
    </xf>
    <xf numFmtId="0" fontId="101" fillId="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101" fillId="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5" borderId="0" applyNumberFormat="0" applyBorder="0" applyAlignment="0" applyProtection="0">
      <alignment vertical="center"/>
    </xf>
    <xf numFmtId="0" fontId="101" fillId="5" borderId="0" applyNumberFormat="0" applyBorder="0" applyAlignment="0" applyProtection="0">
      <alignment vertical="center"/>
    </xf>
    <xf numFmtId="0" fontId="101" fillId="5" borderId="0" applyNumberFormat="0" applyBorder="0" applyAlignment="0" applyProtection="0">
      <alignment vertical="center"/>
    </xf>
    <xf numFmtId="0" fontId="101" fillId="5" borderId="0" applyNumberFormat="0" applyBorder="0" applyAlignment="0" applyProtection="0">
      <alignment vertical="center"/>
    </xf>
    <xf numFmtId="0" fontId="101" fillId="5" borderId="0" applyNumberFormat="0" applyBorder="0" applyAlignment="0" applyProtection="0">
      <alignment vertical="center"/>
    </xf>
    <xf numFmtId="0" fontId="101" fillId="45" borderId="0" applyNumberFormat="0" applyBorder="0" applyAlignment="0" applyProtection="0">
      <alignment vertical="center"/>
    </xf>
    <xf numFmtId="0" fontId="101" fillId="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101" fillId="46" borderId="0" applyNumberFormat="0" applyBorder="0" applyAlignment="0" applyProtection="0">
      <alignment vertical="center"/>
    </xf>
    <xf numFmtId="0" fontId="101" fillId="46" borderId="0" applyNumberFormat="0" applyBorder="0" applyAlignment="0" applyProtection="0">
      <alignment vertical="center"/>
    </xf>
    <xf numFmtId="0" fontId="101" fillId="4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101" fillId="47" borderId="0" applyNumberFormat="0" applyBorder="0" applyAlignment="0" applyProtection="0">
      <alignment vertical="center"/>
    </xf>
    <xf numFmtId="0" fontId="101" fillId="47" borderId="0" applyNumberFormat="0" applyBorder="0" applyAlignment="0" applyProtection="0">
      <alignment vertical="center"/>
    </xf>
    <xf numFmtId="0" fontId="101" fillId="4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101" fillId="48" borderId="0" applyNumberFormat="0" applyBorder="0" applyAlignment="0" applyProtection="0">
      <alignment vertical="center"/>
    </xf>
    <xf numFmtId="0" fontId="101" fillId="48" borderId="0" applyNumberFormat="0" applyBorder="0" applyAlignment="0" applyProtection="0">
      <alignment vertical="center"/>
    </xf>
    <xf numFmtId="0" fontId="101" fillId="4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101" fillId="49" borderId="0" applyNumberFormat="0" applyBorder="0" applyAlignment="0" applyProtection="0">
      <alignment vertical="center"/>
    </xf>
    <xf numFmtId="0" fontId="101" fillId="49" borderId="0" applyNumberFormat="0" applyBorder="0" applyAlignment="0" applyProtection="0">
      <alignment vertical="center"/>
    </xf>
    <xf numFmtId="0" fontId="101" fillId="4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101" fillId="1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10" borderId="0" applyNumberFormat="0" applyBorder="0" applyAlignment="0" applyProtection="0">
      <alignment vertical="center"/>
    </xf>
    <xf numFmtId="0" fontId="101" fillId="10" borderId="0" applyNumberFormat="0" applyBorder="0" applyAlignment="0" applyProtection="0">
      <alignment vertical="center"/>
    </xf>
    <xf numFmtId="0" fontId="101" fillId="10" borderId="0" applyNumberFormat="0" applyBorder="0" applyAlignment="0" applyProtection="0">
      <alignment vertical="center"/>
    </xf>
    <xf numFmtId="0" fontId="101" fillId="10" borderId="0" applyNumberFormat="0" applyBorder="0" applyAlignment="0" applyProtection="0">
      <alignment vertical="center"/>
    </xf>
    <xf numFmtId="0" fontId="101" fillId="10" borderId="0" applyNumberFormat="0" applyBorder="0" applyAlignment="0" applyProtection="0">
      <alignment vertical="center"/>
    </xf>
    <xf numFmtId="0" fontId="101" fillId="50" borderId="0" applyNumberFormat="0" applyBorder="0" applyAlignment="0" applyProtection="0">
      <alignment vertical="center"/>
    </xf>
    <xf numFmtId="0" fontId="101" fillId="1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101" fillId="51" borderId="0" applyNumberFormat="0" applyBorder="0" applyAlignment="0" applyProtection="0">
      <alignment vertical="center"/>
    </xf>
    <xf numFmtId="0" fontId="101" fillId="51" borderId="0" applyNumberFormat="0" applyBorder="0" applyAlignment="0" applyProtection="0">
      <alignment vertical="center"/>
    </xf>
    <xf numFmtId="0" fontId="101" fillId="51"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101" fillId="52" borderId="0" applyNumberFormat="0" applyBorder="0" applyAlignment="0" applyProtection="0">
      <alignment vertical="center"/>
    </xf>
    <xf numFmtId="0" fontId="101" fillId="52" borderId="0" applyNumberFormat="0" applyBorder="0" applyAlignment="0" applyProtection="0">
      <alignment vertical="center"/>
    </xf>
    <xf numFmtId="0" fontId="101" fillId="52"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101" fillId="53" borderId="0" applyNumberFormat="0" applyBorder="0" applyAlignment="0" applyProtection="0">
      <alignment vertical="center"/>
    </xf>
    <xf numFmtId="0" fontId="101" fillId="53" borderId="0" applyNumberFormat="0" applyBorder="0" applyAlignment="0" applyProtection="0">
      <alignment vertical="center"/>
    </xf>
    <xf numFmtId="0" fontId="101" fillId="53"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4" fillId="12" borderId="0" applyNumberFormat="0" applyBorder="0" applyAlignment="0" applyProtection="0">
      <alignment vertical="center"/>
    </xf>
    <xf numFmtId="0" fontId="102" fillId="54" borderId="0" applyNumberFormat="0" applyBorder="0" applyAlignment="0" applyProtection="0">
      <alignment vertical="center"/>
    </xf>
    <xf numFmtId="0" fontId="102" fillId="54" borderId="0" applyNumberFormat="0" applyBorder="0" applyAlignment="0" applyProtection="0">
      <alignment vertical="center"/>
    </xf>
    <xf numFmtId="0" fontId="102" fillId="54" borderId="0" applyNumberFormat="0" applyBorder="0" applyAlignment="0" applyProtection="0">
      <alignment vertical="center"/>
    </xf>
    <xf numFmtId="0" fontId="84" fillId="12" borderId="0" applyNumberFormat="0" applyBorder="0" applyAlignment="0" applyProtection="0">
      <alignment vertical="center"/>
    </xf>
    <xf numFmtId="0" fontId="84" fillId="12" borderId="0" applyNumberFormat="0" applyBorder="0" applyAlignment="0" applyProtection="0">
      <alignment vertical="center"/>
    </xf>
    <xf numFmtId="0" fontId="84" fillId="12" borderId="0" applyNumberFormat="0" applyBorder="0" applyAlignment="0" applyProtection="0">
      <alignment vertical="center"/>
    </xf>
    <xf numFmtId="0" fontId="84" fillId="12" borderId="0" applyNumberFormat="0" applyBorder="0" applyAlignment="0" applyProtection="0">
      <alignment vertical="center"/>
    </xf>
    <xf numFmtId="0" fontId="84" fillId="12" borderId="0" applyNumberFormat="0" applyBorder="0" applyAlignment="0" applyProtection="0">
      <alignment vertical="center"/>
    </xf>
    <xf numFmtId="0" fontId="84" fillId="12" borderId="0" applyNumberFormat="0" applyBorder="0" applyAlignment="0" applyProtection="0">
      <alignment vertical="center"/>
    </xf>
    <xf numFmtId="0" fontId="84" fillId="9" borderId="0" applyNumberFormat="0" applyBorder="0" applyAlignment="0" applyProtection="0">
      <alignment vertical="center"/>
    </xf>
    <xf numFmtId="0" fontId="102" fillId="55" borderId="0" applyNumberFormat="0" applyBorder="0" applyAlignment="0" applyProtection="0">
      <alignment vertical="center"/>
    </xf>
    <xf numFmtId="0" fontId="102" fillId="55" borderId="0" applyNumberFormat="0" applyBorder="0" applyAlignment="0" applyProtection="0">
      <alignment vertical="center"/>
    </xf>
    <xf numFmtId="0" fontId="102" fillId="55" borderId="0" applyNumberFormat="0" applyBorder="0" applyAlignment="0" applyProtection="0">
      <alignment vertical="center"/>
    </xf>
    <xf numFmtId="0" fontId="84" fillId="9" borderId="0" applyNumberFormat="0" applyBorder="0" applyAlignment="0" applyProtection="0">
      <alignment vertical="center"/>
    </xf>
    <xf numFmtId="0" fontId="84" fillId="9" borderId="0" applyNumberFormat="0" applyBorder="0" applyAlignment="0" applyProtection="0">
      <alignment vertical="center"/>
    </xf>
    <xf numFmtId="0" fontId="84" fillId="9" borderId="0" applyNumberFormat="0" applyBorder="0" applyAlignment="0" applyProtection="0">
      <alignment vertical="center"/>
    </xf>
    <xf numFmtId="0" fontId="84" fillId="9" borderId="0" applyNumberFormat="0" applyBorder="0" applyAlignment="0" applyProtection="0">
      <alignment vertical="center"/>
    </xf>
    <xf numFmtId="0" fontId="84" fillId="9" borderId="0" applyNumberFormat="0" applyBorder="0" applyAlignment="0" applyProtection="0">
      <alignment vertical="center"/>
    </xf>
    <xf numFmtId="0" fontId="84" fillId="9" borderId="0" applyNumberFormat="0" applyBorder="0" applyAlignment="0" applyProtection="0">
      <alignment vertical="center"/>
    </xf>
    <xf numFmtId="0" fontId="84" fillId="10" borderId="0" applyNumberFormat="0" applyBorder="0" applyAlignment="0" applyProtection="0">
      <alignment vertical="center"/>
    </xf>
    <xf numFmtId="0" fontId="102" fillId="10"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56" borderId="0" applyNumberFormat="0" applyBorder="0" applyAlignment="0" applyProtection="0">
      <alignment vertical="center"/>
    </xf>
    <xf numFmtId="0" fontId="102" fillId="10"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84" fillId="10" borderId="0" applyNumberFormat="0" applyBorder="0" applyAlignment="0" applyProtection="0">
      <alignment vertical="center"/>
    </xf>
    <xf numFmtId="0" fontId="84" fillId="10" borderId="0" applyNumberFormat="0" applyBorder="0" applyAlignment="0" applyProtection="0">
      <alignment vertical="center"/>
    </xf>
    <xf numFmtId="0" fontId="84" fillId="10" borderId="0" applyNumberFormat="0" applyBorder="0" applyAlignment="0" applyProtection="0">
      <alignment vertical="center"/>
    </xf>
    <xf numFmtId="0" fontId="84" fillId="10" borderId="0" applyNumberFormat="0" applyBorder="0" applyAlignment="0" applyProtection="0">
      <alignment vertical="center"/>
    </xf>
    <xf numFmtId="0" fontId="84" fillId="10" borderId="0" applyNumberFormat="0" applyBorder="0" applyAlignment="0" applyProtection="0">
      <alignment vertical="center"/>
    </xf>
    <xf numFmtId="0" fontId="84" fillId="10" borderId="0" applyNumberFormat="0" applyBorder="0" applyAlignment="0" applyProtection="0">
      <alignment vertical="center"/>
    </xf>
    <xf numFmtId="0" fontId="84" fillId="13" borderId="0" applyNumberFormat="0" applyBorder="0" applyAlignment="0" applyProtection="0">
      <alignment vertical="center"/>
    </xf>
    <xf numFmtId="0" fontId="102" fillId="13"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13" borderId="0" applyNumberFormat="0" applyBorder="0" applyAlignment="0" applyProtection="0">
      <alignment vertical="center"/>
    </xf>
    <xf numFmtId="0" fontId="102" fillId="13" borderId="0" applyNumberFormat="0" applyBorder="0" applyAlignment="0" applyProtection="0">
      <alignment vertical="center"/>
    </xf>
    <xf numFmtId="0" fontId="102" fillId="13" borderId="0" applyNumberFormat="0" applyBorder="0" applyAlignment="0" applyProtection="0">
      <alignment vertical="center"/>
    </xf>
    <xf numFmtId="0" fontId="102" fillId="13" borderId="0" applyNumberFormat="0" applyBorder="0" applyAlignment="0" applyProtection="0">
      <alignment vertical="center"/>
    </xf>
    <xf numFmtId="0" fontId="102" fillId="13" borderId="0" applyNumberFormat="0" applyBorder="0" applyAlignment="0" applyProtection="0">
      <alignment vertical="center"/>
    </xf>
    <xf numFmtId="0" fontId="102" fillId="57" borderId="0" applyNumberFormat="0" applyBorder="0" applyAlignment="0" applyProtection="0">
      <alignment vertical="center"/>
    </xf>
    <xf numFmtId="0" fontId="102" fillId="13"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84" fillId="13" borderId="0" applyNumberFormat="0" applyBorder="0" applyAlignment="0" applyProtection="0">
      <alignment vertical="center"/>
    </xf>
    <xf numFmtId="0" fontId="84" fillId="13" borderId="0" applyNumberFormat="0" applyBorder="0" applyAlignment="0" applyProtection="0">
      <alignment vertical="center"/>
    </xf>
    <xf numFmtId="0" fontId="84" fillId="13" borderId="0" applyNumberFormat="0" applyBorder="0" applyAlignment="0" applyProtection="0">
      <alignment vertical="center"/>
    </xf>
    <xf numFmtId="0" fontId="84" fillId="13" borderId="0" applyNumberFormat="0" applyBorder="0" applyAlignment="0" applyProtection="0">
      <alignment vertical="center"/>
    </xf>
    <xf numFmtId="0" fontId="84" fillId="13" borderId="0" applyNumberFormat="0" applyBorder="0" applyAlignment="0" applyProtection="0">
      <alignment vertical="center"/>
    </xf>
    <xf numFmtId="0" fontId="84" fillId="13" borderId="0" applyNumberFormat="0" applyBorder="0" applyAlignment="0" applyProtection="0">
      <alignment vertical="center"/>
    </xf>
    <xf numFmtId="0" fontId="84" fillId="14" borderId="0" applyNumberFormat="0" applyBorder="0" applyAlignment="0" applyProtection="0">
      <alignment vertical="center"/>
    </xf>
    <xf numFmtId="0" fontId="102" fillId="58" borderId="0" applyNumberFormat="0" applyBorder="0" applyAlignment="0" applyProtection="0">
      <alignment vertical="center"/>
    </xf>
    <xf numFmtId="0" fontId="102" fillId="58" borderId="0" applyNumberFormat="0" applyBorder="0" applyAlignment="0" applyProtection="0">
      <alignment vertical="center"/>
    </xf>
    <xf numFmtId="0" fontId="102" fillId="58" borderId="0" applyNumberFormat="0" applyBorder="0" applyAlignment="0" applyProtection="0">
      <alignment vertical="center"/>
    </xf>
    <xf numFmtId="0" fontId="84" fillId="14" borderId="0" applyNumberFormat="0" applyBorder="0" applyAlignment="0" applyProtection="0">
      <alignment vertical="center"/>
    </xf>
    <xf numFmtId="0" fontId="84" fillId="14" borderId="0" applyNumberFormat="0" applyBorder="0" applyAlignment="0" applyProtection="0">
      <alignment vertical="center"/>
    </xf>
    <xf numFmtId="0" fontId="84" fillId="14" borderId="0" applyNumberFormat="0" applyBorder="0" applyAlignment="0" applyProtection="0">
      <alignment vertical="center"/>
    </xf>
    <xf numFmtId="0" fontId="84" fillId="14" borderId="0" applyNumberFormat="0" applyBorder="0" applyAlignment="0" applyProtection="0">
      <alignment vertical="center"/>
    </xf>
    <xf numFmtId="0" fontId="84" fillId="14" borderId="0" applyNumberFormat="0" applyBorder="0" applyAlignment="0" applyProtection="0">
      <alignment vertical="center"/>
    </xf>
    <xf numFmtId="0" fontId="84" fillId="14" borderId="0" applyNumberFormat="0" applyBorder="0" applyAlignment="0" applyProtection="0">
      <alignment vertical="center"/>
    </xf>
    <xf numFmtId="0" fontId="84" fillId="15" borderId="0" applyNumberFormat="0" applyBorder="0" applyAlignment="0" applyProtection="0">
      <alignment vertical="center"/>
    </xf>
    <xf numFmtId="0" fontId="102" fillId="15"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15" borderId="0" applyNumberFormat="0" applyBorder="0" applyAlignment="0" applyProtection="0">
      <alignment vertical="center"/>
    </xf>
    <xf numFmtId="0" fontId="102" fillId="15" borderId="0" applyNumberFormat="0" applyBorder="0" applyAlignment="0" applyProtection="0">
      <alignment vertical="center"/>
    </xf>
    <xf numFmtId="0" fontId="102" fillId="15" borderId="0" applyNumberFormat="0" applyBorder="0" applyAlignment="0" applyProtection="0">
      <alignment vertical="center"/>
    </xf>
    <xf numFmtId="0" fontId="102" fillId="15" borderId="0" applyNumberFormat="0" applyBorder="0" applyAlignment="0" applyProtection="0">
      <alignment vertical="center"/>
    </xf>
    <xf numFmtId="0" fontId="102" fillId="15" borderId="0" applyNumberFormat="0" applyBorder="0" applyAlignment="0" applyProtection="0">
      <alignment vertical="center"/>
    </xf>
    <xf numFmtId="0" fontId="102" fillId="59" borderId="0" applyNumberFormat="0" applyBorder="0" applyAlignment="0" applyProtection="0">
      <alignment vertical="center"/>
    </xf>
    <xf numFmtId="0" fontId="102" fillId="15"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84" fillId="15" borderId="0" applyNumberFormat="0" applyBorder="0" applyAlignment="0" applyProtection="0">
      <alignment vertical="center"/>
    </xf>
    <xf numFmtId="0" fontId="84" fillId="15" borderId="0" applyNumberFormat="0" applyBorder="0" applyAlignment="0" applyProtection="0">
      <alignment vertical="center"/>
    </xf>
    <xf numFmtId="0" fontId="84" fillId="15" borderId="0" applyNumberFormat="0" applyBorder="0" applyAlignment="0" applyProtection="0">
      <alignment vertical="center"/>
    </xf>
    <xf numFmtId="0" fontId="84" fillId="15" borderId="0" applyNumberFormat="0" applyBorder="0" applyAlignment="0" applyProtection="0">
      <alignment vertical="center"/>
    </xf>
    <xf numFmtId="0" fontId="84" fillId="15" borderId="0" applyNumberFormat="0" applyBorder="0" applyAlignment="0" applyProtection="0">
      <alignment vertical="center"/>
    </xf>
    <xf numFmtId="0" fontId="84" fillId="15" borderId="0" applyNumberFormat="0" applyBorder="0" applyAlignment="0" applyProtection="0">
      <alignment vertical="center"/>
    </xf>
    <xf numFmtId="0" fontId="85" fillId="0" borderId="0" applyNumberFormat="0" applyFill="0" applyBorder="0" applyAlignment="0" applyProtection="0">
      <alignment vertical="center"/>
    </xf>
    <xf numFmtId="0" fontId="86" fillId="0" borderId="1" applyNumberFormat="0" applyFill="0" applyAlignment="0" applyProtection="0">
      <alignment vertical="center"/>
    </xf>
    <xf numFmtId="0" fontId="103" fillId="0" borderId="19" applyNumberFormat="0" applyFill="0" applyAlignment="0" applyProtection="0">
      <alignment vertical="center"/>
    </xf>
    <xf numFmtId="0" fontId="103" fillId="0" borderId="19" applyNumberFormat="0" applyFill="0" applyAlignment="0" applyProtection="0">
      <alignment vertical="center"/>
    </xf>
    <xf numFmtId="0" fontId="103" fillId="0" borderId="19" applyNumberFormat="0" applyFill="0" applyAlignment="0" applyProtection="0">
      <alignment vertical="center"/>
    </xf>
    <xf numFmtId="0" fontId="86" fillId="0" borderId="1" applyNumberFormat="0" applyFill="0" applyAlignment="0" applyProtection="0">
      <alignment vertical="center"/>
    </xf>
    <xf numFmtId="0" fontId="86" fillId="0" borderId="1" applyNumberFormat="0" applyFill="0" applyAlignment="0" applyProtection="0">
      <alignment vertical="center"/>
    </xf>
    <xf numFmtId="0" fontId="86" fillId="0" borderId="1" applyNumberFormat="0" applyFill="0" applyAlignment="0" applyProtection="0">
      <alignment vertical="center"/>
    </xf>
    <xf numFmtId="0" fontId="86" fillId="0" borderId="1" applyNumberFormat="0" applyFill="0" applyAlignment="0" applyProtection="0">
      <alignment vertical="center"/>
    </xf>
    <xf numFmtId="0" fontId="86" fillId="0" borderId="1" applyNumberFormat="0" applyFill="0" applyAlignment="0" applyProtection="0">
      <alignment vertical="center"/>
    </xf>
    <xf numFmtId="0" fontId="86" fillId="0" borderId="1" applyNumberFormat="0" applyFill="0" applyAlignment="0" applyProtection="0">
      <alignment vertical="center"/>
    </xf>
    <xf numFmtId="0" fontId="87" fillId="0" borderId="2" applyNumberFormat="0" applyFill="0" applyAlignment="0" applyProtection="0">
      <alignment vertical="center"/>
    </xf>
    <xf numFmtId="0" fontId="104" fillId="0" borderId="20" applyNumberFormat="0" applyFill="0" applyAlignment="0" applyProtection="0">
      <alignment vertical="center"/>
    </xf>
    <xf numFmtId="0" fontId="104" fillId="0" borderId="20" applyNumberFormat="0" applyFill="0" applyAlignment="0" applyProtection="0">
      <alignment vertical="center"/>
    </xf>
    <xf numFmtId="0" fontId="104" fillId="0" borderId="20" applyNumberFormat="0" applyFill="0" applyAlignment="0" applyProtection="0">
      <alignment vertical="center"/>
    </xf>
    <xf numFmtId="0" fontId="87" fillId="0" borderId="2" applyNumberFormat="0" applyFill="0" applyAlignment="0" applyProtection="0">
      <alignment vertical="center"/>
    </xf>
    <xf numFmtId="0" fontId="87" fillId="0" borderId="2" applyNumberFormat="0" applyFill="0" applyAlignment="0" applyProtection="0">
      <alignment vertical="center"/>
    </xf>
    <xf numFmtId="0" fontId="87" fillId="0" borderId="2" applyNumberFormat="0" applyFill="0" applyAlignment="0" applyProtection="0">
      <alignment vertical="center"/>
    </xf>
    <xf numFmtId="0" fontId="87" fillId="0" borderId="2" applyNumberFormat="0" applyFill="0" applyAlignment="0" applyProtection="0">
      <alignment vertical="center"/>
    </xf>
    <xf numFmtId="0" fontId="87" fillId="0" borderId="2" applyNumberFormat="0" applyFill="0" applyAlignment="0" applyProtection="0">
      <alignment vertical="center"/>
    </xf>
    <xf numFmtId="0" fontId="87" fillId="0" borderId="2" applyNumberFormat="0" applyFill="0" applyAlignment="0" applyProtection="0">
      <alignment vertical="center"/>
    </xf>
    <xf numFmtId="0" fontId="88" fillId="0" borderId="3" applyNumberFormat="0" applyFill="0" applyAlignment="0" applyProtection="0">
      <alignment vertical="center"/>
    </xf>
    <xf numFmtId="0" fontId="105" fillId="0" borderId="21" applyNumberFormat="0" applyFill="0" applyAlignment="0" applyProtection="0">
      <alignment vertical="center"/>
    </xf>
    <xf numFmtId="0" fontId="105" fillId="0" borderId="21" applyNumberFormat="0" applyFill="0" applyAlignment="0" applyProtection="0">
      <alignment vertical="center"/>
    </xf>
    <xf numFmtId="0" fontId="105" fillId="0" borderId="21" applyNumberFormat="0" applyFill="0" applyAlignment="0" applyProtection="0">
      <alignment vertical="center"/>
    </xf>
    <xf numFmtId="0" fontId="88" fillId="0" borderId="3" applyNumberFormat="0" applyFill="0" applyAlignment="0" applyProtection="0">
      <alignment vertical="center"/>
    </xf>
    <xf numFmtId="0" fontId="88" fillId="0" borderId="3" applyNumberFormat="0" applyFill="0" applyAlignment="0" applyProtection="0">
      <alignment vertical="center"/>
    </xf>
    <xf numFmtId="0" fontId="88" fillId="0" borderId="3" applyNumberFormat="0" applyFill="0" applyAlignment="0" applyProtection="0">
      <alignment vertical="center"/>
    </xf>
    <xf numFmtId="0" fontId="88" fillId="0" borderId="3" applyNumberFormat="0" applyFill="0" applyAlignment="0" applyProtection="0">
      <alignment vertical="center"/>
    </xf>
    <xf numFmtId="0" fontId="88" fillId="0" borderId="3" applyNumberFormat="0" applyFill="0" applyAlignment="0" applyProtection="0">
      <alignment vertical="center"/>
    </xf>
    <xf numFmtId="0" fontId="88" fillId="0" borderId="3" applyNumberFormat="0" applyFill="0" applyAlignment="0" applyProtection="0">
      <alignment vertical="center"/>
    </xf>
    <xf numFmtId="0" fontId="88" fillId="0" borderId="0" applyNumberFormat="0" applyFill="0" applyBorder="0" applyAlignment="0" applyProtection="0">
      <alignment vertical="center"/>
    </xf>
    <xf numFmtId="0" fontId="105" fillId="0" borderId="0" applyNumberFormat="0" applyFill="0" applyBorder="0" applyAlignment="0" applyProtection="0">
      <alignment vertical="center"/>
    </xf>
    <xf numFmtId="0" fontId="105" fillId="0" borderId="0" applyNumberFormat="0" applyFill="0" applyBorder="0" applyAlignment="0" applyProtection="0">
      <alignment vertical="center"/>
    </xf>
    <xf numFmtId="0" fontId="105"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106" fillId="0" borderId="0" applyNumberFormat="0" applyFill="0" applyBorder="0" applyAlignment="0" applyProtection="0">
      <alignment vertical="center"/>
    </xf>
    <xf numFmtId="0" fontId="106" fillId="0" borderId="0" applyNumberFormat="0" applyFill="0" applyBorder="0" applyAlignment="0" applyProtection="0">
      <alignment vertical="center"/>
    </xf>
    <xf numFmtId="0" fontId="106" fillId="0" borderId="0" applyNumberFormat="0" applyFill="0" applyBorder="0" applyAlignment="0" applyProtection="0">
      <alignment vertical="center"/>
    </xf>
    <xf numFmtId="0" fontId="85" fillId="0" borderId="0" applyNumberFormat="0" applyFill="0" applyBorder="0" applyAlignment="0" applyProtection="0">
      <alignment vertical="center"/>
    </xf>
    <xf numFmtId="0" fontId="85" fillId="0" borderId="0" applyNumberFormat="0" applyFill="0" applyBorder="0" applyAlignment="0" applyProtection="0">
      <alignment vertical="center"/>
    </xf>
    <xf numFmtId="0" fontId="85" fillId="0" borderId="0" applyNumberFormat="0" applyFill="0" applyBorder="0" applyAlignment="0" applyProtection="0">
      <alignment vertical="center"/>
    </xf>
    <xf numFmtId="0" fontId="85" fillId="0" borderId="0" applyNumberFormat="0" applyFill="0" applyBorder="0" applyAlignment="0" applyProtection="0">
      <alignment vertical="center"/>
    </xf>
    <xf numFmtId="0" fontId="85" fillId="0" borderId="0" applyNumberFormat="0" applyFill="0" applyBorder="0" applyAlignment="0" applyProtection="0">
      <alignment vertical="center"/>
    </xf>
    <xf numFmtId="0" fontId="85" fillId="0" borderId="0" applyNumberFormat="0" applyFill="0" applyBorder="0" applyAlignment="0" applyProtection="0">
      <alignment vertical="center"/>
    </xf>
    <xf numFmtId="0" fontId="89" fillId="3" borderId="0" applyNumberFormat="0" applyBorder="0" applyAlignment="0" applyProtection="0">
      <alignment vertical="center"/>
    </xf>
    <xf numFmtId="0" fontId="107" fillId="60" borderId="0" applyNumberFormat="0" applyBorder="0" applyAlignment="0" applyProtection="0">
      <alignment vertical="center"/>
    </xf>
    <xf numFmtId="0" fontId="107" fillId="60" borderId="0" applyNumberFormat="0" applyBorder="0" applyAlignment="0" applyProtection="0">
      <alignment vertical="center"/>
    </xf>
    <xf numFmtId="0" fontId="107" fillId="60" borderId="0" applyNumberFormat="0" applyBorder="0" applyAlignment="0" applyProtection="0">
      <alignment vertical="center"/>
    </xf>
    <xf numFmtId="0" fontId="89" fillId="3" borderId="0" applyNumberFormat="0" applyBorder="0" applyAlignment="0" applyProtection="0">
      <alignment vertical="center"/>
    </xf>
    <xf numFmtId="0" fontId="89" fillId="3" borderId="0" applyNumberFormat="0" applyBorder="0" applyAlignment="0" applyProtection="0">
      <alignment vertical="center"/>
    </xf>
    <xf numFmtId="0" fontId="89" fillId="3" borderId="0" applyNumberFormat="0" applyBorder="0" applyAlignment="0" applyProtection="0">
      <alignment vertical="center"/>
    </xf>
    <xf numFmtId="0" fontId="89" fillId="3" borderId="0" applyNumberFormat="0" applyBorder="0" applyAlignment="0" applyProtection="0">
      <alignment vertical="center"/>
    </xf>
    <xf numFmtId="0" fontId="89" fillId="3" borderId="0" applyNumberFormat="0" applyBorder="0" applyAlignment="0" applyProtection="0">
      <alignment vertical="center"/>
    </xf>
    <xf numFmtId="0" fontId="89" fillId="3" borderId="0" applyNumberFormat="0" applyBorder="0" applyAlignment="0" applyProtection="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101" fillId="0" borderId="0">
      <alignment vertical="center"/>
    </xf>
    <xf numFmtId="0" fontId="101" fillId="0" borderId="0">
      <alignment vertical="center"/>
    </xf>
    <xf numFmtId="0" fontId="101" fillId="0" borderId="0">
      <alignment vertical="center"/>
    </xf>
    <xf numFmtId="0" fontId="82" fillId="0" borderId="0">
      <alignment vertical="center"/>
    </xf>
    <xf numFmtId="0" fontId="82" fillId="0" borderId="0">
      <alignment vertical="center"/>
    </xf>
    <xf numFmtId="0" fontId="82" fillId="0" borderId="0">
      <alignment vertical="center"/>
    </xf>
    <xf numFmtId="0" fontId="90" fillId="4" borderId="0" applyNumberFormat="0" applyBorder="0" applyAlignment="0" applyProtection="0">
      <alignment vertical="center"/>
    </xf>
    <xf numFmtId="0" fontId="108" fillId="61" borderId="0" applyNumberFormat="0" applyBorder="0" applyAlignment="0" applyProtection="0">
      <alignment vertical="center"/>
    </xf>
    <xf numFmtId="0" fontId="108" fillId="61" borderId="0" applyNumberFormat="0" applyBorder="0" applyAlignment="0" applyProtection="0">
      <alignment vertical="center"/>
    </xf>
    <xf numFmtId="0" fontId="108" fillId="61" borderId="0" applyNumberFormat="0" applyBorder="0" applyAlignment="0" applyProtection="0">
      <alignment vertical="center"/>
    </xf>
    <xf numFmtId="0" fontId="90" fillId="4" borderId="0" applyNumberFormat="0" applyBorder="0" applyAlignment="0" applyProtection="0">
      <alignment vertical="center"/>
    </xf>
    <xf numFmtId="0" fontId="90" fillId="4" borderId="0" applyNumberFormat="0" applyBorder="0" applyAlignment="0" applyProtection="0">
      <alignment vertical="center"/>
    </xf>
    <xf numFmtId="0" fontId="90" fillId="4" borderId="0" applyNumberFormat="0" applyBorder="0" applyAlignment="0" applyProtection="0">
      <alignment vertical="center"/>
    </xf>
    <xf numFmtId="0" fontId="90" fillId="4" borderId="0" applyNumberFormat="0" applyBorder="0" applyAlignment="0" applyProtection="0">
      <alignment vertical="center"/>
    </xf>
    <xf numFmtId="0" fontId="90" fillId="4" borderId="0" applyNumberFormat="0" applyBorder="0" applyAlignment="0" applyProtection="0">
      <alignment vertical="center"/>
    </xf>
    <xf numFmtId="0" fontId="90" fillId="4" borderId="0" applyNumberFormat="0" applyBorder="0" applyAlignment="0" applyProtection="0">
      <alignment vertical="center"/>
    </xf>
    <xf numFmtId="0" fontId="91" fillId="0" borderId="4" applyNumberFormat="0" applyFill="0" applyAlignment="0" applyProtection="0">
      <alignment vertical="center"/>
    </xf>
    <xf numFmtId="0" fontId="109" fillId="0" borderId="22" applyNumberFormat="0" applyFill="0" applyAlignment="0" applyProtection="0">
      <alignment vertical="center"/>
    </xf>
    <xf numFmtId="0" fontId="109" fillId="0" borderId="22" applyNumberFormat="0" applyFill="0" applyAlignment="0" applyProtection="0">
      <alignment vertical="center"/>
    </xf>
    <xf numFmtId="0" fontId="109" fillId="0" borderId="22" applyNumberFormat="0" applyFill="0" applyAlignment="0" applyProtection="0">
      <alignment vertical="center"/>
    </xf>
    <xf numFmtId="0" fontId="91" fillId="0" borderId="4" applyNumberFormat="0" applyFill="0" applyAlignment="0" applyProtection="0">
      <alignment vertical="center"/>
    </xf>
    <xf numFmtId="0" fontId="91" fillId="0" borderId="4" applyNumberFormat="0" applyFill="0" applyAlignment="0" applyProtection="0">
      <alignment vertical="center"/>
    </xf>
    <xf numFmtId="0" fontId="91" fillId="0" borderId="4" applyNumberFormat="0" applyFill="0" applyAlignment="0" applyProtection="0">
      <alignment vertical="center"/>
    </xf>
    <xf numFmtId="0" fontId="91" fillId="0" borderId="4" applyNumberFormat="0" applyFill="0" applyAlignment="0" applyProtection="0">
      <alignment vertical="center"/>
    </xf>
    <xf numFmtId="0" fontId="91" fillId="0" borderId="4" applyNumberFormat="0" applyFill="0" applyAlignment="0" applyProtection="0">
      <alignment vertical="center"/>
    </xf>
    <xf numFmtId="0" fontId="91" fillId="0" borderId="4" applyNumberFormat="0" applyFill="0" applyAlignment="0" applyProtection="0">
      <alignment vertical="center"/>
    </xf>
    <xf numFmtId="0" fontId="92" fillId="16" borderId="5" applyNumberFormat="0" applyAlignment="0" applyProtection="0">
      <alignment vertical="center"/>
    </xf>
    <xf numFmtId="0" fontId="110" fillId="62" borderId="23" applyNumberFormat="0" applyAlignment="0" applyProtection="0">
      <alignment vertical="center"/>
    </xf>
    <xf numFmtId="0" fontId="110" fillId="62" borderId="23" applyNumberFormat="0" applyAlignment="0" applyProtection="0">
      <alignment vertical="center"/>
    </xf>
    <xf numFmtId="0" fontId="110" fillId="62" borderId="23" applyNumberFormat="0" applyAlignment="0" applyProtection="0">
      <alignment vertical="center"/>
    </xf>
    <xf numFmtId="0" fontId="92" fillId="16" borderId="5" applyNumberFormat="0" applyAlignment="0" applyProtection="0">
      <alignment vertical="center"/>
    </xf>
    <xf numFmtId="0" fontId="92" fillId="16" borderId="5" applyNumberFormat="0" applyAlignment="0" applyProtection="0">
      <alignment vertical="center"/>
    </xf>
    <xf numFmtId="0" fontId="92" fillId="16" borderId="5" applyNumberFormat="0" applyAlignment="0" applyProtection="0">
      <alignment vertical="center"/>
    </xf>
    <xf numFmtId="0" fontId="92" fillId="16" borderId="5" applyNumberFormat="0" applyAlignment="0" applyProtection="0">
      <alignment vertical="center"/>
    </xf>
    <xf numFmtId="0" fontId="92" fillId="16" borderId="5" applyNumberFormat="0" applyAlignment="0" applyProtection="0">
      <alignment vertical="center"/>
    </xf>
    <xf numFmtId="0" fontId="92" fillId="16" borderId="5" applyNumberFormat="0" applyAlignment="0" applyProtection="0">
      <alignment vertical="center"/>
    </xf>
    <xf numFmtId="0" fontId="93" fillId="17" borderId="6" applyNumberFormat="0" applyAlignment="0" applyProtection="0">
      <alignment vertical="center"/>
    </xf>
    <xf numFmtId="0" fontId="111" fillId="63" borderId="24" applyNumberFormat="0" applyAlignment="0" applyProtection="0">
      <alignment vertical="center"/>
    </xf>
    <xf numFmtId="0" fontId="111" fillId="63" borderId="24" applyNumberFormat="0" applyAlignment="0" applyProtection="0">
      <alignment vertical="center"/>
    </xf>
    <xf numFmtId="0" fontId="111" fillId="63" borderId="24" applyNumberFormat="0" applyAlignment="0" applyProtection="0">
      <alignment vertical="center"/>
    </xf>
    <xf numFmtId="0" fontId="93" fillId="17" borderId="6" applyNumberFormat="0" applyAlignment="0" applyProtection="0">
      <alignment vertical="center"/>
    </xf>
    <xf numFmtId="0" fontId="93" fillId="17" borderId="6" applyNumberFormat="0" applyAlignment="0" applyProtection="0">
      <alignment vertical="center"/>
    </xf>
    <xf numFmtId="0" fontId="93" fillId="17" borderId="6" applyNumberFormat="0" applyAlignment="0" applyProtection="0">
      <alignment vertical="center"/>
    </xf>
    <xf numFmtId="0" fontId="93" fillId="17" borderId="6" applyNumberFormat="0" applyAlignment="0" applyProtection="0">
      <alignment vertical="center"/>
    </xf>
    <xf numFmtId="0" fontId="93" fillId="17" borderId="6" applyNumberFormat="0" applyAlignment="0" applyProtection="0">
      <alignment vertical="center"/>
    </xf>
    <xf numFmtId="0" fontId="93" fillId="17" borderId="6" applyNumberFormat="0" applyAlignment="0" applyProtection="0">
      <alignment vertical="center"/>
    </xf>
    <xf numFmtId="0" fontId="94" fillId="0" borderId="0" applyNumberFormat="0" applyFill="0" applyBorder="0" applyAlignment="0" applyProtection="0">
      <alignment vertical="center"/>
    </xf>
    <xf numFmtId="0" fontId="112" fillId="0" borderId="0" applyNumberFormat="0" applyFill="0" applyBorder="0" applyAlignment="0" applyProtection="0">
      <alignment vertical="center"/>
    </xf>
    <xf numFmtId="0" fontId="112" fillId="0" borderId="0" applyNumberFormat="0" applyFill="0" applyBorder="0" applyAlignment="0" applyProtection="0">
      <alignment vertical="center"/>
    </xf>
    <xf numFmtId="0" fontId="112"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113" fillId="0" borderId="0" applyNumberFormat="0" applyFill="0" applyBorder="0" applyAlignment="0" applyProtection="0">
      <alignment vertical="center"/>
    </xf>
    <xf numFmtId="0" fontId="113" fillId="0" borderId="0" applyNumberFormat="0" applyFill="0" applyBorder="0" applyAlignment="0" applyProtection="0">
      <alignment vertical="center"/>
    </xf>
    <xf numFmtId="0" fontId="113"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6" fillId="0" borderId="7" applyNumberFormat="0" applyFill="0" applyAlignment="0" applyProtection="0">
      <alignment vertical="center"/>
    </xf>
    <xf numFmtId="0" fontId="114" fillId="0" borderId="25" applyNumberFormat="0" applyFill="0" applyAlignment="0" applyProtection="0">
      <alignment vertical="center"/>
    </xf>
    <xf numFmtId="0" fontId="114" fillId="0" borderId="25" applyNumberFormat="0" applyFill="0" applyAlignment="0" applyProtection="0">
      <alignment vertical="center"/>
    </xf>
    <xf numFmtId="0" fontId="114" fillId="0" borderId="25" applyNumberFormat="0" applyFill="0" applyAlignment="0" applyProtection="0">
      <alignment vertical="center"/>
    </xf>
    <xf numFmtId="0" fontId="96" fillId="0" borderId="7" applyNumberFormat="0" applyFill="0" applyAlignment="0" applyProtection="0">
      <alignment vertical="center"/>
    </xf>
    <xf numFmtId="0" fontId="96" fillId="0" borderId="7" applyNumberFormat="0" applyFill="0" applyAlignment="0" applyProtection="0">
      <alignment vertical="center"/>
    </xf>
    <xf numFmtId="0" fontId="96" fillId="0" borderId="7" applyNumberFormat="0" applyFill="0" applyAlignment="0" applyProtection="0">
      <alignment vertical="center"/>
    </xf>
    <xf numFmtId="0" fontId="96" fillId="0" borderId="7" applyNumberFormat="0" applyFill="0" applyAlignment="0" applyProtection="0">
      <alignment vertical="center"/>
    </xf>
    <xf numFmtId="0" fontId="96" fillId="0" borderId="7" applyNumberFormat="0" applyFill="0" applyAlignment="0" applyProtection="0">
      <alignment vertical="center"/>
    </xf>
    <xf numFmtId="0" fontId="96" fillId="0" borderId="7" applyNumberFormat="0" applyFill="0" applyAlignment="0" applyProtection="0">
      <alignment vertical="center"/>
    </xf>
    <xf numFmtId="0" fontId="84" fillId="18" borderId="0" applyNumberFormat="0" applyBorder="0" applyAlignment="0" applyProtection="0">
      <alignment vertical="center"/>
    </xf>
    <xf numFmtId="0" fontId="102" fillId="64" borderId="0" applyNumberFormat="0" applyBorder="0" applyAlignment="0" applyProtection="0">
      <alignment vertical="center"/>
    </xf>
    <xf numFmtId="0" fontId="102" fillId="64" borderId="0" applyNumberFormat="0" applyBorder="0" applyAlignment="0" applyProtection="0">
      <alignment vertical="center"/>
    </xf>
    <xf numFmtId="0" fontId="102" fillId="64" borderId="0" applyNumberFormat="0" applyBorder="0" applyAlignment="0" applyProtection="0">
      <alignment vertical="center"/>
    </xf>
    <xf numFmtId="0" fontId="84" fillId="18" borderId="0" applyNumberFormat="0" applyBorder="0" applyAlignment="0" applyProtection="0">
      <alignment vertical="center"/>
    </xf>
    <xf numFmtId="0" fontId="84" fillId="18" borderId="0" applyNumberFormat="0" applyBorder="0" applyAlignment="0" applyProtection="0">
      <alignment vertical="center"/>
    </xf>
    <xf numFmtId="0" fontId="84" fillId="18" borderId="0" applyNumberFormat="0" applyBorder="0" applyAlignment="0" applyProtection="0">
      <alignment vertical="center"/>
    </xf>
    <xf numFmtId="0" fontId="84" fillId="18" borderId="0" applyNumberFormat="0" applyBorder="0" applyAlignment="0" applyProtection="0">
      <alignment vertical="center"/>
    </xf>
    <xf numFmtId="0" fontId="84" fillId="18" borderId="0" applyNumberFormat="0" applyBorder="0" applyAlignment="0" applyProtection="0">
      <alignment vertical="center"/>
    </xf>
    <xf numFmtId="0" fontId="84" fillId="18" borderId="0" applyNumberFormat="0" applyBorder="0" applyAlignment="0" applyProtection="0">
      <alignment vertical="center"/>
    </xf>
    <xf numFmtId="0" fontId="84" fillId="19" borderId="0" applyNumberFormat="0" applyBorder="0" applyAlignment="0" applyProtection="0">
      <alignment vertical="center"/>
    </xf>
    <xf numFmtId="0" fontId="102" fillId="65" borderId="0" applyNumberFormat="0" applyBorder="0" applyAlignment="0" applyProtection="0">
      <alignment vertical="center"/>
    </xf>
    <xf numFmtId="0" fontId="102" fillId="65" borderId="0" applyNumberFormat="0" applyBorder="0" applyAlignment="0" applyProtection="0">
      <alignment vertical="center"/>
    </xf>
    <xf numFmtId="0" fontId="102" fillId="65" borderId="0" applyNumberFormat="0" applyBorder="0" applyAlignment="0" applyProtection="0">
      <alignment vertical="center"/>
    </xf>
    <xf numFmtId="0" fontId="84" fillId="19" borderId="0" applyNumberFormat="0" applyBorder="0" applyAlignment="0" applyProtection="0">
      <alignment vertical="center"/>
    </xf>
    <xf numFmtId="0" fontId="84" fillId="19" borderId="0" applyNumberFormat="0" applyBorder="0" applyAlignment="0" applyProtection="0">
      <alignment vertical="center"/>
    </xf>
    <xf numFmtId="0" fontId="84" fillId="19" borderId="0" applyNumberFormat="0" applyBorder="0" applyAlignment="0" applyProtection="0">
      <alignment vertical="center"/>
    </xf>
    <xf numFmtId="0" fontId="84" fillId="19" borderId="0" applyNumberFormat="0" applyBorder="0" applyAlignment="0" applyProtection="0">
      <alignment vertical="center"/>
    </xf>
    <xf numFmtId="0" fontId="84" fillId="19" borderId="0" applyNumberFormat="0" applyBorder="0" applyAlignment="0" applyProtection="0">
      <alignment vertical="center"/>
    </xf>
    <xf numFmtId="0" fontId="84" fillId="19" borderId="0" applyNumberFormat="0" applyBorder="0" applyAlignment="0" applyProtection="0">
      <alignment vertical="center"/>
    </xf>
    <xf numFmtId="0" fontId="84" fillId="20" borderId="0" applyNumberFormat="0" applyBorder="0" applyAlignment="0" applyProtection="0">
      <alignment vertical="center"/>
    </xf>
    <xf numFmtId="0" fontId="102" fillId="66" borderId="0" applyNumberFormat="0" applyBorder="0" applyAlignment="0" applyProtection="0">
      <alignment vertical="center"/>
    </xf>
    <xf numFmtId="0" fontId="102" fillId="66" borderId="0" applyNumberFormat="0" applyBorder="0" applyAlignment="0" applyProtection="0">
      <alignment vertical="center"/>
    </xf>
    <xf numFmtId="0" fontId="102" fillId="66" borderId="0" applyNumberFormat="0" applyBorder="0" applyAlignment="0" applyProtection="0">
      <alignment vertical="center"/>
    </xf>
    <xf numFmtId="0" fontId="84" fillId="20" borderId="0" applyNumberFormat="0" applyBorder="0" applyAlignment="0" applyProtection="0">
      <alignment vertical="center"/>
    </xf>
    <xf numFmtId="0" fontId="84" fillId="20" borderId="0" applyNumberFormat="0" applyBorder="0" applyAlignment="0" applyProtection="0">
      <alignment vertical="center"/>
    </xf>
    <xf numFmtId="0" fontId="84" fillId="20" borderId="0" applyNumberFormat="0" applyBorder="0" applyAlignment="0" applyProtection="0">
      <alignment vertical="center"/>
    </xf>
    <xf numFmtId="0" fontId="84" fillId="20" borderId="0" applyNumberFormat="0" applyBorder="0" applyAlignment="0" applyProtection="0">
      <alignment vertical="center"/>
    </xf>
    <xf numFmtId="0" fontId="84" fillId="20" borderId="0" applyNumberFormat="0" applyBorder="0" applyAlignment="0" applyProtection="0">
      <alignment vertical="center"/>
    </xf>
    <xf numFmtId="0" fontId="84" fillId="20" borderId="0" applyNumberFormat="0" applyBorder="0" applyAlignment="0" applyProtection="0">
      <alignment vertical="center"/>
    </xf>
    <xf numFmtId="0" fontId="84" fillId="13" borderId="0" applyNumberFormat="0" applyBorder="0" applyAlignment="0" applyProtection="0">
      <alignment vertical="center"/>
    </xf>
    <xf numFmtId="0" fontId="102" fillId="67" borderId="0" applyNumberFormat="0" applyBorder="0" applyAlignment="0" applyProtection="0">
      <alignment vertical="center"/>
    </xf>
    <xf numFmtId="0" fontId="102" fillId="67" borderId="0" applyNumberFormat="0" applyBorder="0" applyAlignment="0" applyProtection="0">
      <alignment vertical="center"/>
    </xf>
    <xf numFmtId="0" fontId="102" fillId="67" borderId="0" applyNumberFormat="0" applyBorder="0" applyAlignment="0" applyProtection="0">
      <alignment vertical="center"/>
    </xf>
    <xf numFmtId="0" fontId="84" fillId="13" borderId="0" applyNumberFormat="0" applyBorder="0" applyAlignment="0" applyProtection="0">
      <alignment vertical="center"/>
    </xf>
    <xf numFmtId="0" fontId="84" fillId="13" borderId="0" applyNumberFormat="0" applyBorder="0" applyAlignment="0" applyProtection="0">
      <alignment vertical="center"/>
    </xf>
    <xf numFmtId="0" fontId="84" fillId="13" borderId="0" applyNumberFormat="0" applyBorder="0" applyAlignment="0" applyProtection="0">
      <alignment vertical="center"/>
    </xf>
    <xf numFmtId="0" fontId="84" fillId="13" borderId="0" applyNumberFormat="0" applyBorder="0" applyAlignment="0" applyProtection="0">
      <alignment vertical="center"/>
    </xf>
    <xf numFmtId="0" fontId="84" fillId="13" borderId="0" applyNumberFormat="0" applyBorder="0" applyAlignment="0" applyProtection="0">
      <alignment vertical="center"/>
    </xf>
    <xf numFmtId="0" fontId="84" fillId="13" borderId="0" applyNumberFormat="0" applyBorder="0" applyAlignment="0" applyProtection="0">
      <alignment vertical="center"/>
    </xf>
    <xf numFmtId="0" fontId="84" fillId="14" borderId="0" applyNumberFormat="0" applyBorder="0" applyAlignment="0" applyProtection="0">
      <alignment vertical="center"/>
    </xf>
    <xf numFmtId="0" fontId="102" fillId="68" borderId="0" applyNumberFormat="0" applyBorder="0" applyAlignment="0" applyProtection="0">
      <alignment vertical="center"/>
    </xf>
    <xf numFmtId="0" fontId="102" fillId="68" borderId="0" applyNumberFormat="0" applyBorder="0" applyAlignment="0" applyProtection="0">
      <alignment vertical="center"/>
    </xf>
    <xf numFmtId="0" fontId="102" fillId="68" borderId="0" applyNumberFormat="0" applyBorder="0" applyAlignment="0" applyProtection="0">
      <alignment vertical="center"/>
    </xf>
    <xf numFmtId="0" fontId="84" fillId="14" borderId="0" applyNumberFormat="0" applyBorder="0" applyAlignment="0" applyProtection="0">
      <alignment vertical="center"/>
    </xf>
    <xf numFmtId="0" fontId="84" fillId="14" borderId="0" applyNumberFormat="0" applyBorder="0" applyAlignment="0" applyProtection="0">
      <alignment vertical="center"/>
    </xf>
    <xf numFmtId="0" fontId="84" fillId="14" borderId="0" applyNumberFormat="0" applyBorder="0" applyAlignment="0" applyProtection="0">
      <alignment vertical="center"/>
    </xf>
    <xf numFmtId="0" fontId="84" fillId="14" borderId="0" applyNumberFormat="0" applyBorder="0" applyAlignment="0" applyProtection="0">
      <alignment vertical="center"/>
    </xf>
    <xf numFmtId="0" fontId="84" fillId="14" borderId="0" applyNumberFormat="0" applyBorder="0" applyAlignment="0" applyProtection="0">
      <alignment vertical="center"/>
    </xf>
    <xf numFmtId="0" fontId="84" fillId="14" borderId="0" applyNumberFormat="0" applyBorder="0" applyAlignment="0" applyProtection="0">
      <alignment vertical="center"/>
    </xf>
    <xf numFmtId="0" fontId="84" fillId="21" borderId="0" applyNumberFormat="0" applyBorder="0" applyAlignment="0" applyProtection="0">
      <alignment vertical="center"/>
    </xf>
    <xf numFmtId="0" fontId="102" fillId="69" borderId="0" applyNumberFormat="0" applyBorder="0" applyAlignment="0" applyProtection="0">
      <alignment vertical="center"/>
    </xf>
    <xf numFmtId="0" fontId="102" fillId="69" borderId="0" applyNumberFormat="0" applyBorder="0" applyAlignment="0" applyProtection="0">
      <alignment vertical="center"/>
    </xf>
    <xf numFmtId="0" fontId="102" fillId="69" borderId="0" applyNumberFormat="0" applyBorder="0" applyAlignment="0" applyProtection="0">
      <alignment vertical="center"/>
    </xf>
    <xf numFmtId="0" fontId="84" fillId="21" borderId="0" applyNumberFormat="0" applyBorder="0" applyAlignment="0" applyProtection="0">
      <alignment vertical="center"/>
    </xf>
    <xf numFmtId="0" fontId="84" fillId="21" borderId="0" applyNumberFormat="0" applyBorder="0" applyAlignment="0" applyProtection="0">
      <alignment vertical="center"/>
    </xf>
    <xf numFmtId="0" fontId="84" fillId="21" borderId="0" applyNumberFormat="0" applyBorder="0" applyAlignment="0" applyProtection="0">
      <alignment vertical="center"/>
    </xf>
    <xf numFmtId="0" fontId="84" fillId="21" borderId="0" applyNumberFormat="0" applyBorder="0" applyAlignment="0" applyProtection="0">
      <alignment vertical="center"/>
    </xf>
    <xf numFmtId="0" fontId="84" fillId="21" borderId="0" applyNumberFormat="0" applyBorder="0" applyAlignment="0" applyProtection="0">
      <alignment vertical="center"/>
    </xf>
    <xf numFmtId="0" fontId="84" fillId="21" borderId="0" applyNumberFormat="0" applyBorder="0" applyAlignment="0" applyProtection="0">
      <alignment vertical="center"/>
    </xf>
    <xf numFmtId="0" fontId="97" fillId="22" borderId="0" applyNumberFormat="0" applyBorder="0" applyAlignment="0" applyProtection="0">
      <alignment vertical="center"/>
    </xf>
    <xf numFmtId="0" fontId="115" fillId="70" borderId="0" applyNumberFormat="0" applyBorder="0" applyAlignment="0" applyProtection="0">
      <alignment vertical="center"/>
    </xf>
    <xf numFmtId="0" fontId="115" fillId="70" borderId="0" applyNumberFormat="0" applyBorder="0" applyAlignment="0" applyProtection="0">
      <alignment vertical="center"/>
    </xf>
    <xf numFmtId="0" fontId="115" fillId="70" borderId="0" applyNumberFormat="0" applyBorder="0" applyAlignment="0" applyProtection="0">
      <alignment vertical="center"/>
    </xf>
    <xf numFmtId="0" fontId="97" fillId="22" borderId="0" applyNumberFormat="0" applyBorder="0" applyAlignment="0" applyProtection="0">
      <alignment vertical="center"/>
    </xf>
    <xf numFmtId="0" fontId="97" fillId="22" borderId="0" applyNumberFormat="0" applyBorder="0" applyAlignment="0" applyProtection="0">
      <alignment vertical="center"/>
    </xf>
    <xf numFmtId="0" fontId="97" fillId="22" borderId="0" applyNumberFormat="0" applyBorder="0" applyAlignment="0" applyProtection="0">
      <alignment vertical="center"/>
    </xf>
    <xf numFmtId="0" fontId="97" fillId="22" borderId="0" applyNumberFormat="0" applyBorder="0" applyAlignment="0" applyProtection="0">
      <alignment vertical="center"/>
    </xf>
    <xf numFmtId="0" fontId="97" fillId="22" borderId="0" applyNumberFormat="0" applyBorder="0" applyAlignment="0" applyProtection="0">
      <alignment vertical="center"/>
    </xf>
    <xf numFmtId="0" fontId="97" fillId="22" borderId="0" applyNumberFormat="0" applyBorder="0" applyAlignment="0" applyProtection="0">
      <alignment vertical="center"/>
    </xf>
    <xf numFmtId="0" fontId="98" fillId="16" borderId="8" applyNumberFormat="0" applyAlignment="0" applyProtection="0">
      <alignment vertical="center"/>
    </xf>
    <xf numFmtId="0" fontId="116" fillId="62" borderId="26" applyNumberFormat="0" applyAlignment="0" applyProtection="0">
      <alignment vertical="center"/>
    </xf>
    <xf numFmtId="0" fontId="116" fillId="62" borderId="26" applyNumberFormat="0" applyAlignment="0" applyProtection="0">
      <alignment vertical="center"/>
    </xf>
    <xf numFmtId="0" fontId="116" fillId="62" borderId="26" applyNumberFormat="0" applyAlignment="0" applyProtection="0">
      <alignment vertical="center"/>
    </xf>
    <xf numFmtId="0" fontId="98" fillId="16" borderId="8" applyNumberFormat="0" applyAlignment="0" applyProtection="0">
      <alignment vertical="center"/>
    </xf>
    <xf numFmtId="0" fontId="98" fillId="16" borderId="8" applyNumberFormat="0" applyAlignment="0" applyProtection="0">
      <alignment vertical="center"/>
    </xf>
    <xf numFmtId="0" fontId="98" fillId="16" borderId="8" applyNumberFormat="0" applyAlignment="0" applyProtection="0">
      <alignment vertical="center"/>
    </xf>
    <xf numFmtId="0" fontId="98" fillId="16" borderId="8" applyNumberFormat="0" applyAlignment="0" applyProtection="0">
      <alignment vertical="center"/>
    </xf>
    <xf numFmtId="0" fontId="98" fillId="16" borderId="8" applyNumberFormat="0" applyAlignment="0" applyProtection="0">
      <alignment vertical="center"/>
    </xf>
    <xf numFmtId="0" fontId="98" fillId="16" borderId="8" applyNumberFormat="0" applyAlignment="0" applyProtection="0">
      <alignment vertical="center"/>
    </xf>
    <xf numFmtId="0" fontId="99" fillId="7" borderId="5" applyNumberFormat="0" applyAlignment="0" applyProtection="0">
      <alignment vertical="center"/>
    </xf>
    <xf numFmtId="0" fontId="117" fillId="71" borderId="23" applyNumberFormat="0" applyAlignment="0" applyProtection="0">
      <alignment vertical="center"/>
    </xf>
    <xf numFmtId="0" fontId="117" fillId="71" borderId="23" applyNumberFormat="0" applyAlignment="0" applyProtection="0">
      <alignment vertical="center"/>
    </xf>
    <xf numFmtId="0" fontId="117" fillId="71" borderId="23" applyNumberFormat="0" applyAlignment="0" applyProtection="0">
      <alignment vertical="center"/>
    </xf>
    <xf numFmtId="0" fontId="99" fillId="7" borderId="5" applyNumberFormat="0" applyAlignment="0" applyProtection="0">
      <alignment vertical="center"/>
    </xf>
    <xf numFmtId="0" fontId="99" fillId="7" borderId="5" applyNumberFormat="0" applyAlignment="0" applyProtection="0">
      <alignment vertical="center"/>
    </xf>
    <xf numFmtId="0" fontId="99" fillId="7" borderId="5" applyNumberFormat="0" applyAlignment="0" applyProtection="0">
      <alignment vertical="center"/>
    </xf>
    <xf numFmtId="0" fontId="99" fillId="7" borderId="5" applyNumberFormat="0" applyAlignment="0" applyProtection="0">
      <alignment vertical="center"/>
    </xf>
    <xf numFmtId="0" fontId="99" fillId="7" borderId="5" applyNumberFormat="0" applyAlignment="0" applyProtection="0">
      <alignment vertical="center"/>
    </xf>
    <xf numFmtId="0" fontId="99" fillId="7" borderId="5" applyNumberForma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101"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83"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83" fillId="72" borderId="27"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 borderId="0" applyNumberFormat="0" applyBorder="0" applyAlignment="0" applyProtection="0">
      <alignment vertical="center"/>
    </xf>
    <xf numFmtId="0" fontId="83" fillId="6" borderId="0" applyNumberFormat="0" applyBorder="0" applyAlignment="0" applyProtection="0">
      <alignment vertical="center"/>
    </xf>
    <xf numFmtId="0" fontId="83" fillId="3"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4" borderId="0" applyNumberFormat="0" applyBorder="0" applyAlignment="0" applyProtection="0">
      <alignment vertical="center"/>
    </xf>
    <xf numFmtId="0" fontId="101" fillId="4" borderId="0" applyNumberFormat="0" applyBorder="0" applyAlignment="0" applyProtection="0">
      <alignment vertical="center"/>
    </xf>
    <xf numFmtId="0" fontId="101" fillId="43" borderId="0" applyNumberFormat="0" applyBorder="0" applyAlignment="0" applyProtection="0">
      <alignment vertical="center"/>
    </xf>
    <xf numFmtId="0" fontId="101" fillId="3" borderId="0" applyNumberFormat="0" applyBorder="0" applyAlignment="0" applyProtection="0">
      <alignment vertical="center"/>
    </xf>
    <xf numFmtId="0" fontId="101" fillId="3" borderId="0" applyNumberFormat="0" applyBorder="0" applyAlignment="0" applyProtection="0">
      <alignment vertical="center"/>
    </xf>
    <xf numFmtId="0" fontId="101" fillId="43" borderId="0" applyNumberFormat="0" applyBorder="0" applyAlignment="0" applyProtection="0">
      <alignment vertical="center"/>
    </xf>
    <xf numFmtId="0" fontId="83" fillId="3" borderId="0" applyNumberFormat="0" applyBorder="0" applyAlignment="0" applyProtection="0">
      <alignment vertical="center"/>
    </xf>
    <xf numFmtId="0" fontId="83" fillId="5" borderId="0" applyNumberFormat="0" applyBorder="0" applyAlignment="0" applyProtection="0">
      <alignment vertical="center"/>
    </xf>
    <xf numFmtId="0" fontId="101" fillId="42" borderId="0" applyNumberFormat="0" applyBorder="0" applyAlignment="0" applyProtection="0">
      <alignment vertical="center"/>
    </xf>
    <xf numFmtId="0" fontId="101" fillId="2" borderId="0" applyNumberFormat="0" applyBorder="0" applyAlignment="0" applyProtection="0">
      <alignment vertical="center"/>
    </xf>
    <xf numFmtId="0" fontId="101" fillId="2" borderId="0" applyNumberFormat="0" applyBorder="0" applyAlignment="0" applyProtection="0">
      <alignment vertical="center"/>
    </xf>
    <xf numFmtId="0" fontId="101" fillId="4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2" fillId="0" borderId="0">
      <alignment vertical="center"/>
    </xf>
    <xf numFmtId="0" fontId="83" fillId="6" borderId="0" applyNumberFormat="0" applyBorder="0" applyAlignment="0" applyProtection="0">
      <alignment vertical="center"/>
    </xf>
    <xf numFmtId="0" fontId="83" fillId="72" borderId="27" applyNumberFormat="0" applyFont="0" applyAlignment="0" applyProtection="0">
      <alignment vertical="center"/>
    </xf>
    <xf numFmtId="0" fontId="83" fillId="23" borderId="9" applyNumberFormat="0" applyFont="0" applyAlignment="0" applyProtection="0">
      <alignment vertical="center"/>
    </xf>
    <xf numFmtId="0" fontId="83" fillId="7"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5" borderId="0" applyNumberFormat="0" applyBorder="0" applyAlignment="0" applyProtection="0">
      <alignment vertical="center"/>
    </xf>
    <xf numFmtId="0" fontId="83" fillId="10" borderId="0" applyNumberFormat="0" applyBorder="0" applyAlignment="0" applyProtection="0">
      <alignment vertical="center"/>
    </xf>
    <xf numFmtId="0" fontId="83" fillId="9" borderId="0" applyNumberFormat="0" applyBorder="0" applyAlignment="0" applyProtection="0">
      <alignment vertical="center"/>
    </xf>
    <xf numFmtId="0" fontId="83" fillId="8" borderId="0" applyNumberFormat="0" applyBorder="0" applyAlignment="0" applyProtection="0">
      <alignment vertical="center"/>
    </xf>
    <xf numFmtId="0" fontId="83" fillId="10" borderId="0" applyNumberFormat="0" applyBorder="0" applyAlignment="0" applyProtection="0">
      <alignment vertical="center"/>
    </xf>
    <xf numFmtId="0" fontId="83" fillId="6" borderId="0" applyNumberFormat="0" applyBorder="0" applyAlignment="0" applyProtection="0">
      <alignment vertical="center"/>
    </xf>
    <xf numFmtId="0" fontId="83" fillId="5" borderId="0" applyNumberFormat="0" applyBorder="0" applyAlignment="0" applyProtection="0">
      <alignment vertical="center"/>
    </xf>
    <xf numFmtId="0" fontId="83" fillId="3" borderId="0" applyNumberFormat="0" applyBorder="0" applyAlignment="0" applyProtection="0">
      <alignment vertical="center"/>
    </xf>
    <xf numFmtId="0" fontId="83" fillId="8" borderId="0" applyNumberFormat="0" applyBorder="0" applyAlignment="0" applyProtection="0">
      <alignment vertical="center"/>
    </xf>
    <xf numFmtId="0" fontId="83" fillId="2" borderId="0" applyNumberFormat="0" applyBorder="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83"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101"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99" fillId="7" borderId="5" applyNumberFormat="0" applyAlignment="0" applyProtection="0">
      <alignment vertical="center"/>
    </xf>
    <xf numFmtId="0" fontId="99" fillId="7" borderId="5" applyNumberFormat="0" applyAlignment="0" applyProtection="0">
      <alignment vertical="center"/>
    </xf>
    <xf numFmtId="0" fontId="99" fillId="7" borderId="5" applyNumberFormat="0" applyAlignment="0" applyProtection="0">
      <alignment vertical="center"/>
    </xf>
    <xf numFmtId="0" fontId="99" fillId="7" borderId="5" applyNumberFormat="0" applyAlignment="0" applyProtection="0">
      <alignment vertical="center"/>
    </xf>
    <xf numFmtId="0" fontId="99" fillId="7" borderId="5" applyNumberFormat="0" applyAlignment="0" applyProtection="0">
      <alignment vertical="center"/>
    </xf>
    <xf numFmtId="0" fontId="117" fillId="71" borderId="23" applyNumberFormat="0" applyAlignment="0" applyProtection="0">
      <alignment vertical="center"/>
    </xf>
    <xf numFmtId="0" fontId="117" fillId="71" borderId="23" applyNumberFormat="0" applyAlignment="0" applyProtection="0">
      <alignment vertical="center"/>
    </xf>
    <xf numFmtId="0" fontId="99" fillId="7" borderId="5" applyNumberFormat="0" applyAlignment="0" applyProtection="0">
      <alignment vertical="center"/>
    </xf>
    <xf numFmtId="0" fontId="98" fillId="16" borderId="8" applyNumberFormat="0" applyAlignment="0" applyProtection="0">
      <alignment vertical="center"/>
    </xf>
    <xf numFmtId="0" fontId="98" fillId="16" borderId="8" applyNumberFormat="0" applyAlignment="0" applyProtection="0">
      <alignment vertical="center"/>
    </xf>
    <xf numFmtId="0" fontId="98" fillId="16" borderId="8" applyNumberFormat="0" applyAlignment="0" applyProtection="0">
      <alignment vertical="center"/>
    </xf>
    <xf numFmtId="0" fontId="98" fillId="16" borderId="8" applyNumberFormat="0" applyAlignment="0" applyProtection="0">
      <alignment vertical="center"/>
    </xf>
    <xf numFmtId="0" fontId="98" fillId="16" borderId="8" applyNumberFormat="0" applyAlignment="0" applyProtection="0">
      <alignment vertical="center"/>
    </xf>
    <xf numFmtId="0" fontId="98" fillId="16" borderId="8" applyNumberFormat="0" applyAlignment="0" applyProtection="0">
      <alignment vertical="center"/>
    </xf>
    <xf numFmtId="0" fontId="116" fillId="62" borderId="26" applyNumberFormat="0" applyAlignment="0" applyProtection="0">
      <alignment vertical="center"/>
    </xf>
    <xf numFmtId="0" fontId="98" fillId="16" borderId="8" applyNumberFormat="0" applyAlignment="0" applyProtection="0">
      <alignment vertical="center"/>
    </xf>
    <xf numFmtId="0" fontId="97" fillId="22" borderId="0" applyNumberFormat="0" applyBorder="0" applyAlignment="0" applyProtection="0">
      <alignment vertical="center"/>
    </xf>
    <xf numFmtId="0" fontId="84" fillId="21" borderId="0" applyNumberFormat="0" applyBorder="0" applyAlignment="0" applyProtection="0">
      <alignment vertical="center"/>
    </xf>
    <xf numFmtId="0" fontId="84" fillId="21" borderId="0" applyNumberFormat="0" applyBorder="0" applyAlignment="0" applyProtection="0">
      <alignment vertical="center"/>
    </xf>
    <xf numFmtId="0" fontId="84" fillId="21" borderId="0" applyNumberFormat="0" applyBorder="0" applyAlignment="0" applyProtection="0">
      <alignment vertical="center"/>
    </xf>
    <xf numFmtId="0" fontId="84" fillId="21" borderId="0" applyNumberFormat="0" applyBorder="0" applyAlignment="0" applyProtection="0">
      <alignment vertical="center"/>
    </xf>
    <xf numFmtId="0" fontId="102" fillId="69" borderId="0" applyNumberFormat="0" applyBorder="0" applyAlignment="0" applyProtection="0">
      <alignment vertical="center"/>
    </xf>
    <xf numFmtId="0" fontId="102" fillId="69" borderId="0" applyNumberFormat="0" applyBorder="0" applyAlignment="0" applyProtection="0">
      <alignment vertical="center"/>
    </xf>
    <xf numFmtId="0" fontId="102" fillId="69" borderId="0" applyNumberFormat="0" applyBorder="0" applyAlignment="0" applyProtection="0">
      <alignment vertical="center"/>
    </xf>
    <xf numFmtId="0" fontId="84" fillId="21" borderId="0" applyNumberFormat="0" applyBorder="0" applyAlignment="0" applyProtection="0">
      <alignment vertical="center"/>
    </xf>
    <xf numFmtId="0" fontId="84" fillId="14" borderId="0" applyNumberFormat="0" applyBorder="0" applyAlignment="0" applyProtection="0">
      <alignment vertical="center"/>
    </xf>
    <xf numFmtId="0" fontId="84" fillId="14" borderId="0" applyNumberFormat="0" applyBorder="0" applyAlignment="0" applyProtection="0">
      <alignment vertical="center"/>
    </xf>
    <xf numFmtId="0" fontId="102" fillId="67" borderId="0" applyNumberFormat="0" applyBorder="0" applyAlignment="0" applyProtection="0">
      <alignment vertical="center"/>
    </xf>
    <xf numFmtId="0" fontId="102" fillId="67" borderId="0" applyNumberFormat="0" applyBorder="0" applyAlignment="0" applyProtection="0">
      <alignment vertical="center"/>
    </xf>
    <xf numFmtId="0" fontId="102" fillId="67" borderId="0" applyNumberFormat="0" applyBorder="0" applyAlignment="0" applyProtection="0">
      <alignment vertical="center"/>
    </xf>
    <xf numFmtId="0" fontId="84" fillId="13" borderId="0" applyNumberFormat="0" applyBorder="0" applyAlignment="0" applyProtection="0">
      <alignment vertical="center"/>
    </xf>
    <xf numFmtId="0" fontId="84" fillId="20" borderId="0" applyNumberFormat="0" applyBorder="0" applyAlignment="0" applyProtection="0">
      <alignment vertical="center"/>
    </xf>
    <xf numFmtId="0" fontId="84" fillId="20" borderId="0" applyNumberFormat="0" applyBorder="0" applyAlignment="0" applyProtection="0">
      <alignment vertical="center"/>
    </xf>
    <xf numFmtId="0" fontId="95"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83" fillId="11" borderId="0" applyNumberFormat="0" applyBorder="0" applyAlignment="0" applyProtection="0">
      <alignment vertical="center"/>
    </xf>
    <xf numFmtId="0" fontId="94" fillId="0" borderId="0" applyNumberFormat="0" applyFill="0" applyBorder="0" applyAlignment="0" applyProtection="0">
      <alignment vertical="center"/>
    </xf>
    <xf numFmtId="0" fontId="111" fillId="63" borderId="24" applyNumberFormat="0" applyAlignment="0" applyProtection="0">
      <alignment vertical="center"/>
    </xf>
    <xf numFmtId="0" fontId="110" fillId="62" borderId="23" applyNumberFormat="0" applyAlignment="0" applyProtection="0">
      <alignment vertical="center"/>
    </xf>
    <xf numFmtId="0" fontId="85" fillId="0" borderId="0" applyNumberFormat="0" applyFill="0" applyBorder="0" applyAlignment="0" applyProtection="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9" fillId="3" borderId="0" applyNumberFormat="0" applyBorder="0" applyAlignment="0" applyProtection="0">
      <alignment vertical="center"/>
    </xf>
    <xf numFmtId="0" fontId="89" fillId="3" borderId="0" applyNumberFormat="0" applyBorder="0" applyAlignment="0" applyProtection="0">
      <alignment vertical="center"/>
    </xf>
    <xf numFmtId="0" fontId="89" fillId="3" borderId="0" applyNumberFormat="0" applyBorder="0" applyAlignment="0" applyProtection="0">
      <alignment vertical="center"/>
    </xf>
    <xf numFmtId="0" fontId="89" fillId="3" borderId="0" applyNumberFormat="0" applyBorder="0" applyAlignment="0" applyProtection="0">
      <alignment vertical="center"/>
    </xf>
    <xf numFmtId="0" fontId="107" fillId="60" borderId="0" applyNumberFormat="0" applyBorder="0" applyAlignment="0" applyProtection="0">
      <alignment vertical="center"/>
    </xf>
    <xf numFmtId="0" fontId="107" fillId="60" borderId="0" applyNumberFormat="0" applyBorder="0" applyAlignment="0" applyProtection="0">
      <alignment vertical="center"/>
    </xf>
    <xf numFmtId="0" fontId="107" fillId="60" borderId="0" applyNumberFormat="0" applyBorder="0" applyAlignment="0" applyProtection="0">
      <alignment vertical="center"/>
    </xf>
    <xf numFmtId="0" fontId="85" fillId="0" borderId="0" applyNumberFormat="0" applyFill="0" applyBorder="0" applyAlignment="0" applyProtection="0">
      <alignment vertical="center"/>
    </xf>
    <xf numFmtId="0" fontId="85" fillId="0" borderId="0" applyNumberFormat="0" applyFill="0" applyBorder="0" applyAlignment="0" applyProtection="0">
      <alignment vertical="center"/>
    </xf>
    <xf numFmtId="0" fontId="85" fillId="0" borderId="0" applyNumberFormat="0" applyFill="0" applyBorder="0" applyAlignment="0" applyProtection="0">
      <alignment vertical="center"/>
    </xf>
    <xf numFmtId="0" fontId="85" fillId="0" borderId="0" applyNumberFormat="0" applyFill="0" applyBorder="0" applyAlignment="0" applyProtection="0">
      <alignment vertical="center"/>
    </xf>
    <xf numFmtId="0" fontId="85" fillId="0" borderId="0" applyNumberFormat="0" applyFill="0" applyBorder="0" applyAlignment="0" applyProtection="0">
      <alignment vertical="center"/>
    </xf>
    <xf numFmtId="0" fontId="106"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105" fillId="0" borderId="0" applyNumberFormat="0" applyFill="0" applyBorder="0" applyAlignment="0" applyProtection="0">
      <alignment vertical="center"/>
    </xf>
    <xf numFmtId="0" fontId="105" fillId="0" borderId="0" applyNumberFormat="0" applyFill="0" applyBorder="0" applyAlignment="0" applyProtection="0">
      <alignment vertical="center"/>
    </xf>
    <xf numFmtId="0" fontId="105"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3" applyNumberFormat="0" applyFill="0" applyAlignment="0" applyProtection="0">
      <alignment vertical="center"/>
    </xf>
    <xf numFmtId="0" fontId="88" fillId="0" borderId="3" applyNumberFormat="0" applyFill="0" applyAlignment="0" applyProtection="0">
      <alignment vertical="center"/>
    </xf>
    <xf numFmtId="0" fontId="88" fillId="0" borderId="3" applyNumberFormat="0" applyFill="0" applyAlignment="0" applyProtection="0">
      <alignment vertical="center"/>
    </xf>
    <xf numFmtId="0" fontId="88" fillId="0" borderId="3" applyNumberFormat="0" applyFill="0" applyAlignment="0" applyProtection="0">
      <alignment vertical="center"/>
    </xf>
    <xf numFmtId="0" fontId="88" fillId="0" borderId="3" applyNumberFormat="0" applyFill="0" applyAlignment="0" applyProtection="0">
      <alignment vertical="center"/>
    </xf>
    <xf numFmtId="0" fontId="88" fillId="0" borderId="3" applyNumberFormat="0" applyFill="0" applyAlignment="0" applyProtection="0">
      <alignment vertical="center"/>
    </xf>
    <xf numFmtId="0" fontId="105" fillId="0" borderId="21" applyNumberFormat="0" applyFill="0" applyAlignment="0" applyProtection="0">
      <alignment vertical="center"/>
    </xf>
    <xf numFmtId="0" fontId="105" fillId="0" borderId="21" applyNumberFormat="0" applyFill="0" applyAlignment="0" applyProtection="0">
      <alignment vertical="center"/>
    </xf>
    <xf numFmtId="0" fontId="105" fillId="0" borderId="21" applyNumberFormat="0" applyFill="0" applyAlignment="0" applyProtection="0">
      <alignment vertical="center"/>
    </xf>
    <xf numFmtId="0" fontId="87" fillId="0" borderId="2" applyNumberFormat="0" applyFill="0" applyAlignment="0" applyProtection="0">
      <alignment vertical="center"/>
    </xf>
    <xf numFmtId="0" fontId="87" fillId="0" borderId="2" applyNumberFormat="0" applyFill="0" applyAlignment="0" applyProtection="0">
      <alignment vertical="center"/>
    </xf>
    <xf numFmtId="0" fontId="87" fillId="0" borderId="2" applyNumberFormat="0" applyFill="0" applyAlignment="0" applyProtection="0">
      <alignment vertical="center"/>
    </xf>
    <xf numFmtId="0" fontId="87" fillId="0" borderId="2" applyNumberFormat="0" applyFill="0" applyAlignment="0" applyProtection="0">
      <alignment vertical="center"/>
    </xf>
    <xf numFmtId="0" fontId="87" fillId="0" borderId="2" applyNumberFormat="0" applyFill="0" applyAlignment="0" applyProtection="0">
      <alignment vertical="center"/>
    </xf>
    <xf numFmtId="0" fontId="87" fillId="0" borderId="2" applyNumberFormat="0" applyFill="0" applyAlignment="0" applyProtection="0">
      <alignment vertical="center"/>
    </xf>
    <xf numFmtId="0" fontId="104" fillId="0" borderId="20" applyNumberFormat="0" applyFill="0" applyAlignment="0" applyProtection="0">
      <alignment vertical="center"/>
    </xf>
    <xf numFmtId="0" fontId="104" fillId="0" borderId="20" applyNumberFormat="0" applyFill="0" applyAlignment="0" applyProtection="0">
      <alignment vertical="center"/>
    </xf>
    <xf numFmtId="0" fontId="104" fillId="0" borderId="20" applyNumberFormat="0" applyFill="0" applyAlignment="0" applyProtection="0">
      <alignment vertical="center"/>
    </xf>
    <xf numFmtId="0" fontId="87" fillId="0" borderId="2" applyNumberFormat="0" applyFill="0" applyAlignment="0" applyProtection="0">
      <alignment vertical="center"/>
    </xf>
    <xf numFmtId="0" fontId="86" fillId="0" borderId="1" applyNumberFormat="0" applyFill="0" applyAlignment="0" applyProtection="0">
      <alignment vertical="center"/>
    </xf>
    <xf numFmtId="0" fontId="86" fillId="0" borderId="1" applyNumberFormat="0" applyFill="0" applyAlignment="0" applyProtection="0">
      <alignment vertical="center"/>
    </xf>
    <xf numFmtId="0" fontId="86" fillId="0" borderId="1" applyNumberFormat="0" applyFill="0" applyAlignment="0" applyProtection="0">
      <alignment vertical="center"/>
    </xf>
    <xf numFmtId="0" fontId="86" fillId="0" borderId="1" applyNumberFormat="0" applyFill="0" applyAlignment="0" applyProtection="0">
      <alignment vertical="center"/>
    </xf>
    <xf numFmtId="0" fontId="86" fillId="0" borderId="1" applyNumberFormat="0" applyFill="0" applyAlignment="0" applyProtection="0">
      <alignment vertical="center"/>
    </xf>
    <xf numFmtId="0" fontId="86" fillId="0" borderId="1" applyNumberFormat="0" applyFill="0" applyAlignment="0" applyProtection="0">
      <alignment vertical="center"/>
    </xf>
    <xf numFmtId="0" fontId="103" fillId="0" borderId="19" applyNumberFormat="0" applyFill="0" applyAlignment="0" applyProtection="0">
      <alignment vertical="center"/>
    </xf>
    <xf numFmtId="0" fontId="103" fillId="0" borderId="19" applyNumberFormat="0" applyFill="0" applyAlignment="0" applyProtection="0">
      <alignment vertical="center"/>
    </xf>
    <xf numFmtId="0" fontId="103" fillId="0" borderId="19" applyNumberFormat="0" applyFill="0" applyAlignment="0" applyProtection="0">
      <alignment vertical="center"/>
    </xf>
    <xf numFmtId="0" fontId="86" fillId="0" borderId="1" applyNumberFormat="0" applyFill="0" applyAlignment="0" applyProtection="0">
      <alignment vertical="center"/>
    </xf>
    <xf numFmtId="0" fontId="85" fillId="0" borderId="0" applyNumberFormat="0" applyFill="0" applyBorder="0" applyAlignment="0" applyProtection="0">
      <alignment vertical="center"/>
    </xf>
    <xf numFmtId="0" fontId="84" fillId="15" borderId="0" applyNumberFormat="0" applyBorder="0" applyAlignment="0" applyProtection="0">
      <alignment vertical="center"/>
    </xf>
    <xf numFmtId="0" fontId="84" fillId="15" borderId="0" applyNumberFormat="0" applyBorder="0" applyAlignment="0" applyProtection="0">
      <alignment vertical="center"/>
    </xf>
    <xf numFmtId="0" fontId="84" fillId="15" borderId="0" applyNumberFormat="0" applyBorder="0" applyAlignment="0" applyProtection="0">
      <alignment vertical="center"/>
    </xf>
    <xf numFmtId="0" fontId="84" fillId="15" borderId="0" applyNumberFormat="0" applyBorder="0" applyAlignment="0" applyProtection="0">
      <alignment vertical="center"/>
    </xf>
    <xf numFmtId="0" fontId="84" fillId="15"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15" borderId="0" applyNumberFormat="0" applyBorder="0" applyAlignment="0" applyProtection="0">
      <alignment vertical="center"/>
    </xf>
    <xf numFmtId="0" fontId="102" fillId="59" borderId="0" applyNumberFormat="0" applyBorder="0" applyAlignment="0" applyProtection="0">
      <alignment vertical="center"/>
    </xf>
    <xf numFmtId="0" fontId="102" fillId="15" borderId="0" applyNumberFormat="0" applyBorder="0" applyAlignment="0" applyProtection="0">
      <alignment vertical="center"/>
    </xf>
    <xf numFmtId="0" fontId="102" fillId="15" borderId="0" applyNumberFormat="0" applyBorder="0" applyAlignment="0" applyProtection="0">
      <alignment vertical="center"/>
    </xf>
    <xf numFmtId="0" fontId="102" fillId="15" borderId="0" applyNumberFormat="0" applyBorder="0" applyAlignment="0" applyProtection="0">
      <alignment vertical="center"/>
    </xf>
    <xf numFmtId="0" fontId="102" fillId="15"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15" borderId="0" applyNumberFormat="0" applyBorder="0" applyAlignment="0" applyProtection="0">
      <alignment vertical="center"/>
    </xf>
    <xf numFmtId="0" fontId="84" fillId="15" borderId="0" applyNumberFormat="0" applyBorder="0" applyAlignment="0" applyProtection="0">
      <alignment vertical="center"/>
    </xf>
    <xf numFmtId="0" fontId="84" fillId="14" borderId="0" applyNumberFormat="0" applyBorder="0" applyAlignment="0" applyProtection="0">
      <alignment vertical="center"/>
    </xf>
    <xf numFmtId="0" fontId="84" fillId="14" borderId="0" applyNumberFormat="0" applyBorder="0" applyAlignment="0" applyProtection="0">
      <alignment vertical="center"/>
    </xf>
    <xf numFmtId="0" fontId="84" fillId="14" borderId="0" applyNumberFormat="0" applyBorder="0" applyAlignment="0" applyProtection="0">
      <alignment vertical="center"/>
    </xf>
    <xf numFmtId="0" fontId="84" fillId="14" borderId="0" applyNumberFormat="0" applyBorder="0" applyAlignment="0" applyProtection="0">
      <alignment vertical="center"/>
    </xf>
    <xf numFmtId="0" fontId="84" fillId="14" borderId="0" applyNumberFormat="0" applyBorder="0" applyAlignment="0" applyProtection="0">
      <alignment vertical="center"/>
    </xf>
    <xf numFmtId="0" fontId="84" fillId="14" borderId="0" applyNumberFormat="0" applyBorder="0" applyAlignment="0" applyProtection="0">
      <alignment vertical="center"/>
    </xf>
    <xf numFmtId="0" fontId="102" fillId="58" borderId="0" applyNumberFormat="0" applyBorder="0" applyAlignment="0" applyProtection="0">
      <alignment vertical="center"/>
    </xf>
    <xf numFmtId="0" fontId="102" fillId="58" borderId="0" applyNumberFormat="0" applyBorder="0" applyAlignment="0" applyProtection="0">
      <alignment vertical="center"/>
    </xf>
    <xf numFmtId="0" fontId="102" fillId="58" borderId="0" applyNumberFormat="0" applyBorder="0" applyAlignment="0" applyProtection="0">
      <alignment vertical="center"/>
    </xf>
    <xf numFmtId="0" fontId="84" fillId="14" borderId="0" applyNumberFormat="0" applyBorder="0" applyAlignment="0" applyProtection="0">
      <alignment vertical="center"/>
    </xf>
    <xf numFmtId="0" fontId="84" fillId="13" borderId="0" applyNumberFormat="0" applyBorder="0" applyAlignment="0" applyProtection="0">
      <alignment vertical="center"/>
    </xf>
    <xf numFmtId="0" fontId="84" fillId="13" borderId="0" applyNumberFormat="0" applyBorder="0" applyAlignment="0" applyProtection="0">
      <alignment vertical="center"/>
    </xf>
    <xf numFmtId="0" fontId="84" fillId="13" borderId="0" applyNumberFormat="0" applyBorder="0" applyAlignment="0" applyProtection="0">
      <alignment vertical="center"/>
    </xf>
    <xf numFmtId="0" fontId="84" fillId="13" borderId="0" applyNumberFormat="0" applyBorder="0" applyAlignment="0" applyProtection="0">
      <alignment vertical="center"/>
    </xf>
    <xf numFmtId="0" fontId="84" fillId="13"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84" fillId="10" borderId="0" applyNumberFormat="0" applyBorder="0" applyAlignment="0" applyProtection="0">
      <alignment vertical="center"/>
    </xf>
    <xf numFmtId="0" fontId="84" fillId="9" borderId="0" applyNumberFormat="0" applyBorder="0" applyAlignment="0" applyProtection="0">
      <alignment vertical="center"/>
    </xf>
    <xf numFmtId="0" fontId="84" fillId="12" borderId="0" applyNumberFormat="0" applyBorder="0" applyAlignment="0" applyProtection="0">
      <alignment vertical="center"/>
    </xf>
    <xf numFmtId="0" fontId="84" fillId="12" borderId="0" applyNumberFormat="0" applyBorder="0" applyAlignment="0" applyProtection="0">
      <alignment vertical="center"/>
    </xf>
    <xf numFmtId="0" fontId="84" fillId="12" borderId="0" applyNumberFormat="0" applyBorder="0" applyAlignment="0" applyProtection="0">
      <alignment vertical="center"/>
    </xf>
    <xf numFmtId="0" fontId="84" fillId="12" borderId="0" applyNumberFormat="0" applyBorder="0" applyAlignment="0" applyProtection="0">
      <alignment vertical="center"/>
    </xf>
    <xf numFmtId="0" fontId="102" fillId="54" borderId="0" applyNumberFormat="0" applyBorder="0" applyAlignment="0" applyProtection="0">
      <alignment vertical="center"/>
    </xf>
    <xf numFmtId="0" fontId="102" fillId="54" borderId="0" applyNumberFormat="0" applyBorder="0" applyAlignment="0" applyProtection="0">
      <alignment vertical="center"/>
    </xf>
    <xf numFmtId="0" fontId="102" fillId="54" borderId="0" applyNumberFormat="0" applyBorder="0" applyAlignment="0" applyProtection="0">
      <alignment vertical="center"/>
    </xf>
    <xf numFmtId="0" fontId="84" fillId="12"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23" borderId="9" applyNumberFormat="0" applyFont="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5"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4"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72" borderId="27" applyNumberFormat="0" applyFont="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83" fillId="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5" borderId="0" applyNumberFormat="0" applyBorder="0" applyAlignment="0" applyProtection="0">
      <alignment vertical="center"/>
    </xf>
    <xf numFmtId="0" fontId="101" fillId="45" borderId="0" applyNumberFormat="0" applyBorder="0" applyAlignment="0" applyProtection="0">
      <alignment vertical="center"/>
    </xf>
    <xf numFmtId="0" fontId="101" fillId="5" borderId="0" applyNumberFormat="0" applyBorder="0" applyAlignment="0" applyProtection="0">
      <alignment vertical="center"/>
    </xf>
    <xf numFmtId="0" fontId="101" fillId="5" borderId="0" applyNumberFormat="0" applyBorder="0" applyAlignment="0" applyProtection="0">
      <alignment vertical="center"/>
    </xf>
    <xf numFmtId="0" fontId="101" fillId="5" borderId="0" applyNumberFormat="0" applyBorder="0" applyAlignment="0" applyProtection="0">
      <alignment vertical="center"/>
    </xf>
    <xf numFmtId="0" fontId="101" fillId="5" borderId="0" applyNumberFormat="0" applyBorder="0" applyAlignment="0" applyProtection="0">
      <alignment vertical="center"/>
    </xf>
    <xf numFmtId="0" fontId="101" fillId="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 borderId="0" applyNumberFormat="0" applyBorder="0" applyAlignment="0" applyProtection="0">
      <alignment vertical="center"/>
    </xf>
    <xf numFmtId="0" fontId="101" fillId="44" borderId="0" applyNumberFormat="0" applyBorder="0" applyAlignment="0" applyProtection="0">
      <alignment vertical="center"/>
    </xf>
    <xf numFmtId="0" fontId="101" fillId="4" borderId="0" applyNumberFormat="0" applyBorder="0" applyAlignment="0" applyProtection="0">
      <alignment vertical="center"/>
    </xf>
    <xf numFmtId="0" fontId="101" fillId="4" borderId="0" applyNumberFormat="0" applyBorder="0" applyAlignment="0" applyProtection="0">
      <alignment vertical="center"/>
    </xf>
    <xf numFmtId="0" fontId="101" fillId="4" borderId="0" applyNumberFormat="0" applyBorder="0" applyAlignment="0" applyProtection="0">
      <alignment vertical="center"/>
    </xf>
    <xf numFmtId="0" fontId="101" fillId="4" borderId="0" applyNumberFormat="0" applyBorder="0" applyAlignment="0" applyProtection="0">
      <alignment vertical="center"/>
    </xf>
    <xf numFmtId="0" fontId="83" fillId="4" borderId="0" applyNumberFormat="0" applyBorder="0" applyAlignment="0" applyProtection="0">
      <alignment vertical="center"/>
    </xf>
    <xf numFmtId="0" fontId="101" fillId="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3" borderId="0" applyNumberFormat="0" applyBorder="0" applyAlignment="0" applyProtection="0">
      <alignment vertical="center"/>
    </xf>
    <xf numFmtId="0" fontId="101" fillId="43" borderId="0" applyNumberFormat="0" applyBorder="0" applyAlignment="0" applyProtection="0">
      <alignment vertical="center"/>
    </xf>
    <xf numFmtId="0" fontId="101" fillId="3" borderId="0" applyNumberFormat="0" applyBorder="0" applyAlignment="0" applyProtection="0">
      <alignment vertical="center"/>
    </xf>
    <xf numFmtId="0" fontId="101" fillId="3" borderId="0" applyNumberFormat="0" applyBorder="0" applyAlignment="0" applyProtection="0">
      <alignment vertical="center"/>
    </xf>
    <xf numFmtId="0" fontId="101" fillId="3" borderId="0" applyNumberFormat="0" applyBorder="0" applyAlignment="0" applyProtection="0">
      <alignment vertical="center"/>
    </xf>
    <xf numFmtId="0" fontId="101" fillId="3" borderId="0" applyNumberFormat="0" applyBorder="0" applyAlignment="0" applyProtection="0">
      <alignment vertical="center"/>
    </xf>
    <xf numFmtId="0" fontId="101" fillId="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2" borderId="0" applyNumberFormat="0" applyBorder="0" applyAlignment="0" applyProtection="0">
      <alignment vertical="center"/>
    </xf>
    <xf numFmtId="0" fontId="101" fillId="42" borderId="0" applyNumberFormat="0" applyBorder="0" applyAlignment="0" applyProtection="0">
      <alignment vertical="center"/>
    </xf>
    <xf numFmtId="0" fontId="101" fillId="2" borderId="0" applyNumberFormat="0" applyBorder="0" applyAlignment="0" applyProtection="0">
      <alignment vertical="center"/>
    </xf>
    <xf numFmtId="0" fontId="101"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2" fillId="0" borderId="0">
      <alignment vertical="center"/>
    </xf>
    <xf numFmtId="0" fontId="83" fillId="2"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101" fillId="42" borderId="0" applyNumberFormat="0" applyBorder="0" applyAlignment="0" applyProtection="0">
      <alignment vertical="center"/>
    </xf>
    <xf numFmtId="0" fontId="101" fillId="2" borderId="0" applyNumberFormat="0" applyBorder="0" applyAlignment="0" applyProtection="0">
      <alignment vertical="center"/>
    </xf>
    <xf numFmtId="0" fontId="101" fillId="2" borderId="0" applyNumberFormat="0" applyBorder="0" applyAlignment="0" applyProtection="0">
      <alignment vertical="center"/>
    </xf>
    <xf numFmtId="0" fontId="101" fillId="4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101" fillId="43" borderId="0" applyNumberFormat="0" applyBorder="0" applyAlignment="0" applyProtection="0">
      <alignment vertical="center"/>
    </xf>
    <xf numFmtId="0" fontId="101" fillId="3" borderId="0" applyNumberFormat="0" applyBorder="0" applyAlignment="0" applyProtection="0">
      <alignment vertical="center"/>
    </xf>
    <xf numFmtId="0" fontId="101" fillId="3" borderId="0" applyNumberFormat="0" applyBorder="0" applyAlignment="0" applyProtection="0">
      <alignment vertical="center"/>
    </xf>
    <xf numFmtId="0" fontId="101" fillId="43" borderId="0" applyNumberFormat="0" applyBorder="0" applyAlignment="0" applyProtection="0">
      <alignment vertical="center"/>
    </xf>
    <xf numFmtId="0" fontId="101" fillId="45" borderId="0" applyNumberFormat="0" applyBorder="0" applyAlignment="0" applyProtection="0">
      <alignment vertical="center"/>
    </xf>
    <xf numFmtId="0" fontId="101" fillId="5" borderId="0" applyNumberFormat="0" applyBorder="0" applyAlignment="0" applyProtection="0">
      <alignment vertical="center"/>
    </xf>
    <xf numFmtId="0" fontId="101" fillId="45"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4" borderId="0" applyNumberFormat="0" applyBorder="0" applyAlignment="0" applyProtection="0">
      <alignment vertical="center"/>
    </xf>
    <xf numFmtId="0" fontId="101"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101" fillId="44" borderId="0" applyNumberFormat="0" applyBorder="0" applyAlignment="0" applyProtection="0">
      <alignment vertical="center"/>
    </xf>
    <xf numFmtId="0" fontId="101" fillId="4" borderId="0" applyNumberFormat="0" applyBorder="0" applyAlignment="0" applyProtection="0">
      <alignment vertical="center"/>
    </xf>
    <xf numFmtId="0" fontId="101" fillId="4" borderId="0" applyNumberFormat="0" applyBorder="0" applyAlignment="0" applyProtection="0">
      <alignment vertical="center"/>
    </xf>
    <xf numFmtId="0" fontId="101" fillId="4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101" fillId="45" borderId="0" applyNumberFormat="0" applyBorder="0" applyAlignment="0" applyProtection="0">
      <alignment vertical="center"/>
    </xf>
    <xf numFmtId="0" fontId="101" fillId="5" borderId="0" applyNumberFormat="0" applyBorder="0" applyAlignment="0" applyProtection="0">
      <alignment vertical="center"/>
    </xf>
    <xf numFmtId="0" fontId="101" fillId="5" borderId="0" applyNumberFormat="0" applyBorder="0" applyAlignment="0" applyProtection="0">
      <alignment vertical="center"/>
    </xf>
    <xf numFmtId="0" fontId="101" fillId="4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7" borderId="0" applyNumberFormat="0" applyBorder="0" applyAlignment="0" applyProtection="0">
      <alignment vertical="center"/>
    </xf>
    <xf numFmtId="0" fontId="83" fillId="11"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101" fillId="50" borderId="0" applyNumberFormat="0" applyBorder="0" applyAlignment="0" applyProtection="0">
      <alignment vertical="center"/>
    </xf>
    <xf numFmtId="0" fontId="101" fillId="10" borderId="0" applyNumberFormat="0" applyBorder="0" applyAlignment="0" applyProtection="0">
      <alignment vertical="center"/>
    </xf>
    <xf numFmtId="0" fontId="101" fillId="10" borderId="0" applyNumberFormat="0" applyBorder="0" applyAlignment="0" applyProtection="0">
      <alignment vertical="center"/>
    </xf>
    <xf numFmtId="0" fontId="101" fillId="5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5"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4"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23" borderId="9" applyNumberFormat="0" applyFont="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72" borderId="27" applyNumberFormat="0" applyFont="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72" borderId="27" applyNumberFormat="0" applyFont="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23" borderId="9" applyNumberFormat="0" applyFont="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97" fillId="22" borderId="0" applyNumberFormat="0" applyBorder="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99" fillId="7" borderId="5" applyNumberFormat="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116" fillId="62" borderId="26" applyNumberFormat="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97" fillId="22" borderId="0" applyNumberFormat="0" applyBorder="0" applyAlignment="0" applyProtection="0">
      <alignment vertical="center"/>
    </xf>
    <xf numFmtId="0" fontId="97" fillId="22" borderId="0" applyNumberFormat="0" applyBorder="0" applyAlignment="0" applyProtection="0">
      <alignment vertical="center"/>
    </xf>
    <xf numFmtId="0" fontId="115" fillId="70" borderId="0" applyNumberFormat="0" applyBorder="0" applyAlignment="0" applyProtection="0">
      <alignment vertical="center"/>
    </xf>
    <xf numFmtId="0" fontId="115" fillId="70" borderId="0" applyNumberFormat="0" applyBorder="0" applyAlignment="0" applyProtection="0">
      <alignment vertical="center"/>
    </xf>
    <xf numFmtId="0" fontId="84" fillId="21"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4" fillId="13" borderId="0" applyNumberFormat="0" applyBorder="0" applyAlignment="0" applyProtection="0">
      <alignment vertical="center"/>
    </xf>
    <xf numFmtId="0" fontId="84" fillId="14" borderId="0" applyNumberFormat="0" applyBorder="0" applyAlignment="0" applyProtection="0">
      <alignment vertical="center"/>
    </xf>
    <xf numFmtId="0" fontId="84" fillId="14" borderId="0" applyNumberFormat="0" applyBorder="0" applyAlignment="0" applyProtection="0">
      <alignment vertical="center"/>
    </xf>
    <xf numFmtId="0" fontId="102" fillId="68" borderId="0" applyNumberFormat="0" applyBorder="0" applyAlignment="0" applyProtection="0">
      <alignment vertical="center"/>
    </xf>
    <xf numFmtId="0" fontId="102" fillId="68" borderId="0" applyNumberFormat="0" applyBorder="0" applyAlignment="0" applyProtection="0">
      <alignment vertical="center"/>
    </xf>
    <xf numFmtId="0" fontId="84" fillId="13" borderId="0" applyNumberFormat="0" applyBorder="0" applyAlignment="0" applyProtection="0">
      <alignment vertical="center"/>
    </xf>
    <xf numFmtId="0" fontId="84" fillId="13"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4" fillId="19" borderId="0" applyNumberFormat="0" applyBorder="0" applyAlignment="0" applyProtection="0">
      <alignment vertical="center"/>
    </xf>
    <xf numFmtId="0" fontId="84" fillId="20" borderId="0" applyNumberFormat="0" applyBorder="0" applyAlignment="0" applyProtection="0">
      <alignment vertical="center"/>
    </xf>
    <xf numFmtId="0" fontId="84" fillId="20" borderId="0" applyNumberFormat="0" applyBorder="0" applyAlignment="0" applyProtection="0">
      <alignment vertical="center"/>
    </xf>
    <xf numFmtId="0" fontId="102" fillId="66" borderId="0" applyNumberFormat="0" applyBorder="0" applyAlignment="0" applyProtection="0">
      <alignment vertical="center"/>
    </xf>
    <xf numFmtId="0" fontId="102" fillId="66" borderId="0" applyNumberFormat="0" applyBorder="0" applyAlignment="0" applyProtection="0">
      <alignment vertical="center"/>
    </xf>
    <xf numFmtId="0" fontId="84" fillId="19" borderId="0" applyNumberFormat="0" applyBorder="0" applyAlignment="0" applyProtection="0">
      <alignment vertical="center"/>
    </xf>
    <xf numFmtId="0" fontId="84" fillId="19" borderId="0" applyNumberFormat="0" applyBorder="0" applyAlignment="0" applyProtection="0">
      <alignment vertical="center"/>
    </xf>
    <xf numFmtId="0" fontId="102" fillId="64" borderId="0" applyNumberFormat="0" applyBorder="0" applyAlignment="0" applyProtection="0">
      <alignment vertical="center"/>
    </xf>
    <xf numFmtId="0" fontId="102" fillId="65" borderId="0" applyNumberFormat="0" applyBorder="0" applyAlignment="0" applyProtection="0">
      <alignment vertical="center"/>
    </xf>
    <xf numFmtId="0" fontId="102" fillId="65" borderId="0" applyNumberFormat="0" applyBorder="0" applyAlignment="0" applyProtection="0">
      <alignment vertical="center"/>
    </xf>
    <xf numFmtId="0" fontId="84" fillId="18" borderId="0" applyNumberFormat="0" applyBorder="0" applyAlignment="0" applyProtection="0">
      <alignment vertical="center"/>
    </xf>
    <xf numFmtId="0" fontId="84" fillId="18" borderId="0" applyNumberFormat="0" applyBorder="0" applyAlignment="0" applyProtection="0">
      <alignment vertical="center"/>
    </xf>
    <xf numFmtId="0" fontId="84" fillId="18" borderId="0" applyNumberFormat="0" applyBorder="0" applyAlignment="0" applyProtection="0">
      <alignment vertical="center"/>
    </xf>
    <xf numFmtId="0" fontId="96" fillId="0" borderId="7" applyNumberFormat="0" applyFill="0" applyAlignment="0" applyProtection="0">
      <alignment vertical="center"/>
    </xf>
    <xf numFmtId="0" fontId="102" fillId="64" borderId="0" applyNumberFormat="0" applyBorder="0" applyAlignment="0" applyProtection="0">
      <alignment vertical="center"/>
    </xf>
    <xf numFmtId="0" fontId="96" fillId="0" borderId="7" applyNumberFormat="0" applyFill="0" applyAlignment="0" applyProtection="0">
      <alignment vertical="center"/>
    </xf>
    <xf numFmtId="0" fontId="95" fillId="0" borderId="0" applyNumberFormat="0" applyFill="0" applyBorder="0" applyAlignment="0" applyProtection="0">
      <alignment vertical="center"/>
    </xf>
    <xf numFmtId="0" fontId="96" fillId="0" borderId="7" applyNumberFormat="0" applyFill="0" applyAlignment="0" applyProtection="0">
      <alignment vertical="center"/>
    </xf>
    <xf numFmtId="0" fontId="114" fillId="0" borderId="25" applyNumberFormat="0" applyFill="0" applyAlignment="0" applyProtection="0">
      <alignment vertical="center"/>
    </xf>
    <xf numFmtId="0" fontId="114" fillId="0" borderId="25" applyNumberFormat="0" applyFill="0" applyAlignment="0" applyProtection="0">
      <alignment vertical="center"/>
    </xf>
    <xf numFmtId="0" fontId="94"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113" fillId="0" borderId="0" applyNumberFormat="0" applyFill="0" applyBorder="0" applyAlignment="0" applyProtection="0">
      <alignment vertical="center"/>
    </xf>
    <xf numFmtId="0" fontId="83" fillId="11" borderId="0" applyNumberFormat="0" applyBorder="0" applyAlignment="0" applyProtection="0">
      <alignment vertical="center"/>
    </xf>
    <xf numFmtId="0" fontId="93" fillId="17" borderId="6" applyNumberFormat="0" applyAlignment="0" applyProtection="0">
      <alignment vertical="center"/>
    </xf>
    <xf numFmtId="0" fontId="94"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112" fillId="0" borderId="0" applyNumberFormat="0" applyFill="0" applyBorder="0" applyAlignment="0" applyProtection="0">
      <alignment vertical="center"/>
    </xf>
    <xf numFmtId="0" fontId="93" fillId="17" borderId="6" applyNumberFormat="0" applyAlignment="0" applyProtection="0">
      <alignment vertical="center"/>
    </xf>
    <xf numFmtId="0" fontId="93" fillId="17" borderId="6" applyNumberFormat="0" applyAlignment="0" applyProtection="0">
      <alignment vertical="center"/>
    </xf>
    <xf numFmtId="0" fontId="93" fillId="17" borderId="6" applyNumberFormat="0" applyAlignment="0" applyProtection="0">
      <alignment vertical="center"/>
    </xf>
    <xf numFmtId="0" fontId="93" fillId="17" borderId="6" applyNumberFormat="0" applyAlignment="0" applyProtection="0">
      <alignment vertical="center"/>
    </xf>
    <xf numFmtId="0" fontId="110" fillId="62" borderId="23" applyNumberFormat="0" applyAlignment="0" applyProtection="0">
      <alignment vertical="center"/>
    </xf>
    <xf numFmtId="0" fontId="92" fillId="16" borderId="5" applyNumberFormat="0" applyAlignment="0" applyProtection="0">
      <alignment vertical="center"/>
    </xf>
    <xf numFmtId="0" fontId="92" fillId="16" borderId="5" applyNumberFormat="0" applyAlignment="0" applyProtection="0">
      <alignment vertical="center"/>
    </xf>
    <xf numFmtId="0" fontId="92" fillId="16" borderId="5" applyNumberFormat="0" applyAlignment="0" applyProtection="0">
      <alignment vertical="center"/>
    </xf>
    <xf numFmtId="0" fontId="109" fillId="0" borderId="22" applyNumberFormat="0" applyFill="0" applyAlignment="0" applyProtection="0">
      <alignment vertical="center"/>
    </xf>
    <xf numFmtId="0" fontId="92" fillId="16" borderId="5" applyNumberFormat="0" applyAlignment="0" applyProtection="0">
      <alignment vertical="center"/>
    </xf>
    <xf numFmtId="0" fontId="91" fillId="0" borderId="4" applyNumberFormat="0" applyFill="0" applyAlignment="0" applyProtection="0">
      <alignment vertical="center"/>
    </xf>
    <xf numFmtId="0" fontId="91" fillId="0" borderId="4" applyNumberFormat="0" applyFill="0" applyAlignment="0" applyProtection="0">
      <alignment vertical="center"/>
    </xf>
    <xf numFmtId="0" fontId="90" fillId="4" borderId="0" applyNumberFormat="0" applyBorder="0" applyAlignment="0" applyProtection="0">
      <alignment vertical="center"/>
    </xf>
    <xf numFmtId="0" fontId="109" fillId="0" borderId="22" applyNumberFormat="0" applyFill="0" applyAlignment="0" applyProtection="0">
      <alignment vertical="center"/>
    </xf>
    <xf numFmtId="0" fontId="90" fillId="4" borderId="0" applyNumberFormat="0" applyBorder="0" applyAlignment="0" applyProtection="0">
      <alignment vertical="center"/>
    </xf>
    <xf numFmtId="0" fontId="90" fillId="4" borderId="0" applyNumberFormat="0" applyBorder="0" applyAlignment="0" applyProtection="0">
      <alignment vertical="center"/>
    </xf>
    <xf numFmtId="0" fontId="82" fillId="0" borderId="0">
      <alignment vertical="center"/>
    </xf>
    <xf numFmtId="0" fontId="108" fillId="61" borderId="0" applyNumberFormat="0" applyBorder="0" applyAlignment="0" applyProtection="0">
      <alignment vertical="center"/>
    </xf>
    <xf numFmtId="0" fontId="90" fillId="4" borderId="0" applyNumberFormat="0" applyBorder="0" applyAlignment="0" applyProtection="0">
      <alignment vertical="center"/>
    </xf>
    <xf numFmtId="0" fontId="82" fillId="0" borderId="0">
      <alignment vertical="center"/>
    </xf>
    <xf numFmtId="0" fontId="101" fillId="0" borderId="0">
      <alignment vertical="center"/>
    </xf>
    <xf numFmtId="0" fontId="101" fillId="0" borderId="0">
      <alignment vertical="center"/>
    </xf>
    <xf numFmtId="0" fontId="82" fillId="0" borderId="0">
      <alignment vertical="center"/>
    </xf>
    <xf numFmtId="0" fontId="83" fillId="11" borderId="0" applyNumberFormat="0" applyBorder="0" applyAlignment="0" applyProtection="0">
      <alignment vertical="center"/>
    </xf>
    <xf numFmtId="0" fontId="89" fillId="3"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9" fillId="3"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8" fillId="0" borderId="0" applyNumberFormat="0" applyFill="0" applyBorder="0" applyAlignment="0" applyProtection="0">
      <alignment vertical="center"/>
    </xf>
    <xf numFmtId="0" fontId="106"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3" applyNumberFormat="0" applyFill="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4" fillId="15"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102" fillId="15"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4" fillId="13"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102" fillId="57"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4" fillId="9" borderId="0" applyNumberFormat="0" applyBorder="0" applyAlignment="0" applyProtection="0">
      <alignment vertical="center"/>
    </xf>
    <xf numFmtId="0" fontId="102" fillId="13" borderId="0" applyNumberFormat="0" applyBorder="0" applyAlignment="0" applyProtection="0">
      <alignment vertical="center"/>
    </xf>
    <xf numFmtId="0" fontId="102" fillId="13" borderId="0" applyNumberFormat="0" applyBorder="0" applyAlignment="0" applyProtection="0">
      <alignment vertical="center"/>
    </xf>
    <xf numFmtId="0" fontId="102" fillId="13" borderId="0" applyNumberFormat="0" applyBorder="0" applyAlignment="0" applyProtection="0">
      <alignment vertical="center"/>
    </xf>
    <xf numFmtId="0" fontId="102" fillId="13"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13" borderId="0" applyNumberFormat="0" applyBorder="0" applyAlignment="0" applyProtection="0">
      <alignment vertical="center"/>
    </xf>
    <xf numFmtId="0" fontId="84" fillId="10" borderId="0" applyNumberFormat="0" applyBorder="0" applyAlignment="0" applyProtection="0">
      <alignment vertical="center"/>
    </xf>
    <xf numFmtId="0" fontId="84" fillId="10" borderId="0" applyNumberFormat="0" applyBorder="0" applyAlignment="0" applyProtection="0">
      <alignment vertical="center"/>
    </xf>
    <xf numFmtId="0" fontId="84" fillId="10" borderId="0" applyNumberFormat="0" applyBorder="0" applyAlignment="0" applyProtection="0">
      <alignment vertical="center"/>
    </xf>
    <xf numFmtId="0" fontId="102" fillId="56"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102" fillId="56"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102" fillId="56"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4" fillId="9" borderId="0" applyNumberFormat="0" applyBorder="0" applyAlignment="0" applyProtection="0">
      <alignment vertical="center"/>
    </xf>
    <xf numFmtId="0" fontId="84" fillId="9" borderId="0" applyNumberFormat="0" applyBorder="0" applyAlignment="0" applyProtection="0">
      <alignment vertical="center"/>
    </xf>
    <xf numFmtId="0" fontId="102" fillId="55" borderId="0" applyNumberFormat="0" applyBorder="0" applyAlignment="0" applyProtection="0">
      <alignment vertical="center"/>
    </xf>
    <xf numFmtId="0" fontId="102" fillId="55" borderId="0" applyNumberFormat="0" applyBorder="0" applyAlignment="0" applyProtection="0">
      <alignment vertical="center"/>
    </xf>
    <xf numFmtId="0" fontId="84" fillId="12"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101" fillId="53" borderId="0" applyNumberFormat="0" applyBorder="0" applyAlignment="0" applyProtection="0">
      <alignment vertical="center"/>
    </xf>
    <xf numFmtId="0" fontId="101" fillId="53"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4" fillId="12"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4" fillId="9"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8"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4" fillId="10" borderId="0" applyNumberFormat="0" applyBorder="0" applyAlignment="0" applyProtection="0">
      <alignment vertical="center"/>
    </xf>
    <xf numFmtId="0" fontId="102" fillId="56"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102" fillId="10"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102" fillId="10" borderId="0" applyNumberFormat="0" applyBorder="0" applyAlignment="0" applyProtection="0">
      <alignment vertical="center"/>
    </xf>
    <xf numFmtId="0" fontId="102" fillId="56"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101" fillId="52"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4" fillId="13" borderId="0" applyNumberFormat="0" applyBorder="0" applyAlignment="0" applyProtection="0">
      <alignment vertical="center"/>
    </xf>
    <xf numFmtId="0" fontId="102" fillId="57"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102" fillId="13"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102" fillId="13" borderId="0" applyNumberFormat="0" applyBorder="0" applyAlignment="0" applyProtection="0">
      <alignment vertical="center"/>
    </xf>
    <xf numFmtId="0" fontId="102" fillId="57"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4" fillId="14"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4" fillId="15" borderId="0" applyNumberFormat="0" applyBorder="0" applyAlignment="0" applyProtection="0">
      <alignment vertical="center"/>
    </xf>
    <xf numFmtId="0" fontId="102" fillId="59"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102" fillId="15" borderId="0" applyNumberFormat="0" applyBorder="0" applyAlignment="0" applyProtection="0">
      <alignment vertical="center"/>
    </xf>
    <xf numFmtId="0" fontId="83" fillId="5" borderId="0" applyNumberFormat="0" applyBorder="0" applyAlignment="0" applyProtection="0">
      <alignment vertical="center"/>
    </xf>
    <xf numFmtId="0" fontId="101" fillId="51" borderId="0" applyNumberFormat="0" applyBorder="0" applyAlignment="0" applyProtection="0">
      <alignment vertical="center"/>
    </xf>
    <xf numFmtId="0" fontId="101" fillId="51" borderId="0" applyNumberFormat="0" applyBorder="0" applyAlignment="0" applyProtection="0">
      <alignment vertical="center"/>
    </xf>
    <xf numFmtId="0" fontId="83" fillId="5" borderId="0" applyNumberFormat="0" applyBorder="0" applyAlignment="0" applyProtection="0">
      <alignment vertical="center"/>
    </xf>
    <xf numFmtId="0" fontId="102" fillId="15" borderId="0" applyNumberFormat="0" applyBorder="0" applyAlignment="0" applyProtection="0">
      <alignment vertical="center"/>
    </xf>
    <xf numFmtId="0" fontId="102" fillId="59"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10"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5" fillId="0" borderId="0" applyNumberFormat="0" applyFill="0" applyBorder="0" applyAlignment="0" applyProtection="0">
      <alignment vertical="center"/>
    </xf>
    <xf numFmtId="0" fontId="86" fillId="0" borderId="1" applyNumberFormat="0" applyFill="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7" fillId="0" borderId="2" applyNumberFormat="0" applyFill="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8" fillId="0" borderId="3" applyNumberFormat="0" applyFill="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8" fillId="0" borderId="0" applyNumberFormat="0" applyFill="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10" borderId="0" applyNumberFormat="0" applyBorder="0" applyAlignment="0" applyProtection="0">
      <alignment vertical="center"/>
    </xf>
    <xf numFmtId="0" fontId="101" fillId="10" borderId="0" applyNumberFormat="0" applyBorder="0" applyAlignment="0" applyProtection="0">
      <alignment vertical="center"/>
    </xf>
    <xf numFmtId="0" fontId="101" fillId="10" borderId="0" applyNumberFormat="0" applyBorder="0" applyAlignment="0" applyProtection="0">
      <alignment vertical="center"/>
    </xf>
    <xf numFmtId="0" fontId="101" fillId="50" borderId="0" applyNumberFormat="0" applyBorder="0" applyAlignment="0" applyProtection="0">
      <alignment vertical="center"/>
    </xf>
    <xf numFmtId="0" fontId="101" fillId="10" borderId="0" applyNumberFormat="0" applyBorder="0" applyAlignment="0" applyProtection="0">
      <alignment vertical="center"/>
    </xf>
    <xf numFmtId="0" fontId="101" fillId="50" borderId="0" applyNumberFormat="0" applyBorder="0" applyAlignment="0" applyProtection="0">
      <alignment vertical="center"/>
    </xf>
    <xf numFmtId="0" fontId="83" fillId="10" borderId="0" applyNumberFormat="0" applyBorder="0" applyAlignment="0" applyProtection="0">
      <alignment vertical="center"/>
    </xf>
    <xf numFmtId="0" fontId="101"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9" fillId="3"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9"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90" fillId="4"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91" fillId="0" borderId="4" applyNumberFormat="0" applyFill="0" applyAlignment="0" applyProtection="0">
      <alignment vertical="center"/>
    </xf>
    <xf numFmtId="0" fontId="101" fillId="4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92" fillId="16" borderId="5" applyNumberFormat="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93" fillId="17" borderId="6" applyNumberFormat="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8"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94" fillId="0" borderId="0" applyNumberFormat="0" applyFill="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95" fillId="0" borderId="0" applyNumberFormat="0" applyFill="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96" fillId="0" borderId="7" applyNumberFormat="0" applyFill="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101" fillId="48" borderId="0" applyNumberFormat="0" applyBorder="0" applyAlignment="0" applyProtection="0">
      <alignment vertical="center"/>
    </xf>
    <xf numFmtId="0" fontId="101" fillId="48" borderId="0" applyNumberFormat="0" applyBorder="0" applyAlignment="0" applyProtection="0">
      <alignment vertical="center"/>
    </xf>
    <xf numFmtId="0" fontId="84" fillId="1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4" fillId="19"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4" fillId="20" borderId="0" applyNumberFormat="0" applyBorder="0" applyAlignment="0" applyProtection="0">
      <alignment vertical="center"/>
    </xf>
    <xf numFmtId="0" fontId="83" fillId="7" borderId="0" applyNumberFormat="0" applyBorder="0" applyAlignment="0" applyProtection="0">
      <alignment vertical="center"/>
    </xf>
    <xf numFmtId="0" fontId="83" fillId="8"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4" fillId="13"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4" fillId="14"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4" fillId="21" borderId="0" applyNumberFormat="0" applyBorder="0" applyAlignment="0" applyProtection="0">
      <alignment vertical="center"/>
    </xf>
    <xf numFmtId="0" fontId="101" fillId="4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97" fillId="22"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98" fillId="16" borderId="8" applyNumberFormat="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6"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99" fillId="7" borderId="5" applyNumberFormat="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23" borderId="9" applyNumberFormat="0" applyFont="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101" fillId="4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23" borderId="9" applyNumberFormat="0" applyFont="0" applyAlignment="0" applyProtection="0">
      <alignment vertical="center"/>
    </xf>
    <xf numFmtId="0" fontId="83" fillId="5" borderId="0" applyNumberFormat="0" applyBorder="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5" borderId="0" applyNumberFormat="0" applyBorder="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4"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5" borderId="0" applyNumberFormat="0" applyBorder="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83" fillId="4" borderId="0" applyNumberFormat="0" applyBorder="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101" fillId="45" borderId="0" applyNumberFormat="0" applyBorder="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101" fillId="4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4" borderId="0" applyNumberFormat="0" applyBorder="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4" borderId="0" applyNumberFormat="0" applyBorder="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4" borderId="0" applyNumberFormat="0" applyBorder="0" applyAlignment="0" applyProtection="0">
      <alignment vertical="center"/>
    </xf>
    <xf numFmtId="0" fontId="101" fillId="44" borderId="0" applyNumberFormat="0" applyBorder="0" applyAlignment="0" applyProtection="0">
      <alignment vertical="center"/>
    </xf>
    <xf numFmtId="0" fontId="83" fillId="4" borderId="0" applyNumberFormat="0" applyBorder="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3" borderId="0" applyNumberFormat="0" applyBorder="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3" borderId="0" applyNumberFormat="0" applyBorder="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101" fillId="43" borderId="0" applyNumberFormat="0" applyBorder="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3" borderId="0" applyNumberFormat="0" applyBorder="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3" borderId="0" applyNumberFormat="0" applyBorder="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 borderId="0" applyNumberFormat="0" applyBorder="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 borderId="0" applyNumberFormat="0" applyBorder="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101" fillId="4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 borderId="0" applyNumberFormat="0" applyBorder="0" applyAlignment="0" applyProtection="0">
      <alignment vertical="center"/>
    </xf>
    <xf numFmtId="0" fontId="101" fillId="2" borderId="0" applyNumberFormat="0" applyBorder="0" applyAlignment="0" applyProtection="0">
      <alignment vertical="center"/>
    </xf>
    <xf numFmtId="0" fontId="101" fillId="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2" fillId="0" borderId="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101" fillId="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6"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101" fillId="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3" borderId="0" applyNumberFormat="0" applyBorder="0" applyAlignment="0" applyProtection="0">
      <alignment vertical="center"/>
    </xf>
    <xf numFmtId="0" fontId="101" fillId="5"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101" fillId="44" borderId="0" applyNumberFormat="0" applyBorder="0" applyAlignment="0" applyProtection="0">
      <alignment vertical="center"/>
    </xf>
    <xf numFmtId="0" fontId="83" fillId="4" borderId="0" applyNumberFormat="0" applyBorder="0" applyAlignment="0" applyProtection="0">
      <alignment vertical="center"/>
    </xf>
    <xf numFmtId="0" fontId="101" fillId="4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101" fillId="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3"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101" fillId="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7"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101" fillId="1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117" fillId="71" borderId="23" applyNumberFormat="0" applyAlignment="0" applyProtection="0">
      <alignment vertical="center"/>
    </xf>
    <xf numFmtId="0" fontId="116" fillId="62" borderId="26" applyNumberFormat="0" applyAlignment="0" applyProtection="0">
      <alignment vertical="center"/>
    </xf>
    <xf numFmtId="0" fontId="97" fillId="22" borderId="0" applyNumberFormat="0" applyBorder="0" applyAlignment="0" applyProtection="0">
      <alignment vertical="center"/>
    </xf>
    <xf numFmtId="0" fontId="97" fillId="22" borderId="0" applyNumberFormat="0" applyBorder="0" applyAlignment="0" applyProtection="0">
      <alignment vertical="center"/>
    </xf>
    <xf numFmtId="0" fontId="115" fillId="70" borderId="0" applyNumberFormat="0" applyBorder="0" applyAlignment="0" applyProtection="0">
      <alignment vertical="center"/>
    </xf>
    <xf numFmtId="0" fontId="97" fillId="22" borderId="0" applyNumberFormat="0" applyBorder="0" applyAlignment="0" applyProtection="0">
      <alignment vertical="center"/>
    </xf>
    <xf numFmtId="0" fontId="84" fillId="21" borderId="0" applyNumberFormat="0" applyBorder="0" applyAlignment="0" applyProtection="0">
      <alignment vertical="center"/>
    </xf>
    <xf numFmtId="0" fontId="84" fillId="13" borderId="0" applyNumberFormat="0" applyBorder="0" applyAlignment="0" applyProtection="0">
      <alignment vertical="center"/>
    </xf>
    <xf numFmtId="0" fontId="84" fillId="14" borderId="0" applyNumberFormat="0" applyBorder="0" applyAlignment="0" applyProtection="0">
      <alignment vertical="center"/>
    </xf>
    <xf numFmtId="0" fontId="84" fillId="14" borderId="0" applyNumberFormat="0" applyBorder="0" applyAlignment="0" applyProtection="0">
      <alignment vertical="center"/>
    </xf>
    <xf numFmtId="0" fontId="102" fillId="68" borderId="0" applyNumberFormat="0" applyBorder="0" applyAlignment="0" applyProtection="0">
      <alignment vertical="center"/>
    </xf>
    <xf numFmtId="0" fontId="84" fillId="14" borderId="0" applyNumberFormat="0" applyBorder="0" applyAlignment="0" applyProtection="0">
      <alignment vertical="center"/>
    </xf>
    <xf numFmtId="0" fontId="84" fillId="13" borderId="0" applyNumberFormat="0" applyBorder="0" applyAlignment="0" applyProtection="0">
      <alignment vertical="center"/>
    </xf>
    <xf numFmtId="0" fontId="84" fillId="13" borderId="0" applyNumberFormat="0" applyBorder="0" applyAlignment="0" applyProtection="0">
      <alignment vertical="center"/>
    </xf>
    <xf numFmtId="0" fontId="84" fillId="19" borderId="0" applyNumberFormat="0" applyBorder="0" applyAlignment="0" applyProtection="0">
      <alignment vertical="center"/>
    </xf>
    <xf numFmtId="0" fontId="84" fillId="20" borderId="0" applyNumberFormat="0" applyBorder="0" applyAlignment="0" applyProtection="0">
      <alignment vertical="center"/>
    </xf>
    <xf numFmtId="0" fontId="84" fillId="20" borderId="0" applyNumberFormat="0" applyBorder="0" applyAlignment="0" applyProtection="0">
      <alignment vertical="center"/>
    </xf>
    <xf numFmtId="0" fontId="102" fillId="66" borderId="0" applyNumberFormat="0" applyBorder="0" applyAlignment="0" applyProtection="0">
      <alignment vertical="center"/>
    </xf>
    <xf numFmtId="0" fontId="84" fillId="20" borderId="0" applyNumberFormat="0" applyBorder="0" applyAlignment="0" applyProtection="0">
      <alignment vertical="center"/>
    </xf>
    <xf numFmtId="0" fontId="84" fillId="19" borderId="0" applyNumberFormat="0" applyBorder="0" applyAlignment="0" applyProtection="0">
      <alignment vertical="center"/>
    </xf>
    <xf numFmtId="0" fontId="84" fillId="19" borderId="0" applyNumberFormat="0" applyBorder="0" applyAlignment="0" applyProtection="0">
      <alignment vertical="center"/>
    </xf>
    <xf numFmtId="0" fontId="102" fillId="64" borderId="0" applyNumberFormat="0" applyBorder="0" applyAlignment="0" applyProtection="0">
      <alignment vertical="center"/>
    </xf>
    <xf numFmtId="0" fontId="102" fillId="65" borderId="0" applyNumberFormat="0" applyBorder="0" applyAlignment="0" applyProtection="0">
      <alignment vertical="center"/>
    </xf>
    <xf numFmtId="0" fontId="84" fillId="19" borderId="0" applyNumberFormat="0" applyBorder="0" applyAlignment="0" applyProtection="0">
      <alignment vertical="center"/>
    </xf>
    <xf numFmtId="0" fontId="84" fillId="18" borderId="0" applyNumberFormat="0" applyBorder="0" applyAlignment="0" applyProtection="0">
      <alignment vertical="center"/>
    </xf>
    <xf numFmtId="0" fontId="84" fillId="18" borderId="0" applyNumberFormat="0" applyBorder="0" applyAlignment="0" applyProtection="0">
      <alignment vertical="center"/>
    </xf>
    <xf numFmtId="0" fontId="84" fillId="18" borderId="0" applyNumberFormat="0" applyBorder="0" applyAlignment="0" applyProtection="0">
      <alignment vertical="center"/>
    </xf>
    <xf numFmtId="0" fontId="96" fillId="0" borderId="7" applyNumberFormat="0" applyFill="0" applyAlignment="0" applyProtection="0">
      <alignment vertical="center"/>
    </xf>
    <xf numFmtId="0" fontId="84" fillId="18" borderId="0" applyNumberFormat="0" applyBorder="0" applyAlignment="0" applyProtection="0">
      <alignment vertical="center"/>
    </xf>
    <xf numFmtId="0" fontId="96" fillId="0" borderId="7" applyNumberFormat="0" applyFill="0" applyAlignment="0" applyProtection="0">
      <alignment vertical="center"/>
    </xf>
    <xf numFmtId="0" fontId="83" fillId="8" borderId="0" applyNumberFormat="0" applyBorder="0" applyAlignment="0" applyProtection="0">
      <alignment vertical="center"/>
    </xf>
    <xf numFmtId="0" fontId="96" fillId="0" borderId="7" applyNumberFormat="0" applyFill="0" applyAlignment="0" applyProtection="0">
      <alignment vertical="center"/>
    </xf>
    <xf numFmtId="0" fontId="114" fillId="0" borderId="25" applyNumberFormat="0" applyFill="0" applyAlignment="0" applyProtection="0">
      <alignment vertical="center"/>
    </xf>
    <xf numFmtId="0" fontId="96" fillId="0" borderId="7" applyNumberFormat="0" applyFill="0" applyAlignment="0" applyProtection="0">
      <alignment vertical="center"/>
    </xf>
    <xf numFmtId="0" fontId="95" fillId="0" borderId="0" applyNumberFormat="0" applyFill="0" applyBorder="0" applyAlignment="0" applyProtection="0">
      <alignment vertical="center"/>
    </xf>
    <xf numFmtId="0" fontId="83" fillId="8" borderId="0" applyNumberFormat="0" applyBorder="0" applyAlignment="0" applyProtection="0">
      <alignment vertical="center"/>
    </xf>
    <xf numFmtId="0" fontId="95" fillId="0" borderId="0" applyNumberFormat="0" applyFill="0" applyBorder="0" applyAlignment="0" applyProtection="0">
      <alignment vertical="center"/>
    </xf>
    <xf numFmtId="0" fontId="113" fillId="0" borderId="0" applyNumberFormat="0" applyFill="0" applyBorder="0" applyAlignment="0" applyProtection="0">
      <alignment vertical="center"/>
    </xf>
    <xf numFmtId="0" fontId="113"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94"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112" fillId="0" borderId="0" applyNumberFormat="0" applyFill="0" applyBorder="0" applyAlignment="0" applyProtection="0">
      <alignment vertical="center"/>
    </xf>
    <xf numFmtId="0" fontId="112" fillId="0" borderId="0" applyNumberFormat="0" applyFill="0" applyBorder="0" applyAlignment="0" applyProtection="0">
      <alignment vertical="center"/>
    </xf>
    <xf numFmtId="0" fontId="83" fillId="11" borderId="0" applyNumberFormat="0" applyBorder="0" applyAlignment="0" applyProtection="0">
      <alignment vertical="center"/>
    </xf>
    <xf numFmtId="0" fontId="93" fillId="17" borderId="6" applyNumberFormat="0" applyAlignment="0" applyProtection="0">
      <alignment vertical="center"/>
    </xf>
    <xf numFmtId="0" fontId="93" fillId="17" borderId="6" applyNumberFormat="0" applyAlignment="0" applyProtection="0">
      <alignment vertical="center"/>
    </xf>
    <xf numFmtId="0" fontId="111" fillId="63" borderId="24" applyNumberFormat="0" applyAlignment="0" applyProtection="0">
      <alignment vertical="center"/>
    </xf>
    <xf numFmtId="0" fontId="111" fillId="63" borderId="24" applyNumberFormat="0" applyAlignment="0" applyProtection="0">
      <alignment vertical="center"/>
    </xf>
    <xf numFmtId="0" fontId="83" fillId="11" borderId="0" applyNumberFormat="0" applyBorder="0" applyAlignment="0" applyProtection="0">
      <alignment vertical="center"/>
    </xf>
    <xf numFmtId="0" fontId="92" fillId="16" borderId="5" applyNumberFormat="0" applyAlignment="0" applyProtection="0">
      <alignment vertical="center"/>
    </xf>
    <xf numFmtId="0" fontId="92" fillId="16" borderId="5" applyNumberFormat="0" applyAlignment="0" applyProtection="0">
      <alignment vertical="center"/>
    </xf>
    <xf numFmtId="0" fontId="92" fillId="16" borderId="5" applyNumberFormat="0" applyAlignment="0" applyProtection="0">
      <alignment vertical="center"/>
    </xf>
    <xf numFmtId="0" fontId="110" fillId="62" borderId="23" applyNumberFormat="0" applyAlignment="0" applyProtection="0">
      <alignment vertical="center"/>
    </xf>
    <xf numFmtId="0" fontId="109" fillId="0" borderId="22" applyNumberFormat="0" applyFill="0" applyAlignment="0" applyProtection="0">
      <alignment vertical="center"/>
    </xf>
    <xf numFmtId="0" fontId="91" fillId="0" borderId="4" applyNumberFormat="0" applyFill="0" applyAlignment="0" applyProtection="0">
      <alignment vertical="center"/>
    </xf>
    <xf numFmtId="0" fontId="91" fillId="0" borderId="4" applyNumberFormat="0" applyFill="0" applyAlignment="0" applyProtection="0">
      <alignment vertical="center"/>
    </xf>
    <xf numFmtId="0" fontId="91" fillId="0" borderId="4" applyNumberFormat="0" applyFill="0" applyAlignment="0" applyProtection="0">
      <alignment vertical="center"/>
    </xf>
    <xf numFmtId="0" fontId="91" fillId="0" borderId="4" applyNumberFormat="0" applyFill="0" applyAlignment="0" applyProtection="0">
      <alignment vertical="center"/>
    </xf>
    <xf numFmtId="0" fontId="108" fillId="61" borderId="0" applyNumberFormat="0" applyBorder="0" applyAlignment="0" applyProtection="0">
      <alignment vertical="center"/>
    </xf>
    <xf numFmtId="0" fontId="91" fillId="0" borderId="4" applyNumberFormat="0" applyFill="0" applyAlignment="0" applyProtection="0">
      <alignment vertical="center"/>
    </xf>
    <xf numFmtId="0" fontId="90" fillId="4" borderId="0" applyNumberFormat="0" applyBorder="0" applyAlignment="0" applyProtection="0">
      <alignment vertical="center"/>
    </xf>
    <xf numFmtId="0" fontId="90" fillId="4" borderId="0" applyNumberFormat="0" applyBorder="0" applyAlignment="0" applyProtection="0">
      <alignment vertical="center"/>
    </xf>
    <xf numFmtId="0" fontId="90" fillId="4" borderId="0" applyNumberFormat="0" applyBorder="0" applyAlignment="0" applyProtection="0">
      <alignment vertical="center"/>
    </xf>
    <xf numFmtId="0" fontId="82" fillId="0" borderId="0">
      <alignment vertical="center"/>
    </xf>
    <xf numFmtId="0" fontId="108" fillId="61" borderId="0" applyNumberFormat="0" applyBorder="0" applyAlignment="0" applyProtection="0">
      <alignment vertical="center"/>
    </xf>
    <xf numFmtId="0" fontId="82" fillId="0" borderId="0">
      <alignment vertical="center"/>
    </xf>
    <xf numFmtId="0" fontId="82" fillId="0" borderId="0">
      <alignment vertical="center"/>
    </xf>
    <xf numFmtId="0" fontId="101"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3" fillId="11" borderId="0" applyNumberFormat="0" applyBorder="0" applyAlignment="0" applyProtection="0">
      <alignment vertical="center"/>
    </xf>
    <xf numFmtId="0" fontId="89" fillId="3" borderId="0" applyNumberFormat="0" applyBorder="0" applyAlignment="0" applyProtection="0">
      <alignment vertical="center"/>
    </xf>
    <xf numFmtId="0" fontId="88" fillId="0" borderId="0" applyNumberFormat="0" applyFill="0" applyBorder="0" applyAlignment="0" applyProtection="0">
      <alignment vertical="center"/>
    </xf>
    <xf numFmtId="0" fontId="106"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102" fillId="57" borderId="0" applyNumberFormat="0" applyBorder="0" applyAlignment="0" applyProtection="0">
      <alignment vertical="center"/>
    </xf>
    <xf numFmtId="0" fontId="102" fillId="13" borderId="0" applyNumberFormat="0" applyBorder="0" applyAlignment="0" applyProtection="0">
      <alignment vertical="center"/>
    </xf>
    <xf numFmtId="0" fontId="102" fillId="13"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84" fillId="13" borderId="0" applyNumberFormat="0" applyBorder="0" applyAlignment="0" applyProtection="0">
      <alignment vertical="center"/>
    </xf>
    <xf numFmtId="0" fontId="84" fillId="10" borderId="0" applyNumberFormat="0" applyBorder="0" applyAlignment="0" applyProtection="0">
      <alignment vertical="center"/>
    </xf>
    <xf numFmtId="0" fontId="84" fillId="10" borderId="0" applyNumberFormat="0" applyBorder="0" applyAlignment="0" applyProtection="0">
      <alignment vertical="center"/>
    </xf>
    <xf numFmtId="0" fontId="84" fillId="10" borderId="0" applyNumberFormat="0" applyBorder="0" applyAlignment="0" applyProtection="0">
      <alignment vertical="center"/>
    </xf>
    <xf numFmtId="0" fontId="102" fillId="56"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84" fillId="9" borderId="0" applyNumberFormat="0" applyBorder="0" applyAlignment="0" applyProtection="0">
      <alignment vertical="center"/>
    </xf>
    <xf numFmtId="0" fontId="84" fillId="9" borderId="0" applyNumberFormat="0" applyBorder="0" applyAlignment="0" applyProtection="0">
      <alignment vertical="center"/>
    </xf>
    <xf numFmtId="0" fontId="102" fillId="55" borderId="0" applyNumberFormat="0" applyBorder="0" applyAlignment="0" applyProtection="0">
      <alignment vertical="center"/>
    </xf>
    <xf numFmtId="0" fontId="84" fillId="9" borderId="0" applyNumberFormat="0" applyBorder="0" applyAlignment="0" applyProtection="0">
      <alignment vertical="center"/>
    </xf>
    <xf numFmtId="0" fontId="84" fillId="12"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101" fillId="53"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4" fillId="12"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4" fillId="9"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8" borderId="0" applyNumberFormat="0" applyBorder="0" applyAlignment="0" applyProtection="0">
      <alignment vertical="center"/>
    </xf>
    <xf numFmtId="0" fontId="83" fillId="11"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4" fillId="10" borderId="0" applyNumberFormat="0" applyBorder="0" applyAlignment="0" applyProtection="0">
      <alignment vertical="center"/>
    </xf>
    <xf numFmtId="0" fontId="102" fillId="10"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102" fillId="56"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102" fillId="56" borderId="0" applyNumberFormat="0" applyBorder="0" applyAlignment="0" applyProtection="0">
      <alignment vertical="center"/>
    </xf>
    <xf numFmtId="0" fontId="102" fillId="10"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101" fillId="52" borderId="0" applyNumberFormat="0" applyBorder="0" applyAlignment="0" applyProtection="0">
      <alignment vertical="center"/>
    </xf>
    <xf numFmtId="0" fontId="101" fillId="52"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4" fillId="13" borderId="0" applyNumberFormat="0" applyBorder="0" applyAlignment="0" applyProtection="0">
      <alignment vertical="center"/>
    </xf>
    <xf numFmtId="0" fontId="102" fillId="13"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102" fillId="57"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102" fillId="57" borderId="0" applyNumberFormat="0" applyBorder="0" applyAlignment="0" applyProtection="0">
      <alignment vertical="center"/>
    </xf>
    <xf numFmtId="0" fontId="102" fillId="13"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4" fillId="14"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4" fillId="15" borderId="0" applyNumberFormat="0" applyBorder="0" applyAlignment="0" applyProtection="0">
      <alignment vertical="center"/>
    </xf>
    <xf numFmtId="0" fontId="102" fillId="1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102" fillId="59"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101" fillId="51"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102" fillId="59" borderId="0" applyNumberFormat="0" applyBorder="0" applyAlignment="0" applyProtection="0">
      <alignment vertical="center"/>
    </xf>
    <xf numFmtId="0" fontId="102" fillId="1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10" borderId="0" applyNumberFormat="0" applyBorder="0" applyAlignment="0" applyProtection="0">
      <alignment vertical="center"/>
    </xf>
    <xf numFmtId="0" fontId="83" fillId="5" borderId="0" applyNumberFormat="0" applyBorder="0" applyAlignment="0" applyProtection="0">
      <alignment vertical="center"/>
    </xf>
    <xf numFmtId="0" fontId="83" fillId="10" borderId="0" applyNumberFormat="0" applyBorder="0" applyAlignment="0" applyProtection="0">
      <alignment vertical="center"/>
    </xf>
    <xf numFmtId="0" fontId="85" fillId="0" borderId="0" applyNumberFormat="0" applyFill="0" applyBorder="0" applyAlignment="0" applyProtection="0">
      <alignment vertical="center"/>
    </xf>
    <xf numFmtId="0" fontId="86" fillId="0" borderId="1" applyNumberFormat="0" applyFill="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7" fillId="0" borderId="2" applyNumberFormat="0" applyFill="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8" fillId="0" borderId="3" applyNumberFormat="0" applyFill="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101" fillId="5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8" fillId="0" borderId="0" applyNumberFormat="0" applyFill="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10" borderId="0" applyNumberFormat="0" applyBorder="0" applyAlignment="0" applyProtection="0">
      <alignment vertical="center"/>
    </xf>
    <xf numFmtId="0" fontId="101" fillId="50" borderId="0" applyNumberFormat="0" applyBorder="0" applyAlignment="0" applyProtection="0">
      <alignment vertical="center"/>
    </xf>
    <xf numFmtId="0" fontId="101" fillId="1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9" fillId="3"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9"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9"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90" fillId="4"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91" fillId="0" borderId="4" applyNumberFormat="0" applyFill="0" applyAlignment="0" applyProtection="0">
      <alignment vertical="center"/>
    </xf>
    <xf numFmtId="0" fontId="101" fillId="49" borderId="0" applyNumberFormat="0" applyBorder="0" applyAlignment="0" applyProtection="0">
      <alignment vertical="center"/>
    </xf>
    <xf numFmtId="0" fontId="83" fillId="9" borderId="0" applyNumberFormat="0" applyBorder="0" applyAlignment="0" applyProtection="0">
      <alignment vertical="center"/>
    </xf>
    <xf numFmtId="0" fontId="101" fillId="4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92" fillId="16" borderId="5" applyNumberFormat="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93" fillId="17" borderId="6" applyNumberFormat="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8"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94" fillId="0" borderId="0" applyNumberFormat="0" applyFill="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95" fillId="0" borderId="0" applyNumberFormat="0" applyFill="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96" fillId="0" borderId="7" applyNumberFormat="0" applyFill="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101" fillId="48" borderId="0" applyNumberFormat="0" applyBorder="0" applyAlignment="0" applyProtection="0">
      <alignment vertical="center"/>
    </xf>
    <xf numFmtId="0" fontId="83" fillId="8" borderId="0" applyNumberFormat="0" applyBorder="0" applyAlignment="0" applyProtection="0">
      <alignment vertical="center"/>
    </xf>
    <xf numFmtId="0" fontId="84" fillId="1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4" fillId="19"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4" fillId="20"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4" fillId="13"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4" fillId="14"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4" fillId="21" borderId="0" applyNumberFormat="0" applyBorder="0" applyAlignment="0" applyProtection="0">
      <alignment vertical="center"/>
    </xf>
    <xf numFmtId="0" fontId="101" fillId="47" borderId="0" applyNumberFormat="0" applyBorder="0" applyAlignment="0" applyProtection="0">
      <alignment vertical="center"/>
    </xf>
    <xf numFmtId="0" fontId="83" fillId="7" borderId="0" applyNumberFormat="0" applyBorder="0" applyAlignment="0" applyProtection="0">
      <alignment vertical="center"/>
    </xf>
    <xf numFmtId="0" fontId="101" fillId="4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97" fillId="22"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98" fillId="16" borderId="8" applyNumberFormat="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6"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99" fillId="7" borderId="5" applyNumberFormat="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23" borderId="9" applyNumberFormat="0" applyFont="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23" borderId="9" applyNumberFormat="0" applyFont="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101" fillId="46" borderId="0" applyNumberFormat="0" applyBorder="0" applyAlignment="0" applyProtection="0">
      <alignment vertical="center"/>
    </xf>
    <xf numFmtId="0" fontId="101" fillId="4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23" borderId="9" applyNumberFormat="0" applyFont="0" applyAlignment="0" applyProtection="0">
      <alignment vertical="center"/>
    </xf>
    <xf numFmtId="0" fontId="83" fillId="5" borderId="0" applyNumberFormat="0" applyBorder="0" applyAlignment="0" applyProtection="0">
      <alignment vertical="center"/>
    </xf>
    <xf numFmtId="0" fontId="83" fillId="72" borderId="27" applyNumberFormat="0" applyFont="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72" borderId="27" applyNumberFormat="0" applyFont="0" applyAlignment="0" applyProtection="0">
      <alignment vertical="center"/>
    </xf>
    <xf numFmtId="0" fontId="83" fillId="5" borderId="0" applyNumberFormat="0" applyBorder="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83" fillId="4" borderId="0" applyNumberFormat="0" applyBorder="0" applyAlignment="0" applyProtection="0">
      <alignment vertical="center"/>
    </xf>
    <xf numFmtId="0" fontId="101" fillId="72" borderId="27" applyNumberFormat="0" applyFont="0" applyAlignment="0" applyProtection="0">
      <alignment vertical="center"/>
    </xf>
    <xf numFmtId="0" fontId="101" fillId="45" borderId="0" applyNumberFormat="0" applyBorder="0" applyAlignment="0" applyProtection="0">
      <alignment vertical="center"/>
    </xf>
    <xf numFmtId="0" fontId="101"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83" fillId="4" borderId="0" applyNumberFormat="0" applyBorder="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83" fillId="3" borderId="0" applyNumberFormat="0" applyBorder="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83" fillId="3" borderId="0" applyNumberFormat="0" applyBorder="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101" fillId="42" borderId="0" applyNumberFormat="0" applyBorder="0" applyAlignment="0" applyProtection="0">
      <alignment vertical="center"/>
    </xf>
    <xf numFmtId="0" fontId="83" fillId="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83" fillId="2" borderId="0" applyNumberFormat="0" applyBorder="0" applyAlignment="0" applyProtection="0">
      <alignment vertical="center"/>
    </xf>
    <xf numFmtId="0" fontId="101" fillId="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3" borderId="9" applyNumberFormat="0" applyFont="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3" borderId="9" applyNumberFormat="0" applyFont="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101" fillId="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2" borderId="0" applyNumberFormat="0" applyBorder="0" applyAlignment="0" applyProtection="0">
      <alignment vertical="center"/>
    </xf>
    <xf numFmtId="0" fontId="101" fillId="2" borderId="0" applyNumberFormat="0" applyBorder="0" applyAlignment="0" applyProtection="0">
      <alignment vertical="center"/>
    </xf>
    <xf numFmtId="0" fontId="101" fillId="2" borderId="0" applyNumberFormat="0" applyBorder="0" applyAlignment="0" applyProtection="0">
      <alignment vertical="center"/>
    </xf>
    <xf numFmtId="0" fontId="101" fillId="2" borderId="0" applyNumberFormat="0" applyBorder="0" applyAlignment="0" applyProtection="0">
      <alignment vertical="center"/>
    </xf>
    <xf numFmtId="0" fontId="101" fillId="2" borderId="0" applyNumberFormat="0" applyBorder="0" applyAlignment="0" applyProtection="0">
      <alignment vertical="center"/>
    </xf>
    <xf numFmtId="0" fontId="101" fillId="42" borderId="0" applyNumberFormat="0" applyBorder="0" applyAlignment="0" applyProtection="0">
      <alignment vertical="center"/>
    </xf>
    <xf numFmtId="0" fontId="101" fillId="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101" fillId="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3" borderId="0" applyNumberFormat="0" applyBorder="0" applyAlignment="0" applyProtection="0">
      <alignment vertical="center"/>
    </xf>
    <xf numFmtId="0" fontId="101" fillId="3" borderId="0" applyNumberFormat="0" applyBorder="0" applyAlignment="0" applyProtection="0">
      <alignment vertical="center"/>
    </xf>
    <xf numFmtId="0" fontId="101" fillId="3" borderId="0" applyNumberFormat="0" applyBorder="0" applyAlignment="0" applyProtection="0">
      <alignment vertical="center"/>
    </xf>
    <xf numFmtId="0" fontId="101" fillId="3" borderId="0" applyNumberFormat="0" applyBorder="0" applyAlignment="0" applyProtection="0">
      <alignment vertical="center"/>
    </xf>
    <xf numFmtId="0" fontId="101" fillId="3" borderId="0" applyNumberFormat="0" applyBorder="0" applyAlignment="0" applyProtection="0">
      <alignment vertical="center"/>
    </xf>
    <xf numFmtId="0" fontId="101" fillId="43" borderId="0" applyNumberFormat="0" applyBorder="0" applyAlignment="0" applyProtection="0">
      <alignment vertical="center"/>
    </xf>
    <xf numFmtId="0" fontId="101" fillId="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101" fillId="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 borderId="0" applyNumberFormat="0" applyBorder="0" applyAlignment="0" applyProtection="0">
      <alignment vertical="center"/>
    </xf>
    <xf numFmtId="0" fontId="101" fillId="4" borderId="0" applyNumberFormat="0" applyBorder="0" applyAlignment="0" applyProtection="0">
      <alignment vertical="center"/>
    </xf>
    <xf numFmtId="0" fontId="101" fillId="4" borderId="0" applyNumberFormat="0" applyBorder="0" applyAlignment="0" applyProtection="0">
      <alignment vertical="center"/>
    </xf>
    <xf numFmtId="0" fontId="101" fillId="4" borderId="0" applyNumberFormat="0" applyBorder="0" applyAlignment="0" applyProtection="0">
      <alignment vertical="center"/>
    </xf>
    <xf numFmtId="0" fontId="101" fillId="4" borderId="0" applyNumberFormat="0" applyBorder="0" applyAlignment="0" applyProtection="0">
      <alignment vertical="center"/>
    </xf>
    <xf numFmtId="0" fontId="101" fillId="44" borderId="0" applyNumberFormat="0" applyBorder="0" applyAlignment="0" applyProtection="0">
      <alignment vertical="center"/>
    </xf>
    <xf numFmtId="0" fontId="101" fillId="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101" fillId="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5" borderId="0" applyNumberFormat="0" applyBorder="0" applyAlignment="0" applyProtection="0">
      <alignment vertical="center"/>
    </xf>
    <xf numFmtId="0" fontId="101" fillId="5" borderId="0" applyNumberFormat="0" applyBorder="0" applyAlignment="0" applyProtection="0">
      <alignment vertical="center"/>
    </xf>
    <xf numFmtId="0" fontId="101" fillId="5" borderId="0" applyNumberFormat="0" applyBorder="0" applyAlignment="0" applyProtection="0">
      <alignment vertical="center"/>
    </xf>
    <xf numFmtId="0" fontId="101" fillId="5" borderId="0" applyNumberFormat="0" applyBorder="0" applyAlignment="0" applyProtection="0">
      <alignment vertical="center"/>
    </xf>
    <xf numFmtId="0" fontId="101" fillId="5" borderId="0" applyNumberFormat="0" applyBorder="0" applyAlignment="0" applyProtection="0">
      <alignment vertical="center"/>
    </xf>
    <xf numFmtId="0" fontId="101" fillId="45" borderId="0" applyNumberFormat="0" applyBorder="0" applyAlignment="0" applyProtection="0">
      <alignment vertical="center"/>
    </xf>
    <xf numFmtId="0" fontId="101" fillId="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101" fillId="46" borderId="0" applyNumberFormat="0" applyBorder="0" applyAlignment="0" applyProtection="0">
      <alignment vertical="center"/>
    </xf>
    <xf numFmtId="0" fontId="101" fillId="46" borderId="0" applyNumberFormat="0" applyBorder="0" applyAlignment="0" applyProtection="0">
      <alignment vertical="center"/>
    </xf>
    <xf numFmtId="0" fontId="101" fillId="4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101" fillId="47" borderId="0" applyNumberFormat="0" applyBorder="0" applyAlignment="0" applyProtection="0">
      <alignment vertical="center"/>
    </xf>
    <xf numFmtId="0" fontId="101" fillId="47" borderId="0" applyNumberFormat="0" applyBorder="0" applyAlignment="0" applyProtection="0">
      <alignment vertical="center"/>
    </xf>
    <xf numFmtId="0" fontId="101" fillId="4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101" fillId="48" borderId="0" applyNumberFormat="0" applyBorder="0" applyAlignment="0" applyProtection="0">
      <alignment vertical="center"/>
    </xf>
    <xf numFmtId="0" fontId="101" fillId="48" borderId="0" applyNumberFormat="0" applyBorder="0" applyAlignment="0" applyProtection="0">
      <alignment vertical="center"/>
    </xf>
    <xf numFmtId="0" fontId="101" fillId="4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101" fillId="49" borderId="0" applyNumberFormat="0" applyBorder="0" applyAlignment="0" applyProtection="0">
      <alignment vertical="center"/>
    </xf>
    <xf numFmtId="0" fontId="101" fillId="49" borderId="0" applyNumberFormat="0" applyBorder="0" applyAlignment="0" applyProtection="0">
      <alignment vertical="center"/>
    </xf>
    <xf numFmtId="0" fontId="101" fillId="4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101" fillId="1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10" borderId="0" applyNumberFormat="0" applyBorder="0" applyAlignment="0" applyProtection="0">
      <alignment vertical="center"/>
    </xf>
    <xf numFmtId="0" fontId="101" fillId="10" borderId="0" applyNumberFormat="0" applyBorder="0" applyAlignment="0" applyProtection="0">
      <alignment vertical="center"/>
    </xf>
    <xf numFmtId="0" fontId="101" fillId="10" borderId="0" applyNumberFormat="0" applyBorder="0" applyAlignment="0" applyProtection="0">
      <alignment vertical="center"/>
    </xf>
    <xf numFmtId="0" fontId="101" fillId="10" borderId="0" applyNumberFormat="0" applyBorder="0" applyAlignment="0" applyProtection="0">
      <alignment vertical="center"/>
    </xf>
    <xf numFmtId="0" fontId="101" fillId="10" borderId="0" applyNumberFormat="0" applyBorder="0" applyAlignment="0" applyProtection="0">
      <alignment vertical="center"/>
    </xf>
    <xf numFmtId="0" fontId="101" fillId="50" borderId="0" applyNumberFormat="0" applyBorder="0" applyAlignment="0" applyProtection="0">
      <alignment vertical="center"/>
    </xf>
    <xf numFmtId="0" fontId="101" fillId="1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101" fillId="51" borderId="0" applyNumberFormat="0" applyBorder="0" applyAlignment="0" applyProtection="0">
      <alignment vertical="center"/>
    </xf>
    <xf numFmtId="0" fontId="101" fillId="51" borderId="0" applyNumberFormat="0" applyBorder="0" applyAlignment="0" applyProtection="0">
      <alignment vertical="center"/>
    </xf>
    <xf numFmtId="0" fontId="101" fillId="51"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101" fillId="52" borderId="0" applyNumberFormat="0" applyBorder="0" applyAlignment="0" applyProtection="0">
      <alignment vertical="center"/>
    </xf>
    <xf numFmtId="0" fontId="101" fillId="52" borderId="0" applyNumberFormat="0" applyBorder="0" applyAlignment="0" applyProtection="0">
      <alignment vertical="center"/>
    </xf>
    <xf numFmtId="0" fontId="101" fillId="52"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2" fillId="0" borderId="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101" fillId="53" borderId="0" applyNumberFormat="0" applyBorder="0" applyAlignment="0" applyProtection="0">
      <alignment vertical="center"/>
    </xf>
    <xf numFmtId="0" fontId="101" fillId="53" borderId="0" applyNumberFormat="0" applyBorder="0" applyAlignment="0" applyProtection="0">
      <alignment vertical="center"/>
    </xf>
    <xf numFmtId="0" fontId="101" fillId="53"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4" fillId="12" borderId="0" applyNumberFormat="0" applyBorder="0" applyAlignment="0" applyProtection="0">
      <alignment vertical="center"/>
    </xf>
    <xf numFmtId="0" fontId="102" fillId="54" borderId="0" applyNumberFormat="0" applyBorder="0" applyAlignment="0" applyProtection="0">
      <alignment vertical="center"/>
    </xf>
    <xf numFmtId="0" fontId="102" fillId="54" borderId="0" applyNumberFormat="0" applyBorder="0" applyAlignment="0" applyProtection="0">
      <alignment vertical="center"/>
    </xf>
    <xf numFmtId="0" fontId="102" fillId="54" borderId="0" applyNumberFormat="0" applyBorder="0" applyAlignment="0" applyProtection="0">
      <alignment vertical="center"/>
    </xf>
    <xf numFmtId="0" fontId="84" fillId="12" borderId="0" applyNumberFormat="0" applyBorder="0" applyAlignment="0" applyProtection="0">
      <alignment vertical="center"/>
    </xf>
    <xf numFmtId="0" fontId="84" fillId="12" borderId="0" applyNumberFormat="0" applyBorder="0" applyAlignment="0" applyProtection="0">
      <alignment vertical="center"/>
    </xf>
    <xf numFmtId="0" fontId="84" fillId="12" borderId="0" applyNumberFormat="0" applyBorder="0" applyAlignment="0" applyProtection="0">
      <alignment vertical="center"/>
    </xf>
    <xf numFmtId="0" fontId="84" fillId="12" borderId="0" applyNumberFormat="0" applyBorder="0" applyAlignment="0" applyProtection="0">
      <alignment vertical="center"/>
    </xf>
    <xf numFmtId="0" fontId="84" fillId="12" borderId="0" applyNumberFormat="0" applyBorder="0" applyAlignment="0" applyProtection="0">
      <alignment vertical="center"/>
    </xf>
    <xf numFmtId="0" fontId="84" fillId="12" borderId="0" applyNumberFormat="0" applyBorder="0" applyAlignment="0" applyProtection="0">
      <alignment vertical="center"/>
    </xf>
    <xf numFmtId="0" fontId="84" fillId="9" borderId="0" applyNumberFormat="0" applyBorder="0" applyAlignment="0" applyProtection="0">
      <alignment vertical="center"/>
    </xf>
    <xf numFmtId="0" fontId="102" fillId="55" borderId="0" applyNumberFormat="0" applyBorder="0" applyAlignment="0" applyProtection="0">
      <alignment vertical="center"/>
    </xf>
    <xf numFmtId="0" fontId="102" fillId="55" borderId="0" applyNumberFormat="0" applyBorder="0" applyAlignment="0" applyProtection="0">
      <alignment vertical="center"/>
    </xf>
    <xf numFmtId="0" fontId="102" fillId="55" borderId="0" applyNumberFormat="0" applyBorder="0" applyAlignment="0" applyProtection="0">
      <alignment vertical="center"/>
    </xf>
    <xf numFmtId="0" fontId="84" fillId="9" borderId="0" applyNumberFormat="0" applyBorder="0" applyAlignment="0" applyProtection="0">
      <alignment vertical="center"/>
    </xf>
    <xf numFmtId="0" fontId="84" fillId="9" borderId="0" applyNumberFormat="0" applyBorder="0" applyAlignment="0" applyProtection="0">
      <alignment vertical="center"/>
    </xf>
    <xf numFmtId="0" fontId="84" fillId="9" borderId="0" applyNumberFormat="0" applyBorder="0" applyAlignment="0" applyProtection="0">
      <alignment vertical="center"/>
    </xf>
    <xf numFmtId="0" fontId="84" fillId="9" borderId="0" applyNumberFormat="0" applyBorder="0" applyAlignment="0" applyProtection="0">
      <alignment vertical="center"/>
    </xf>
    <xf numFmtId="0" fontId="84" fillId="9" borderId="0" applyNumberFormat="0" applyBorder="0" applyAlignment="0" applyProtection="0">
      <alignment vertical="center"/>
    </xf>
    <xf numFmtId="0" fontId="84" fillId="9" borderId="0" applyNumberFormat="0" applyBorder="0" applyAlignment="0" applyProtection="0">
      <alignment vertical="center"/>
    </xf>
    <xf numFmtId="0" fontId="84" fillId="10" borderId="0" applyNumberFormat="0" applyBorder="0" applyAlignment="0" applyProtection="0">
      <alignment vertical="center"/>
    </xf>
    <xf numFmtId="0" fontId="102" fillId="10"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56" borderId="0" applyNumberFormat="0" applyBorder="0" applyAlignment="0" applyProtection="0">
      <alignment vertical="center"/>
    </xf>
    <xf numFmtId="0" fontId="102" fillId="10"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84" fillId="10" borderId="0" applyNumberFormat="0" applyBorder="0" applyAlignment="0" applyProtection="0">
      <alignment vertical="center"/>
    </xf>
    <xf numFmtId="0" fontId="84" fillId="10" borderId="0" applyNumberFormat="0" applyBorder="0" applyAlignment="0" applyProtection="0">
      <alignment vertical="center"/>
    </xf>
    <xf numFmtId="0" fontId="84" fillId="10" borderId="0" applyNumberFormat="0" applyBorder="0" applyAlignment="0" applyProtection="0">
      <alignment vertical="center"/>
    </xf>
    <xf numFmtId="0" fontId="84" fillId="10" borderId="0" applyNumberFormat="0" applyBorder="0" applyAlignment="0" applyProtection="0">
      <alignment vertical="center"/>
    </xf>
    <xf numFmtId="0" fontId="84" fillId="10" borderId="0" applyNumberFormat="0" applyBorder="0" applyAlignment="0" applyProtection="0">
      <alignment vertical="center"/>
    </xf>
    <xf numFmtId="0" fontId="84" fillId="10" borderId="0" applyNumberFormat="0" applyBorder="0" applyAlignment="0" applyProtection="0">
      <alignment vertical="center"/>
    </xf>
    <xf numFmtId="0" fontId="84" fillId="13" borderId="0" applyNumberFormat="0" applyBorder="0" applyAlignment="0" applyProtection="0">
      <alignment vertical="center"/>
    </xf>
    <xf numFmtId="0" fontId="102" fillId="13"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13" borderId="0" applyNumberFormat="0" applyBorder="0" applyAlignment="0" applyProtection="0">
      <alignment vertical="center"/>
    </xf>
    <xf numFmtId="0" fontId="102" fillId="13" borderId="0" applyNumberFormat="0" applyBorder="0" applyAlignment="0" applyProtection="0">
      <alignment vertical="center"/>
    </xf>
    <xf numFmtId="0" fontId="102" fillId="13" borderId="0" applyNumberFormat="0" applyBorder="0" applyAlignment="0" applyProtection="0">
      <alignment vertical="center"/>
    </xf>
    <xf numFmtId="0" fontId="102" fillId="13" borderId="0" applyNumberFormat="0" applyBorder="0" applyAlignment="0" applyProtection="0">
      <alignment vertical="center"/>
    </xf>
    <xf numFmtId="0" fontId="102" fillId="13" borderId="0" applyNumberFormat="0" applyBorder="0" applyAlignment="0" applyProtection="0">
      <alignment vertical="center"/>
    </xf>
    <xf numFmtId="0" fontId="102" fillId="57" borderId="0" applyNumberFormat="0" applyBorder="0" applyAlignment="0" applyProtection="0">
      <alignment vertical="center"/>
    </xf>
    <xf numFmtId="0" fontId="102" fillId="13"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84" fillId="13" borderId="0" applyNumberFormat="0" applyBorder="0" applyAlignment="0" applyProtection="0">
      <alignment vertical="center"/>
    </xf>
    <xf numFmtId="0" fontId="84" fillId="13" borderId="0" applyNumberFormat="0" applyBorder="0" applyAlignment="0" applyProtection="0">
      <alignment vertical="center"/>
    </xf>
    <xf numFmtId="0" fontId="84" fillId="13" borderId="0" applyNumberFormat="0" applyBorder="0" applyAlignment="0" applyProtection="0">
      <alignment vertical="center"/>
    </xf>
    <xf numFmtId="0" fontId="84" fillId="13" borderId="0" applyNumberFormat="0" applyBorder="0" applyAlignment="0" applyProtection="0">
      <alignment vertical="center"/>
    </xf>
    <xf numFmtId="0" fontId="84" fillId="13" borderId="0" applyNumberFormat="0" applyBorder="0" applyAlignment="0" applyProtection="0">
      <alignment vertical="center"/>
    </xf>
    <xf numFmtId="0" fontId="84" fillId="13" borderId="0" applyNumberFormat="0" applyBorder="0" applyAlignment="0" applyProtection="0">
      <alignment vertical="center"/>
    </xf>
    <xf numFmtId="0" fontId="84" fillId="14" borderId="0" applyNumberFormat="0" applyBorder="0" applyAlignment="0" applyProtection="0">
      <alignment vertical="center"/>
    </xf>
    <xf numFmtId="0" fontId="102" fillId="58" borderId="0" applyNumberFormat="0" applyBorder="0" applyAlignment="0" applyProtection="0">
      <alignment vertical="center"/>
    </xf>
    <xf numFmtId="0" fontId="102" fillId="58" borderId="0" applyNumberFormat="0" applyBorder="0" applyAlignment="0" applyProtection="0">
      <alignment vertical="center"/>
    </xf>
    <xf numFmtId="0" fontId="102" fillId="58" borderId="0" applyNumberFormat="0" applyBorder="0" applyAlignment="0" applyProtection="0">
      <alignment vertical="center"/>
    </xf>
    <xf numFmtId="0" fontId="84" fillId="14" borderId="0" applyNumberFormat="0" applyBorder="0" applyAlignment="0" applyProtection="0">
      <alignment vertical="center"/>
    </xf>
    <xf numFmtId="0" fontId="84" fillId="14" borderId="0" applyNumberFormat="0" applyBorder="0" applyAlignment="0" applyProtection="0">
      <alignment vertical="center"/>
    </xf>
    <xf numFmtId="0" fontId="84" fillId="14" borderId="0" applyNumberFormat="0" applyBorder="0" applyAlignment="0" applyProtection="0">
      <alignment vertical="center"/>
    </xf>
    <xf numFmtId="0" fontId="84" fillId="14" borderId="0" applyNumberFormat="0" applyBorder="0" applyAlignment="0" applyProtection="0">
      <alignment vertical="center"/>
    </xf>
    <xf numFmtId="0" fontId="84" fillId="14" borderId="0" applyNumberFormat="0" applyBorder="0" applyAlignment="0" applyProtection="0">
      <alignment vertical="center"/>
    </xf>
    <xf numFmtId="0" fontId="84" fillId="14" borderId="0" applyNumberFormat="0" applyBorder="0" applyAlignment="0" applyProtection="0">
      <alignment vertical="center"/>
    </xf>
    <xf numFmtId="0" fontId="84" fillId="15" borderId="0" applyNumberFormat="0" applyBorder="0" applyAlignment="0" applyProtection="0">
      <alignment vertical="center"/>
    </xf>
    <xf numFmtId="0" fontId="102" fillId="15"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15" borderId="0" applyNumberFormat="0" applyBorder="0" applyAlignment="0" applyProtection="0">
      <alignment vertical="center"/>
    </xf>
    <xf numFmtId="0" fontId="102" fillId="15" borderId="0" applyNumberFormat="0" applyBorder="0" applyAlignment="0" applyProtection="0">
      <alignment vertical="center"/>
    </xf>
    <xf numFmtId="0" fontId="102" fillId="15" borderId="0" applyNumberFormat="0" applyBorder="0" applyAlignment="0" applyProtection="0">
      <alignment vertical="center"/>
    </xf>
    <xf numFmtId="0" fontId="102" fillId="15" borderId="0" applyNumberFormat="0" applyBorder="0" applyAlignment="0" applyProtection="0">
      <alignment vertical="center"/>
    </xf>
    <xf numFmtId="0" fontId="102" fillId="15" borderId="0" applyNumberFormat="0" applyBorder="0" applyAlignment="0" applyProtection="0">
      <alignment vertical="center"/>
    </xf>
    <xf numFmtId="0" fontId="102" fillId="59" borderId="0" applyNumberFormat="0" applyBorder="0" applyAlignment="0" applyProtection="0">
      <alignment vertical="center"/>
    </xf>
    <xf numFmtId="0" fontId="102" fillId="15"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84" fillId="15" borderId="0" applyNumberFormat="0" applyBorder="0" applyAlignment="0" applyProtection="0">
      <alignment vertical="center"/>
    </xf>
    <xf numFmtId="0" fontId="84" fillId="15" borderId="0" applyNumberFormat="0" applyBorder="0" applyAlignment="0" applyProtection="0">
      <alignment vertical="center"/>
    </xf>
    <xf numFmtId="0" fontId="84" fillId="15" borderId="0" applyNumberFormat="0" applyBorder="0" applyAlignment="0" applyProtection="0">
      <alignment vertical="center"/>
    </xf>
    <xf numFmtId="0" fontId="84" fillId="15" borderId="0" applyNumberFormat="0" applyBorder="0" applyAlignment="0" applyProtection="0">
      <alignment vertical="center"/>
    </xf>
    <xf numFmtId="0" fontId="84" fillId="15" borderId="0" applyNumberFormat="0" applyBorder="0" applyAlignment="0" applyProtection="0">
      <alignment vertical="center"/>
    </xf>
    <xf numFmtId="0" fontId="84" fillId="15" borderId="0" applyNumberFormat="0" applyBorder="0" applyAlignment="0" applyProtection="0">
      <alignment vertical="center"/>
    </xf>
    <xf numFmtId="0" fontId="85" fillId="0" borderId="0" applyNumberFormat="0" applyFill="0" applyBorder="0" applyAlignment="0" applyProtection="0">
      <alignment vertical="center"/>
    </xf>
    <xf numFmtId="0" fontId="86" fillId="0" borderId="1" applyNumberFormat="0" applyFill="0" applyAlignment="0" applyProtection="0">
      <alignment vertical="center"/>
    </xf>
    <xf numFmtId="0" fontId="103" fillId="0" borderId="19" applyNumberFormat="0" applyFill="0" applyAlignment="0" applyProtection="0">
      <alignment vertical="center"/>
    </xf>
    <xf numFmtId="0" fontId="103" fillId="0" borderId="19" applyNumberFormat="0" applyFill="0" applyAlignment="0" applyProtection="0">
      <alignment vertical="center"/>
    </xf>
    <xf numFmtId="0" fontId="103" fillId="0" borderId="19" applyNumberFormat="0" applyFill="0" applyAlignment="0" applyProtection="0">
      <alignment vertical="center"/>
    </xf>
    <xf numFmtId="0" fontId="86" fillId="0" borderId="1" applyNumberFormat="0" applyFill="0" applyAlignment="0" applyProtection="0">
      <alignment vertical="center"/>
    </xf>
    <xf numFmtId="0" fontId="86" fillId="0" borderId="1" applyNumberFormat="0" applyFill="0" applyAlignment="0" applyProtection="0">
      <alignment vertical="center"/>
    </xf>
    <xf numFmtId="0" fontId="86" fillId="0" borderId="1" applyNumberFormat="0" applyFill="0" applyAlignment="0" applyProtection="0">
      <alignment vertical="center"/>
    </xf>
    <xf numFmtId="0" fontId="86" fillId="0" borderId="1" applyNumberFormat="0" applyFill="0" applyAlignment="0" applyProtection="0">
      <alignment vertical="center"/>
    </xf>
    <xf numFmtId="0" fontId="86" fillId="0" borderId="1" applyNumberFormat="0" applyFill="0" applyAlignment="0" applyProtection="0">
      <alignment vertical="center"/>
    </xf>
    <xf numFmtId="0" fontId="86" fillId="0" borderId="1" applyNumberFormat="0" applyFill="0" applyAlignment="0" applyProtection="0">
      <alignment vertical="center"/>
    </xf>
    <xf numFmtId="0" fontId="87" fillId="0" borderId="2" applyNumberFormat="0" applyFill="0" applyAlignment="0" applyProtection="0">
      <alignment vertical="center"/>
    </xf>
    <xf numFmtId="0" fontId="104" fillId="0" borderId="20" applyNumberFormat="0" applyFill="0" applyAlignment="0" applyProtection="0">
      <alignment vertical="center"/>
    </xf>
    <xf numFmtId="0" fontId="104" fillId="0" borderId="20" applyNumberFormat="0" applyFill="0" applyAlignment="0" applyProtection="0">
      <alignment vertical="center"/>
    </xf>
    <xf numFmtId="0" fontId="104" fillId="0" borderId="20" applyNumberFormat="0" applyFill="0" applyAlignment="0" applyProtection="0">
      <alignment vertical="center"/>
    </xf>
    <xf numFmtId="0" fontId="87" fillId="0" borderId="2" applyNumberFormat="0" applyFill="0" applyAlignment="0" applyProtection="0">
      <alignment vertical="center"/>
    </xf>
    <xf numFmtId="0" fontId="87" fillId="0" borderId="2" applyNumberFormat="0" applyFill="0" applyAlignment="0" applyProtection="0">
      <alignment vertical="center"/>
    </xf>
    <xf numFmtId="0" fontId="87" fillId="0" borderId="2" applyNumberFormat="0" applyFill="0" applyAlignment="0" applyProtection="0">
      <alignment vertical="center"/>
    </xf>
    <xf numFmtId="0" fontId="87" fillId="0" borderId="2" applyNumberFormat="0" applyFill="0" applyAlignment="0" applyProtection="0">
      <alignment vertical="center"/>
    </xf>
    <xf numFmtId="0" fontId="87" fillId="0" borderId="2" applyNumberFormat="0" applyFill="0" applyAlignment="0" applyProtection="0">
      <alignment vertical="center"/>
    </xf>
    <xf numFmtId="0" fontId="87" fillId="0" borderId="2" applyNumberFormat="0" applyFill="0" applyAlignment="0" applyProtection="0">
      <alignment vertical="center"/>
    </xf>
    <xf numFmtId="0" fontId="88" fillId="0" borderId="3" applyNumberFormat="0" applyFill="0" applyAlignment="0" applyProtection="0">
      <alignment vertical="center"/>
    </xf>
    <xf numFmtId="0" fontId="105" fillId="0" borderId="21" applyNumberFormat="0" applyFill="0" applyAlignment="0" applyProtection="0">
      <alignment vertical="center"/>
    </xf>
    <xf numFmtId="0" fontId="105" fillId="0" borderId="21" applyNumberFormat="0" applyFill="0" applyAlignment="0" applyProtection="0">
      <alignment vertical="center"/>
    </xf>
    <xf numFmtId="0" fontId="105" fillId="0" borderId="21" applyNumberFormat="0" applyFill="0" applyAlignment="0" applyProtection="0">
      <alignment vertical="center"/>
    </xf>
    <xf numFmtId="0" fontId="88" fillId="0" borderId="3" applyNumberFormat="0" applyFill="0" applyAlignment="0" applyProtection="0">
      <alignment vertical="center"/>
    </xf>
    <xf numFmtId="0" fontId="88" fillId="0" borderId="3" applyNumberFormat="0" applyFill="0" applyAlignment="0" applyProtection="0">
      <alignment vertical="center"/>
    </xf>
    <xf numFmtId="0" fontId="88" fillId="0" borderId="3" applyNumberFormat="0" applyFill="0" applyAlignment="0" applyProtection="0">
      <alignment vertical="center"/>
    </xf>
    <xf numFmtId="0" fontId="88" fillId="0" borderId="3" applyNumberFormat="0" applyFill="0" applyAlignment="0" applyProtection="0">
      <alignment vertical="center"/>
    </xf>
    <xf numFmtId="0" fontId="88" fillId="0" borderId="3" applyNumberFormat="0" applyFill="0" applyAlignment="0" applyProtection="0">
      <alignment vertical="center"/>
    </xf>
    <xf numFmtId="0" fontId="88" fillId="0" borderId="3" applyNumberFormat="0" applyFill="0" applyAlignment="0" applyProtection="0">
      <alignment vertical="center"/>
    </xf>
    <xf numFmtId="0" fontId="88" fillId="0" borderId="0" applyNumberFormat="0" applyFill="0" applyBorder="0" applyAlignment="0" applyProtection="0">
      <alignment vertical="center"/>
    </xf>
    <xf numFmtId="0" fontId="105" fillId="0" borderId="0" applyNumberFormat="0" applyFill="0" applyBorder="0" applyAlignment="0" applyProtection="0">
      <alignment vertical="center"/>
    </xf>
    <xf numFmtId="0" fontId="105" fillId="0" borderId="0" applyNumberFormat="0" applyFill="0" applyBorder="0" applyAlignment="0" applyProtection="0">
      <alignment vertical="center"/>
    </xf>
    <xf numFmtId="0" fontId="105"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106" fillId="0" borderId="0" applyNumberFormat="0" applyFill="0" applyBorder="0" applyAlignment="0" applyProtection="0">
      <alignment vertical="center"/>
    </xf>
    <xf numFmtId="0" fontId="106" fillId="0" borderId="0" applyNumberFormat="0" applyFill="0" applyBorder="0" applyAlignment="0" applyProtection="0">
      <alignment vertical="center"/>
    </xf>
    <xf numFmtId="0" fontId="106" fillId="0" borderId="0" applyNumberFormat="0" applyFill="0" applyBorder="0" applyAlignment="0" applyProtection="0">
      <alignment vertical="center"/>
    </xf>
    <xf numFmtId="0" fontId="85" fillId="0" borderId="0" applyNumberFormat="0" applyFill="0" applyBorder="0" applyAlignment="0" applyProtection="0">
      <alignment vertical="center"/>
    </xf>
    <xf numFmtId="0" fontId="85" fillId="0" borderId="0" applyNumberFormat="0" applyFill="0" applyBorder="0" applyAlignment="0" applyProtection="0">
      <alignment vertical="center"/>
    </xf>
    <xf numFmtId="0" fontId="85" fillId="0" borderId="0" applyNumberFormat="0" applyFill="0" applyBorder="0" applyAlignment="0" applyProtection="0">
      <alignment vertical="center"/>
    </xf>
    <xf numFmtId="0" fontId="85" fillId="0" borderId="0" applyNumberFormat="0" applyFill="0" applyBorder="0" applyAlignment="0" applyProtection="0">
      <alignment vertical="center"/>
    </xf>
    <xf numFmtId="0" fontId="85" fillId="0" borderId="0" applyNumberFormat="0" applyFill="0" applyBorder="0" applyAlignment="0" applyProtection="0">
      <alignment vertical="center"/>
    </xf>
    <xf numFmtId="0" fontId="85" fillId="0" borderId="0" applyNumberFormat="0" applyFill="0" applyBorder="0" applyAlignment="0" applyProtection="0">
      <alignment vertical="center"/>
    </xf>
    <xf numFmtId="0" fontId="89" fillId="3" borderId="0" applyNumberFormat="0" applyBorder="0" applyAlignment="0" applyProtection="0">
      <alignment vertical="center"/>
    </xf>
    <xf numFmtId="0" fontId="107" fillId="60" borderId="0" applyNumberFormat="0" applyBorder="0" applyAlignment="0" applyProtection="0">
      <alignment vertical="center"/>
    </xf>
    <xf numFmtId="0" fontId="107" fillId="60" borderId="0" applyNumberFormat="0" applyBorder="0" applyAlignment="0" applyProtection="0">
      <alignment vertical="center"/>
    </xf>
    <xf numFmtId="0" fontId="107" fillId="60" borderId="0" applyNumberFormat="0" applyBorder="0" applyAlignment="0" applyProtection="0">
      <alignment vertical="center"/>
    </xf>
    <xf numFmtId="0" fontId="89" fillId="3" borderId="0" applyNumberFormat="0" applyBorder="0" applyAlignment="0" applyProtection="0">
      <alignment vertical="center"/>
    </xf>
    <xf numFmtId="0" fontId="89" fillId="3" borderId="0" applyNumberFormat="0" applyBorder="0" applyAlignment="0" applyProtection="0">
      <alignment vertical="center"/>
    </xf>
    <xf numFmtId="0" fontId="89" fillId="3" borderId="0" applyNumberFormat="0" applyBorder="0" applyAlignment="0" applyProtection="0">
      <alignment vertical="center"/>
    </xf>
    <xf numFmtId="0" fontId="89" fillId="3" borderId="0" applyNumberFormat="0" applyBorder="0" applyAlignment="0" applyProtection="0">
      <alignment vertical="center"/>
    </xf>
    <xf numFmtId="0" fontId="89" fillId="3" borderId="0" applyNumberFormat="0" applyBorder="0" applyAlignment="0" applyProtection="0">
      <alignment vertical="center"/>
    </xf>
    <xf numFmtId="0" fontId="89" fillId="3" borderId="0" applyNumberFormat="0" applyBorder="0" applyAlignment="0" applyProtection="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101" fillId="0" borderId="0">
      <alignment vertical="center"/>
    </xf>
    <xf numFmtId="0" fontId="101" fillId="0" borderId="0">
      <alignment vertical="center"/>
    </xf>
    <xf numFmtId="0" fontId="101" fillId="0" borderId="0">
      <alignment vertical="center"/>
    </xf>
    <xf numFmtId="0" fontId="82" fillId="0" borderId="0">
      <alignment vertical="center"/>
    </xf>
    <xf numFmtId="0" fontId="82" fillId="0" borderId="0">
      <alignment vertical="center"/>
    </xf>
    <xf numFmtId="0" fontId="82" fillId="0" borderId="0">
      <alignment vertical="center"/>
    </xf>
    <xf numFmtId="0" fontId="90" fillId="4" borderId="0" applyNumberFormat="0" applyBorder="0" applyAlignment="0" applyProtection="0">
      <alignment vertical="center"/>
    </xf>
    <xf numFmtId="0" fontId="108" fillId="61" borderId="0" applyNumberFormat="0" applyBorder="0" applyAlignment="0" applyProtection="0">
      <alignment vertical="center"/>
    </xf>
    <xf numFmtId="0" fontId="108" fillId="61" borderId="0" applyNumberFormat="0" applyBorder="0" applyAlignment="0" applyProtection="0">
      <alignment vertical="center"/>
    </xf>
    <xf numFmtId="0" fontId="108" fillId="61" borderId="0" applyNumberFormat="0" applyBorder="0" applyAlignment="0" applyProtection="0">
      <alignment vertical="center"/>
    </xf>
    <xf numFmtId="0" fontId="90" fillId="4" borderId="0" applyNumberFormat="0" applyBorder="0" applyAlignment="0" applyProtection="0">
      <alignment vertical="center"/>
    </xf>
    <xf numFmtId="0" fontId="90" fillId="4" borderId="0" applyNumberFormat="0" applyBorder="0" applyAlignment="0" applyProtection="0">
      <alignment vertical="center"/>
    </xf>
    <xf numFmtId="0" fontId="90" fillId="4" borderId="0" applyNumberFormat="0" applyBorder="0" applyAlignment="0" applyProtection="0">
      <alignment vertical="center"/>
    </xf>
    <xf numFmtId="0" fontId="90" fillId="4" borderId="0" applyNumberFormat="0" applyBorder="0" applyAlignment="0" applyProtection="0">
      <alignment vertical="center"/>
    </xf>
    <xf numFmtId="0" fontId="90" fillId="4" borderId="0" applyNumberFormat="0" applyBorder="0" applyAlignment="0" applyProtection="0">
      <alignment vertical="center"/>
    </xf>
    <xf numFmtId="0" fontId="90" fillId="4" borderId="0" applyNumberFormat="0" applyBorder="0" applyAlignment="0" applyProtection="0">
      <alignment vertical="center"/>
    </xf>
    <xf numFmtId="0" fontId="91" fillId="0" borderId="4" applyNumberFormat="0" applyFill="0" applyAlignment="0" applyProtection="0">
      <alignment vertical="center"/>
    </xf>
    <xf numFmtId="0" fontId="109" fillId="0" borderId="22" applyNumberFormat="0" applyFill="0" applyAlignment="0" applyProtection="0">
      <alignment vertical="center"/>
    </xf>
    <xf numFmtId="0" fontId="109" fillId="0" borderId="22" applyNumberFormat="0" applyFill="0" applyAlignment="0" applyProtection="0">
      <alignment vertical="center"/>
    </xf>
    <xf numFmtId="0" fontId="109" fillId="0" borderId="22" applyNumberFormat="0" applyFill="0" applyAlignment="0" applyProtection="0">
      <alignment vertical="center"/>
    </xf>
    <xf numFmtId="0" fontId="91" fillId="0" borderId="4" applyNumberFormat="0" applyFill="0" applyAlignment="0" applyProtection="0">
      <alignment vertical="center"/>
    </xf>
    <xf numFmtId="0" fontId="91" fillId="0" borderId="4" applyNumberFormat="0" applyFill="0" applyAlignment="0" applyProtection="0">
      <alignment vertical="center"/>
    </xf>
    <xf numFmtId="0" fontId="91" fillId="0" borderId="4" applyNumberFormat="0" applyFill="0" applyAlignment="0" applyProtection="0">
      <alignment vertical="center"/>
    </xf>
    <xf numFmtId="0" fontId="91" fillId="0" borderId="4" applyNumberFormat="0" applyFill="0" applyAlignment="0" applyProtection="0">
      <alignment vertical="center"/>
    </xf>
    <xf numFmtId="0" fontId="91" fillId="0" borderId="4" applyNumberFormat="0" applyFill="0" applyAlignment="0" applyProtection="0">
      <alignment vertical="center"/>
    </xf>
    <xf numFmtId="0" fontId="91" fillId="0" borderId="4" applyNumberFormat="0" applyFill="0" applyAlignment="0" applyProtection="0">
      <alignment vertical="center"/>
    </xf>
    <xf numFmtId="0" fontId="92" fillId="16" borderId="5" applyNumberFormat="0" applyAlignment="0" applyProtection="0">
      <alignment vertical="center"/>
    </xf>
    <xf numFmtId="0" fontId="110" fillId="62" borderId="23" applyNumberFormat="0" applyAlignment="0" applyProtection="0">
      <alignment vertical="center"/>
    </xf>
    <xf numFmtId="0" fontId="110" fillId="62" borderId="23" applyNumberFormat="0" applyAlignment="0" applyProtection="0">
      <alignment vertical="center"/>
    </xf>
    <xf numFmtId="0" fontId="110" fillId="62" borderId="23" applyNumberFormat="0" applyAlignment="0" applyProtection="0">
      <alignment vertical="center"/>
    </xf>
    <xf numFmtId="0" fontId="92" fillId="16" borderId="5" applyNumberFormat="0" applyAlignment="0" applyProtection="0">
      <alignment vertical="center"/>
    </xf>
    <xf numFmtId="0" fontId="92" fillId="16" borderId="5" applyNumberFormat="0" applyAlignment="0" applyProtection="0">
      <alignment vertical="center"/>
    </xf>
    <xf numFmtId="0" fontId="92" fillId="16" borderId="5" applyNumberFormat="0" applyAlignment="0" applyProtection="0">
      <alignment vertical="center"/>
    </xf>
    <xf numFmtId="0" fontId="92" fillId="16" borderId="5" applyNumberFormat="0" applyAlignment="0" applyProtection="0">
      <alignment vertical="center"/>
    </xf>
    <xf numFmtId="0" fontId="92" fillId="16" borderId="5" applyNumberFormat="0" applyAlignment="0" applyProtection="0">
      <alignment vertical="center"/>
    </xf>
    <xf numFmtId="0" fontId="92" fillId="16" borderId="5" applyNumberFormat="0" applyAlignment="0" applyProtection="0">
      <alignment vertical="center"/>
    </xf>
    <xf numFmtId="0" fontId="93" fillId="17" borderId="6" applyNumberFormat="0" applyAlignment="0" applyProtection="0">
      <alignment vertical="center"/>
    </xf>
    <xf numFmtId="0" fontId="111" fillId="63" borderId="24" applyNumberFormat="0" applyAlignment="0" applyProtection="0">
      <alignment vertical="center"/>
    </xf>
    <xf numFmtId="0" fontId="111" fillId="63" borderId="24" applyNumberFormat="0" applyAlignment="0" applyProtection="0">
      <alignment vertical="center"/>
    </xf>
    <xf numFmtId="0" fontId="111" fillId="63" borderId="24" applyNumberFormat="0" applyAlignment="0" applyProtection="0">
      <alignment vertical="center"/>
    </xf>
    <xf numFmtId="0" fontId="93" fillId="17" borderId="6" applyNumberFormat="0" applyAlignment="0" applyProtection="0">
      <alignment vertical="center"/>
    </xf>
    <xf numFmtId="0" fontId="93" fillId="17" borderId="6" applyNumberFormat="0" applyAlignment="0" applyProtection="0">
      <alignment vertical="center"/>
    </xf>
    <xf numFmtId="0" fontId="93" fillId="17" borderId="6" applyNumberFormat="0" applyAlignment="0" applyProtection="0">
      <alignment vertical="center"/>
    </xf>
    <xf numFmtId="0" fontId="93" fillId="17" borderId="6" applyNumberFormat="0" applyAlignment="0" applyProtection="0">
      <alignment vertical="center"/>
    </xf>
    <xf numFmtId="0" fontId="93" fillId="17" borderId="6" applyNumberFormat="0" applyAlignment="0" applyProtection="0">
      <alignment vertical="center"/>
    </xf>
    <xf numFmtId="0" fontId="93" fillId="17" borderId="6" applyNumberFormat="0" applyAlignment="0" applyProtection="0">
      <alignment vertical="center"/>
    </xf>
    <xf numFmtId="0" fontId="94" fillId="0" borderId="0" applyNumberFormat="0" applyFill="0" applyBorder="0" applyAlignment="0" applyProtection="0">
      <alignment vertical="center"/>
    </xf>
    <xf numFmtId="0" fontId="112" fillId="0" borderId="0" applyNumberFormat="0" applyFill="0" applyBorder="0" applyAlignment="0" applyProtection="0">
      <alignment vertical="center"/>
    </xf>
    <xf numFmtId="0" fontId="112" fillId="0" borderId="0" applyNumberFormat="0" applyFill="0" applyBorder="0" applyAlignment="0" applyProtection="0">
      <alignment vertical="center"/>
    </xf>
    <xf numFmtId="0" fontId="112"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113" fillId="0" borderId="0" applyNumberFormat="0" applyFill="0" applyBorder="0" applyAlignment="0" applyProtection="0">
      <alignment vertical="center"/>
    </xf>
    <xf numFmtId="0" fontId="113" fillId="0" borderId="0" applyNumberFormat="0" applyFill="0" applyBorder="0" applyAlignment="0" applyProtection="0">
      <alignment vertical="center"/>
    </xf>
    <xf numFmtId="0" fontId="113"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6" fillId="0" borderId="7" applyNumberFormat="0" applyFill="0" applyAlignment="0" applyProtection="0">
      <alignment vertical="center"/>
    </xf>
    <xf numFmtId="0" fontId="114" fillId="0" borderId="25" applyNumberFormat="0" applyFill="0" applyAlignment="0" applyProtection="0">
      <alignment vertical="center"/>
    </xf>
    <xf numFmtId="0" fontId="114" fillId="0" borderId="25" applyNumberFormat="0" applyFill="0" applyAlignment="0" applyProtection="0">
      <alignment vertical="center"/>
    </xf>
    <xf numFmtId="0" fontId="114" fillId="0" borderId="25" applyNumberFormat="0" applyFill="0" applyAlignment="0" applyProtection="0">
      <alignment vertical="center"/>
    </xf>
    <xf numFmtId="0" fontId="96" fillId="0" borderId="7" applyNumberFormat="0" applyFill="0" applyAlignment="0" applyProtection="0">
      <alignment vertical="center"/>
    </xf>
    <xf numFmtId="0" fontId="96" fillId="0" borderId="7" applyNumberFormat="0" applyFill="0" applyAlignment="0" applyProtection="0">
      <alignment vertical="center"/>
    </xf>
    <xf numFmtId="0" fontId="96" fillId="0" borderId="7" applyNumberFormat="0" applyFill="0" applyAlignment="0" applyProtection="0">
      <alignment vertical="center"/>
    </xf>
    <xf numFmtId="0" fontId="96" fillId="0" borderId="7" applyNumberFormat="0" applyFill="0" applyAlignment="0" applyProtection="0">
      <alignment vertical="center"/>
    </xf>
    <xf numFmtId="0" fontId="96" fillId="0" borderId="7" applyNumberFormat="0" applyFill="0" applyAlignment="0" applyProtection="0">
      <alignment vertical="center"/>
    </xf>
    <xf numFmtId="0" fontId="96" fillId="0" borderId="7" applyNumberFormat="0" applyFill="0" applyAlignment="0" applyProtection="0">
      <alignment vertical="center"/>
    </xf>
    <xf numFmtId="0" fontId="84" fillId="18" borderId="0" applyNumberFormat="0" applyBorder="0" applyAlignment="0" applyProtection="0">
      <alignment vertical="center"/>
    </xf>
    <xf numFmtId="0" fontId="102" fillId="64" borderId="0" applyNumberFormat="0" applyBorder="0" applyAlignment="0" applyProtection="0">
      <alignment vertical="center"/>
    </xf>
    <xf numFmtId="0" fontId="102" fillId="64" borderId="0" applyNumberFormat="0" applyBorder="0" applyAlignment="0" applyProtection="0">
      <alignment vertical="center"/>
    </xf>
    <xf numFmtId="0" fontId="102" fillId="64" borderId="0" applyNumberFormat="0" applyBorder="0" applyAlignment="0" applyProtection="0">
      <alignment vertical="center"/>
    </xf>
    <xf numFmtId="0" fontId="84" fillId="18" borderId="0" applyNumberFormat="0" applyBorder="0" applyAlignment="0" applyProtection="0">
      <alignment vertical="center"/>
    </xf>
    <xf numFmtId="0" fontId="84" fillId="18" borderId="0" applyNumberFormat="0" applyBorder="0" applyAlignment="0" applyProtection="0">
      <alignment vertical="center"/>
    </xf>
    <xf numFmtId="0" fontId="84" fillId="18" borderId="0" applyNumberFormat="0" applyBorder="0" applyAlignment="0" applyProtection="0">
      <alignment vertical="center"/>
    </xf>
    <xf numFmtId="0" fontId="84" fillId="18" borderId="0" applyNumberFormat="0" applyBorder="0" applyAlignment="0" applyProtection="0">
      <alignment vertical="center"/>
    </xf>
    <xf numFmtId="0" fontId="84" fillId="18" borderId="0" applyNumberFormat="0" applyBorder="0" applyAlignment="0" applyProtection="0">
      <alignment vertical="center"/>
    </xf>
    <xf numFmtId="0" fontId="84" fillId="18" borderId="0" applyNumberFormat="0" applyBorder="0" applyAlignment="0" applyProtection="0">
      <alignment vertical="center"/>
    </xf>
    <xf numFmtId="0" fontId="84" fillId="19" borderId="0" applyNumberFormat="0" applyBorder="0" applyAlignment="0" applyProtection="0">
      <alignment vertical="center"/>
    </xf>
    <xf numFmtId="0" fontId="102" fillId="65" borderId="0" applyNumberFormat="0" applyBorder="0" applyAlignment="0" applyProtection="0">
      <alignment vertical="center"/>
    </xf>
    <xf numFmtId="0" fontId="102" fillId="65" borderId="0" applyNumberFormat="0" applyBorder="0" applyAlignment="0" applyProtection="0">
      <alignment vertical="center"/>
    </xf>
    <xf numFmtId="0" fontId="102" fillId="65" borderId="0" applyNumberFormat="0" applyBorder="0" applyAlignment="0" applyProtection="0">
      <alignment vertical="center"/>
    </xf>
    <xf numFmtId="0" fontId="84" fillId="19" borderId="0" applyNumberFormat="0" applyBorder="0" applyAlignment="0" applyProtection="0">
      <alignment vertical="center"/>
    </xf>
    <xf numFmtId="0" fontId="84" fillId="19" borderId="0" applyNumberFormat="0" applyBorder="0" applyAlignment="0" applyProtection="0">
      <alignment vertical="center"/>
    </xf>
    <xf numFmtId="0" fontId="84" fillId="19" borderId="0" applyNumberFormat="0" applyBorder="0" applyAlignment="0" applyProtection="0">
      <alignment vertical="center"/>
    </xf>
    <xf numFmtId="0" fontId="84" fillId="19" borderId="0" applyNumberFormat="0" applyBorder="0" applyAlignment="0" applyProtection="0">
      <alignment vertical="center"/>
    </xf>
    <xf numFmtId="0" fontId="84" fillId="19" borderId="0" applyNumberFormat="0" applyBorder="0" applyAlignment="0" applyProtection="0">
      <alignment vertical="center"/>
    </xf>
    <xf numFmtId="0" fontId="84" fillId="19" borderId="0" applyNumberFormat="0" applyBorder="0" applyAlignment="0" applyProtection="0">
      <alignment vertical="center"/>
    </xf>
    <xf numFmtId="0" fontId="84" fillId="20" borderId="0" applyNumberFormat="0" applyBorder="0" applyAlignment="0" applyProtection="0">
      <alignment vertical="center"/>
    </xf>
    <xf numFmtId="0" fontId="102" fillId="66" borderId="0" applyNumberFormat="0" applyBorder="0" applyAlignment="0" applyProtection="0">
      <alignment vertical="center"/>
    </xf>
    <xf numFmtId="0" fontId="102" fillId="66" borderId="0" applyNumberFormat="0" applyBorder="0" applyAlignment="0" applyProtection="0">
      <alignment vertical="center"/>
    </xf>
    <xf numFmtId="0" fontId="102" fillId="66" borderId="0" applyNumberFormat="0" applyBorder="0" applyAlignment="0" applyProtection="0">
      <alignment vertical="center"/>
    </xf>
    <xf numFmtId="0" fontId="84" fillId="20" borderId="0" applyNumberFormat="0" applyBorder="0" applyAlignment="0" applyProtection="0">
      <alignment vertical="center"/>
    </xf>
    <xf numFmtId="0" fontId="84" fillId="20" borderId="0" applyNumberFormat="0" applyBorder="0" applyAlignment="0" applyProtection="0">
      <alignment vertical="center"/>
    </xf>
    <xf numFmtId="0" fontId="84" fillId="20" borderId="0" applyNumberFormat="0" applyBorder="0" applyAlignment="0" applyProtection="0">
      <alignment vertical="center"/>
    </xf>
    <xf numFmtId="0" fontId="84" fillId="20" borderId="0" applyNumberFormat="0" applyBorder="0" applyAlignment="0" applyProtection="0">
      <alignment vertical="center"/>
    </xf>
    <xf numFmtId="0" fontId="84" fillId="20" borderId="0" applyNumberFormat="0" applyBorder="0" applyAlignment="0" applyProtection="0">
      <alignment vertical="center"/>
    </xf>
    <xf numFmtId="0" fontId="84" fillId="20" borderId="0" applyNumberFormat="0" applyBorder="0" applyAlignment="0" applyProtection="0">
      <alignment vertical="center"/>
    </xf>
    <xf numFmtId="0" fontId="84" fillId="13" borderId="0" applyNumberFormat="0" applyBorder="0" applyAlignment="0" applyProtection="0">
      <alignment vertical="center"/>
    </xf>
    <xf numFmtId="0" fontId="102" fillId="67" borderId="0" applyNumberFormat="0" applyBorder="0" applyAlignment="0" applyProtection="0">
      <alignment vertical="center"/>
    </xf>
    <xf numFmtId="0" fontId="102" fillId="67" borderId="0" applyNumberFormat="0" applyBorder="0" applyAlignment="0" applyProtection="0">
      <alignment vertical="center"/>
    </xf>
    <xf numFmtId="0" fontId="102" fillId="67" borderId="0" applyNumberFormat="0" applyBorder="0" applyAlignment="0" applyProtection="0">
      <alignment vertical="center"/>
    </xf>
    <xf numFmtId="0" fontId="84" fillId="13" borderId="0" applyNumberFormat="0" applyBorder="0" applyAlignment="0" applyProtection="0">
      <alignment vertical="center"/>
    </xf>
    <xf numFmtId="0" fontId="84" fillId="13" borderId="0" applyNumberFormat="0" applyBorder="0" applyAlignment="0" applyProtection="0">
      <alignment vertical="center"/>
    </xf>
    <xf numFmtId="0" fontId="84" fillId="13" borderId="0" applyNumberFormat="0" applyBorder="0" applyAlignment="0" applyProtection="0">
      <alignment vertical="center"/>
    </xf>
    <xf numFmtId="0" fontId="84" fillId="13" borderId="0" applyNumberFormat="0" applyBorder="0" applyAlignment="0" applyProtection="0">
      <alignment vertical="center"/>
    </xf>
    <xf numFmtId="0" fontId="84" fillId="13" borderId="0" applyNumberFormat="0" applyBorder="0" applyAlignment="0" applyProtection="0">
      <alignment vertical="center"/>
    </xf>
    <xf numFmtId="0" fontId="84" fillId="13" borderId="0" applyNumberFormat="0" applyBorder="0" applyAlignment="0" applyProtection="0">
      <alignment vertical="center"/>
    </xf>
    <xf numFmtId="0" fontId="84" fillId="14" borderId="0" applyNumberFormat="0" applyBorder="0" applyAlignment="0" applyProtection="0">
      <alignment vertical="center"/>
    </xf>
    <xf numFmtId="0" fontId="102" fillId="68" borderId="0" applyNumberFormat="0" applyBorder="0" applyAlignment="0" applyProtection="0">
      <alignment vertical="center"/>
    </xf>
    <xf numFmtId="0" fontId="102" fillId="68" borderId="0" applyNumberFormat="0" applyBorder="0" applyAlignment="0" applyProtection="0">
      <alignment vertical="center"/>
    </xf>
    <xf numFmtId="0" fontId="102" fillId="68" borderId="0" applyNumberFormat="0" applyBorder="0" applyAlignment="0" applyProtection="0">
      <alignment vertical="center"/>
    </xf>
    <xf numFmtId="0" fontId="84" fillId="14" borderId="0" applyNumberFormat="0" applyBorder="0" applyAlignment="0" applyProtection="0">
      <alignment vertical="center"/>
    </xf>
    <xf numFmtId="0" fontId="84" fillId="14" borderId="0" applyNumberFormat="0" applyBorder="0" applyAlignment="0" applyProtection="0">
      <alignment vertical="center"/>
    </xf>
    <xf numFmtId="0" fontId="84" fillId="14" borderId="0" applyNumberFormat="0" applyBorder="0" applyAlignment="0" applyProtection="0">
      <alignment vertical="center"/>
    </xf>
    <xf numFmtId="0" fontId="84" fillId="14" borderId="0" applyNumberFormat="0" applyBorder="0" applyAlignment="0" applyProtection="0">
      <alignment vertical="center"/>
    </xf>
    <xf numFmtId="0" fontId="84" fillId="14" borderId="0" applyNumberFormat="0" applyBorder="0" applyAlignment="0" applyProtection="0">
      <alignment vertical="center"/>
    </xf>
    <xf numFmtId="0" fontId="84" fillId="14" borderId="0" applyNumberFormat="0" applyBorder="0" applyAlignment="0" applyProtection="0">
      <alignment vertical="center"/>
    </xf>
    <xf numFmtId="0" fontId="84" fillId="21" borderId="0" applyNumberFormat="0" applyBorder="0" applyAlignment="0" applyProtection="0">
      <alignment vertical="center"/>
    </xf>
    <xf numFmtId="0" fontId="102" fillId="69" borderId="0" applyNumberFormat="0" applyBorder="0" applyAlignment="0" applyProtection="0">
      <alignment vertical="center"/>
    </xf>
    <xf numFmtId="0" fontId="102" fillId="69" borderId="0" applyNumberFormat="0" applyBorder="0" applyAlignment="0" applyProtection="0">
      <alignment vertical="center"/>
    </xf>
    <xf numFmtId="0" fontId="102" fillId="69" borderId="0" applyNumberFormat="0" applyBorder="0" applyAlignment="0" applyProtection="0">
      <alignment vertical="center"/>
    </xf>
    <xf numFmtId="0" fontId="84" fillId="21" borderId="0" applyNumberFormat="0" applyBorder="0" applyAlignment="0" applyProtection="0">
      <alignment vertical="center"/>
    </xf>
    <xf numFmtId="0" fontId="84" fillId="21" borderId="0" applyNumberFormat="0" applyBorder="0" applyAlignment="0" applyProtection="0">
      <alignment vertical="center"/>
    </xf>
    <xf numFmtId="0" fontId="84" fillId="21" borderId="0" applyNumberFormat="0" applyBorder="0" applyAlignment="0" applyProtection="0">
      <alignment vertical="center"/>
    </xf>
    <xf numFmtId="0" fontId="84" fillId="21" borderId="0" applyNumberFormat="0" applyBorder="0" applyAlignment="0" applyProtection="0">
      <alignment vertical="center"/>
    </xf>
    <xf numFmtId="0" fontId="84" fillId="21" borderId="0" applyNumberFormat="0" applyBorder="0" applyAlignment="0" applyProtection="0">
      <alignment vertical="center"/>
    </xf>
    <xf numFmtId="0" fontId="84" fillId="21" borderId="0" applyNumberFormat="0" applyBorder="0" applyAlignment="0" applyProtection="0">
      <alignment vertical="center"/>
    </xf>
    <xf numFmtId="0" fontId="97" fillId="22" borderId="0" applyNumberFormat="0" applyBorder="0" applyAlignment="0" applyProtection="0">
      <alignment vertical="center"/>
    </xf>
    <xf numFmtId="0" fontId="115" fillId="70" borderId="0" applyNumberFormat="0" applyBorder="0" applyAlignment="0" applyProtection="0">
      <alignment vertical="center"/>
    </xf>
    <xf numFmtId="0" fontId="115" fillId="70" borderId="0" applyNumberFormat="0" applyBorder="0" applyAlignment="0" applyProtection="0">
      <alignment vertical="center"/>
    </xf>
    <xf numFmtId="0" fontId="115" fillId="70" borderId="0" applyNumberFormat="0" applyBorder="0" applyAlignment="0" applyProtection="0">
      <alignment vertical="center"/>
    </xf>
    <xf numFmtId="0" fontId="97" fillId="22" borderId="0" applyNumberFormat="0" applyBorder="0" applyAlignment="0" applyProtection="0">
      <alignment vertical="center"/>
    </xf>
    <xf numFmtId="0" fontId="97" fillId="22" borderId="0" applyNumberFormat="0" applyBorder="0" applyAlignment="0" applyProtection="0">
      <alignment vertical="center"/>
    </xf>
    <xf numFmtId="0" fontId="97" fillId="22" borderId="0" applyNumberFormat="0" applyBorder="0" applyAlignment="0" applyProtection="0">
      <alignment vertical="center"/>
    </xf>
    <xf numFmtId="0" fontId="97" fillId="22" borderId="0" applyNumberFormat="0" applyBorder="0" applyAlignment="0" applyProtection="0">
      <alignment vertical="center"/>
    </xf>
    <xf numFmtId="0" fontId="97" fillId="22" borderId="0" applyNumberFormat="0" applyBorder="0" applyAlignment="0" applyProtection="0">
      <alignment vertical="center"/>
    </xf>
    <xf numFmtId="0" fontId="97" fillId="22" borderId="0" applyNumberFormat="0" applyBorder="0" applyAlignment="0" applyProtection="0">
      <alignment vertical="center"/>
    </xf>
    <xf numFmtId="0" fontId="98" fillId="16" borderId="8" applyNumberFormat="0" applyAlignment="0" applyProtection="0">
      <alignment vertical="center"/>
    </xf>
    <xf numFmtId="0" fontId="116" fillId="62" borderId="26" applyNumberFormat="0" applyAlignment="0" applyProtection="0">
      <alignment vertical="center"/>
    </xf>
    <xf numFmtId="0" fontId="116" fillId="62" borderId="26" applyNumberFormat="0" applyAlignment="0" applyProtection="0">
      <alignment vertical="center"/>
    </xf>
    <xf numFmtId="0" fontId="116" fillId="62" borderId="26" applyNumberFormat="0" applyAlignment="0" applyProtection="0">
      <alignment vertical="center"/>
    </xf>
    <xf numFmtId="0" fontId="98" fillId="16" borderId="8" applyNumberFormat="0" applyAlignment="0" applyProtection="0">
      <alignment vertical="center"/>
    </xf>
    <xf numFmtId="0" fontId="98" fillId="16" borderId="8" applyNumberFormat="0" applyAlignment="0" applyProtection="0">
      <alignment vertical="center"/>
    </xf>
    <xf numFmtId="0" fontId="98" fillId="16" borderId="8" applyNumberFormat="0" applyAlignment="0" applyProtection="0">
      <alignment vertical="center"/>
    </xf>
    <xf numFmtId="0" fontId="98" fillId="16" borderId="8" applyNumberFormat="0" applyAlignment="0" applyProtection="0">
      <alignment vertical="center"/>
    </xf>
    <xf numFmtId="0" fontId="98" fillId="16" borderId="8" applyNumberFormat="0" applyAlignment="0" applyProtection="0">
      <alignment vertical="center"/>
    </xf>
    <xf numFmtId="0" fontId="98" fillId="16" borderId="8" applyNumberFormat="0" applyAlignment="0" applyProtection="0">
      <alignment vertical="center"/>
    </xf>
    <xf numFmtId="0" fontId="99" fillId="7" borderId="5" applyNumberFormat="0" applyAlignment="0" applyProtection="0">
      <alignment vertical="center"/>
    </xf>
    <xf numFmtId="0" fontId="117" fillId="71" borderId="23" applyNumberFormat="0" applyAlignment="0" applyProtection="0">
      <alignment vertical="center"/>
    </xf>
    <xf numFmtId="0" fontId="117" fillId="71" borderId="23" applyNumberFormat="0" applyAlignment="0" applyProtection="0">
      <alignment vertical="center"/>
    </xf>
    <xf numFmtId="0" fontId="117" fillId="71" borderId="23" applyNumberFormat="0" applyAlignment="0" applyProtection="0">
      <alignment vertical="center"/>
    </xf>
    <xf numFmtId="0" fontId="99" fillId="7" borderId="5" applyNumberFormat="0" applyAlignment="0" applyProtection="0">
      <alignment vertical="center"/>
    </xf>
    <xf numFmtId="0" fontId="99" fillId="7" borderId="5" applyNumberFormat="0" applyAlignment="0" applyProtection="0">
      <alignment vertical="center"/>
    </xf>
    <xf numFmtId="0" fontId="99" fillId="7" borderId="5" applyNumberFormat="0" applyAlignment="0" applyProtection="0">
      <alignment vertical="center"/>
    </xf>
    <xf numFmtId="0" fontId="99" fillId="7" borderId="5" applyNumberFormat="0" applyAlignment="0" applyProtection="0">
      <alignment vertical="center"/>
    </xf>
    <xf numFmtId="0" fontId="99" fillId="7" borderId="5" applyNumberFormat="0" applyAlignment="0" applyProtection="0">
      <alignment vertical="center"/>
    </xf>
    <xf numFmtId="0" fontId="99" fillId="7" borderId="5" applyNumberForma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6" borderId="0" applyNumberFormat="0" applyBorder="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101"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83"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83" fillId="72" borderId="27"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2" fillId="0" borderId="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2" borderId="0" applyNumberFormat="0" applyBorder="0" applyAlignment="0" applyProtection="0">
      <alignment vertical="center"/>
    </xf>
    <xf numFmtId="0" fontId="101" fillId="2" borderId="0" applyNumberFormat="0" applyBorder="0" applyAlignment="0" applyProtection="0">
      <alignment vertical="center"/>
    </xf>
    <xf numFmtId="0" fontId="101" fillId="2" borderId="0" applyNumberFormat="0" applyBorder="0" applyAlignment="0" applyProtection="0">
      <alignment vertical="center"/>
    </xf>
    <xf numFmtId="0" fontId="101" fillId="2" borderId="0" applyNumberFormat="0" applyBorder="0" applyAlignment="0" applyProtection="0">
      <alignment vertical="center"/>
    </xf>
    <xf numFmtId="0" fontId="101" fillId="2" borderId="0" applyNumberFormat="0" applyBorder="0" applyAlignment="0" applyProtection="0">
      <alignment vertical="center"/>
    </xf>
    <xf numFmtId="0" fontId="101" fillId="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3" borderId="0" applyNumberFormat="0" applyBorder="0" applyAlignment="0" applyProtection="0">
      <alignment vertical="center"/>
    </xf>
    <xf numFmtId="0" fontId="101" fillId="3" borderId="0" applyNumberFormat="0" applyBorder="0" applyAlignment="0" applyProtection="0">
      <alignment vertical="center"/>
    </xf>
    <xf numFmtId="0" fontId="101" fillId="3" borderId="0" applyNumberFormat="0" applyBorder="0" applyAlignment="0" applyProtection="0">
      <alignment vertical="center"/>
    </xf>
    <xf numFmtId="0" fontId="101" fillId="3" borderId="0" applyNumberFormat="0" applyBorder="0" applyAlignment="0" applyProtection="0">
      <alignment vertical="center"/>
    </xf>
    <xf numFmtId="0" fontId="101" fillId="3" borderId="0" applyNumberFormat="0" applyBorder="0" applyAlignment="0" applyProtection="0">
      <alignment vertical="center"/>
    </xf>
    <xf numFmtId="0" fontId="101" fillId="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 borderId="0" applyNumberFormat="0" applyBorder="0" applyAlignment="0" applyProtection="0">
      <alignment vertical="center"/>
    </xf>
    <xf numFmtId="0" fontId="101" fillId="4" borderId="0" applyNumberFormat="0" applyBorder="0" applyAlignment="0" applyProtection="0">
      <alignment vertical="center"/>
    </xf>
    <xf numFmtId="0" fontId="101" fillId="4" borderId="0" applyNumberFormat="0" applyBorder="0" applyAlignment="0" applyProtection="0">
      <alignment vertical="center"/>
    </xf>
    <xf numFmtId="0" fontId="101" fillId="4" borderId="0" applyNumberFormat="0" applyBorder="0" applyAlignment="0" applyProtection="0">
      <alignment vertical="center"/>
    </xf>
    <xf numFmtId="0" fontId="101" fillId="4" borderId="0" applyNumberFormat="0" applyBorder="0" applyAlignment="0" applyProtection="0">
      <alignment vertical="center"/>
    </xf>
    <xf numFmtId="0" fontId="101" fillId="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5" borderId="0" applyNumberFormat="0" applyBorder="0" applyAlignment="0" applyProtection="0">
      <alignment vertical="center"/>
    </xf>
    <xf numFmtId="0" fontId="101" fillId="5" borderId="0" applyNumberFormat="0" applyBorder="0" applyAlignment="0" applyProtection="0">
      <alignment vertical="center"/>
    </xf>
    <xf numFmtId="0" fontId="101" fillId="5" borderId="0" applyNumberFormat="0" applyBorder="0" applyAlignment="0" applyProtection="0">
      <alignment vertical="center"/>
    </xf>
    <xf numFmtId="0" fontId="101" fillId="5" borderId="0" applyNumberFormat="0" applyBorder="0" applyAlignment="0" applyProtection="0">
      <alignment vertical="center"/>
    </xf>
    <xf numFmtId="0" fontId="101" fillId="5" borderId="0" applyNumberFormat="0" applyBorder="0" applyAlignment="0" applyProtection="0">
      <alignment vertical="center"/>
    </xf>
    <xf numFmtId="0" fontId="101" fillId="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101" fillId="46" borderId="0" applyNumberFormat="0" applyBorder="0" applyAlignment="0" applyProtection="0">
      <alignment vertical="center"/>
    </xf>
    <xf numFmtId="0" fontId="101" fillId="46" borderId="0" applyNumberFormat="0" applyBorder="0" applyAlignment="0" applyProtection="0">
      <alignment vertical="center"/>
    </xf>
    <xf numFmtId="0" fontId="101" fillId="4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101" fillId="47" borderId="0" applyNumberFormat="0" applyBorder="0" applyAlignment="0" applyProtection="0">
      <alignment vertical="center"/>
    </xf>
    <xf numFmtId="0" fontId="101" fillId="47" borderId="0" applyNumberFormat="0" applyBorder="0" applyAlignment="0" applyProtection="0">
      <alignment vertical="center"/>
    </xf>
    <xf numFmtId="0" fontId="101" fillId="4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101" fillId="48" borderId="0" applyNumberFormat="0" applyBorder="0" applyAlignment="0" applyProtection="0">
      <alignment vertical="center"/>
    </xf>
    <xf numFmtId="0" fontId="101" fillId="48" borderId="0" applyNumberFormat="0" applyBorder="0" applyAlignment="0" applyProtection="0">
      <alignment vertical="center"/>
    </xf>
    <xf numFmtId="0" fontId="101" fillId="4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101" fillId="49" borderId="0" applyNumberFormat="0" applyBorder="0" applyAlignment="0" applyProtection="0">
      <alignment vertical="center"/>
    </xf>
    <xf numFmtId="0" fontId="101" fillId="49" borderId="0" applyNumberFormat="0" applyBorder="0" applyAlignment="0" applyProtection="0">
      <alignment vertical="center"/>
    </xf>
    <xf numFmtId="0" fontId="101" fillId="4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10" borderId="0" applyNumberFormat="0" applyBorder="0" applyAlignment="0" applyProtection="0">
      <alignment vertical="center"/>
    </xf>
    <xf numFmtId="0" fontId="101" fillId="10" borderId="0" applyNumberFormat="0" applyBorder="0" applyAlignment="0" applyProtection="0">
      <alignment vertical="center"/>
    </xf>
    <xf numFmtId="0" fontId="101" fillId="10" borderId="0" applyNumberFormat="0" applyBorder="0" applyAlignment="0" applyProtection="0">
      <alignment vertical="center"/>
    </xf>
    <xf numFmtId="0" fontId="101" fillId="10" borderId="0" applyNumberFormat="0" applyBorder="0" applyAlignment="0" applyProtection="0">
      <alignment vertical="center"/>
    </xf>
    <xf numFmtId="0" fontId="101" fillId="10" borderId="0" applyNumberFormat="0" applyBorder="0" applyAlignment="0" applyProtection="0">
      <alignment vertical="center"/>
    </xf>
    <xf numFmtId="0" fontId="101" fillId="1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101" fillId="51" borderId="0" applyNumberFormat="0" applyBorder="0" applyAlignment="0" applyProtection="0">
      <alignment vertical="center"/>
    </xf>
    <xf numFmtId="0" fontId="101" fillId="51" borderId="0" applyNumberFormat="0" applyBorder="0" applyAlignment="0" applyProtection="0">
      <alignment vertical="center"/>
    </xf>
    <xf numFmtId="0" fontId="101" fillId="51"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101" fillId="52" borderId="0" applyNumberFormat="0" applyBorder="0" applyAlignment="0" applyProtection="0">
      <alignment vertical="center"/>
    </xf>
    <xf numFmtId="0" fontId="101" fillId="52" borderId="0" applyNumberFormat="0" applyBorder="0" applyAlignment="0" applyProtection="0">
      <alignment vertical="center"/>
    </xf>
    <xf numFmtId="0" fontId="101" fillId="52"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101" fillId="53" borderId="0" applyNumberFormat="0" applyBorder="0" applyAlignment="0" applyProtection="0">
      <alignment vertical="center"/>
    </xf>
    <xf numFmtId="0" fontId="101" fillId="53" borderId="0" applyNumberFormat="0" applyBorder="0" applyAlignment="0" applyProtection="0">
      <alignment vertical="center"/>
    </xf>
    <xf numFmtId="0" fontId="101" fillId="53"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4" fillId="12" borderId="0" applyNumberFormat="0" applyBorder="0" applyAlignment="0" applyProtection="0">
      <alignment vertical="center"/>
    </xf>
    <xf numFmtId="0" fontId="102" fillId="54" borderId="0" applyNumberFormat="0" applyBorder="0" applyAlignment="0" applyProtection="0">
      <alignment vertical="center"/>
    </xf>
    <xf numFmtId="0" fontId="102" fillId="54" borderId="0" applyNumberFormat="0" applyBorder="0" applyAlignment="0" applyProtection="0">
      <alignment vertical="center"/>
    </xf>
    <xf numFmtId="0" fontId="102" fillId="54" borderId="0" applyNumberFormat="0" applyBorder="0" applyAlignment="0" applyProtection="0">
      <alignment vertical="center"/>
    </xf>
    <xf numFmtId="0" fontId="84" fillId="12" borderId="0" applyNumberFormat="0" applyBorder="0" applyAlignment="0" applyProtection="0">
      <alignment vertical="center"/>
    </xf>
    <xf numFmtId="0" fontId="84" fillId="12" borderId="0" applyNumberFormat="0" applyBorder="0" applyAlignment="0" applyProtection="0">
      <alignment vertical="center"/>
    </xf>
    <xf numFmtId="0" fontId="84" fillId="12" borderId="0" applyNumberFormat="0" applyBorder="0" applyAlignment="0" applyProtection="0">
      <alignment vertical="center"/>
    </xf>
    <xf numFmtId="0" fontId="84" fillId="12" borderId="0" applyNumberFormat="0" applyBorder="0" applyAlignment="0" applyProtection="0">
      <alignment vertical="center"/>
    </xf>
    <xf numFmtId="0" fontId="84" fillId="12" borderId="0" applyNumberFormat="0" applyBorder="0" applyAlignment="0" applyProtection="0">
      <alignment vertical="center"/>
    </xf>
    <xf numFmtId="0" fontId="84" fillId="12" borderId="0" applyNumberFormat="0" applyBorder="0" applyAlignment="0" applyProtection="0">
      <alignment vertical="center"/>
    </xf>
    <xf numFmtId="0" fontId="84" fillId="9" borderId="0" applyNumberFormat="0" applyBorder="0" applyAlignment="0" applyProtection="0">
      <alignment vertical="center"/>
    </xf>
    <xf numFmtId="0" fontId="102" fillId="55" borderId="0" applyNumberFormat="0" applyBorder="0" applyAlignment="0" applyProtection="0">
      <alignment vertical="center"/>
    </xf>
    <xf numFmtId="0" fontId="102" fillId="55" borderId="0" applyNumberFormat="0" applyBorder="0" applyAlignment="0" applyProtection="0">
      <alignment vertical="center"/>
    </xf>
    <xf numFmtId="0" fontId="102" fillId="55" borderId="0" applyNumberFormat="0" applyBorder="0" applyAlignment="0" applyProtection="0">
      <alignment vertical="center"/>
    </xf>
    <xf numFmtId="0" fontId="84" fillId="9" borderId="0" applyNumberFormat="0" applyBorder="0" applyAlignment="0" applyProtection="0">
      <alignment vertical="center"/>
    </xf>
    <xf numFmtId="0" fontId="84" fillId="9" borderId="0" applyNumberFormat="0" applyBorder="0" applyAlignment="0" applyProtection="0">
      <alignment vertical="center"/>
    </xf>
    <xf numFmtId="0" fontId="84" fillId="9" borderId="0" applyNumberFormat="0" applyBorder="0" applyAlignment="0" applyProtection="0">
      <alignment vertical="center"/>
    </xf>
    <xf numFmtId="0" fontId="84" fillId="9" borderId="0" applyNumberFormat="0" applyBorder="0" applyAlignment="0" applyProtection="0">
      <alignment vertical="center"/>
    </xf>
    <xf numFmtId="0" fontId="84" fillId="9" borderId="0" applyNumberFormat="0" applyBorder="0" applyAlignment="0" applyProtection="0">
      <alignment vertical="center"/>
    </xf>
    <xf numFmtId="0" fontId="84" fillId="9" borderId="0" applyNumberFormat="0" applyBorder="0" applyAlignment="0" applyProtection="0">
      <alignment vertical="center"/>
    </xf>
    <xf numFmtId="0" fontId="84" fillId="10"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84" fillId="10" borderId="0" applyNumberFormat="0" applyBorder="0" applyAlignment="0" applyProtection="0">
      <alignment vertical="center"/>
    </xf>
    <xf numFmtId="0" fontId="84" fillId="10" borderId="0" applyNumberFormat="0" applyBorder="0" applyAlignment="0" applyProtection="0">
      <alignment vertical="center"/>
    </xf>
    <xf numFmtId="0" fontId="84" fillId="10" borderId="0" applyNumberFormat="0" applyBorder="0" applyAlignment="0" applyProtection="0">
      <alignment vertical="center"/>
    </xf>
    <xf numFmtId="0" fontId="84" fillId="10" borderId="0" applyNumberFormat="0" applyBorder="0" applyAlignment="0" applyProtection="0">
      <alignment vertical="center"/>
    </xf>
    <xf numFmtId="0" fontId="84" fillId="10" borderId="0" applyNumberFormat="0" applyBorder="0" applyAlignment="0" applyProtection="0">
      <alignment vertical="center"/>
    </xf>
    <xf numFmtId="0" fontId="84" fillId="10" borderId="0" applyNumberFormat="0" applyBorder="0" applyAlignment="0" applyProtection="0">
      <alignment vertical="center"/>
    </xf>
    <xf numFmtId="0" fontId="84" fillId="13"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13" borderId="0" applyNumberFormat="0" applyBorder="0" applyAlignment="0" applyProtection="0">
      <alignment vertical="center"/>
    </xf>
    <xf numFmtId="0" fontId="102" fillId="13" borderId="0" applyNumberFormat="0" applyBorder="0" applyAlignment="0" applyProtection="0">
      <alignment vertical="center"/>
    </xf>
    <xf numFmtId="0" fontId="102" fillId="13" borderId="0" applyNumberFormat="0" applyBorder="0" applyAlignment="0" applyProtection="0">
      <alignment vertical="center"/>
    </xf>
    <xf numFmtId="0" fontId="102" fillId="13" borderId="0" applyNumberFormat="0" applyBorder="0" applyAlignment="0" applyProtection="0">
      <alignment vertical="center"/>
    </xf>
    <xf numFmtId="0" fontId="102" fillId="13" borderId="0" applyNumberFormat="0" applyBorder="0" applyAlignment="0" applyProtection="0">
      <alignment vertical="center"/>
    </xf>
    <xf numFmtId="0" fontId="102" fillId="13"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84" fillId="13" borderId="0" applyNumberFormat="0" applyBorder="0" applyAlignment="0" applyProtection="0">
      <alignment vertical="center"/>
    </xf>
    <xf numFmtId="0" fontId="84" fillId="13" borderId="0" applyNumberFormat="0" applyBorder="0" applyAlignment="0" applyProtection="0">
      <alignment vertical="center"/>
    </xf>
    <xf numFmtId="0" fontId="84" fillId="13" borderId="0" applyNumberFormat="0" applyBorder="0" applyAlignment="0" applyProtection="0">
      <alignment vertical="center"/>
    </xf>
    <xf numFmtId="0" fontId="84" fillId="13" borderId="0" applyNumberFormat="0" applyBorder="0" applyAlignment="0" applyProtection="0">
      <alignment vertical="center"/>
    </xf>
    <xf numFmtId="0" fontId="84" fillId="13" borderId="0" applyNumberFormat="0" applyBorder="0" applyAlignment="0" applyProtection="0">
      <alignment vertical="center"/>
    </xf>
    <xf numFmtId="0" fontId="84" fillId="13" borderId="0" applyNumberFormat="0" applyBorder="0" applyAlignment="0" applyProtection="0">
      <alignment vertical="center"/>
    </xf>
    <xf numFmtId="0" fontId="84" fillId="14" borderId="0" applyNumberFormat="0" applyBorder="0" applyAlignment="0" applyProtection="0">
      <alignment vertical="center"/>
    </xf>
    <xf numFmtId="0" fontId="102" fillId="58" borderId="0" applyNumberFormat="0" applyBorder="0" applyAlignment="0" applyProtection="0">
      <alignment vertical="center"/>
    </xf>
    <xf numFmtId="0" fontId="102" fillId="58" borderId="0" applyNumberFormat="0" applyBorder="0" applyAlignment="0" applyProtection="0">
      <alignment vertical="center"/>
    </xf>
    <xf numFmtId="0" fontId="102" fillId="58" borderId="0" applyNumberFormat="0" applyBorder="0" applyAlignment="0" applyProtection="0">
      <alignment vertical="center"/>
    </xf>
    <xf numFmtId="0" fontId="84" fillId="14" borderId="0" applyNumberFormat="0" applyBorder="0" applyAlignment="0" applyProtection="0">
      <alignment vertical="center"/>
    </xf>
    <xf numFmtId="0" fontId="84" fillId="14" borderId="0" applyNumberFormat="0" applyBorder="0" applyAlignment="0" applyProtection="0">
      <alignment vertical="center"/>
    </xf>
    <xf numFmtId="0" fontId="84" fillId="14" borderId="0" applyNumberFormat="0" applyBorder="0" applyAlignment="0" applyProtection="0">
      <alignment vertical="center"/>
    </xf>
    <xf numFmtId="0" fontId="84" fillId="14" borderId="0" applyNumberFormat="0" applyBorder="0" applyAlignment="0" applyProtection="0">
      <alignment vertical="center"/>
    </xf>
    <xf numFmtId="0" fontId="84" fillId="14" borderId="0" applyNumberFormat="0" applyBorder="0" applyAlignment="0" applyProtection="0">
      <alignment vertical="center"/>
    </xf>
    <xf numFmtId="0" fontId="84" fillId="14" borderId="0" applyNumberFormat="0" applyBorder="0" applyAlignment="0" applyProtection="0">
      <alignment vertical="center"/>
    </xf>
    <xf numFmtId="0" fontId="84" fillId="15"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15" borderId="0" applyNumberFormat="0" applyBorder="0" applyAlignment="0" applyProtection="0">
      <alignment vertical="center"/>
    </xf>
    <xf numFmtId="0" fontId="102" fillId="15" borderId="0" applyNumberFormat="0" applyBorder="0" applyAlignment="0" applyProtection="0">
      <alignment vertical="center"/>
    </xf>
    <xf numFmtId="0" fontId="102" fillId="15" borderId="0" applyNumberFormat="0" applyBorder="0" applyAlignment="0" applyProtection="0">
      <alignment vertical="center"/>
    </xf>
    <xf numFmtId="0" fontId="102" fillId="15" borderId="0" applyNumberFormat="0" applyBorder="0" applyAlignment="0" applyProtection="0">
      <alignment vertical="center"/>
    </xf>
    <xf numFmtId="0" fontId="102" fillId="15" borderId="0" applyNumberFormat="0" applyBorder="0" applyAlignment="0" applyProtection="0">
      <alignment vertical="center"/>
    </xf>
    <xf numFmtId="0" fontId="102" fillId="15"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84" fillId="15" borderId="0" applyNumberFormat="0" applyBorder="0" applyAlignment="0" applyProtection="0">
      <alignment vertical="center"/>
    </xf>
    <xf numFmtId="0" fontId="84" fillId="15" borderId="0" applyNumberFormat="0" applyBorder="0" applyAlignment="0" applyProtection="0">
      <alignment vertical="center"/>
    </xf>
    <xf numFmtId="0" fontId="84" fillId="15" borderId="0" applyNumberFormat="0" applyBorder="0" applyAlignment="0" applyProtection="0">
      <alignment vertical="center"/>
    </xf>
    <xf numFmtId="0" fontId="84" fillId="15" borderId="0" applyNumberFormat="0" applyBorder="0" applyAlignment="0" applyProtection="0">
      <alignment vertical="center"/>
    </xf>
    <xf numFmtId="0" fontId="84" fillId="15" borderId="0" applyNumberFormat="0" applyBorder="0" applyAlignment="0" applyProtection="0">
      <alignment vertical="center"/>
    </xf>
    <xf numFmtId="0" fontId="84" fillId="15" borderId="0" applyNumberFormat="0" applyBorder="0" applyAlignment="0" applyProtection="0">
      <alignment vertical="center"/>
    </xf>
    <xf numFmtId="0" fontId="85" fillId="0" borderId="0" applyNumberFormat="0" applyFill="0" applyBorder="0" applyAlignment="0" applyProtection="0">
      <alignment vertical="center"/>
    </xf>
    <xf numFmtId="0" fontId="86" fillId="0" borderId="1" applyNumberFormat="0" applyFill="0" applyAlignment="0" applyProtection="0">
      <alignment vertical="center"/>
    </xf>
    <xf numFmtId="0" fontId="103" fillId="0" borderId="19" applyNumberFormat="0" applyFill="0" applyAlignment="0" applyProtection="0">
      <alignment vertical="center"/>
    </xf>
    <xf numFmtId="0" fontId="103" fillId="0" borderId="19" applyNumberFormat="0" applyFill="0" applyAlignment="0" applyProtection="0">
      <alignment vertical="center"/>
    </xf>
    <xf numFmtId="0" fontId="103" fillId="0" borderId="19" applyNumberFormat="0" applyFill="0" applyAlignment="0" applyProtection="0">
      <alignment vertical="center"/>
    </xf>
    <xf numFmtId="0" fontId="86" fillId="0" borderId="1" applyNumberFormat="0" applyFill="0" applyAlignment="0" applyProtection="0">
      <alignment vertical="center"/>
    </xf>
    <xf numFmtId="0" fontId="86" fillId="0" borderId="1" applyNumberFormat="0" applyFill="0" applyAlignment="0" applyProtection="0">
      <alignment vertical="center"/>
    </xf>
    <xf numFmtId="0" fontId="86" fillId="0" borderId="1" applyNumberFormat="0" applyFill="0" applyAlignment="0" applyProtection="0">
      <alignment vertical="center"/>
    </xf>
    <xf numFmtId="0" fontId="86" fillId="0" borderId="1" applyNumberFormat="0" applyFill="0" applyAlignment="0" applyProtection="0">
      <alignment vertical="center"/>
    </xf>
    <xf numFmtId="0" fontId="86" fillId="0" borderId="1" applyNumberFormat="0" applyFill="0" applyAlignment="0" applyProtection="0">
      <alignment vertical="center"/>
    </xf>
    <xf numFmtId="0" fontId="86" fillId="0" borderId="1" applyNumberFormat="0" applyFill="0" applyAlignment="0" applyProtection="0">
      <alignment vertical="center"/>
    </xf>
    <xf numFmtId="0" fontId="87" fillId="0" borderId="2" applyNumberFormat="0" applyFill="0" applyAlignment="0" applyProtection="0">
      <alignment vertical="center"/>
    </xf>
    <xf numFmtId="0" fontId="104" fillId="0" borderId="20" applyNumberFormat="0" applyFill="0" applyAlignment="0" applyProtection="0">
      <alignment vertical="center"/>
    </xf>
    <xf numFmtId="0" fontId="104" fillId="0" borderId="20" applyNumberFormat="0" applyFill="0" applyAlignment="0" applyProtection="0">
      <alignment vertical="center"/>
    </xf>
    <xf numFmtId="0" fontId="104" fillId="0" borderId="20" applyNumberFormat="0" applyFill="0" applyAlignment="0" applyProtection="0">
      <alignment vertical="center"/>
    </xf>
    <xf numFmtId="0" fontId="87" fillId="0" borderId="2" applyNumberFormat="0" applyFill="0" applyAlignment="0" applyProtection="0">
      <alignment vertical="center"/>
    </xf>
    <xf numFmtId="0" fontId="87" fillId="0" borderId="2" applyNumberFormat="0" applyFill="0" applyAlignment="0" applyProtection="0">
      <alignment vertical="center"/>
    </xf>
    <xf numFmtId="0" fontId="87" fillId="0" borderId="2" applyNumberFormat="0" applyFill="0" applyAlignment="0" applyProtection="0">
      <alignment vertical="center"/>
    </xf>
    <xf numFmtId="0" fontId="87" fillId="0" borderId="2" applyNumberFormat="0" applyFill="0" applyAlignment="0" applyProtection="0">
      <alignment vertical="center"/>
    </xf>
    <xf numFmtId="0" fontId="87" fillId="0" borderId="2" applyNumberFormat="0" applyFill="0" applyAlignment="0" applyProtection="0">
      <alignment vertical="center"/>
    </xf>
    <xf numFmtId="0" fontId="87" fillId="0" borderId="2" applyNumberFormat="0" applyFill="0" applyAlignment="0" applyProtection="0">
      <alignment vertical="center"/>
    </xf>
    <xf numFmtId="0" fontId="88" fillId="0" borderId="3" applyNumberFormat="0" applyFill="0" applyAlignment="0" applyProtection="0">
      <alignment vertical="center"/>
    </xf>
    <xf numFmtId="0" fontId="105" fillId="0" borderId="21" applyNumberFormat="0" applyFill="0" applyAlignment="0" applyProtection="0">
      <alignment vertical="center"/>
    </xf>
    <xf numFmtId="0" fontId="105" fillId="0" borderId="21" applyNumberFormat="0" applyFill="0" applyAlignment="0" applyProtection="0">
      <alignment vertical="center"/>
    </xf>
    <xf numFmtId="0" fontId="105" fillId="0" borderId="21" applyNumberFormat="0" applyFill="0" applyAlignment="0" applyProtection="0">
      <alignment vertical="center"/>
    </xf>
    <xf numFmtId="0" fontId="88" fillId="0" borderId="3" applyNumberFormat="0" applyFill="0" applyAlignment="0" applyProtection="0">
      <alignment vertical="center"/>
    </xf>
    <xf numFmtId="0" fontId="88" fillId="0" borderId="3" applyNumberFormat="0" applyFill="0" applyAlignment="0" applyProtection="0">
      <alignment vertical="center"/>
    </xf>
    <xf numFmtId="0" fontId="88" fillId="0" borderId="3" applyNumberFormat="0" applyFill="0" applyAlignment="0" applyProtection="0">
      <alignment vertical="center"/>
    </xf>
    <xf numFmtId="0" fontId="88" fillId="0" borderId="3" applyNumberFormat="0" applyFill="0" applyAlignment="0" applyProtection="0">
      <alignment vertical="center"/>
    </xf>
    <xf numFmtId="0" fontId="88" fillId="0" borderId="3" applyNumberFormat="0" applyFill="0" applyAlignment="0" applyProtection="0">
      <alignment vertical="center"/>
    </xf>
    <xf numFmtId="0" fontId="88" fillId="0" borderId="3" applyNumberFormat="0" applyFill="0" applyAlignment="0" applyProtection="0">
      <alignment vertical="center"/>
    </xf>
    <xf numFmtId="0" fontId="88" fillId="0" borderId="0" applyNumberFormat="0" applyFill="0" applyBorder="0" applyAlignment="0" applyProtection="0">
      <alignment vertical="center"/>
    </xf>
    <xf numFmtId="0" fontId="105" fillId="0" borderId="0" applyNumberFormat="0" applyFill="0" applyBorder="0" applyAlignment="0" applyProtection="0">
      <alignment vertical="center"/>
    </xf>
    <xf numFmtId="0" fontId="105" fillId="0" borderId="0" applyNumberFormat="0" applyFill="0" applyBorder="0" applyAlignment="0" applyProtection="0">
      <alignment vertical="center"/>
    </xf>
    <xf numFmtId="0" fontId="105"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106" fillId="0" borderId="0" applyNumberFormat="0" applyFill="0" applyBorder="0" applyAlignment="0" applyProtection="0">
      <alignment vertical="center"/>
    </xf>
    <xf numFmtId="0" fontId="106" fillId="0" borderId="0" applyNumberFormat="0" applyFill="0" applyBorder="0" applyAlignment="0" applyProtection="0">
      <alignment vertical="center"/>
    </xf>
    <xf numFmtId="0" fontId="106" fillId="0" borderId="0" applyNumberFormat="0" applyFill="0" applyBorder="0" applyAlignment="0" applyProtection="0">
      <alignment vertical="center"/>
    </xf>
    <xf numFmtId="0" fontId="85" fillId="0" borderId="0" applyNumberFormat="0" applyFill="0" applyBorder="0" applyAlignment="0" applyProtection="0">
      <alignment vertical="center"/>
    </xf>
    <xf numFmtId="0" fontId="85" fillId="0" borderId="0" applyNumberFormat="0" applyFill="0" applyBorder="0" applyAlignment="0" applyProtection="0">
      <alignment vertical="center"/>
    </xf>
    <xf numFmtId="0" fontId="85" fillId="0" borderId="0" applyNumberFormat="0" applyFill="0" applyBorder="0" applyAlignment="0" applyProtection="0">
      <alignment vertical="center"/>
    </xf>
    <xf numFmtId="0" fontId="85" fillId="0" borderId="0" applyNumberFormat="0" applyFill="0" applyBorder="0" applyAlignment="0" applyProtection="0">
      <alignment vertical="center"/>
    </xf>
    <xf numFmtId="0" fontId="85" fillId="0" borderId="0" applyNumberFormat="0" applyFill="0" applyBorder="0" applyAlignment="0" applyProtection="0">
      <alignment vertical="center"/>
    </xf>
    <xf numFmtId="0" fontId="85" fillId="0" borderId="0" applyNumberFormat="0" applyFill="0" applyBorder="0" applyAlignment="0" applyProtection="0">
      <alignment vertical="center"/>
    </xf>
    <xf numFmtId="0" fontId="89" fillId="3" borderId="0" applyNumberFormat="0" applyBorder="0" applyAlignment="0" applyProtection="0">
      <alignment vertical="center"/>
    </xf>
    <xf numFmtId="0" fontId="107" fillId="60" borderId="0" applyNumberFormat="0" applyBorder="0" applyAlignment="0" applyProtection="0">
      <alignment vertical="center"/>
    </xf>
    <xf numFmtId="0" fontId="107" fillId="60" borderId="0" applyNumberFormat="0" applyBorder="0" applyAlignment="0" applyProtection="0">
      <alignment vertical="center"/>
    </xf>
    <xf numFmtId="0" fontId="107" fillId="60" borderId="0" applyNumberFormat="0" applyBorder="0" applyAlignment="0" applyProtection="0">
      <alignment vertical="center"/>
    </xf>
    <xf numFmtId="0" fontId="89" fillId="3" borderId="0" applyNumberFormat="0" applyBorder="0" applyAlignment="0" applyProtection="0">
      <alignment vertical="center"/>
    </xf>
    <xf numFmtId="0" fontId="89" fillId="3" borderId="0" applyNumberFormat="0" applyBorder="0" applyAlignment="0" applyProtection="0">
      <alignment vertical="center"/>
    </xf>
    <xf numFmtId="0" fontId="89" fillId="3" borderId="0" applyNumberFormat="0" applyBorder="0" applyAlignment="0" applyProtection="0">
      <alignment vertical="center"/>
    </xf>
    <xf numFmtId="0" fontId="89" fillId="3" borderId="0" applyNumberFormat="0" applyBorder="0" applyAlignment="0" applyProtection="0">
      <alignment vertical="center"/>
    </xf>
    <xf numFmtId="0" fontId="89" fillId="3" borderId="0" applyNumberFormat="0" applyBorder="0" applyAlignment="0" applyProtection="0">
      <alignment vertical="center"/>
    </xf>
    <xf numFmtId="0" fontId="89" fillId="3" borderId="0" applyNumberFormat="0" applyBorder="0" applyAlignment="0" applyProtection="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101" fillId="0" borderId="0">
      <alignment vertical="center"/>
    </xf>
    <xf numFmtId="0" fontId="101" fillId="0" borderId="0">
      <alignment vertical="center"/>
    </xf>
    <xf numFmtId="0" fontId="101" fillId="0" borderId="0">
      <alignment vertical="center"/>
    </xf>
    <xf numFmtId="0" fontId="82" fillId="0" borderId="0">
      <alignment vertical="center"/>
    </xf>
    <xf numFmtId="0" fontId="82" fillId="0" borderId="0">
      <alignment vertical="center"/>
    </xf>
    <xf numFmtId="0" fontId="82" fillId="0" borderId="0">
      <alignment vertical="center"/>
    </xf>
    <xf numFmtId="0" fontId="90" fillId="4" borderId="0" applyNumberFormat="0" applyBorder="0" applyAlignment="0" applyProtection="0">
      <alignment vertical="center"/>
    </xf>
    <xf numFmtId="0" fontId="108" fillId="61" borderId="0" applyNumberFormat="0" applyBorder="0" applyAlignment="0" applyProtection="0">
      <alignment vertical="center"/>
    </xf>
    <xf numFmtId="0" fontId="108" fillId="61" borderId="0" applyNumberFormat="0" applyBorder="0" applyAlignment="0" applyProtection="0">
      <alignment vertical="center"/>
    </xf>
    <xf numFmtId="0" fontId="108" fillId="61" borderId="0" applyNumberFormat="0" applyBorder="0" applyAlignment="0" applyProtection="0">
      <alignment vertical="center"/>
    </xf>
    <xf numFmtId="0" fontId="90" fillId="4" borderId="0" applyNumberFormat="0" applyBorder="0" applyAlignment="0" applyProtection="0">
      <alignment vertical="center"/>
    </xf>
    <xf numFmtId="0" fontId="90" fillId="4" borderId="0" applyNumberFormat="0" applyBorder="0" applyAlignment="0" applyProtection="0">
      <alignment vertical="center"/>
    </xf>
    <xf numFmtId="0" fontId="90" fillId="4" borderId="0" applyNumberFormat="0" applyBorder="0" applyAlignment="0" applyProtection="0">
      <alignment vertical="center"/>
    </xf>
    <xf numFmtId="0" fontId="90" fillId="4" borderId="0" applyNumberFormat="0" applyBorder="0" applyAlignment="0" applyProtection="0">
      <alignment vertical="center"/>
    </xf>
    <xf numFmtId="0" fontId="90" fillId="4" borderId="0" applyNumberFormat="0" applyBorder="0" applyAlignment="0" applyProtection="0">
      <alignment vertical="center"/>
    </xf>
    <xf numFmtId="0" fontId="90" fillId="4" borderId="0" applyNumberFormat="0" applyBorder="0" applyAlignment="0" applyProtection="0">
      <alignment vertical="center"/>
    </xf>
    <xf numFmtId="0" fontId="91" fillId="0" borderId="4" applyNumberFormat="0" applyFill="0" applyAlignment="0" applyProtection="0">
      <alignment vertical="center"/>
    </xf>
    <xf numFmtId="0" fontId="109" fillId="0" borderId="22" applyNumberFormat="0" applyFill="0" applyAlignment="0" applyProtection="0">
      <alignment vertical="center"/>
    </xf>
    <xf numFmtId="0" fontId="109" fillId="0" borderId="22" applyNumberFormat="0" applyFill="0" applyAlignment="0" applyProtection="0">
      <alignment vertical="center"/>
    </xf>
    <xf numFmtId="0" fontId="109" fillId="0" borderId="22" applyNumberFormat="0" applyFill="0" applyAlignment="0" applyProtection="0">
      <alignment vertical="center"/>
    </xf>
    <xf numFmtId="0" fontId="91" fillId="0" borderId="4" applyNumberFormat="0" applyFill="0" applyAlignment="0" applyProtection="0">
      <alignment vertical="center"/>
    </xf>
    <xf numFmtId="0" fontId="91" fillId="0" borderId="4" applyNumberFormat="0" applyFill="0" applyAlignment="0" applyProtection="0">
      <alignment vertical="center"/>
    </xf>
    <xf numFmtId="0" fontId="91" fillId="0" borderId="4" applyNumberFormat="0" applyFill="0" applyAlignment="0" applyProtection="0">
      <alignment vertical="center"/>
    </xf>
    <xf numFmtId="0" fontId="91" fillId="0" borderId="4" applyNumberFormat="0" applyFill="0" applyAlignment="0" applyProtection="0">
      <alignment vertical="center"/>
    </xf>
    <xf numFmtId="0" fontId="91" fillId="0" borderId="4" applyNumberFormat="0" applyFill="0" applyAlignment="0" applyProtection="0">
      <alignment vertical="center"/>
    </xf>
    <xf numFmtId="0" fontId="91" fillId="0" borderId="4" applyNumberFormat="0" applyFill="0" applyAlignment="0" applyProtection="0">
      <alignment vertical="center"/>
    </xf>
    <xf numFmtId="0" fontId="92" fillId="16" borderId="5" applyNumberFormat="0" applyAlignment="0" applyProtection="0">
      <alignment vertical="center"/>
    </xf>
    <xf numFmtId="0" fontId="110" fillId="62" borderId="23" applyNumberFormat="0" applyAlignment="0" applyProtection="0">
      <alignment vertical="center"/>
    </xf>
    <xf numFmtId="0" fontId="110" fillId="62" borderId="23" applyNumberFormat="0" applyAlignment="0" applyProtection="0">
      <alignment vertical="center"/>
    </xf>
    <xf numFmtId="0" fontId="110" fillId="62" borderId="23" applyNumberFormat="0" applyAlignment="0" applyProtection="0">
      <alignment vertical="center"/>
    </xf>
    <xf numFmtId="0" fontId="92" fillId="16" borderId="5" applyNumberFormat="0" applyAlignment="0" applyProtection="0">
      <alignment vertical="center"/>
    </xf>
    <xf numFmtId="0" fontId="92" fillId="16" borderId="5" applyNumberFormat="0" applyAlignment="0" applyProtection="0">
      <alignment vertical="center"/>
    </xf>
    <xf numFmtId="0" fontId="92" fillId="16" borderId="5" applyNumberFormat="0" applyAlignment="0" applyProtection="0">
      <alignment vertical="center"/>
    </xf>
    <xf numFmtId="0" fontId="92" fillId="16" borderId="5" applyNumberFormat="0" applyAlignment="0" applyProtection="0">
      <alignment vertical="center"/>
    </xf>
    <xf numFmtId="0" fontId="92" fillId="16" borderId="5" applyNumberFormat="0" applyAlignment="0" applyProtection="0">
      <alignment vertical="center"/>
    </xf>
    <xf numFmtId="0" fontId="92" fillId="16" borderId="5" applyNumberFormat="0" applyAlignment="0" applyProtection="0">
      <alignment vertical="center"/>
    </xf>
    <xf numFmtId="0" fontId="93" fillId="17" borderId="6" applyNumberFormat="0" applyAlignment="0" applyProtection="0">
      <alignment vertical="center"/>
    </xf>
    <xf numFmtId="0" fontId="111" fillId="63" borderId="24" applyNumberFormat="0" applyAlignment="0" applyProtection="0">
      <alignment vertical="center"/>
    </xf>
    <xf numFmtId="0" fontId="111" fillId="63" borderId="24" applyNumberFormat="0" applyAlignment="0" applyProtection="0">
      <alignment vertical="center"/>
    </xf>
    <xf numFmtId="0" fontId="111" fillId="63" borderId="24" applyNumberFormat="0" applyAlignment="0" applyProtection="0">
      <alignment vertical="center"/>
    </xf>
    <xf numFmtId="0" fontId="93" fillId="17" borderId="6" applyNumberFormat="0" applyAlignment="0" applyProtection="0">
      <alignment vertical="center"/>
    </xf>
    <xf numFmtId="0" fontId="93" fillId="17" borderId="6" applyNumberFormat="0" applyAlignment="0" applyProtection="0">
      <alignment vertical="center"/>
    </xf>
    <xf numFmtId="0" fontId="93" fillId="17" borderId="6" applyNumberFormat="0" applyAlignment="0" applyProtection="0">
      <alignment vertical="center"/>
    </xf>
    <xf numFmtId="0" fontId="93" fillId="17" borderId="6" applyNumberFormat="0" applyAlignment="0" applyProtection="0">
      <alignment vertical="center"/>
    </xf>
    <xf numFmtId="0" fontId="93" fillId="17" borderId="6" applyNumberFormat="0" applyAlignment="0" applyProtection="0">
      <alignment vertical="center"/>
    </xf>
    <xf numFmtId="0" fontId="93" fillId="17" borderId="6" applyNumberFormat="0" applyAlignment="0" applyProtection="0">
      <alignment vertical="center"/>
    </xf>
    <xf numFmtId="0" fontId="94" fillId="0" borderId="0" applyNumberFormat="0" applyFill="0" applyBorder="0" applyAlignment="0" applyProtection="0">
      <alignment vertical="center"/>
    </xf>
    <xf numFmtId="0" fontId="112" fillId="0" borderId="0" applyNumberFormat="0" applyFill="0" applyBorder="0" applyAlignment="0" applyProtection="0">
      <alignment vertical="center"/>
    </xf>
    <xf numFmtId="0" fontId="112" fillId="0" borderId="0" applyNumberFormat="0" applyFill="0" applyBorder="0" applyAlignment="0" applyProtection="0">
      <alignment vertical="center"/>
    </xf>
    <xf numFmtId="0" fontId="112"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113" fillId="0" borderId="0" applyNumberFormat="0" applyFill="0" applyBorder="0" applyAlignment="0" applyProtection="0">
      <alignment vertical="center"/>
    </xf>
    <xf numFmtId="0" fontId="113" fillId="0" borderId="0" applyNumberFormat="0" applyFill="0" applyBorder="0" applyAlignment="0" applyProtection="0">
      <alignment vertical="center"/>
    </xf>
    <xf numFmtId="0" fontId="113"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6" fillId="0" borderId="7" applyNumberFormat="0" applyFill="0" applyAlignment="0" applyProtection="0">
      <alignment vertical="center"/>
    </xf>
    <xf numFmtId="0" fontId="114" fillId="0" borderId="25" applyNumberFormat="0" applyFill="0" applyAlignment="0" applyProtection="0">
      <alignment vertical="center"/>
    </xf>
    <xf numFmtId="0" fontId="114" fillId="0" borderId="25" applyNumberFormat="0" applyFill="0" applyAlignment="0" applyProtection="0">
      <alignment vertical="center"/>
    </xf>
    <xf numFmtId="0" fontId="114" fillId="0" borderId="25" applyNumberFormat="0" applyFill="0" applyAlignment="0" applyProtection="0">
      <alignment vertical="center"/>
    </xf>
    <xf numFmtId="0" fontId="96" fillId="0" borderId="7" applyNumberFormat="0" applyFill="0" applyAlignment="0" applyProtection="0">
      <alignment vertical="center"/>
    </xf>
    <xf numFmtId="0" fontId="96" fillId="0" borderId="7" applyNumberFormat="0" applyFill="0" applyAlignment="0" applyProtection="0">
      <alignment vertical="center"/>
    </xf>
    <xf numFmtId="0" fontId="96" fillId="0" borderId="7" applyNumberFormat="0" applyFill="0" applyAlignment="0" applyProtection="0">
      <alignment vertical="center"/>
    </xf>
    <xf numFmtId="0" fontId="96" fillId="0" borderId="7" applyNumberFormat="0" applyFill="0" applyAlignment="0" applyProtection="0">
      <alignment vertical="center"/>
    </xf>
    <xf numFmtId="0" fontId="96" fillId="0" borderId="7" applyNumberFormat="0" applyFill="0" applyAlignment="0" applyProtection="0">
      <alignment vertical="center"/>
    </xf>
    <xf numFmtId="0" fontId="96" fillId="0" borderId="7" applyNumberFormat="0" applyFill="0" applyAlignment="0" applyProtection="0">
      <alignment vertical="center"/>
    </xf>
    <xf numFmtId="0" fontId="84" fillId="18" borderId="0" applyNumberFormat="0" applyBorder="0" applyAlignment="0" applyProtection="0">
      <alignment vertical="center"/>
    </xf>
    <xf numFmtId="0" fontId="102" fillId="64" borderId="0" applyNumberFormat="0" applyBorder="0" applyAlignment="0" applyProtection="0">
      <alignment vertical="center"/>
    </xf>
    <xf numFmtId="0" fontId="102" fillId="64" borderId="0" applyNumberFormat="0" applyBorder="0" applyAlignment="0" applyProtection="0">
      <alignment vertical="center"/>
    </xf>
    <xf numFmtId="0" fontId="102" fillId="64" borderId="0" applyNumberFormat="0" applyBorder="0" applyAlignment="0" applyProtection="0">
      <alignment vertical="center"/>
    </xf>
    <xf numFmtId="0" fontId="84" fillId="18" borderId="0" applyNumberFormat="0" applyBorder="0" applyAlignment="0" applyProtection="0">
      <alignment vertical="center"/>
    </xf>
    <xf numFmtId="0" fontId="84" fillId="18" borderId="0" applyNumberFormat="0" applyBorder="0" applyAlignment="0" applyProtection="0">
      <alignment vertical="center"/>
    </xf>
    <xf numFmtId="0" fontId="84" fillId="18" borderId="0" applyNumberFormat="0" applyBorder="0" applyAlignment="0" applyProtection="0">
      <alignment vertical="center"/>
    </xf>
    <xf numFmtId="0" fontId="84" fillId="18" borderId="0" applyNumberFormat="0" applyBorder="0" applyAlignment="0" applyProtection="0">
      <alignment vertical="center"/>
    </xf>
    <xf numFmtId="0" fontId="84" fillId="18" borderId="0" applyNumberFormat="0" applyBorder="0" applyAlignment="0" applyProtection="0">
      <alignment vertical="center"/>
    </xf>
    <xf numFmtId="0" fontId="84" fillId="18" borderId="0" applyNumberFormat="0" applyBorder="0" applyAlignment="0" applyProtection="0">
      <alignment vertical="center"/>
    </xf>
    <xf numFmtId="0" fontId="84" fillId="19" borderId="0" applyNumberFormat="0" applyBorder="0" applyAlignment="0" applyProtection="0">
      <alignment vertical="center"/>
    </xf>
    <xf numFmtId="0" fontId="102" fillId="65" borderId="0" applyNumberFormat="0" applyBorder="0" applyAlignment="0" applyProtection="0">
      <alignment vertical="center"/>
    </xf>
    <xf numFmtId="0" fontId="102" fillId="65" borderId="0" applyNumberFormat="0" applyBorder="0" applyAlignment="0" applyProtection="0">
      <alignment vertical="center"/>
    </xf>
    <xf numFmtId="0" fontId="102" fillId="65" borderId="0" applyNumberFormat="0" applyBorder="0" applyAlignment="0" applyProtection="0">
      <alignment vertical="center"/>
    </xf>
    <xf numFmtId="0" fontId="84" fillId="19" borderId="0" applyNumberFormat="0" applyBorder="0" applyAlignment="0" applyProtection="0">
      <alignment vertical="center"/>
    </xf>
    <xf numFmtId="0" fontId="84" fillId="19" borderId="0" applyNumberFormat="0" applyBorder="0" applyAlignment="0" applyProtection="0">
      <alignment vertical="center"/>
    </xf>
    <xf numFmtId="0" fontId="84" fillId="19" borderId="0" applyNumberFormat="0" applyBorder="0" applyAlignment="0" applyProtection="0">
      <alignment vertical="center"/>
    </xf>
    <xf numFmtId="0" fontId="84" fillId="19" borderId="0" applyNumberFormat="0" applyBorder="0" applyAlignment="0" applyProtection="0">
      <alignment vertical="center"/>
    </xf>
    <xf numFmtId="0" fontId="84" fillId="19" borderId="0" applyNumberFormat="0" applyBorder="0" applyAlignment="0" applyProtection="0">
      <alignment vertical="center"/>
    </xf>
    <xf numFmtId="0" fontId="84" fillId="19" borderId="0" applyNumberFormat="0" applyBorder="0" applyAlignment="0" applyProtection="0">
      <alignment vertical="center"/>
    </xf>
    <xf numFmtId="0" fontId="84" fillId="20" borderId="0" applyNumberFormat="0" applyBorder="0" applyAlignment="0" applyProtection="0">
      <alignment vertical="center"/>
    </xf>
    <xf numFmtId="0" fontId="102" fillId="66" borderId="0" applyNumberFormat="0" applyBorder="0" applyAlignment="0" applyProtection="0">
      <alignment vertical="center"/>
    </xf>
    <xf numFmtId="0" fontId="102" fillId="66" borderId="0" applyNumberFormat="0" applyBorder="0" applyAlignment="0" applyProtection="0">
      <alignment vertical="center"/>
    </xf>
    <xf numFmtId="0" fontId="102" fillId="66" borderId="0" applyNumberFormat="0" applyBorder="0" applyAlignment="0" applyProtection="0">
      <alignment vertical="center"/>
    </xf>
    <xf numFmtId="0" fontId="84" fillId="20" borderId="0" applyNumberFormat="0" applyBorder="0" applyAlignment="0" applyProtection="0">
      <alignment vertical="center"/>
    </xf>
    <xf numFmtId="0" fontId="84" fillId="20" borderId="0" applyNumberFormat="0" applyBorder="0" applyAlignment="0" applyProtection="0">
      <alignment vertical="center"/>
    </xf>
    <xf numFmtId="0" fontId="84" fillId="20" borderId="0" applyNumberFormat="0" applyBorder="0" applyAlignment="0" applyProtection="0">
      <alignment vertical="center"/>
    </xf>
    <xf numFmtId="0" fontId="84" fillId="20" borderId="0" applyNumberFormat="0" applyBorder="0" applyAlignment="0" applyProtection="0">
      <alignment vertical="center"/>
    </xf>
    <xf numFmtId="0" fontId="84" fillId="20" borderId="0" applyNumberFormat="0" applyBorder="0" applyAlignment="0" applyProtection="0">
      <alignment vertical="center"/>
    </xf>
    <xf numFmtId="0" fontId="84" fillId="20" borderId="0" applyNumberFormat="0" applyBorder="0" applyAlignment="0" applyProtection="0">
      <alignment vertical="center"/>
    </xf>
    <xf numFmtId="0" fontId="84" fillId="13" borderId="0" applyNumberFormat="0" applyBorder="0" applyAlignment="0" applyProtection="0">
      <alignment vertical="center"/>
    </xf>
    <xf numFmtId="0" fontId="102" fillId="67" borderId="0" applyNumberFormat="0" applyBorder="0" applyAlignment="0" applyProtection="0">
      <alignment vertical="center"/>
    </xf>
    <xf numFmtId="0" fontId="102" fillId="67" borderId="0" applyNumberFormat="0" applyBorder="0" applyAlignment="0" applyProtection="0">
      <alignment vertical="center"/>
    </xf>
    <xf numFmtId="0" fontId="102" fillId="67" borderId="0" applyNumberFormat="0" applyBorder="0" applyAlignment="0" applyProtection="0">
      <alignment vertical="center"/>
    </xf>
    <xf numFmtId="0" fontId="84" fillId="13" borderId="0" applyNumberFormat="0" applyBorder="0" applyAlignment="0" applyProtection="0">
      <alignment vertical="center"/>
    </xf>
    <xf numFmtId="0" fontId="84" fillId="13" borderId="0" applyNumberFormat="0" applyBorder="0" applyAlignment="0" applyProtection="0">
      <alignment vertical="center"/>
    </xf>
    <xf numFmtId="0" fontId="84" fillId="13" borderId="0" applyNumberFormat="0" applyBorder="0" applyAlignment="0" applyProtection="0">
      <alignment vertical="center"/>
    </xf>
    <xf numFmtId="0" fontId="84" fillId="13" borderId="0" applyNumberFormat="0" applyBorder="0" applyAlignment="0" applyProtection="0">
      <alignment vertical="center"/>
    </xf>
    <xf numFmtId="0" fontId="84" fillId="13" borderId="0" applyNumberFormat="0" applyBorder="0" applyAlignment="0" applyProtection="0">
      <alignment vertical="center"/>
    </xf>
    <xf numFmtId="0" fontId="84" fillId="13" borderId="0" applyNumberFormat="0" applyBorder="0" applyAlignment="0" applyProtection="0">
      <alignment vertical="center"/>
    </xf>
    <xf numFmtId="0" fontId="84" fillId="14" borderId="0" applyNumberFormat="0" applyBorder="0" applyAlignment="0" applyProtection="0">
      <alignment vertical="center"/>
    </xf>
    <xf numFmtId="0" fontId="102" fillId="68" borderId="0" applyNumberFormat="0" applyBorder="0" applyAlignment="0" applyProtection="0">
      <alignment vertical="center"/>
    </xf>
    <xf numFmtId="0" fontId="102" fillId="68" borderId="0" applyNumberFormat="0" applyBorder="0" applyAlignment="0" applyProtection="0">
      <alignment vertical="center"/>
    </xf>
    <xf numFmtId="0" fontId="102" fillId="68" borderId="0" applyNumberFormat="0" applyBorder="0" applyAlignment="0" applyProtection="0">
      <alignment vertical="center"/>
    </xf>
    <xf numFmtId="0" fontId="84" fillId="14" borderId="0" applyNumberFormat="0" applyBorder="0" applyAlignment="0" applyProtection="0">
      <alignment vertical="center"/>
    </xf>
    <xf numFmtId="0" fontId="84" fillId="14" borderId="0" applyNumberFormat="0" applyBorder="0" applyAlignment="0" applyProtection="0">
      <alignment vertical="center"/>
    </xf>
    <xf numFmtId="0" fontId="84" fillId="14" borderId="0" applyNumberFormat="0" applyBorder="0" applyAlignment="0" applyProtection="0">
      <alignment vertical="center"/>
    </xf>
    <xf numFmtId="0" fontId="84" fillId="14" borderId="0" applyNumberFormat="0" applyBorder="0" applyAlignment="0" applyProtection="0">
      <alignment vertical="center"/>
    </xf>
    <xf numFmtId="0" fontId="84" fillId="14" borderId="0" applyNumberFormat="0" applyBorder="0" applyAlignment="0" applyProtection="0">
      <alignment vertical="center"/>
    </xf>
    <xf numFmtId="0" fontId="84" fillId="14" borderId="0" applyNumberFormat="0" applyBorder="0" applyAlignment="0" applyProtection="0">
      <alignment vertical="center"/>
    </xf>
    <xf numFmtId="0" fontId="84" fillId="21" borderId="0" applyNumberFormat="0" applyBorder="0" applyAlignment="0" applyProtection="0">
      <alignment vertical="center"/>
    </xf>
    <xf numFmtId="0" fontId="102" fillId="69" borderId="0" applyNumberFormat="0" applyBorder="0" applyAlignment="0" applyProtection="0">
      <alignment vertical="center"/>
    </xf>
    <xf numFmtId="0" fontId="102" fillId="69" borderId="0" applyNumberFormat="0" applyBorder="0" applyAlignment="0" applyProtection="0">
      <alignment vertical="center"/>
    </xf>
    <xf numFmtId="0" fontId="102" fillId="69" borderId="0" applyNumberFormat="0" applyBorder="0" applyAlignment="0" applyProtection="0">
      <alignment vertical="center"/>
    </xf>
    <xf numFmtId="0" fontId="84" fillId="21" borderId="0" applyNumberFormat="0" applyBorder="0" applyAlignment="0" applyProtection="0">
      <alignment vertical="center"/>
    </xf>
    <xf numFmtId="0" fontId="84" fillId="21" borderId="0" applyNumberFormat="0" applyBorder="0" applyAlignment="0" applyProtection="0">
      <alignment vertical="center"/>
    </xf>
    <xf numFmtId="0" fontId="84" fillId="21" borderId="0" applyNumberFormat="0" applyBorder="0" applyAlignment="0" applyProtection="0">
      <alignment vertical="center"/>
    </xf>
    <xf numFmtId="0" fontId="84" fillId="21" borderId="0" applyNumberFormat="0" applyBorder="0" applyAlignment="0" applyProtection="0">
      <alignment vertical="center"/>
    </xf>
    <xf numFmtId="0" fontId="84" fillId="21" borderId="0" applyNumberFormat="0" applyBorder="0" applyAlignment="0" applyProtection="0">
      <alignment vertical="center"/>
    </xf>
    <xf numFmtId="0" fontId="84" fillId="21" borderId="0" applyNumberFormat="0" applyBorder="0" applyAlignment="0" applyProtection="0">
      <alignment vertical="center"/>
    </xf>
    <xf numFmtId="0" fontId="97" fillId="22" borderId="0" applyNumberFormat="0" applyBorder="0" applyAlignment="0" applyProtection="0">
      <alignment vertical="center"/>
    </xf>
    <xf numFmtId="0" fontId="115" fillId="70" borderId="0" applyNumberFormat="0" applyBorder="0" applyAlignment="0" applyProtection="0">
      <alignment vertical="center"/>
    </xf>
    <xf numFmtId="0" fontId="115" fillId="70" borderId="0" applyNumberFormat="0" applyBorder="0" applyAlignment="0" applyProtection="0">
      <alignment vertical="center"/>
    </xf>
    <xf numFmtId="0" fontId="115" fillId="70" borderId="0" applyNumberFormat="0" applyBorder="0" applyAlignment="0" applyProtection="0">
      <alignment vertical="center"/>
    </xf>
    <xf numFmtId="0" fontId="97" fillId="22" borderId="0" applyNumberFormat="0" applyBorder="0" applyAlignment="0" applyProtection="0">
      <alignment vertical="center"/>
    </xf>
    <xf numFmtId="0" fontId="97" fillId="22" borderId="0" applyNumberFormat="0" applyBorder="0" applyAlignment="0" applyProtection="0">
      <alignment vertical="center"/>
    </xf>
    <xf numFmtId="0" fontId="97" fillId="22" borderId="0" applyNumberFormat="0" applyBorder="0" applyAlignment="0" applyProtection="0">
      <alignment vertical="center"/>
    </xf>
    <xf numFmtId="0" fontId="97" fillId="22" borderId="0" applyNumberFormat="0" applyBorder="0" applyAlignment="0" applyProtection="0">
      <alignment vertical="center"/>
    </xf>
    <xf numFmtId="0" fontId="97" fillId="22" borderId="0" applyNumberFormat="0" applyBorder="0" applyAlignment="0" applyProtection="0">
      <alignment vertical="center"/>
    </xf>
    <xf numFmtId="0" fontId="97" fillId="22" borderId="0" applyNumberFormat="0" applyBorder="0" applyAlignment="0" applyProtection="0">
      <alignment vertical="center"/>
    </xf>
    <xf numFmtId="0" fontId="98" fillId="16" borderId="8" applyNumberFormat="0" applyAlignment="0" applyProtection="0">
      <alignment vertical="center"/>
    </xf>
    <xf numFmtId="0" fontId="116" fillId="62" borderId="26" applyNumberFormat="0" applyAlignment="0" applyProtection="0">
      <alignment vertical="center"/>
    </xf>
    <xf numFmtId="0" fontId="116" fillId="62" borderId="26" applyNumberFormat="0" applyAlignment="0" applyProtection="0">
      <alignment vertical="center"/>
    </xf>
    <xf numFmtId="0" fontId="116" fillId="62" borderId="26" applyNumberFormat="0" applyAlignment="0" applyProtection="0">
      <alignment vertical="center"/>
    </xf>
    <xf numFmtId="0" fontId="98" fillId="16" borderId="8" applyNumberFormat="0" applyAlignment="0" applyProtection="0">
      <alignment vertical="center"/>
    </xf>
    <xf numFmtId="0" fontId="98" fillId="16" borderId="8" applyNumberFormat="0" applyAlignment="0" applyProtection="0">
      <alignment vertical="center"/>
    </xf>
    <xf numFmtId="0" fontId="98" fillId="16" borderId="8" applyNumberFormat="0" applyAlignment="0" applyProtection="0">
      <alignment vertical="center"/>
    </xf>
    <xf numFmtId="0" fontId="98" fillId="16" borderId="8" applyNumberFormat="0" applyAlignment="0" applyProtection="0">
      <alignment vertical="center"/>
    </xf>
    <xf numFmtId="0" fontId="98" fillId="16" borderId="8" applyNumberFormat="0" applyAlignment="0" applyProtection="0">
      <alignment vertical="center"/>
    </xf>
    <xf numFmtId="0" fontId="98" fillId="16" borderId="8" applyNumberFormat="0" applyAlignment="0" applyProtection="0">
      <alignment vertical="center"/>
    </xf>
    <xf numFmtId="0" fontId="99" fillId="7" borderId="5" applyNumberFormat="0" applyAlignment="0" applyProtection="0">
      <alignment vertical="center"/>
    </xf>
    <xf numFmtId="0" fontId="117" fillId="71" borderId="23" applyNumberFormat="0" applyAlignment="0" applyProtection="0">
      <alignment vertical="center"/>
    </xf>
    <xf numFmtId="0" fontId="117" fillId="71" borderId="23" applyNumberFormat="0" applyAlignment="0" applyProtection="0">
      <alignment vertical="center"/>
    </xf>
    <xf numFmtId="0" fontId="117" fillId="71" borderId="23" applyNumberFormat="0" applyAlignment="0" applyProtection="0">
      <alignment vertical="center"/>
    </xf>
    <xf numFmtId="0" fontId="99" fillId="7" borderId="5" applyNumberFormat="0" applyAlignment="0" applyProtection="0">
      <alignment vertical="center"/>
    </xf>
    <xf numFmtId="0" fontId="99" fillId="7" borderId="5" applyNumberFormat="0" applyAlignment="0" applyProtection="0">
      <alignment vertical="center"/>
    </xf>
    <xf numFmtId="0" fontId="99" fillId="7" borderId="5" applyNumberFormat="0" applyAlignment="0" applyProtection="0">
      <alignment vertical="center"/>
    </xf>
    <xf numFmtId="0" fontId="99" fillId="7" borderId="5" applyNumberFormat="0" applyAlignment="0" applyProtection="0">
      <alignment vertical="center"/>
    </xf>
    <xf numFmtId="0" fontId="99" fillId="7" borderId="5" applyNumberFormat="0" applyAlignment="0" applyProtection="0">
      <alignment vertical="center"/>
    </xf>
    <xf numFmtId="0" fontId="99" fillId="7" borderId="5" applyNumberForma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101" fillId="50" borderId="0" applyNumberFormat="0" applyBorder="0" applyAlignment="0" applyProtection="0">
      <alignment vertical="center"/>
    </xf>
    <xf numFmtId="0" fontId="101" fillId="10" borderId="0" applyNumberFormat="0" applyBorder="0" applyAlignment="0" applyProtection="0">
      <alignment vertical="center"/>
    </xf>
    <xf numFmtId="0" fontId="101" fillId="10" borderId="0" applyNumberFormat="0" applyBorder="0" applyAlignment="0" applyProtection="0">
      <alignment vertical="center"/>
    </xf>
    <xf numFmtId="0" fontId="101" fillId="50"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4" fillId="12" borderId="0" applyNumberFormat="0" applyBorder="0" applyAlignment="0" applyProtection="0">
      <alignment vertical="center"/>
    </xf>
    <xf numFmtId="0" fontId="84" fillId="9" borderId="0" applyNumberFormat="0" applyBorder="0" applyAlignment="0" applyProtection="0">
      <alignment vertical="center"/>
    </xf>
    <xf numFmtId="0" fontId="84" fillId="10" borderId="0" applyNumberFormat="0" applyBorder="0" applyAlignment="0" applyProtection="0">
      <alignment vertical="center"/>
    </xf>
    <xf numFmtId="0" fontId="102" fillId="56"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56" borderId="0" applyNumberFormat="0" applyBorder="0" applyAlignment="0" applyProtection="0">
      <alignment vertical="center"/>
    </xf>
    <xf numFmtId="0" fontId="84" fillId="13" borderId="0" applyNumberFormat="0" applyBorder="0" applyAlignment="0" applyProtection="0">
      <alignment vertical="center"/>
    </xf>
    <xf numFmtId="0" fontId="102" fillId="57" borderId="0" applyNumberFormat="0" applyBorder="0" applyAlignment="0" applyProtection="0">
      <alignment vertical="center"/>
    </xf>
    <xf numFmtId="0" fontId="102" fillId="13" borderId="0" applyNumberFormat="0" applyBorder="0" applyAlignment="0" applyProtection="0">
      <alignment vertical="center"/>
    </xf>
    <xf numFmtId="0" fontId="102" fillId="13" borderId="0" applyNumberFormat="0" applyBorder="0" applyAlignment="0" applyProtection="0">
      <alignment vertical="center"/>
    </xf>
    <xf numFmtId="0" fontId="102" fillId="57" borderId="0" applyNumberFormat="0" applyBorder="0" applyAlignment="0" applyProtection="0">
      <alignment vertical="center"/>
    </xf>
    <xf numFmtId="0" fontId="84" fillId="14" borderId="0" applyNumberFormat="0" applyBorder="0" applyAlignment="0" applyProtection="0">
      <alignment vertical="center"/>
    </xf>
    <xf numFmtId="0" fontId="84" fillId="15" borderId="0" applyNumberFormat="0" applyBorder="0" applyAlignment="0" applyProtection="0">
      <alignment vertical="center"/>
    </xf>
    <xf numFmtId="0" fontId="102" fillId="59" borderId="0" applyNumberFormat="0" applyBorder="0" applyAlignment="0" applyProtection="0">
      <alignment vertical="center"/>
    </xf>
    <xf numFmtId="0" fontId="102" fillId="15" borderId="0" applyNumberFormat="0" applyBorder="0" applyAlignment="0" applyProtection="0">
      <alignment vertical="center"/>
    </xf>
    <xf numFmtId="0" fontId="102" fillId="15" borderId="0" applyNumberFormat="0" applyBorder="0" applyAlignment="0" applyProtection="0">
      <alignment vertical="center"/>
    </xf>
    <xf numFmtId="0" fontId="102" fillId="59" borderId="0" applyNumberFormat="0" applyBorder="0" applyAlignment="0" applyProtection="0">
      <alignment vertical="center"/>
    </xf>
    <xf numFmtId="0" fontId="85" fillId="0" borderId="0" applyNumberFormat="0" applyFill="0" applyBorder="0" applyAlignment="0" applyProtection="0">
      <alignment vertical="center"/>
    </xf>
    <xf numFmtId="0" fontId="86" fillId="0" borderId="1" applyNumberFormat="0" applyFill="0" applyAlignment="0" applyProtection="0">
      <alignment vertical="center"/>
    </xf>
    <xf numFmtId="0" fontId="87" fillId="0" borderId="2" applyNumberFormat="0" applyFill="0" applyAlignment="0" applyProtection="0">
      <alignment vertical="center"/>
    </xf>
    <xf numFmtId="0" fontId="88" fillId="0" borderId="3" applyNumberFormat="0" applyFill="0" applyAlignment="0" applyProtection="0">
      <alignment vertical="center"/>
    </xf>
    <xf numFmtId="0" fontId="88" fillId="0" borderId="0" applyNumberFormat="0" applyFill="0" applyBorder="0" applyAlignment="0" applyProtection="0">
      <alignment vertical="center"/>
    </xf>
    <xf numFmtId="0" fontId="89" fillId="3" borderId="0" applyNumberFormat="0" applyBorder="0" applyAlignment="0" applyProtection="0">
      <alignment vertical="center"/>
    </xf>
    <xf numFmtId="0" fontId="90" fillId="4" borderId="0" applyNumberFormat="0" applyBorder="0" applyAlignment="0" applyProtection="0">
      <alignment vertical="center"/>
    </xf>
    <xf numFmtId="0" fontId="91" fillId="0" borderId="4" applyNumberFormat="0" applyFill="0" applyAlignment="0" applyProtection="0">
      <alignment vertical="center"/>
    </xf>
    <xf numFmtId="0" fontId="92" fillId="16" borderId="5" applyNumberFormat="0" applyAlignment="0" applyProtection="0">
      <alignment vertical="center"/>
    </xf>
    <xf numFmtId="0" fontId="93" fillId="17" borderId="6" applyNumberFormat="0" applyAlignment="0" applyProtection="0">
      <alignment vertical="center"/>
    </xf>
    <xf numFmtId="0" fontId="94"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6" fillId="0" borderId="7" applyNumberFormat="0" applyFill="0" applyAlignment="0" applyProtection="0">
      <alignment vertical="center"/>
    </xf>
    <xf numFmtId="0" fontId="84" fillId="18" borderId="0" applyNumberFormat="0" applyBorder="0" applyAlignment="0" applyProtection="0">
      <alignment vertical="center"/>
    </xf>
    <xf numFmtId="0" fontId="84" fillId="19" borderId="0" applyNumberFormat="0" applyBorder="0" applyAlignment="0" applyProtection="0">
      <alignment vertical="center"/>
    </xf>
    <xf numFmtId="0" fontId="84" fillId="20" borderId="0" applyNumberFormat="0" applyBorder="0" applyAlignment="0" applyProtection="0">
      <alignment vertical="center"/>
    </xf>
    <xf numFmtId="0" fontId="84" fillId="13" borderId="0" applyNumberFormat="0" applyBorder="0" applyAlignment="0" applyProtection="0">
      <alignment vertical="center"/>
    </xf>
    <xf numFmtId="0" fontId="84" fillId="14" borderId="0" applyNumberFormat="0" applyBorder="0" applyAlignment="0" applyProtection="0">
      <alignment vertical="center"/>
    </xf>
    <xf numFmtId="0" fontId="84" fillId="21" borderId="0" applyNumberFormat="0" applyBorder="0" applyAlignment="0" applyProtection="0">
      <alignment vertical="center"/>
    </xf>
    <xf numFmtId="0" fontId="97" fillId="22" borderId="0" applyNumberFormat="0" applyBorder="0" applyAlignment="0" applyProtection="0">
      <alignment vertical="center"/>
    </xf>
    <xf numFmtId="0" fontId="98" fillId="16" borderId="8" applyNumberFormat="0" applyAlignment="0" applyProtection="0">
      <alignment vertical="center"/>
    </xf>
    <xf numFmtId="0" fontId="99" fillId="7" borderId="5" applyNumberForma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2" fillId="0" borderId="0">
      <alignment vertical="center"/>
    </xf>
    <xf numFmtId="0" fontId="84" fillId="12" borderId="0" applyNumberFormat="0" applyBorder="0" applyAlignment="0" applyProtection="0">
      <alignment vertical="center"/>
    </xf>
    <xf numFmtId="0" fontId="84" fillId="9" borderId="0" applyNumberFormat="0" applyBorder="0" applyAlignment="0" applyProtection="0">
      <alignment vertical="center"/>
    </xf>
    <xf numFmtId="0" fontId="84" fillId="10" borderId="0" applyNumberFormat="0" applyBorder="0" applyAlignment="0" applyProtection="0">
      <alignment vertical="center"/>
    </xf>
    <xf numFmtId="0" fontId="84" fillId="13" borderId="0" applyNumberFormat="0" applyBorder="0" applyAlignment="0" applyProtection="0">
      <alignment vertical="center"/>
    </xf>
    <xf numFmtId="0" fontId="84" fillId="14" borderId="0" applyNumberFormat="0" applyBorder="0" applyAlignment="0" applyProtection="0">
      <alignment vertical="center"/>
    </xf>
    <xf numFmtId="0" fontId="84" fillId="15" borderId="0" applyNumberFormat="0" applyBorder="0" applyAlignment="0" applyProtection="0">
      <alignment vertical="center"/>
    </xf>
    <xf numFmtId="0" fontId="85" fillId="0" borderId="0" applyNumberFormat="0" applyFill="0" applyBorder="0" applyAlignment="0" applyProtection="0">
      <alignment vertical="center"/>
    </xf>
    <xf numFmtId="0" fontId="86" fillId="0" borderId="1" applyNumberFormat="0" applyFill="0" applyAlignment="0" applyProtection="0">
      <alignment vertical="center"/>
    </xf>
    <xf numFmtId="0" fontId="87" fillId="0" borderId="2" applyNumberFormat="0" applyFill="0" applyAlignment="0" applyProtection="0">
      <alignment vertical="center"/>
    </xf>
    <xf numFmtId="0" fontId="88" fillId="0" borderId="3" applyNumberFormat="0" applyFill="0" applyAlignment="0" applyProtection="0">
      <alignment vertical="center"/>
    </xf>
    <xf numFmtId="0" fontId="88" fillId="0" borderId="0" applyNumberFormat="0" applyFill="0" applyBorder="0" applyAlignment="0" applyProtection="0">
      <alignment vertical="center"/>
    </xf>
    <xf numFmtId="0" fontId="89" fillId="3" borderId="0" applyNumberFormat="0" applyBorder="0" applyAlignment="0" applyProtection="0">
      <alignment vertical="center"/>
    </xf>
    <xf numFmtId="0" fontId="90" fillId="4" borderId="0" applyNumberFormat="0" applyBorder="0" applyAlignment="0" applyProtection="0">
      <alignment vertical="center"/>
    </xf>
    <xf numFmtId="0" fontId="91" fillId="0" borderId="4" applyNumberFormat="0" applyFill="0" applyAlignment="0" applyProtection="0">
      <alignment vertical="center"/>
    </xf>
    <xf numFmtId="0" fontId="92" fillId="16" borderId="5" applyNumberFormat="0" applyAlignment="0" applyProtection="0">
      <alignment vertical="center"/>
    </xf>
    <xf numFmtId="0" fontId="93" fillId="17" borderId="6" applyNumberFormat="0" applyAlignment="0" applyProtection="0">
      <alignment vertical="center"/>
    </xf>
    <xf numFmtId="0" fontId="94"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6" fillId="0" borderId="7" applyNumberFormat="0" applyFill="0" applyAlignment="0" applyProtection="0">
      <alignment vertical="center"/>
    </xf>
    <xf numFmtId="0" fontId="84" fillId="18" borderId="0" applyNumberFormat="0" applyBorder="0" applyAlignment="0" applyProtection="0">
      <alignment vertical="center"/>
    </xf>
    <xf numFmtId="0" fontId="84" fillId="19" borderId="0" applyNumberFormat="0" applyBorder="0" applyAlignment="0" applyProtection="0">
      <alignment vertical="center"/>
    </xf>
    <xf numFmtId="0" fontId="84" fillId="20" borderId="0" applyNumberFormat="0" applyBorder="0" applyAlignment="0" applyProtection="0">
      <alignment vertical="center"/>
    </xf>
    <xf numFmtId="0" fontId="84" fillId="13" borderId="0" applyNumberFormat="0" applyBorder="0" applyAlignment="0" applyProtection="0">
      <alignment vertical="center"/>
    </xf>
    <xf numFmtId="0" fontId="84" fillId="14" borderId="0" applyNumberFormat="0" applyBorder="0" applyAlignment="0" applyProtection="0">
      <alignment vertical="center"/>
    </xf>
    <xf numFmtId="0" fontId="84" fillId="21" borderId="0" applyNumberFormat="0" applyBorder="0" applyAlignment="0" applyProtection="0">
      <alignment vertical="center"/>
    </xf>
    <xf numFmtId="0" fontId="97" fillId="22" borderId="0" applyNumberFormat="0" applyBorder="0" applyAlignment="0" applyProtection="0">
      <alignment vertical="center"/>
    </xf>
    <xf numFmtId="0" fontId="98" fillId="16" borderId="8" applyNumberFormat="0" applyAlignment="0" applyProtection="0">
      <alignment vertical="center"/>
    </xf>
    <xf numFmtId="0" fontId="99" fillId="7" borderId="5" applyNumberFormat="0" applyAlignment="0" applyProtection="0">
      <alignment vertical="center"/>
    </xf>
    <xf numFmtId="0" fontId="82" fillId="0" borderId="0">
      <alignment vertical="center"/>
    </xf>
    <xf numFmtId="0" fontId="83" fillId="2" borderId="0" applyNumberFormat="0" applyBorder="0" applyAlignment="0" applyProtection="0">
      <alignment vertical="center"/>
    </xf>
    <xf numFmtId="0" fontId="101" fillId="42" borderId="0" applyNumberFormat="0" applyBorder="0" applyAlignment="0" applyProtection="0">
      <alignment vertical="center"/>
    </xf>
    <xf numFmtId="0" fontId="83" fillId="3" borderId="0" applyNumberFormat="0" applyBorder="0" applyAlignment="0" applyProtection="0">
      <alignment vertical="center"/>
    </xf>
    <xf numFmtId="0" fontId="101" fillId="43" borderId="0" applyNumberFormat="0" applyBorder="0" applyAlignment="0" applyProtection="0">
      <alignment vertical="center"/>
    </xf>
    <xf numFmtId="0" fontId="83" fillId="4" borderId="0" applyNumberFormat="0" applyBorder="0" applyAlignment="0" applyProtection="0">
      <alignment vertical="center"/>
    </xf>
    <xf numFmtId="0" fontId="101" fillId="44" borderId="0" applyNumberFormat="0" applyBorder="0" applyAlignment="0" applyProtection="0">
      <alignment vertical="center"/>
    </xf>
    <xf numFmtId="0" fontId="83" fillId="5" borderId="0" applyNumberFormat="0" applyBorder="0" applyAlignment="0" applyProtection="0">
      <alignment vertical="center"/>
    </xf>
    <xf numFmtId="0" fontId="101" fillId="45" borderId="0" applyNumberFormat="0" applyBorder="0" applyAlignment="0" applyProtection="0">
      <alignment vertical="center"/>
    </xf>
    <xf numFmtId="0" fontId="83" fillId="6" borderId="0" applyNumberFormat="0" applyBorder="0" applyAlignment="0" applyProtection="0">
      <alignment vertical="center"/>
    </xf>
    <xf numFmtId="0" fontId="101" fillId="46" borderId="0" applyNumberFormat="0" applyBorder="0" applyAlignment="0" applyProtection="0">
      <alignment vertical="center"/>
    </xf>
    <xf numFmtId="0" fontId="83" fillId="7" borderId="0" applyNumberFormat="0" applyBorder="0" applyAlignment="0" applyProtection="0">
      <alignment vertical="center"/>
    </xf>
    <xf numFmtId="0" fontId="101" fillId="47" borderId="0" applyNumberFormat="0" applyBorder="0" applyAlignment="0" applyProtection="0">
      <alignment vertical="center"/>
    </xf>
    <xf numFmtId="0" fontId="83" fillId="8" borderId="0" applyNumberFormat="0" applyBorder="0" applyAlignment="0" applyProtection="0">
      <alignment vertical="center"/>
    </xf>
    <xf numFmtId="0" fontId="101" fillId="48" borderId="0" applyNumberFormat="0" applyBorder="0" applyAlignment="0" applyProtection="0">
      <alignment vertical="center"/>
    </xf>
    <xf numFmtId="0" fontId="83" fillId="9" borderId="0" applyNumberFormat="0" applyBorder="0" applyAlignment="0" applyProtection="0">
      <alignment vertical="center"/>
    </xf>
    <xf numFmtId="0" fontId="101" fillId="49" borderId="0" applyNumberFormat="0" applyBorder="0" applyAlignment="0" applyProtection="0">
      <alignment vertical="center"/>
    </xf>
    <xf numFmtId="0" fontId="83" fillId="10" borderId="0" applyNumberFormat="0" applyBorder="0" applyAlignment="0" applyProtection="0">
      <alignment vertical="center"/>
    </xf>
    <xf numFmtId="0" fontId="101" fillId="50" borderId="0" applyNumberFormat="0" applyBorder="0" applyAlignment="0" applyProtection="0">
      <alignment vertical="center"/>
    </xf>
    <xf numFmtId="0" fontId="83" fillId="5" borderId="0" applyNumberFormat="0" applyBorder="0" applyAlignment="0" applyProtection="0">
      <alignment vertical="center"/>
    </xf>
    <xf numFmtId="0" fontId="101" fillId="51" borderId="0" applyNumberFormat="0" applyBorder="0" applyAlignment="0" applyProtection="0">
      <alignment vertical="center"/>
    </xf>
    <xf numFmtId="0" fontId="83" fillId="8" borderId="0" applyNumberFormat="0" applyBorder="0" applyAlignment="0" applyProtection="0">
      <alignment vertical="center"/>
    </xf>
    <xf numFmtId="0" fontId="101" fillId="52" borderId="0" applyNumberFormat="0" applyBorder="0" applyAlignment="0" applyProtection="0">
      <alignment vertical="center"/>
    </xf>
    <xf numFmtId="0" fontId="83" fillId="11" borderId="0" applyNumberFormat="0" applyBorder="0" applyAlignment="0" applyProtection="0">
      <alignment vertical="center"/>
    </xf>
    <xf numFmtId="0" fontId="101" fillId="53" borderId="0" applyNumberFormat="0" applyBorder="0" applyAlignment="0" applyProtection="0">
      <alignment vertical="center"/>
    </xf>
    <xf numFmtId="0" fontId="84" fillId="12" borderId="0" applyNumberFormat="0" applyBorder="0" applyAlignment="0" applyProtection="0">
      <alignment vertical="center"/>
    </xf>
    <xf numFmtId="0" fontId="102" fillId="54" borderId="0" applyNumberFormat="0" applyBorder="0" applyAlignment="0" applyProtection="0">
      <alignment vertical="center"/>
    </xf>
    <xf numFmtId="0" fontId="84" fillId="9" borderId="0" applyNumberFormat="0" applyBorder="0" applyAlignment="0" applyProtection="0">
      <alignment vertical="center"/>
    </xf>
    <xf numFmtId="0" fontId="102" fillId="55" borderId="0" applyNumberFormat="0" applyBorder="0" applyAlignment="0" applyProtection="0">
      <alignment vertical="center"/>
    </xf>
    <xf numFmtId="0" fontId="84" fillId="10" borderId="0" applyNumberFormat="0" applyBorder="0" applyAlignment="0" applyProtection="0">
      <alignment vertical="center"/>
    </xf>
    <xf numFmtId="0" fontId="102" fillId="56" borderId="0" applyNumberFormat="0" applyBorder="0" applyAlignment="0" applyProtection="0">
      <alignment vertical="center"/>
    </xf>
    <xf numFmtId="0" fontId="84" fillId="13" borderId="0" applyNumberFormat="0" applyBorder="0" applyAlignment="0" applyProtection="0">
      <alignment vertical="center"/>
    </xf>
    <xf numFmtId="0" fontId="102" fillId="57" borderId="0" applyNumberFormat="0" applyBorder="0" applyAlignment="0" applyProtection="0">
      <alignment vertical="center"/>
    </xf>
    <xf numFmtId="0" fontId="84" fillId="14" borderId="0" applyNumberFormat="0" applyBorder="0" applyAlignment="0" applyProtection="0">
      <alignment vertical="center"/>
    </xf>
    <xf numFmtId="0" fontId="102" fillId="58" borderId="0" applyNumberFormat="0" applyBorder="0" applyAlignment="0" applyProtection="0">
      <alignment vertical="center"/>
    </xf>
    <xf numFmtId="0" fontId="84" fillId="15" borderId="0" applyNumberFormat="0" applyBorder="0" applyAlignment="0" applyProtection="0">
      <alignment vertical="center"/>
    </xf>
    <xf numFmtId="0" fontId="102" fillId="59" borderId="0" applyNumberFormat="0" applyBorder="0" applyAlignment="0" applyProtection="0">
      <alignment vertical="center"/>
    </xf>
    <xf numFmtId="0" fontId="85" fillId="0" borderId="0" applyNumberFormat="0" applyFill="0" applyBorder="0" applyAlignment="0" applyProtection="0">
      <alignment vertical="center"/>
    </xf>
    <xf numFmtId="0" fontId="86" fillId="0" borderId="1" applyNumberFormat="0" applyFill="0" applyAlignment="0" applyProtection="0">
      <alignment vertical="center"/>
    </xf>
    <xf numFmtId="0" fontId="103" fillId="0" borderId="19" applyNumberFormat="0" applyFill="0" applyAlignment="0" applyProtection="0">
      <alignment vertical="center"/>
    </xf>
    <xf numFmtId="0" fontId="87" fillId="0" borderId="2" applyNumberFormat="0" applyFill="0" applyAlignment="0" applyProtection="0">
      <alignment vertical="center"/>
    </xf>
    <xf numFmtId="0" fontId="104" fillId="0" borderId="20" applyNumberFormat="0" applyFill="0" applyAlignment="0" applyProtection="0">
      <alignment vertical="center"/>
    </xf>
    <xf numFmtId="0" fontId="88" fillId="0" borderId="3" applyNumberFormat="0" applyFill="0" applyAlignment="0" applyProtection="0">
      <alignment vertical="center"/>
    </xf>
    <xf numFmtId="0" fontId="105" fillId="0" borderId="21" applyNumberFormat="0" applyFill="0" applyAlignment="0" applyProtection="0">
      <alignment vertical="center"/>
    </xf>
    <xf numFmtId="0" fontId="88" fillId="0" borderId="0" applyNumberFormat="0" applyFill="0" applyBorder="0" applyAlignment="0" applyProtection="0">
      <alignment vertical="center"/>
    </xf>
    <xf numFmtId="0" fontId="105" fillId="0" borderId="0" applyNumberFormat="0" applyFill="0" applyBorder="0" applyAlignment="0" applyProtection="0">
      <alignment vertical="center"/>
    </xf>
    <xf numFmtId="0" fontId="106" fillId="0" borderId="0" applyNumberFormat="0" applyFill="0" applyBorder="0" applyAlignment="0" applyProtection="0">
      <alignment vertical="center"/>
    </xf>
    <xf numFmtId="0" fontId="89" fillId="3" borderId="0" applyNumberFormat="0" applyBorder="0" applyAlignment="0" applyProtection="0">
      <alignment vertical="center"/>
    </xf>
    <xf numFmtId="0" fontId="107" fillId="60" borderId="0" applyNumberFormat="0" applyBorder="0" applyAlignment="0" applyProtection="0">
      <alignment vertical="center"/>
    </xf>
    <xf numFmtId="0" fontId="82" fillId="0" borderId="0">
      <alignment vertical="center"/>
    </xf>
    <xf numFmtId="0" fontId="82" fillId="0" borderId="0">
      <alignment vertical="center"/>
    </xf>
    <xf numFmtId="0" fontId="101" fillId="0" borderId="0">
      <alignment vertical="center"/>
    </xf>
    <xf numFmtId="0" fontId="90" fillId="4" borderId="0" applyNumberFormat="0" applyBorder="0" applyAlignment="0" applyProtection="0">
      <alignment vertical="center"/>
    </xf>
    <xf numFmtId="0" fontId="108" fillId="61" borderId="0" applyNumberFormat="0" applyBorder="0" applyAlignment="0" applyProtection="0">
      <alignment vertical="center"/>
    </xf>
    <xf numFmtId="0" fontId="91" fillId="0" borderId="4" applyNumberFormat="0" applyFill="0" applyAlignment="0" applyProtection="0">
      <alignment vertical="center"/>
    </xf>
    <xf numFmtId="0" fontId="109" fillId="0" borderId="22" applyNumberFormat="0" applyFill="0" applyAlignment="0" applyProtection="0">
      <alignment vertical="center"/>
    </xf>
    <xf numFmtId="0" fontId="92" fillId="16" borderId="5" applyNumberFormat="0" applyAlignment="0" applyProtection="0">
      <alignment vertical="center"/>
    </xf>
    <xf numFmtId="0" fontId="110" fillId="62" borderId="23" applyNumberFormat="0" applyAlignment="0" applyProtection="0">
      <alignment vertical="center"/>
    </xf>
    <xf numFmtId="0" fontId="93" fillId="17" borderId="6" applyNumberFormat="0" applyAlignment="0" applyProtection="0">
      <alignment vertical="center"/>
    </xf>
    <xf numFmtId="0" fontId="111" fillId="63" borderId="24" applyNumberFormat="0" applyAlignment="0" applyProtection="0">
      <alignment vertical="center"/>
    </xf>
    <xf numFmtId="0" fontId="94" fillId="0" borderId="0" applyNumberFormat="0" applyFill="0" applyBorder="0" applyAlignment="0" applyProtection="0">
      <alignment vertical="center"/>
    </xf>
    <xf numFmtId="0" fontId="112"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113" fillId="0" borderId="0" applyNumberFormat="0" applyFill="0" applyBorder="0" applyAlignment="0" applyProtection="0">
      <alignment vertical="center"/>
    </xf>
    <xf numFmtId="0" fontId="96" fillId="0" borderId="7" applyNumberFormat="0" applyFill="0" applyAlignment="0" applyProtection="0">
      <alignment vertical="center"/>
    </xf>
    <xf numFmtId="0" fontId="114" fillId="0" borderId="25" applyNumberFormat="0" applyFill="0" applyAlignment="0" applyProtection="0">
      <alignment vertical="center"/>
    </xf>
    <xf numFmtId="0" fontId="84" fillId="18" borderId="0" applyNumberFormat="0" applyBorder="0" applyAlignment="0" applyProtection="0">
      <alignment vertical="center"/>
    </xf>
    <xf numFmtId="0" fontId="102" fillId="64" borderId="0" applyNumberFormat="0" applyBorder="0" applyAlignment="0" applyProtection="0">
      <alignment vertical="center"/>
    </xf>
    <xf numFmtId="0" fontId="84" fillId="19" borderId="0" applyNumberFormat="0" applyBorder="0" applyAlignment="0" applyProtection="0">
      <alignment vertical="center"/>
    </xf>
    <xf numFmtId="0" fontId="102" fillId="65" borderId="0" applyNumberFormat="0" applyBorder="0" applyAlignment="0" applyProtection="0">
      <alignment vertical="center"/>
    </xf>
    <xf numFmtId="0" fontId="84" fillId="20" borderId="0" applyNumberFormat="0" applyBorder="0" applyAlignment="0" applyProtection="0">
      <alignment vertical="center"/>
    </xf>
    <xf numFmtId="0" fontId="102" fillId="66" borderId="0" applyNumberFormat="0" applyBorder="0" applyAlignment="0" applyProtection="0">
      <alignment vertical="center"/>
    </xf>
    <xf numFmtId="0" fontId="84" fillId="13" borderId="0" applyNumberFormat="0" applyBorder="0" applyAlignment="0" applyProtection="0">
      <alignment vertical="center"/>
    </xf>
    <xf numFmtId="0" fontId="102" fillId="67" borderId="0" applyNumberFormat="0" applyBorder="0" applyAlignment="0" applyProtection="0">
      <alignment vertical="center"/>
    </xf>
    <xf numFmtId="0" fontId="84" fillId="14" borderId="0" applyNumberFormat="0" applyBorder="0" applyAlignment="0" applyProtection="0">
      <alignment vertical="center"/>
    </xf>
    <xf numFmtId="0" fontId="102" fillId="68" borderId="0" applyNumberFormat="0" applyBorder="0" applyAlignment="0" applyProtection="0">
      <alignment vertical="center"/>
    </xf>
    <xf numFmtId="0" fontId="84" fillId="21" borderId="0" applyNumberFormat="0" applyBorder="0" applyAlignment="0" applyProtection="0">
      <alignment vertical="center"/>
    </xf>
    <xf numFmtId="0" fontId="102" fillId="69" borderId="0" applyNumberFormat="0" applyBorder="0" applyAlignment="0" applyProtection="0">
      <alignment vertical="center"/>
    </xf>
    <xf numFmtId="0" fontId="97" fillId="22" borderId="0" applyNumberFormat="0" applyBorder="0" applyAlignment="0" applyProtection="0">
      <alignment vertical="center"/>
    </xf>
    <xf numFmtId="0" fontId="115" fillId="70" borderId="0" applyNumberFormat="0" applyBorder="0" applyAlignment="0" applyProtection="0">
      <alignment vertical="center"/>
    </xf>
    <xf numFmtId="0" fontId="98" fillId="16" borderId="8" applyNumberFormat="0" applyAlignment="0" applyProtection="0">
      <alignment vertical="center"/>
    </xf>
    <xf numFmtId="0" fontId="116" fillId="62" borderId="26" applyNumberFormat="0" applyAlignment="0" applyProtection="0">
      <alignment vertical="center"/>
    </xf>
    <xf numFmtId="0" fontId="99" fillId="7" borderId="5" applyNumberFormat="0" applyAlignment="0" applyProtection="0">
      <alignment vertical="center"/>
    </xf>
    <xf numFmtId="0" fontId="117" fillId="71" borderId="23" applyNumberFormat="0" applyAlignment="0" applyProtection="0">
      <alignment vertical="center"/>
    </xf>
    <xf numFmtId="0" fontId="83" fillId="23" borderId="9" applyNumberFormat="0" applyFont="0" applyAlignment="0" applyProtection="0">
      <alignment vertical="center"/>
    </xf>
    <xf numFmtId="0" fontId="83" fillId="72" borderId="27" applyNumberFormat="0" applyFont="0" applyAlignment="0" applyProtection="0">
      <alignment vertical="center"/>
    </xf>
    <xf numFmtId="0" fontId="82" fillId="0" borderId="0">
      <alignment vertical="center"/>
    </xf>
    <xf numFmtId="0" fontId="83" fillId="2" borderId="0" applyNumberFormat="0" applyBorder="0" applyAlignment="0" applyProtection="0">
      <alignment vertical="center"/>
    </xf>
    <xf numFmtId="0" fontId="101" fillId="42" borderId="0" applyNumberFormat="0" applyBorder="0" applyAlignment="0" applyProtection="0">
      <alignment vertical="center"/>
    </xf>
    <xf numFmtId="0" fontId="83" fillId="3" borderId="0" applyNumberFormat="0" applyBorder="0" applyAlignment="0" applyProtection="0">
      <alignment vertical="center"/>
    </xf>
    <xf numFmtId="0" fontId="101" fillId="43" borderId="0" applyNumberFormat="0" applyBorder="0" applyAlignment="0" applyProtection="0">
      <alignment vertical="center"/>
    </xf>
    <xf numFmtId="0" fontId="83" fillId="4" borderId="0" applyNumberFormat="0" applyBorder="0" applyAlignment="0" applyProtection="0">
      <alignment vertical="center"/>
    </xf>
    <xf numFmtId="0" fontId="101" fillId="44" borderId="0" applyNumberFormat="0" applyBorder="0" applyAlignment="0" applyProtection="0">
      <alignment vertical="center"/>
    </xf>
    <xf numFmtId="0" fontId="83" fillId="5" borderId="0" applyNumberFormat="0" applyBorder="0" applyAlignment="0" applyProtection="0">
      <alignment vertical="center"/>
    </xf>
    <xf numFmtId="0" fontId="101" fillId="45" borderId="0" applyNumberFormat="0" applyBorder="0" applyAlignment="0" applyProtection="0">
      <alignment vertical="center"/>
    </xf>
    <xf numFmtId="0" fontId="83" fillId="6" borderId="0" applyNumberFormat="0" applyBorder="0" applyAlignment="0" applyProtection="0">
      <alignment vertical="center"/>
    </xf>
    <xf numFmtId="0" fontId="101" fillId="46" borderId="0" applyNumberFormat="0" applyBorder="0" applyAlignment="0" applyProtection="0">
      <alignment vertical="center"/>
    </xf>
    <xf numFmtId="0" fontId="83" fillId="7" borderId="0" applyNumberFormat="0" applyBorder="0" applyAlignment="0" applyProtection="0">
      <alignment vertical="center"/>
    </xf>
    <xf numFmtId="0" fontId="101" fillId="47" borderId="0" applyNumberFormat="0" applyBorder="0" applyAlignment="0" applyProtection="0">
      <alignment vertical="center"/>
    </xf>
    <xf numFmtId="0" fontId="83" fillId="8" borderId="0" applyNumberFormat="0" applyBorder="0" applyAlignment="0" applyProtection="0">
      <alignment vertical="center"/>
    </xf>
    <xf numFmtId="0" fontId="101" fillId="48" borderId="0" applyNumberFormat="0" applyBorder="0" applyAlignment="0" applyProtection="0">
      <alignment vertical="center"/>
    </xf>
    <xf numFmtId="0" fontId="83" fillId="9" borderId="0" applyNumberFormat="0" applyBorder="0" applyAlignment="0" applyProtection="0">
      <alignment vertical="center"/>
    </xf>
    <xf numFmtId="0" fontId="101" fillId="49" borderId="0" applyNumberFormat="0" applyBorder="0" applyAlignment="0" applyProtection="0">
      <alignment vertical="center"/>
    </xf>
    <xf numFmtId="0" fontId="83" fillId="10" borderId="0" applyNumberFormat="0" applyBorder="0" applyAlignment="0" applyProtection="0">
      <alignment vertical="center"/>
    </xf>
    <xf numFmtId="0" fontId="101" fillId="50" borderId="0" applyNumberFormat="0" applyBorder="0" applyAlignment="0" applyProtection="0">
      <alignment vertical="center"/>
    </xf>
    <xf numFmtId="0" fontId="83" fillId="5" borderId="0" applyNumberFormat="0" applyBorder="0" applyAlignment="0" applyProtection="0">
      <alignment vertical="center"/>
    </xf>
    <xf numFmtId="0" fontId="101" fillId="51" borderId="0" applyNumberFormat="0" applyBorder="0" applyAlignment="0" applyProtection="0">
      <alignment vertical="center"/>
    </xf>
    <xf numFmtId="0" fontId="83" fillId="8" borderId="0" applyNumberFormat="0" applyBorder="0" applyAlignment="0" applyProtection="0">
      <alignment vertical="center"/>
    </xf>
    <xf numFmtId="0" fontId="101" fillId="52" borderId="0" applyNumberFormat="0" applyBorder="0" applyAlignment="0" applyProtection="0">
      <alignment vertical="center"/>
    </xf>
    <xf numFmtId="0" fontId="83" fillId="11" borderId="0" applyNumberFormat="0" applyBorder="0" applyAlignment="0" applyProtection="0">
      <alignment vertical="center"/>
    </xf>
    <xf numFmtId="0" fontId="101" fillId="53" borderId="0" applyNumberFormat="0" applyBorder="0" applyAlignment="0" applyProtection="0">
      <alignment vertical="center"/>
    </xf>
    <xf numFmtId="0" fontId="84" fillId="12" borderId="0" applyNumberFormat="0" applyBorder="0" applyAlignment="0" applyProtection="0">
      <alignment vertical="center"/>
    </xf>
    <xf numFmtId="0" fontId="102" fillId="54" borderId="0" applyNumberFormat="0" applyBorder="0" applyAlignment="0" applyProtection="0">
      <alignment vertical="center"/>
    </xf>
    <xf numFmtId="0" fontId="84" fillId="9" borderId="0" applyNumberFormat="0" applyBorder="0" applyAlignment="0" applyProtection="0">
      <alignment vertical="center"/>
    </xf>
    <xf numFmtId="0" fontId="102" fillId="55" borderId="0" applyNumberFormat="0" applyBorder="0" applyAlignment="0" applyProtection="0">
      <alignment vertical="center"/>
    </xf>
    <xf numFmtId="0" fontId="84" fillId="10" borderId="0" applyNumberFormat="0" applyBorder="0" applyAlignment="0" applyProtection="0">
      <alignment vertical="center"/>
    </xf>
    <xf numFmtId="0" fontId="102" fillId="56" borderId="0" applyNumberFormat="0" applyBorder="0" applyAlignment="0" applyProtection="0">
      <alignment vertical="center"/>
    </xf>
    <xf numFmtId="0" fontId="84" fillId="13" borderId="0" applyNumberFormat="0" applyBorder="0" applyAlignment="0" applyProtection="0">
      <alignment vertical="center"/>
    </xf>
    <xf numFmtId="0" fontId="102" fillId="57" borderId="0" applyNumberFormat="0" applyBorder="0" applyAlignment="0" applyProtection="0">
      <alignment vertical="center"/>
    </xf>
    <xf numFmtId="0" fontId="84" fillId="14" borderId="0" applyNumberFormat="0" applyBorder="0" applyAlignment="0" applyProtection="0">
      <alignment vertical="center"/>
    </xf>
    <xf numFmtId="0" fontId="102" fillId="58" borderId="0" applyNumberFormat="0" applyBorder="0" applyAlignment="0" applyProtection="0">
      <alignment vertical="center"/>
    </xf>
    <xf numFmtId="0" fontId="84" fillId="15" borderId="0" applyNumberFormat="0" applyBorder="0" applyAlignment="0" applyProtection="0">
      <alignment vertical="center"/>
    </xf>
    <xf numFmtId="0" fontId="102" fillId="59" borderId="0" applyNumberFormat="0" applyBorder="0" applyAlignment="0" applyProtection="0">
      <alignment vertical="center"/>
    </xf>
    <xf numFmtId="0" fontId="85" fillId="0" borderId="0" applyNumberFormat="0" applyFill="0" applyBorder="0" applyAlignment="0" applyProtection="0">
      <alignment vertical="center"/>
    </xf>
    <xf numFmtId="0" fontId="86" fillId="0" borderId="1" applyNumberFormat="0" applyFill="0" applyAlignment="0" applyProtection="0">
      <alignment vertical="center"/>
    </xf>
    <xf numFmtId="0" fontId="103" fillId="0" borderId="19" applyNumberFormat="0" applyFill="0" applyAlignment="0" applyProtection="0">
      <alignment vertical="center"/>
    </xf>
    <xf numFmtId="0" fontId="87" fillId="0" borderId="2" applyNumberFormat="0" applyFill="0" applyAlignment="0" applyProtection="0">
      <alignment vertical="center"/>
    </xf>
    <xf numFmtId="0" fontId="104" fillId="0" borderId="20" applyNumberFormat="0" applyFill="0" applyAlignment="0" applyProtection="0">
      <alignment vertical="center"/>
    </xf>
    <xf numFmtId="0" fontId="88" fillId="0" borderId="3" applyNumberFormat="0" applyFill="0" applyAlignment="0" applyProtection="0">
      <alignment vertical="center"/>
    </xf>
    <xf numFmtId="0" fontId="105" fillId="0" borderId="21" applyNumberFormat="0" applyFill="0" applyAlignment="0" applyProtection="0">
      <alignment vertical="center"/>
    </xf>
    <xf numFmtId="0" fontId="88" fillId="0" borderId="0" applyNumberFormat="0" applyFill="0" applyBorder="0" applyAlignment="0" applyProtection="0">
      <alignment vertical="center"/>
    </xf>
    <xf numFmtId="0" fontId="105" fillId="0" borderId="0" applyNumberFormat="0" applyFill="0" applyBorder="0" applyAlignment="0" applyProtection="0">
      <alignment vertical="center"/>
    </xf>
    <xf numFmtId="0" fontId="106" fillId="0" borderId="0" applyNumberFormat="0" applyFill="0" applyBorder="0" applyAlignment="0" applyProtection="0">
      <alignment vertical="center"/>
    </xf>
    <xf numFmtId="0" fontId="89" fillId="3" borderId="0" applyNumberFormat="0" applyBorder="0" applyAlignment="0" applyProtection="0">
      <alignment vertical="center"/>
    </xf>
    <xf numFmtId="0" fontId="107" fillId="60" borderId="0" applyNumberFormat="0" applyBorder="0" applyAlignment="0" applyProtection="0">
      <alignment vertical="center"/>
    </xf>
    <xf numFmtId="0" fontId="82" fillId="0" borderId="0">
      <alignment vertical="center"/>
    </xf>
    <xf numFmtId="0" fontId="82" fillId="0" borderId="0">
      <alignment vertical="center"/>
    </xf>
    <xf numFmtId="0" fontId="101" fillId="0" borderId="0">
      <alignment vertical="center"/>
    </xf>
    <xf numFmtId="0" fontId="90" fillId="4" borderId="0" applyNumberFormat="0" applyBorder="0" applyAlignment="0" applyProtection="0">
      <alignment vertical="center"/>
    </xf>
    <xf numFmtId="0" fontId="108" fillId="61" borderId="0" applyNumberFormat="0" applyBorder="0" applyAlignment="0" applyProtection="0">
      <alignment vertical="center"/>
    </xf>
    <xf numFmtId="0" fontId="91" fillId="0" borderId="4" applyNumberFormat="0" applyFill="0" applyAlignment="0" applyProtection="0">
      <alignment vertical="center"/>
    </xf>
    <xf numFmtId="0" fontId="109" fillId="0" borderId="22" applyNumberFormat="0" applyFill="0" applyAlignment="0" applyProtection="0">
      <alignment vertical="center"/>
    </xf>
    <xf numFmtId="0" fontId="92" fillId="16" borderId="5" applyNumberFormat="0" applyAlignment="0" applyProtection="0">
      <alignment vertical="center"/>
    </xf>
    <xf numFmtId="0" fontId="110" fillId="62" borderId="23" applyNumberFormat="0" applyAlignment="0" applyProtection="0">
      <alignment vertical="center"/>
    </xf>
    <xf numFmtId="0" fontId="93" fillId="17" borderId="6" applyNumberFormat="0" applyAlignment="0" applyProtection="0">
      <alignment vertical="center"/>
    </xf>
    <xf numFmtId="0" fontId="111" fillId="63" borderId="24" applyNumberFormat="0" applyAlignment="0" applyProtection="0">
      <alignment vertical="center"/>
    </xf>
    <xf numFmtId="0" fontId="94" fillId="0" borderId="0" applyNumberFormat="0" applyFill="0" applyBorder="0" applyAlignment="0" applyProtection="0">
      <alignment vertical="center"/>
    </xf>
    <xf numFmtId="0" fontId="112"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113" fillId="0" borderId="0" applyNumberFormat="0" applyFill="0" applyBorder="0" applyAlignment="0" applyProtection="0">
      <alignment vertical="center"/>
    </xf>
    <xf numFmtId="0" fontId="96" fillId="0" borderId="7" applyNumberFormat="0" applyFill="0" applyAlignment="0" applyProtection="0">
      <alignment vertical="center"/>
    </xf>
    <xf numFmtId="0" fontId="114" fillId="0" borderId="25" applyNumberFormat="0" applyFill="0" applyAlignment="0" applyProtection="0">
      <alignment vertical="center"/>
    </xf>
    <xf numFmtId="0" fontId="84" fillId="18" borderId="0" applyNumberFormat="0" applyBorder="0" applyAlignment="0" applyProtection="0">
      <alignment vertical="center"/>
    </xf>
    <xf numFmtId="0" fontId="102" fillId="64" borderId="0" applyNumberFormat="0" applyBorder="0" applyAlignment="0" applyProtection="0">
      <alignment vertical="center"/>
    </xf>
    <xf numFmtId="0" fontId="84" fillId="19" borderId="0" applyNumberFormat="0" applyBorder="0" applyAlignment="0" applyProtection="0">
      <alignment vertical="center"/>
    </xf>
    <xf numFmtId="0" fontId="102" fillId="65" borderId="0" applyNumberFormat="0" applyBorder="0" applyAlignment="0" applyProtection="0">
      <alignment vertical="center"/>
    </xf>
    <xf numFmtId="0" fontId="84" fillId="20" borderId="0" applyNumberFormat="0" applyBorder="0" applyAlignment="0" applyProtection="0">
      <alignment vertical="center"/>
    </xf>
    <xf numFmtId="0" fontId="102" fillId="66" borderId="0" applyNumberFormat="0" applyBorder="0" applyAlignment="0" applyProtection="0">
      <alignment vertical="center"/>
    </xf>
    <xf numFmtId="0" fontId="84" fillId="13" borderId="0" applyNumberFormat="0" applyBorder="0" applyAlignment="0" applyProtection="0">
      <alignment vertical="center"/>
    </xf>
    <xf numFmtId="0" fontId="102" fillId="67" borderId="0" applyNumberFormat="0" applyBorder="0" applyAlignment="0" applyProtection="0">
      <alignment vertical="center"/>
    </xf>
    <xf numFmtId="0" fontId="84" fillId="14" borderId="0" applyNumberFormat="0" applyBorder="0" applyAlignment="0" applyProtection="0">
      <alignment vertical="center"/>
    </xf>
    <xf numFmtId="0" fontId="102" fillId="68" borderId="0" applyNumberFormat="0" applyBorder="0" applyAlignment="0" applyProtection="0">
      <alignment vertical="center"/>
    </xf>
    <xf numFmtId="0" fontId="84" fillId="21" borderId="0" applyNumberFormat="0" applyBorder="0" applyAlignment="0" applyProtection="0">
      <alignment vertical="center"/>
    </xf>
    <xf numFmtId="0" fontId="102" fillId="69" borderId="0" applyNumberFormat="0" applyBorder="0" applyAlignment="0" applyProtection="0">
      <alignment vertical="center"/>
    </xf>
    <xf numFmtId="0" fontId="97" fillId="22" borderId="0" applyNumberFormat="0" applyBorder="0" applyAlignment="0" applyProtection="0">
      <alignment vertical="center"/>
    </xf>
    <xf numFmtId="0" fontId="115" fillId="70" borderId="0" applyNumberFormat="0" applyBorder="0" applyAlignment="0" applyProtection="0">
      <alignment vertical="center"/>
    </xf>
    <xf numFmtId="0" fontId="98" fillId="16" borderId="8" applyNumberFormat="0" applyAlignment="0" applyProtection="0">
      <alignment vertical="center"/>
    </xf>
    <xf numFmtId="0" fontId="116" fillId="62" borderId="26" applyNumberFormat="0" applyAlignment="0" applyProtection="0">
      <alignment vertical="center"/>
    </xf>
    <xf numFmtId="0" fontId="99" fillId="7" borderId="5" applyNumberFormat="0" applyAlignment="0" applyProtection="0">
      <alignment vertical="center"/>
    </xf>
    <xf numFmtId="0" fontId="117" fillId="71" borderId="23" applyNumberFormat="0" applyAlignment="0" applyProtection="0">
      <alignment vertical="center"/>
    </xf>
    <xf numFmtId="0" fontId="83" fillId="23" borderId="9" applyNumberFormat="0" applyFont="0" applyAlignment="0" applyProtection="0">
      <alignment vertical="center"/>
    </xf>
    <xf numFmtId="0" fontId="83" fillId="72" borderId="27" applyNumberFormat="0" applyFont="0" applyAlignment="0" applyProtection="0">
      <alignment vertical="center"/>
    </xf>
    <xf numFmtId="0" fontId="82" fillId="0" borderId="0">
      <alignment vertical="center"/>
    </xf>
    <xf numFmtId="0" fontId="83" fillId="2" borderId="0" applyNumberFormat="0" applyBorder="0" applyAlignment="0" applyProtection="0">
      <alignment vertical="center"/>
    </xf>
    <xf numFmtId="0" fontId="101" fillId="42" borderId="0" applyNumberFormat="0" applyBorder="0" applyAlignment="0" applyProtection="0">
      <alignment vertical="center"/>
    </xf>
    <xf numFmtId="0" fontId="83" fillId="3" borderId="0" applyNumberFormat="0" applyBorder="0" applyAlignment="0" applyProtection="0">
      <alignment vertical="center"/>
    </xf>
    <xf numFmtId="0" fontId="101" fillId="43" borderId="0" applyNumberFormat="0" applyBorder="0" applyAlignment="0" applyProtection="0">
      <alignment vertical="center"/>
    </xf>
    <xf numFmtId="0" fontId="83" fillId="4" borderId="0" applyNumberFormat="0" applyBorder="0" applyAlignment="0" applyProtection="0">
      <alignment vertical="center"/>
    </xf>
    <xf numFmtId="0" fontId="101" fillId="44" borderId="0" applyNumberFormat="0" applyBorder="0" applyAlignment="0" applyProtection="0">
      <alignment vertical="center"/>
    </xf>
    <xf numFmtId="0" fontId="83" fillId="5" borderId="0" applyNumberFormat="0" applyBorder="0" applyAlignment="0" applyProtection="0">
      <alignment vertical="center"/>
    </xf>
    <xf numFmtId="0" fontId="101" fillId="45" borderId="0" applyNumberFormat="0" applyBorder="0" applyAlignment="0" applyProtection="0">
      <alignment vertical="center"/>
    </xf>
    <xf numFmtId="0" fontId="83" fillId="6" borderId="0" applyNumberFormat="0" applyBorder="0" applyAlignment="0" applyProtection="0">
      <alignment vertical="center"/>
    </xf>
    <xf numFmtId="0" fontId="101" fillId="46" borderId="0" applyNumberFormat="0" applyBorder="0" applyAlignment="0" applyProtection="0">
      <alignment vertical="center"/>
    </xf>
    <xf numFmtId="0" fontId="83" fillId="7" borderId="0" applyNumberFormat="0" applyBorder="0" applyAlignment="0" applyProtection="0">
      <alignment vertical="center"/>
    </xf>
    <xf numFmtId="0" fontId="101" fillId="47" borderId="0" applyNumberFormat="0" applyBorder="0" applyAlignment="0" applyProtection="0">
      <alignment vertical="center"/>
    </xf>
    <xf numFmtId="0" fontId="83" fillId="8" borderId="0" applyNumberFormat="0" applyBorder="0" applyAlignment="0" applyProtection="0">
      <alignment vertical="center"/>
    </xf>
    <xf numFmtId="0" fontId="101" fillId="48" borderId="0" applyNumberFormat="0" applyBorder="0" applyAlignment="0" applyProtection="0">
      <alignment vertical="center"/>
    </xf>
    <xf numFmtId="0" fontId="83" fillId="9" borderId="0" applyNumberFormat="0" applyBorder="0" applyAlignment="0" applyProtection="0">
      <alignment vertical="center"/>
    </xf>
    <xf numFmtId="0" fontId="101" fillId="49" borderId="0" applyNumberFormat="0" applyBorder="0" applyAlignment="0" applyProtection="0">
      <alignment vertical="center"/>
    </xf>
    <xf numFmtId="0" fontId="83" fillId="10" borderId="0" applyNumberFormat="0" applyBorder="0" applyAlignment="0" applyProtection="0">
      <alignment vertical="center"/>
    </xf>
    <xf numFmtId="0" fontId="101" fillId="50" borderId="0" applyNumberFormat="0" applyBorder="0" applyAlignment="0" applyProtection="0">
      <alignment vertical="center"/>
    </xf>
    <xf numFmtId="0" fontId="83" fillId="5" borderId="0" applyNumberFormat="0" applyBorder="0" applyAlignment="0" applyProtection="0">
      <alignment vertical="center"/>
    </xf>
    <xf numFmtId="0" fontId="101" fillId="51" borderId="0" applyNumberFormat="0" applyBorder="0" applyAlignment="0" applyProtection="0">
      <alignment vertical="center"/>
    </xf>
    <xf numFmtId="0" fontId="83" fillId="8" borderId="0" applyNumberFormat="0" applyBorder="0" applyAlignment="0" applyProtection="0">
      <alignment vertical="center"/>
    </xf>
    <xf numFmtId="0" fontId="101" fillId="52" borderId="0" applyNumberFormat="0" applyBorder="0" applyAlignment="0" applyProtection="0">
      <alignment vertical="center"/>
    </xf>
    <xf numFmtId="0" fontId="83" fillId="11" borderId="0" applyNumberFormat="0" applyBorder="0" applyAlignment="0" applyProtection="0">
      <alignment vertical="center"/>
    </xf>
    <xf numFmtId="0" fontId="101" fillId="53" borderId="0" applyNumberFormat="0" applyBorder="0" applyAlignment="0" applyProtection="0">
      <alignment vertical="center"/>
    </xf>
    <xf numFmtId="0" fontId="84" fillId="12" borderId="0" applyNumberFormat="0" applyBorder="0" applyAlignment="0" applyProtection="0">
      <alignment vertical="center"/>
    </xf>
    <xf numFmtId="0" fontId="102" fillId="54" borderId="0" applyNumberFormat="0" applyBorder="0" applyAlignment="0" applyProtection="0">
      <alignment vertical="center"/>
    </xf>
    <xf numFmtId="0" fontId="84" fillId="9" borderId="0" applyNumberFormat="0" applyBorder="0" applyAlignment="0" applyProtection="0">
      <alignment vertical="center"/>
    </xf>
    <xf numFmtId="0" fontId="102" fillId="55" borderId="0" applyNumberFormat="0" applyBorder="0" applyAlignment="0" applyProtection="0">
      <alignment vertical="center"/>
    </xf>
    <xf numFmtId="0" fontId="84" fillId="10" borderId="0" applyNumberFormat="0" applyBorder="0" applyAlignment="0" applyProtection="0">
      <alignment vertical="center"/>
    </xf>
    <xf numFmtId="0" fontId="102" fillId="56" borderId="0" applyNumberFormat="0" applyBorder="0" applyAlignment="0" applyProtection="0">
      <alignment vertical="center"/>
    </xf>
    <xf numFmtId="0" fontId="84" fillId="13" borderId="0" applyNumberFormat="0" applyBorder="0" applyAlignment="0" applyProtection="0">
      <alignment vertical="center"/>
    </xf>
    <xf numFmtId="0" fontId="102" fillId="57" borderId="0" applyNumberFormat="0" applyBorder="0" applyAlignment="0" applyProtection="0">
      <alignment vertical="center"/>
    </xf>
    <xf numFmtId="0" fontId="84" fillId="14" borderId="0" applyNumberFormat="0" applyBorder="0" applyAlignment="0" applyProtection="0">
      <alignment vertical="center"/>
    </xf>
    <xf numFmtId="0" fontId="102" fillId="58" borderId="0" applyNumberFormat="0" applyBorder="0" applyAlignment="0" applyProtection="0">
      <alignment vertical="center"/>
    </xf>
    <xf numFmtId="0" fontId="84" fillId="15" borderId="0" applyNumberFormat="0" applyBorder="0" applyAlignment="0" applyProtection="0">
      <alignment vertical="center"/>
    </xf>
    <xf numFmtId="0" fontId="102" fillId="59" borderId="0" applyNumberFormat="0" applyBorder="0" applyAlignment="0" applyProtection="0">
      <alignment vertical="center"/>
    </xf>
    <xf numFmtId="0" fontId="85" fillId="0" borderId="0" applyNumberFormat="0" applyFill="0" applyBorder="0" applyAlignment="0" applyProtection="0">
      <alignment vertical="center"/>
    </xf>
    <xf numFmtId="0" fontId="86" fillId="0" borderId="1" applyNumberFormat="0" applyFill="0" applyAlignment="0" applyProtection="0">
      <alignment vertical="center"/>
    </xf>
    <xf numFmtId="0" fontId="103" fillId="0" borderId="19" applyNumberFormat="0" applyFill="0" applyAlignment="0" applyProtection="0">
      <alignment vertical="center"/>
    </xf>
    <xf numFmtId="0" fontId="87" fillId="0" borderId="2" applyNumberFormat="0" applyFill="0" applyAlignment="0" applyProtection="0">
      <alignment vertical="center"/>
    </xf>
    <xf numFmtId="0" fontId="104" fillId="0" borderId="20" applyNumberFormat="0" applyFill="0" applyAlignment="0" applyProtection="0">
      <alignment vertical="center"/>
    </xf>
    <xf numFmtId="0" fontId="88" fillId="0" borderId="3" applyNumberFormat="0" applyFill="0" applyAlignment="0" applyProtection="0">
      <alignment vertical="center"/>
    </xf>
    <xf numFmtId="0" fontId="105" fillId="0" borderId="21" applyNumberFormat="0" applyFill="0" applyAlignment="0" applyProtection="0">
      <alignment vertical="center"/>
    </xf>
    <xf numFmtId="0" fontId="88" fillId="0" borderId="0" applyNumberFormat="0" applyFill="0" applyBorder="0" applyAlignment="0" applyProtection="0">
      <alignment vertical="center"/>
    </xf>
    <xf numFmtId="0" fontId="105" fillId="0" borderId="0" applyNumberFormat="0" applyFill="0" applyBorder="0" applyAlignment="0" applyProtection="0">
      <alignment vertical="center"/>
    </xf>
    <xf numFmtId="0" fontId="106" fillId="0" borderId="0" applyNumberFormat="0" applyFill="0" applyBorder="0" applyAlignment="0" applyProtection="0">
      <alignment vertical="center"/>
    </xf>
    <xf numFmtId="0" fontId="89" fillId="3" borderId="0" applyNumberFormat="0" applyBorder="0" applyAlignment="0" applyProtection="0">
      <alignment vertical="center"/>
    </xf>
    <xf numFmtId="0" fontId="107" fillId="60" borderId="0" applyNumberFormat="0" applyBorder="0" applyAlignment="0" applyProtection="0">
      <alignment vertical="center"/>
    </xf>
    <xf numFmtId="0" fontId="82" fillId="0" borderId="0">
      <alignment vertical="center"/>
    </xf>
    <xf numFmtId="0" fontId="82" fillId="0" borderId="0">
      <alignment vertical="center"/>
    </xf>
    <xf numFmtId="0" fontId="101" fillId="0" borderId="0">
      <alignment vertical="center"/>
    </xf>
    <xf numFmtId="0" fontId="90" fillId="4" borderId="0" applyNumberFormat="0" applyBorder="0" applyAlignment="0" applyProtection="0">
      <alignment vertical="center"/>
    </xf>
    <xf numFmtId="0" fontId="108" fillId="61" borderId="0" applyNumberFormat="0" applyBorder="0" applyAlignment="0" applyProtection="0">
      <alignment vertical="center"/>
    </xf>
    <xf numFmtId="0" fontId="91" fillId="0" borderId="4" applyNumberFormat="0" applyFill="0" applyAlignment="0" applyProtection="0">
      <alignment vertical="center"/>
    </xf>
    <xf numFmtId="0" fontId="109" fillId="0" borderId="22" applyNumberFormat="0" applyFill="0" applyAlignment="0" applyProtection="0">
      <alignment vertical="center"/>
    </xf>
    <xf numFmtId="0" fontId="92" fillId="16" borderId="5" applyNumberFormat="0" applyAlignment="0" applyProtection="0">
      <alignment vertical="center"/>
    </xf>
    <xf numFmtId="0" fontId="110" fillId="62" borderId="23" applyNumberFormat="0" applyAlignment="0" applyProtection="0">
      <alignment vertical="center"/>
    </xf>
    <xf numFmtId="0" fontId="93" fillId="17" borderId="6" applyNumberFormat="0" applyAlignment="0" applyProtection="0">
      <alignment vertical="center"/>
    </xf>
    <xf numFmtId="0" fontId="111" fillId="63" borderId="24" applyNumberFormat="0" applyAlignment="0" applyProtection="0">
      <alignment vertical="center"/>
    </xf>
    <xf numFmtId="0" fontId="94" fillId="0" borderId="0" applyNumberFormat="0" applyFill="0" applyBorder="0" applyAlignment="0" applyProtection="0">
      <alignment vertical="center"/>
    </xf>
    <xf numFmtId="0" fontId="112"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113" fillId="0" borderId="0" applyNumberFormat="0" applyFill="0" applyBorder="0" applyAlignment="0" applyProtection="0">
      <alignment vertical="center"/>
    </xf>
    <xf numFmtId="0" fontId="96" fillId="0" borderId="7" applyNumberFormat="0" applyFill="0" applyAlignment="0" applyProtection="0">
      <alignment vertical="center"/>
    </xf>
    <xf numFmtId="0" fontId="114" fillId="0" borderId="25" applyNumberFormat="0" applyFill="0" applyAlignment="0" applyProtection="0">
      <alignment vertical="center"/>
    </xf>
    <xf numFmtId="0" fontId="84" fillId="18" borderId="0" applyNumberFormat="0" applyBorder="0" applyAlignment="0" applyProtection="0">
      <alignment vertical="center"/>
    </xf>
    <xf numFmtId="0" fontId="102" fillId="64" borderId="0" applyNumberFormat="0" applyBorder="0" applyAlignment="0" applyProtection="0">
      <alignment vertical="center"/>
    </xf>
    <xf numFmtId="0" fontId="84" fillId="19" borderId="0" applyNumberFormat="0" applyBorder="0" applyAlignment="0" applyProtection="0">
      <alignment vertical="center"/>
    </xf>
    <xf numFmtId="0" fontId="102" fillId="65" borderId="0" applyNumberFormat="0" applyBorder="0" applyAlignment="0" applyProtection="0">
      <alignment vertical="center"/>
    </xf>
    <xf numFmtId="0" fontId="84" fillId="20" borderId="0" applyNumberFormat="0" applyBorder="0" applyAlignment="0" applyProtection="0">
      <alignment vertical="center"/>
    </xf>
    <xf numFmtId="0" fontId="102" fillId="66" borderId="0" applyNumberFormat="0" applyBorder="0" applyAlignment="0" applyProtection="0">
      <alignment vertical="center"/>
    </xf>
    <xf numFmtId="0" fontId="84" fillId="13" borderId="0" applyNumberFormat="0" applyBorder="0" applyAlignment="0" applyProtection="0">
      <alignment vertical="center"/>
    </xf>
    <xf numFmtId="0" fontId="102" fillId="67" borderId="0" applyNumberFormat="0" applyBorder="0" applyAlignment="0" applyProtection="0">
      <alignment vertical="center"/>
    </xf>
    <xf numFmtId="0" fontId="84" fillId="14" borderId="0" applyNumberFormat="0" applyBorder="0" applyAlignment="0" applyProtection="0">
      <alignment vertical="center"/>
    </xf>
    <xf numFmtId="0" fontId="102" fillId="68" borderId="0" applyNumberFormat="0" applyBorder="0" applyAlignment="0" applyProtection="0">
      <alignment vertical="center"/>
    </xf>
    <xf numFmtId="0" fontId="84" fillId="21" borderId="0" applyNumberFormat="0" applyBorder="0" applyAlignment="0" applyProtection="0">
      <alignment vertical="center"/>
    </xf>
    <xf numFmtId="0" fontId="102" fillId="69" borderId="0" applyNumberFormat="0" applyBorder="0" applyAlignment="0" applyProtection="0">
      <alignment vertical="center"/>
    </xf>
    <xf numFmtId="0" fontId="97" fillId="22" borderId="0" applyNumberFormat="0" applyBorder="0" applyAlignment="0" applyProtection="0">
      <alignment vertical="center"/>
    </xf>
    <xf numFmtId="0" fontId="115" fillId="70" borderId="0" applyNumberFormat="0" applyBorder="0" applyAlignment="0" applyProtection="0">
      <alignment vertical="center"/>
    </xf>
    <xf numFmtId="0" fontId="98" fillId="16" borderId="8" applyNumberFormat="0" applyAlignment="0" applyProtection="0">
      <alignment vertical="center"/>
    </xf>
    <xf numFmtId="0" fontId="116" fillId="62" borderId="26" applyNumberFormat="0" applyAlignment="0" applyProtection="0">
      <alignment vertical="center"/>
    </xf>
    <xf numFmtId="0" fontId="99" fillId="7" borderId="5" applyNumberFormat="0" applyAlignment="0" applyProtection="0">
      <alignment vertical="center"/>
    </xf>
    <xf numFmtId="0" fontId="117" fillId="71" borderId="23" applyNumberFormat="0" applyAlignment="0" applyProtection="0">
      <alignment vertical="center"/>
    </xf>
    <xf numFmtId="0" fontId="83" fillId="23" borderId="9" applyNumberFormat="0" applyFont="0" applyAlignment="0" applyProtection="0">
      <alignment vertical="center"/>
    </xf>
    <xf numFmtId="0" fontId="83" fillId="72" borderId="27" applyNumberFormat="0" applyFont="0" applyAlignment="0" applyProtection="0">
      <alignment vertical="center"/>
    </xf>
    <xf numFmtId="0" fontId="82" fillId="0" borderId="0">
      <alignment vertical="center"/>
    </xf>
    <xf numFmtId="0" fontId="83" fillId="2" borderId="0" applyNumberFormat="0" applyBorder="0" applyAlignment="0" applyProtection="0">
      <alignment vertical="center"/>
    </xf>
    <xf numFmtId="0" fontId="101" fillId="42" borderId="0" applyNumberFormat="0" applyBorder="0" applyAlignment="0" applyProtection="0">
      <alignment vertical="center"/>
    </xf>
    <xf numFmtId="0" fontId="83" fillId="3" borderId="0" applyNumberFormat="0" applyBorder="0" applyAlignment="0" applyProtection="0">
      <alignment vertical="center"/>
    </xf>
    <xf numFmtId="0" fontId="101" fillId="43" borderId="0" applyNumberFormat="0" applyBorder="0" applyAlignment="0" applyProtection="0">
      <alignment vertical="center"/>
    </xf>
    <xf numFmtId="0" fontId="83" fillId="4" borderId="0" applyNumberFormat="0" applyBorder="0" applyAlignment="0" applyProtection="0">
      <alignment vertical="center"/>
    </xf>
    <xf numFmtId="0" fontId="101" fillId="44" borderId="0" applyNumberFormat="0" applyBorder="0" applyAlignment="0" applyProtection="0">
      <alignment vertical="center"/>
    </xf>
    <xf numFmtId="0" fontId="83" fillId="5" borderId="0" applyNumberFormat="0" applyBorder="0" applyAlignment="0" applyProtection="0">
      <alignment vertical="center"/>
    </xf>
    <xf numFmtId="0" fontId="101" fillId="45" borderId="0" applyNumberFormat="0" applyBorder="0" applyAlignment="0" applyProtection="0">
      <alignment vertical="center"/>
    </xf>
    <xf numFmtId="0" fontId="83" fillId="6" borderId="0" applyNumberFormat="0" applyBorder="0" applyAlignment="0" applyProtection="0">
      <alignment vertical="center"/>
    </xf>
    <xf numFmtId="0" fontId="101" fillId="46" borderId="0" applyNumberFormat="0" applyBorder="0" applyAlignment="0" applyProtection="0">
      <alignment vertical="center"/>
    </xf>
    <xf numFmtId="0" fontId="83" fillId="7" borderId="0" applyNumberFormat="0" applyBorder="0" applyAlignment="0" applyProtection="0">
      <alignment vertical="center"/>
    </xf>
    <xf numFmtId="0" fontId="101" fillId="47" borderId="0" applyNumberFormat="0" applyBorder="0" applyAlignment="0" applyProtection="0">
      <alignment vertical="center"/>
    </xf>
    <xf numFmtId="0" fontId="83" fillId="8" borderId="0" applyNumberFormat="0" applyBorder="0" applyAlignment="0" applyProtection="0">
      <alignment vertical="center"/>
    </xf>
    <xf numFmtId="0" fontId="101" fillId="48" borderId="0" applyNumberFormat="0" applyBorder="0" applyAlignment="0" applyProtection="0">
      <alignment vertical="center"/>
    </xf>
    <xf numFmtId="0" fontId="83" fillId="9" borderId="0" applyNumberFormat="0" applyBorder="0" applyAlignment="0" applyProtection="0">
      <alignment vertical="center"/>
    </xf>
    <xf numFmtId="0" fontId="101" fillId="49" borderId="0" applyNumberFormat="0" applyBorder="0" applyAlignment="0" applyProtection="0">
      <alignment vertical="center"/>
    </xf>
    <xf numFmtId="0" fontId="83" fillId="10" borderId="0" applyNumberFormat="0" applyBorder="0" applyAlignment="0" applyProtection="0">
      <alignment vertical="center"/>
    </xf>
    <xf numFmtId="0" fontId="101" fillId="50" borderId="0" applyNumberFormat="0" applyBorder="0" applyAlignment="0" applyProtection="0">
      <alignment vertical="center"/>
    </xf>
    <xf numFmtId="0" fontId="83" fillId="5" borderId="0" applyNumberFormat="0" applyBorder="0" applyAlignment="0" applyProtection="0">
      <alignment vertical="center"/>
    </xf>
    <xf numFmtId="0" fontId="101" fillId="51" borderId="0" applyNumberFormat="0" applyBorder="0" applyAlignment="0" applyProtection="0">
      <alignment vertical="center"/>
    </xf>
    <xf numFmtId="0" fontId="83" fillId="8" borderId="0" applyNumberFormat="0" applyBorder="0" applyAlignment="0" applyProtection="0">
      <alignment vertical="center"/>
    </xf>
    <xf numFmtId="0" fontId="101" fillId="52" borderId="0" applyNumberFormat="0" applyBorder="0" applyAlignment="0" applyProtection="0">
      <alignment vertical="center"/>
    </xf>
    <xf numFmtId="0" fontId="83" fillId="11" borderId="0" applyNumberFormat="0" applyBorder="0" applyAlignment="0" applyProtection="0">
      <alignment vertical="center"/>
    </xf>
    <xf numFmtId="0" fontId="101" fillId="53" borderId="0" applyNumberFormat="0" applyBorder="0" applyAlignment="0" applyProtection="0">
      <alignment vertical="center"/>
    </xf>
    <xf numFmtId="0" fontId="84" fillId="12" borderId="0" applyNumberFormat="0" applyBorder="0" applyAlignment="0" applyProtection="0">
      <alignment vertical="center"/>
    </xf>
    <xf numFmtId="0" fontId="102" fillId="54" borderId="0" applyNumberFormat="0" applyBorder="0" applyAlignment="0" applyProtection="0">
      <alignment vertical="center"/>
    </xf>
    <xf numFmtId="0" fontId="84" fillId="9" borderId="0" applyNumberFormat="0" applyBorder="0" applyAlignment="0" applyProtection="0">
      <alignment vertical="center"/>
    </xf>
    <xf numFmtId="0" fontId="102" fillId="55" borderId="0" applyNumberFormat="0" applyBorder="0" applyAlignment="0" applyProtection="0">
      <alignment vertical="center"/>
    </xf>
    <xf numFmtId="0" fontId="84" fillId="10" borderId="0" applyNumberFormat="0" applyBorder="0" applyAlignment="0" applyProtection="0">
      <alignment vertical="center"/>
    </xf>
    <xf numFmtId="0" fontId="102" fillId="56" borderId="0" applyNumberFormat="0" applyBorder="0" applyAlignment="0" applyProtection="0">
      <alignment vertical="center"/>
    </xf>
    <xf numFmtId="0" fontId="84" fillId="13" borderId="0" applyNumberFormat="0" applyBorder="0" applyAlignment="0" applyProtection="0">
      <alignment vertical="center"/>
    </xf>
    <xf numFmtId="0" fontId="102" fillId="57" borderId="0" applyNumberFormat="0" applyBorder="0" applyAlignment="0" applyProtection="0">
      <alignment vertical="center"/>
    </xf>
    <xf numFmtId="0" fontId="84" fillId="14" borderId="0" applyNumberFormat="0" applyBorder="0" applyAlignment="0" applyProtection="0">
      <alignment vertical="center"/>
    </xf>
    <xf numFmtId="0" fontId="102" fillId="58" borderId="0" applyNumberFormat="0" applyBorder="0" applyAlignment="0" applyProtection="0">
      <alignment vertical="center"/>
    </xf>
    <xf numFmtId="0" fontId="84" fillId="15" borderId="0" applyNumberFormat="0" applyBorder="0" applyAlignment="0" applyProtection="0">
      <alignment vertical="center"/>
    </xf>
    <xf numFmtId="0" fontId="102" fillId="59" borderId="0" applyNumberFormat="0" applyBorder="0" applyAlignment="0" applyProtection="0">
      <alignment vertical="center"/>
    </xf>
    <xf numFmtId="0" fontId="85" fillId="0" borderId="0" applyNumberFormat="0" applyFill="0" applyBorder="0" applyAlignment="0" applyProtection="0">
      <alignment vertical="center"/>
    </xf>
    <xf numFmtId="0" fontId="86" fillId="0" borderId="1" applyNumberFormat="0" applyFill="0" applyAlignment="0" applyProtection="0">
      <alignment vertical="center"/>
    </xf>
    <xf numFmtId="0" fontId="103" fillId="0" borderId="19" applyNumberFormat="0" applyFill="0" applyAlignment="0" applyProtection="0">
      <alignment vertical="center"/>
    </xf>
    <xf numFmtId="0" fontId="87" fillId="0" borderId="2" applyNumberFormat="0" applyFill="0" applyAlignment="0" applyProtection="0">
      <alignment vertical="center"/>
    </xf>
    <xf numFmtId="0" fontId="104" fillId="0" borderId="20" applyNumberFormat="0" applyFill="0" applyAlignment="0" applyProtection="0">
      <alignment vertical="center"/>
    </xf>
    <xf numFmtId="0" fontId="88" fillId="0" borderId="3" applyNumberFormat="0" applyFill="0" applyAlignment="0" applyProtection="0">
      <alignment vertical="center"/>
    </xf>
    <xf numFmtId="0" fontId="105" fillId="0" borderId="21" applyNumberFormat="0" applyFill="0" applyAlignment="0" applyProtection="0">
      <alignment vertical="center"/>
    </xf>
    <xf numFmtId="0" fontId="88" fillId="0" borderId="0" applyNumberFormat="0" applyFill="0" applyBorder="0" applyAlignment="0" applyProtection="0">
      <alignment vertical="center"/>
    </xf>
    <xf numFmtId="0" fontId="105" fillId="0" borderId="0" applyNumberFormat="0" applyFill="0" applyBorder="0" applyAlignment="0" applyProtection="0">
      <alignment vertical="center"/>
    </xf>
    <xf numFmtId="0" fontId="106" fillId="0" borderId="0" applyNumberFormat="0" applyFill="0" applyBorder="0" applyAlignment="0" applyProtection="0">
      <alignment vertical="center"/>
    </xf>
    <xf numFmtId="0" fontId="89" fillId="3" borderId="0" applyNumberFormat="0" applyBorder="0" applyAlignment="0" applyProtection="0">
      <alignment vertical="center"/>
    </xf>
    <xf numFmtId="0" fontId="107" fillId="60" borderId="0" applyNumberFormat="0" applyBorder="0" applyAlignment="0" applyProtection="0">
      <alignment vertical="center"/>
    </xf>
    <xf numFmtId="0" fontId="82" fillId="0" borderId="0">
      <alignment vertical="center"/>
    </xf>
    <xf numFmtId="0" fontId="82" fillId="0" borderId="0">
      <alignment vertical="center"/>
    </xf>
    <xf numFmtId="0" fontId="101" fillId="0" borderId="0">
      <alignment vertical="center"/>
    </xf>
    <xf numFmtId="0" fontId="90" fillId="4" borderId="0" applyNumberFormat="0" applyBorder="0" applyAlignment="0" applyProtection="0">
      <alignment vertical="center"/>
    </xf>
    <xf numFmtId="0" fontId="108" fillId="61" borderId="0" applyNumberFormat="0" applyBorder="0" applyAlignment="0" applyProtection="0">
      <alignment vertical="center"/>
    </xf>
    <xf numFmtId="0" fontId="91" fillId="0" borderId="4" applyNumberFormat="0" applyFill="0" applyAlignment="0" applyProtection="0">
      <alignment vertical="center"/>
    </xf>
    <xf numFmtId="0" fontId="109" fillId="0" borderId="22" applyNumberFormat="0" applyFill="0" applyAlignment="0" applyProtection="0">
      <alignment vertical="center"/>
    </xf>
    <xf numFmtId="0" fontId="92" fillId="16" borderId="5" applyNumberFormat="0" applyAlignment="0" applyProtection="0">
      <alignment vertical="center"/>
    </xf>
    <xf numFmtId="0" fontId="110" fillId="62" borderId="23" applyNumberFormat="0" applyAlignment="0" applyProtection="0">
      <alignment vertical="center"/>
    </xf>
    <xf numFmtId="0" fontId="93" fillId="17" borderId="6" applyNumberFormat="0" applyAlignment="0" applyProtection="0">
      <alignment vertical="center"/>
    </xf>
    <xf numFmtId="0" fontId="111" fillId="63" borderId="24" applyNumberFormat="0" applyAlignment="0" applyProtection="0">
      <alignment vertical="center"/>
    </xf>
    <xf numFmtId="0" fontId="94" fillId="0" borderId="0" applyNumberFormat="0" applyFill="0" applyBorder="0" applyAlignment="0" applyProtection="0">
      <alignment vertical="center"/>
    </xf>
    <xf numFmtId="0" fontId="112"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113" fillId="0" borderId="0" applyNumberFormat="0" applyFill="0" applyBorder="0" applyAlignment="0" applyProtection="0">
      <alignment vertical="center"/>
    </xf>
    <xf numFmtId="0" fontId="96" fillId="0" borderId="7" applyNumberFormat="0" applyFill="0" applyAlignment="0" applyProtection="0">
      <alignment vertical="center"/>
    </xf>
    <xf numFmtId="0" fontId="114" fillId="0" borderId="25" applyNumberFormat="0" applyFill="0" applyAlignment="0" applyProtection="0">
      <alignment vertical="center"/>
    </xf>
    <xf numFmtId="0" fontId="84" fillId="18" borderId="0" applyNumberFormat="0" applyBorder="0" applyAlignment="0" applyProtection="0">
      <alignment vertical="center"/>
    </xf>
    <xf numFmtId="0" fontId="102" fillId="64" borderId="0" applyNumberFormat="0" applyBorder="0" applyAlignment="0" applyProtection="0">
      <alignment vertical="center"/>
    </xf>
    <xf numFmtId="0" fontId="84" fillId="19" borderId="0" applyNumberFormat="0" applyBorder="0" applyAlignment="0" applyProtection="0">
      <alignment vertical="center"/>
    </xf>
    <xf numFmtId="0" fontId="102" fillId="65" borderId="0" applyNumberFormat="0" applyBorder="0" applyAlignment="0" applyProtection="0">
      <alignment vertical="center"/>
    </xf>
    <xf numFmtId="0" fontId="84" fillId="20" borderId="0" applyNumberFormat="0" applyBorder="0" applyAlignment="0" applyProtection="0">
      <alignment vertical="center"/>
    </xf>
    <xf numFmtId="0" fontId="102" fillId="66" borderId="0" applyNumberFormat="0" applyBorder="0" applyAlignment="0" applyProtection="0">
      <alignment vertical="center"/>
    </xf>
    <xf numFmtId="0" fontId="84" fillId="13" borderId="0" applyNumberFormat="0" applyBorder="0" applyAlignment="0" applyProtection="0">
      <alignment vertical="center"/>
    </xf>
    <xf numFmtId="0" fontId="102" fillId="67" borderId="0" applyNumberFormat="0" applyBorder="0" applyAlignment="0" applyProtection="0">
      <alignment vertical="center"/>
    </xf>
    <xf numFmtId="0" fontId="84" fillId="14" borderId="0" applyNumberFormat="0" applyBorder="0" applyAlignment="0" applyProtection="0">
      <alignment vertical="center"/>
    </xf>
    <xf numFmtId="0" fontId="102" fillId="68" borderId="0" applyNumberFormat="0" applyBorder="0" applyAlignment="0" applyProtection="0">
      <alignment vertical="center"/>
    </xf>
    <xf numFmtId="0" fontId="84" fillId="21" borderId="0" applyNumberFormat="0" applyBorder="0" applyAlignment="0" applyProtection="0">
      <alignment vertical="center"/>
    </xf>
    <xf numFmtId="0" fontId="102" fillId="69" borderId="0" applyNumberFormat="0" applyBorder="0" applyAlignment="0" applyProtection="0">
      <alignment vertical="center"/>
    </xf>
    <xf numFmtId="0" fontId="97" fillId="22" borderId="0" applyNumberFormat="0" applyBorder="0" applyAlignment="0" applyProtection="0">
      <alignment vertical="center"/>
    </xf>
    <xf numFmtId="0" fontId="115" fillId="70" borderId="0" applyNumberFormat="0" applyBorder="0" applyAlignment="0" applyProtection="0">
      <alignment vertical="center"/>
    </xf>
    <xf numFmtId="0" fontId="98" fillId="16" borderId="8" applyNumberFormat="0" applyAlignment="0" applyProtection="0">
      <alignment vertical="center"/>
    </xf>
    <xf numFmtId="0" fontId="116" fillId="62" borderId="26" applyNumberFormat="0" applyAlignment="0" applyProtection="0">
      <alignment vertical="center"/>
    </xf>
    <xf numFmtId="0" fontId="99" fillId="7" borderId="5" applyNumberFormat="0" applyAlignment="0" applyProtection="0">
      <alignment vertical="center"/>
    </xf>
    <xf numFmtId="0" fontId="117" fillId="71" borderId="23" applyNumberFormat="0" applyAlignment="0" applyProtection="0">
      <alignment vertical="center"/>
    </xf>
    <xf numFmtId="0" fontId="83" fillId="23" borderId="9" applyNumberFormat="0" applyFont="0" applyAlignment="0" applyProtection="0">
      <alignment vertical="center"/>
    </xf>
    <xf numFmtId="0" fontId="83" fillId="72" borderId="27" applyNumberFormat="0" applyFont="0" applyAlignment="0" applyProtection="0">
      <alignment vertical="center"/>
    </xf>
    <xf numFmtId="0" fontId="82" fillId="0" borderId="0">
      <alignment vertical="center"/>
    </xf>
    <xf numFmtId="0" fontId="83" fillId="2" borderId="0" applyNumberFormat="0" applyBorder="0" applyAlignment="0" applyProtection="0">
      <alignment vertical="center"/>
    </xf>
    <xf numFmtId="0" fontId="101" fillId="42" borderId="0" applyNumberFormat="0" applyBorder="0" applyAlignment="0" applyProtection="0">
      <alignment vertical="center"/>
    </xf>
    <xf numFmtId="0" fontId="83" fillId="3" borderId="0" applyNumberFormat="0" applyBorder="0" applyAlignment="0" applyProtection="0">
      <alignment vertical="center"/>
    </xf>
    <xf numFmtId="0" fontId="101" fillId="43" borderId="0" applyNumberFormat="0" applyBorder="0" applyAlignment="0" applyProtection="0">
      <alignment vertical="center"/>
    </xf>
    <xf numFmtId="0" fontId="83" fillId="4" borderId="0" applyNumberFormat="0" applyBorder="0" applyAlignment="0" applyProtection="0">
      <alignment vertical="center"/>
    </xf>
    <xf numFmtId="0" fontId="101" fillId="44" borderId="0" applyNumberFormat="0" applyBorder="0" applyAlignment="0" applyProtection="0">
      <alignment vertical="center"/>
    </xf>
    <xf numFmtId="0" fontId="83" fillId="5" borderId="0" applyNumberFormat="0" applyBorder="0" applyAlignment="0" applyProtection="0">
      <alignment vertical="center"/>
    </xf>
    <xf numFmtId="0" fontId="101" fillId="45" borderId="0" applyNumberFormat="0" applyBorder="0" applyAlignment="0" applyProtection="0">
      <alignment vertical="center"/>
    </xf>
    <xf numFmtId="0" fontId="83" fillId="6" borderId="0" applyNumberFormat="0" applyBorder="0" applyAlignment="0" applyProtection="0">
      <alignment vertical="center"/>
    </xf>
    <xf numFmtId="0" fontId="101" fillId="46" borderId="0" applyNumberFormat="0" applyBorder="0" applyAlignment="0" applyProtection="0">
      <alignment vertical="center"/>
    </xf>
    <xf numFmtId="0" fontId="83" fillId="7" borderId="0" applyNumberFormat="0" applyBorder="0" applyAlignment="0" applyProtection="0">
      <alignment vertical="center"/>
    </xf>
    <xf numFmtId="0" fontId="101" fillId="47" borderId="0" applyNumberFormat="0" applyBorder="0" applyAlignment="0" applyProtection="0">
      <alignment vertical="center"/>
    </xf>
    <xf numFmtId="0" fontId="83" fillId="8" borderId="0" applyNumberFormat="0" applyBorder="0" applyAlignment="0" applyProtection="0">
      <alignment vertical="center"/>
    </xf>
    <xf numFmtId="0" fontId="101" fillId="48" borderId="0" applyNumberFormat="0" applyBorder="0" applyAlignment="0" applyProtection="0">
      <alignment vertical="center"/>
    </xf>
    <xf numFmtId="0" fontId="83" fillId="9" borderId="0" applyNumberFormat="0" applyBorder="0" applyAlignment="0" applyProtection="0">
      <alignment vertical="center"/>
    </xf>
    <xf numFmtId="0" fontId="101" fillId="49" borderId="0" applyNumberFormat="0" applyBorder="0" applyAlignment="0" applyProtection="0">
      <alignment vertical="center"/>
    </xf>
    <xf numFmtId="0" fontId="83" fillId="10" borderId="0" applyNumberFormat="0" applyBorder="0" applyAlignment="0" applyProtection="0">
      <alignment vertical="center"/>
    </xf>
    <xf numFmtId="0" fontId="101" fillId="50" borderId="0" applyNumberFormat="0" applyBorder="0" applyAlignment="0" applyProtection="0">
      <alignment vertical="center"/>
    </xf>
    <xf numFmtId="0" fontId="83" fillId="5" borderId="0" applyNumberFormat="0" applyBorder="0" applyAlignment="0" applyProtection="0">
      <alignment vertical="center"/>
    </xf>
    <xf numFmtId="0" fontId="101" fillId="51" borderId="0" applyNumberFormat="0" applyBorder="0" applyAlignment="0" applyProtection="0">
      <alignment vertical="center"/>
    </xf>
    <xf numFmtId="0" fontId="83" fillId="8" borderId="0" applyNumberFormat="0" applyBorder="0" applyAlignment="0" applyProtection="0">
      <alignment vertical="center"/>
    </xf>
    <xf numFmtId="0" fontId="101" fillId="52" borderId="0" applyNumberFormat="0" applyBorder="0" applyAlignment="0" applyProtection="0">
      <alignment vertical="center"/>
    </xf>
    <xf numFmtId="0" fontId="83" fillId="11" borderId="0" applyNumberFormat="0" applyBorder="0" applyAlignment="0" applyProtection="0">
      <alignment vertical="center"/>
    </xf>
    <xf numFmtId="0" fontId="101" fillId="53" borderId="0" applyNumberFormat="0" applyBorder="0" applyAlignment="0" applyProtection="0">
      <alignment vertical="center"/>
    </xf>
    <xf numFmtId="0" fontId="84" fillId="12" borderId="0" applyNumberFormat="0" applyBorder="0" applyAlignment="0" applyProtection="0">
      <alignment vertical="center"/>
    </xf>
    <xf numFmtId="0" fontId="102" fillId="54" borderId="0" applyNumberFormat="0" applyBorder="0" applyAlignment="0" applyProtection="0">
      <alignment vertical="center"/>
    </xf>
    <xf numFmtId="0" fontId="84" fillId="9" borderId="0" applyNumberFormat="0" applyBorder="0" applyAlignment="0" applyProtection="0">
      <alignment vertical="center"/>
    </xf>
    <xf numFmtId="0" fontId="102" fillId="55" borderId="0" applyNumberFormat="0" applyBorder="0" applyAlignment="0" applyProtection="0">
      <alignment vertical="center"/>
    </xf>
    <xf numFmtId="0" fontId="84" fillId="10" borderId="0" applyNumberFormat="0" applyBorder="0" applyAlignment="0" applyProtection="0">
      <alignment vertical="center"/>
    </xf>
    <xf numFmtId="0" fontId="102" fillId="56" borderId="0" applyNumberFormat="0" applyBorder="0" applyAlignment="0" applyProtection="0">
      <alignment vertical="center"/>
    </xf>
    <xf numFmtId="0" fontId="84" fillId="13" borderId="0" applyNumberFormat="0" applyBorder="0" applyAlignment="0" applyProtection="0">
      <alignment vertical="center"/>
    </xf>
    <xf numFmtId="0" fontId="102" fillId="57" borderId="0" applyNumberFormat="0" applyBorder="0" applyAlignment="0" applyProtection="0">
      <alignment vertical="center"/>
    </xf>
    <xf numFmtId="0" fontId="84" fillId="14" borderId="0" applyNumberFormat="0" applyBorder="0" applyAlignment="0" applyProtection="0">
      <alignment vertical="center"/>
    </xf>
    <xf numFmtId="0" fontId="102" fillId="58" borderId="0" applyNumberFormat="0" applyBorder="0" applyAlignment="0" applyProtection="0">
      <alignment vertical="center"/>
    </xf>
    <xf numFmtId="0" fontId="84" fillId="15" borderId="0" applyNumberFormat="0" applyBorder="0" applyAlignment="0" applyProtection="0">
      <alignment vertical="center"/>
    </xf>
    <xf numFmtId="0" fontId="102" fillId="59" borderId="0" applyNumberFormat="0" applyBorder="0" applyAlignment="0" applyProtection="0">
      <alignment vertical="center"/>
    </xf>
    <xf numFmtId="0" fontId="85" fillId="0" borderId="0" applyNumberFormat="0" applyFill="0" applyBorder="0" applyAlignment="0" applyProtection="0">
      <alignment vertical="center"/>
    </xf>
    <xf numFmtId="0" fontId="86" fillId="0" borderId="1" applyNumberFormat="0" applyFill="0" applyAlignment="0" applyProtection="0">
      <alignment vertical="center"/>
    </xf>
    <xf numFmtId="0" fontId="103" fillId="0" borderId="19" applyNumberFormat="0" applyFill="0" applyAlignment="0" applyProtection="0">
      <alignment vertical="center"/>
    </xf>
    <xf numFmtId="0" fontId="87" fillId="0" borderId="2" applyNumberFormat="0" applyFill="0" applyAlignment="0" applyProtection="0">
      <alignment vertical="center"/>
    </xf>
    <xf numFmtId="0" fontId="104" fillId="0" borderId="20" applyNumberFormat="0" applyFill="0" applyAlignment="0" applyProtection="0">
      <alignment vertical="center"/>
    </xf>
    <xf numFmtId="0" fontId="88" fillId="0" borderId="3" applyNumberFormat="0" applyFill="0" applyAlignment="0" applyProtection="0">
      <alignment vertical="center"/>
    </xf>
    <xf numFmtId="0" fontId="105" fillId="0" borderId="21" applyNumberFormat="0" applyFill="0" applyAlignment="0" applyProtection="0">
      <alignment vertical="center"/>
    </xf>
    <xf numFmtId="0" fontId="88" fillId="0" borderId="0" applyNumberFormat="0" applyFill="0" applyBorder="0" applyAlignment="0" applyProtection="0">
      <alignment vertical="center"/>
    </xf>
    <xf numFmtId="0" fontId="105" fillId="0" borderId="0" applyNumberFormat="0" applyFill="0" applyBorder="0" applyAlignment="0" applyProtection="0">
      <alignment vertical="center"/>
    </xf>
    <xf numFmtId="0" fontId="106" fillId="0" borderId="0" applyNumberFormat="0" applyFill="0" applyBorder="0" applyAlignment="0" applyProtection="0">
      <alignment vertical="center"/>
    </xf>
    <xf numFmtId="0" fontId="89" fillId="3" borderId="0" applyNumberFormat="0" applyBorder="0" applyAlignment="0" applyProtection="0">
      <alignment vertical="center"/>
    </xf>
    <xf numFmtId="0" fontId="107" fillId="60" borderId="0" applyNumberFormat="0" applyBorder="0" applyAlignment="0" applyProtection="0">
      <alignment vertical="center"/>
    </xf>
    <xf numFmtId="0" fontId="82" fillId="0" borderId="0">
      <alignment vertical="center"/>
    </xf>
    <xf numFmtId="0" fontId="82" fillId="0" borderId="0">
      <alignment vertical="center"/>
    </xf>
    <xf numFmtId="0" fontId="101" fillId="0" borderId="0">
      <alignment vertical="center"/>
    </xf>
    <xf numFmtId="0" fontId="90" fillId="4" borderId="0" applyNumberFormat="0" applyBorder="0" applyAlignment="0" applyProtection="0">
      <alignment vertical="center"/>
    </xf>
    <xf numFmtId="0" fontId="108" fillId="61" borderId="0" applyNumberFormat="0" applyBorder="0" applyAlignment="0" applyProtection="0">
      <alignment vertical="center"/>
    </xf>
    <xf numFmtId="0" fontId="91" fillId="0" borderId="4" applyNumberFormat="0" applyFill="0" applyAlignment="0" applyProtection="0">
      <alignment vertical="center"/>
    </xf>
    <xf numFmtId="0" fontId="109" fillId="0" borderId="22" applyNumberFormat="0" applyFill="0" applyAlignment="0" applyProtection="0">
      <alignment vertical="center"/>
    </xf>
    <xf numFmtId="0" fontId="92" fillId="16" borderId="5" applyNumberFormat="0" applyAlignment="0" applyProtection="0">
      <alignment vertical="center"/>
    </xf>
    <xf numFmtId="0" fontId="110" fillId="62" borderId="23" applyNumberFormat="0" applyAlignment="0" applyProtection="0">
      <alignment vertical="center"/>
    </xf>
    <xf numFmtId="0" fontId="93" fillId="17" borderId="6" applyNumberFormat="0" applyAlignment="0" applyProtection="0">
      <alignment vertical="center"/>
    </xf>
    <xf numFmtId="0" fontId="111" fillId="63" borderId="24" applyNumberFormat="0" applyAlignment="0" applyProtection="0">
      <alignment vertical="center"/>
    </xf>
    <xf numFmtId="0" fontId="94" fillId="0" borderId="0" applyNumberFormat="0" applyFill="0" applyBorder="0" applyAlignment="0" applyProtection="0">
      <alignment vertical="center"/>
    </xf>
    <xf numFmtId="0" fontId="112"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113" fillId="0" borderId="0" applyNumberFormat="0" applyFill="0" applyBorder="0" applyAlignment="0" applyProtection="0">
      <alignment vertical="center"/>
    </xf>
    <xf numFmtId="0" fontId="96" fillId="0" borderId="7" applyNumberFormat="0" applyFill="0" applyAlignment="0" applyProtection="0">
      <alignment vertical="center"/>
    </xf>
    <xf numFmtId="0" fontId="114" fillId="0" borderId="25" applyNumberFormat="0" applyFill="0" applyAlignment="0" applyProtection="0">
      <alignment vertical="center"/>
    </xf>
    <xf numFmtId="0" fontId="84" fillId="18" borderId="0" applyNumberFormat="0" applyBorder="0" applyAlignment="0" applyProtection="0">
      <alignment vertical="center"/>
    </xf>
    <xf numFmtId="0" fontId="102" fillId="64" borderId="0" applyNumberFormat="0" applyBorder="0" applyAlignment="0" applyProtection="0">
      <alignment vertical="center"/>
    </xf>
    <xf numFmtId="0" fontId="84" fillId="19" borderId="0" applyNumberFormat="0" applyBorder="0" applyAlignment="0" applyProtection="0">
      <alignment vertical="center"/>
    </xf>
    <xf numFmtId="0" fontId="102" fillId="65" borderId="0" applyNumberFormat="0" applyBorder="0" applyAlignment="0" applyProtection="0">
      <alignment vertical="center"/>
    </xf>
    <xf numFmtId="0" fontId="84" fillId="20" borderId="0" applyNumberFormat="0" applyBorder="0" applyAlignment="0" applyProtection="0">
      <alignment vertical="center"/>
    </xf>
    <xf numFmtId="0" fontId="102" fillId="66" borderId="0" applyNumberFormat="0" applyBorder="0" applyAlignment="0" applyProtection="0">
      <alignment vertical="center"/>
    </xf>
    <xf numFmtId="0" fontId="84" fillId="13" borderId="0" applyNumberFormat="0" applyBorder="0" applyAlignment="0" applyProtection="0">
      <alignment vertical="center"/>
    </xf>
    <xf numFmtId="0" fontId="102" fillId="67" borderId="0" applyNumberFormat="0" applyBorder="0" applyAlignment="0" applyProtection="0">
      <alignment vertical="center"/>
    </xf>
    <xf numFmtId="0" fontId="84" fillId="14" borderId="0" applyNumberFormat="0" applyBorder="0" applyAlignment="0" applyProtection="0">
      <alignment vertical="center"/>
    </xf>
    <xf numFmtId="0" fontId="102" fillId="68" borderId="0" applyNumberFormat="0" applyBorder="0" applyAlignment="0" applyProtection="0">
      <alignment vertical="center"/>
    </xf>
    <xf numFmtId="0" fontId="84" fillId="21" borderId="0" applyNumberFormat="0" applyBorder="0" applyAlignment="0" applyProtection="0">
      <alignment vertical="center"/>
    </xf>
    <xf numFmtId="0" fontId="102" fillId="69" borderId="0" applyNumberFormat="0" applyBorder="0" applyAlignment="0" applyProtection="0">
      <alignment vertical="center"/>
    </xf>
    <xf numFmtId="0" fontId="97" fillId="22" borderId="0" applyNumberFormat="0" applyBorder="0" applyAlignment="0" applyProtection="0">
      <alignment vertical="center"/>
    </xf>
    <xf numFmtId="0" fontId="115" fillId="70" borderId="0" applyNumberFormat="0" applyBorder="0" applyAlignment="0" applyProtection="0">
      <alignment vertical="center"/>
    </xf>
    <xf numFmtId="0" fontId="98" fillId="16" borderId="8" applyNumberFormat="0" applyAlignment="0" applyProtection="0">
      <alignment vertical="center"/>
    </xf>
    <xf numFmtId="0" fontId="116" fillId="62" borderId="26" applyNumberFormat="0" applyAlignment="0" applyProtection="0">
      <alignment vertical="center"/>
    </xf>
    <xf numFmtId="0" fontId="99" fillId="7" borderId="5" applyNumberFormat="0" applyAlignment="0" applyProtection="0">
      <alignment vertical="center"/>
    </xf>
    <xf numFmtId="0" fontId="117" fillId="71" borderId="23" applyNumberFormat="0" applyAlignment="0" applyProtection="0">
      <alignment vertical="center"/>
    </xf>
    <xf numFmtId="0" fontId="83" fillId="23" borderId="9" applyNumberFormat="0" applyFont="0" applyAlignment="0" applyProtection="0">
      <alignment vertical="center"/>
    </xf>
    <xf numFmtId="0" fontId="83" fillId="72" borderId="27" applyNumberFormat="0" applyFont="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101" fillId="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2" borderId="0" applyNumberFormat="0" applyBorder="0" applyAlignment="0" applyProtection="0">
      <alignment vertical="center"/>
    </xf>
    <xf numFmtId="0" fontId="101" fillId="2" borderId="0" applyNumberFormat="0" applyBorder="0" applyAlignment="0" applyProtection="0">
      <alignment vertical="center"/>
    </xf>
    <xf numFmtId="0" fontId="101" fillId="2" borderId="0" applyNumberFormat="0" applyBorder="0" applyAlignment="0" applyProtection="0">
      <alignment vertical="center"/>
    </xf>
    <xf numFmtId="0" fontId="101" fillId="2" borderId="0" applyNumberFormat="0" applyBorder="0" applyAlignment="0" applyProtection="0">
      <alignment vertical="center"/>
    </xf>
    <xf numFmtId="0" fontId="101" fillId="2" borderId="0" applyNumberFormat="0" applyBorder="0" applyAlignment="0" applyProtection="0">
      <alignment vertical="center"/>
    </xf>
    <xf numFmtId="0" fontId="101" fillId="42" borderId="0" applyNumberFormat="0" applyBorder="0" applyAlignment="0" applyProtection="0">
      <alignment vertical="center"/>
    </xf>
    <xf numFmtId="0" fontId="101" fillId="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101" fillId="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3" borderId="0" applyNumberFormat="0" applyBorder="0" applyAlignment="0" applyProtection="0">
      <alignment vertical="center"/>
    </xf>
    <xf numFmtId="0" fontId="101" fillId="3" borderId="0" applyNumberFormat="0" applyBorder="0" applyAlignment="0" applyProtection="0">
      <alignment vertical="center"/>
    </xf>
    <xf numFmtId="0" fontId="101" fillId="3" borderId="0" applyNumberFormat="0" applyBorder="0" applyAlignment="0" applyProtection="0">
      <alignment vertical="center"/>
    </xf>
    <xf numFmtId="0" fontId="101" fillId="3" borderId="0" applyNumberFormat="0" applyBorder="0" applyAlignment="0" applyProtection="0">
      <alignment vertical="center"/>
    </xf>
    <xf numFmtId="0" fontId="101" fillId="3" borderId="0" applyNumberFormat="0" applyBorder="0" applyAlignment="0" applyProtection="0">
      <alignment vertical="center"/>
    </xf>
    <xf numFmtId="0" fontId="101" fillId="43" borderId="0" applyNumberFormat="0" applyBorder="0" applyAlignment="0" applyProtection="0">
      <alignment vertical="center"/>
    </xf>
    <xf numFmtId="0" fontId="101" fillId="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101" fillId="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 borderId="0" applyNumberFormat="0" applyBorder="0" applyAlignment="0" applyProtection="0">
      <alignment vertical="center"/>
    </xf>
    <xf numFmtId="0" fontId="101" fillId="4" borderId="0" applyNumberFormat="0" applyBorder="0" applyAlignment="0" applyProtection="0">
      <alignment vertical="center"/>
    </xf>
    <xf numFmtId="0" fontId="101" fillId="4" borderId="0" applyNumberFormat="0" applyBorder="0" applyAlignment="0" applyProtection="0">
      <alignment vertical="center"/>
    </xf>
    <xf numFmtId="0" fontId="101" fillId="4" borderId="0" applyNumberFormat="0" applyBorder="0" applyAlignment="0" applyProtection="0">
      <alignment vertical="center"/>
    </xf>
    <xf numFmtId="0" fontId="101" fillId="4" borderId="0" applyNumberFormat="0" applyBorder="0" applyAlignment="0" applyProtection="0">
      <alignment vertical="center"/>
    </xf>
    <xf numFmtId="0" fontId="101" fillId="44" borderId="0" applyNumberFormat="0" applyBorder="0" applyAlignment="0" applyProtection="0">
      <alignment vertical="center"/>
    </xf>
    <xf numFmtId="0" fontId="101" fillId="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101" fillId="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5" borderId="0" applyNumberFormat="0" applyBorder="0" applyAlignment="0" applyProtection="0">
      <alignment vertical="center"/>
    </xf>
    <xf numFmtId="0" fontId="101" fillId="5" borderId="0" applyNumberFormat="0" applyBorder="0" applyAlignment="0" applyProtection="0">
      <alignment vertical="center"/>
    </xf>
    <xf numFmtId="0" fontId="101" fillId="5" borderId="0" applyNumberFormat="0" applyBorder="0" applyAlignment="0" applyProtection="0">
      <alignment vertical="center"/>
    </xf>
    <xf numFmtId="0" fontId="101" fillId="5" borderId="0" applyNumberFormat="0" applyBorder="0" applyAlignment="0" applyProtection="0">
      <alignment vertical="center"/>
    </xf>
    <xf numFmtId="0" fontId="101" fillId="5" borderId="0" applyNumberFormat="0" applyBorder="0" applyAlignment="0" applyProtection="0">
      <alignment vertical="center"/>
    </xf>
    <xf numFmtId="0" fontId="101" fillId="45" borderId="0" applyNumberFormat="0" applyBorder="0" applyAlignment="0" applyProtection="0">
      <alignment vertical="center"/>
    </xf>
    <xf numFmtId="0" fontId="101" fillId="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101" fillId="46" borderId="0" applyNumberFormat="0" applyBorder="0" applyAlignment="0" applyProtection="0">
      <alignment vertical="center"/>
    </xf>
    <xf numFmtId="0" fontId="101" fillId="46" borderId="0" applyNumberFormat="0" applyBorder="0" applyAlignment="0" applyProtection="0">
      <alignment vertical="center"/>
    </xf>
    <xf numFmtId="0" fontId="101" fillId="4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101" fillId="47" borderId="0" applyNumberFormat="0" applyBorder="0" applyAlignment="0" applyProtection="0">
      <alignment vertical="center"/>
    </xf>
    <xf numFmtId="0" fontId="101" fillId="47" borderId="0" applyNumberFormat="0" applyBorder="0" applyAlignment="0" applyProtection="0">
      <alignment vertical="center"/>
    </xf>
    <xf numFmtId="0" fontId="101" fillId="4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101" fillId="48" borderId="0" applyNumberFormat="0" applyBorder="0" applyAlignment="0" applyProtection="0">
      <alignment vertical="center"/>
    </xf>
    <xf numFmtId="0" fontId="101" fillId="48" borderId="0" applyNumberFormat="0" applyBorder="0" applyAlignment="0" applyProtection="0">
      <alignment vertical="center"/>
    </xf>
    <xf numFmtId="0" fontId="101" fillId="4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101" fillId="49" borderId="0" applyNumberFormat="0" applyBorder="0" applyAlignment="0" applyProtection="0">
      <alignment vertical="center"/>
    </xf>
    <xf numFmtId="0" fontId="101" fillId="49" borderId="0" applyNumberFormat="0" applyBorder="0" applyAlignment="0" applyProtection="0">
      <alignment vertical="center"/>
    </xf>
    <xf numFmtId="0" fontId="101" fillId="4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101" fillId="1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10" borderId="0" applyNumberFormat="0" applyBorder="0" applyAlignment="0" applyProtection="0">
      <alignment vertical="center"/>
    </xf>
    <xf numFmtId="0" fontId="101" fillId="10" borderId="0" applyNumberFormat="0" applyBorder="0" applyAlignment="0" applyProtection="0">
      <alignment vertical="center"/>
    </xf>
    <xf numFmtId="0" fontId="101" fillId="10" borderId="0" applyNumberFormat="0" applyBorder="0" applyAlignment="0" applyProtection="0">
      <alignment vertical="center"/>
    </xf>
    <xf numFmtId="0" fontId="101" fillId="10" borderId="0" applyNumberFormat="0" applyBorder="0" applyAlignment="0" applyProtection="0">
      <alignment vertical="center"/>
    </xf>
    <xf numFmtId="0" fontId="101" fillId="10" borderId="0" applyNumberFormat="0" applyBorder="0" applyAlignment="0" applyProtection="0">
      <alignment vertical="center"/>
    </xf>
    <xf numFmtId="0" fontId="101" fillId="50" borderId="0" applyNumberFormat="0" applyBorder="0" applyAlignment="0" applyProtection="0">
      <alignment vertical="center"/>
    </xf>
    <xf numFmtId="0" fontId="101" fillId="1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101" fillId="51" borderId="0" applyNumberFormat="0" applyBorder="0" applyAlignment="0" applyProtection="0">
      <alignment vertical="center"/>
    </xf>
    <xf numFmtId="0" fontId="101" fillId="51" borderId="0" applyNumberFormat="0" applyBorder="0" applyAlignment="0" applyProtection="0">
      <alignment vertical="center"/>
    </xf>
    <xf numFmtId="0" fontId="101" fillId="51"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101" fillId="52" borderId="0" applyNumberFormat="0" applyBorder="0" applyAlignment="0" applyProtection="0">
      <alignment vertical="center"/>
    </xf>
    <xf numFmtId="0" fontId="101" fillId="52" borderId="0" applyNumberFormat="0" applyBorder="0" applyAlignment="0" applyProtection="0">
      <alignment vertical="center"/>
    </xf>
    <xf numFmtId="0" fontId="101" fillId="52"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101" fillId="53" borderId="0" applyNumberFormat="0" applyBorder="0" applyAlignment="0" applyProtection="0">
      <alignment vertical="center"/>
    </xf>
    <xf numFmtId="0" fontId="101" fillId="53" borderId="0" applyNumberFormat="0" applyBorder="0" applyAlignment="0" applyProtection="0">
      <alignment vertical="center"/>
    </xf>
    <xf numFmtId="0" fontId="101" fillId="53"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4" fillId="12" borderId="0" applyNumberFormat="0" applyBorder="0" applyAlignment="0" applyProtection="0">
      <alignment vertical="center"/>
    </xf>
    <xf numFmtId="0" fontId="102" fillId="54" borderId="0" applyNumberFormat="0" applyBorder="0" applyAlignment="0" applyProtection="0">
      <alignment vertical="center"/>
    </xf>
    <xf numFmtId="0" fontId="102" fillId="54" borderId="0" applyNumberFormat="0" applyBorder="0" applyAlignment="0" applyProtection="0">
      <alignment vertical="center"/>
    </xf>
    <xf numFmtId="0" fontId="102" fillId="54" borderId="0" applyNumberFormat="0" applyBorder="0" applyAlignment="0" applyProtection="0">
      <alignment vertical="center"/>
    </xf>
    <xf numFmtId="0" fontId="84" fillId="12" borderId="0" applyNumberFormat="0" applyBorder="0" applyAlignment="0" applyProtection="0">
      <alignment vertical="center"/>
    </xf>
    <xf numFmtId="0" fontId="84" fillId="12" borderId="0" applyNumberFormat="0" applyBorder="0" applyAlignment="0" applyProtection="0">
      <alignment vertical="center"/>
    </xf>
    <xf numFmtId="0" fontId="84" fillId="12" borderId="0" applyNumberFormat="0" applyBorder="0" applyAlignment="0" applyProtection="0">
      <alignment vertical="center"/>
    </xf>
    <xf numFmtId="0" fontId="84" fillId="12" borderId="0" applyNumberFormat="0" applyBorder="0" applyAlignment="0" applyProtection="0">
      <alignment vertical="center"/>
    </xf>
    <xf numFmtId="0" fontId="84" fillId="12" borderId="0" applyNumberFormat="0" applyBorder="0" applyAlignment="0" applyProtection="0">
      <alignment vertical="center"/>
    </xf>
    <xf numFmtId="0" fontId="84" fillId="12" borderId="0" applyNumberFormat="0" applyBorder="0" applyAlignment="0" applyProtection="0">
      <alignment vertical="center"/>
    </xf>
    <xf numFmtId="0" fontId="84" fillId="9" borderId="0" applyNumberFormat="0" applyBorder="0" applyAlignment="0" applyProtection="0">
      <alignment vertical="center"/>
    </xf>
    <xf numFmtId="0" fontId="102" fillId="55" borderId="0" applyNumberFormat="0" applyBorder="0" applyAlignment="0" applyProtection="0">
      <alignment vertical="center"/>
    </xf>
    <xf numFmtId="0" fontId="102" fillId="55" borderId="0" applyNumberFormat="0" applyBorder="0" applyAlignment="0" applyProtection="0">
      <alignment vertical="center"/>
    </xf>
    <xf numFmtId="0" fontId="102" fillId="55" borderId="0" applyNumberFormat="0" applyBorder="0" applyAlignment="0" applyProtection="0">
      <alignment vertical="center"/>
    </xf>
    <xf numFmtId="0" fontId="84" fillId="9" borderId="0" applyNumberFormat="0" applyBorder="0" applyAlignment="0" applyProtection="0">
      <alignment vertical="center"/>
    </xf>
    <xf numFmtId="0" fontId="84" fillId="9" borderId="0" applyNumberFormat="0" applyBorder="0" applyAlignment="0" applyProtection="0">
      <alignment vertical="center"/>
    </xf>
    <xf numFmtId="0" fontId="84" fillId="9" borderId="0" applyNumberFormat="0" applyBorder="0" applyAlignment="0" applyProtection="0">
      <alignment vertical="center"/>
    </xf>
    <xf numFmtId="0" fontId="84" fillId="9" borderId="0" applyNumberFormat="0" applyBorder="0" applyAlignment="0" applyProtection="0">
      <alignment vertical="center"/>
    </xf>
    <xf numFmtId="0" fontId="84" fillId="9" borderId="0" applyNumberFormat="0" applyBorder="0" applyAlignment="0" applyProtection="0">
      <alignment vertical="center"/>
    </xf>
    <xf numFmtId="0" fontId="84" fillId="9" borderId="0" applyNumberFormat="0" applyBorder="0" applyAlignment="0" applyProtection="0">
      <alignment vertical="center"/>
    </xf>
    <xf numFmtId="0" fontId="84" fillId="10" borderId="0" applyNumberFormat="0" applyBorder="0" applyAlignment="0" applyProtection="0">
      <alignment vertical="center"/>
    </xf>
    <xf numFmtId="0" fontId="102" fillId="10"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56" borderId="0" applyNumberFormat="0" applyBorder="0" applyAlignment="0" applyProtection="0">
      <alignment vertical="center"/>
    </xf>
    <xf numFmtId="0" fontId="102" fillId="10"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84" fillId="10" borderId="0" applyNumberFormat="0" applyBorder="0" applyAlignment="0" applyProtection="0">
      <alignment vertical="center"/>
    </xf>
    <xf numFmtId="0" fontId="84" fillId="10" borderId="0" applyNumberFormat="0" applyBorder="0" applyAlignment="0" applyProtection="0">
      <alignment vertical="center"/>
    </xf>
    <xf numFmtId="0" fontId="84" fillId="10" borderId="0" applyNumberFormat="0" applyBorder="0" applyAlignment="0" applyProtection="0">
      <alignment vertical="center"/>
    </xf>
    <xf numFmtId="0" fontId="84" fillId="10" borderId="0" applyNumberFormat="0" applyBorder="0" applyAlignment="0" applyProtection="0">
      <alignment vertical="center"/>
    </xf>
    <xf numFmtId="0" fontId="84" fillId="10" borderId="0" applyNumberFormat="0" applyBorder="0" applyAlignment="0" applyProtection="0">
      <alignment vertical="center"/>
    </xf>
    <xf numFmtId="0" fontId="84" fillId="10" borderId="0" applyNumberFormat="0" applyBorder="0" applyAlignment="0" applyProtection="0">
      <alignment vertical="center"/>
    </xf>
    <xf numFmtId="0" fontId="84" fillId="13" borderId="0" applyNumberFormat="0" applyBorder="0" applyAlignment="0" applyProtection="0">
      <alignment vertical="center"/>
    </xf>
    <xf numFmtId="0" fontId="102" fillId="13"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13" borderId="0" applyNumberFormat="0" applyBorder="0" applyAlignment="0" applyProtection="0">
      <alignment vertical="center"/>
    </xf>
    <xf numFmtId="0" fontId="102" fillId="13" borderId="0" applyNumberFormat="0" applyBorder="0" applyAlignment="0" applyProtection="0">
      <alignment vertical="center"/>
    </xf>
    <xf numFmtId="0" fontId="102" fillId="13" borderId="0" applyNumberFormat="0" applyBorder="0" applyAlignment="0" applyProtection="0">
      <alignment vertical="center"/>
    </xf>
    <xf numFmtId="0" fontId="102" fillId="13" borderId="0" applyNumberFormat="0" applyBorder="0" applyAlignment="0" applyProtection="0">
      <alignment vertical="center"/>
    </xf>
    <xf numFmtId="0" fontId="102" fillId="13" borderId="0" applyNumberFormat="0" applyBorder="0" applyAlignment="0" applyProtection="0">
      <alignment vertical="center"/>
    </xf>
    <xf numFmtId="0" fontId="102" fillId="57" borderId="0" applyNumberFormat="0" applyBorder="0" applyAlignment="0" applyProtection="0">
      <alignment vertical="center"/>
    </xf>
    <xf numFmtId="0" fontId="102" fillId="13"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84" fillId="13" borderId="0" applyNumberFormat="0" applyBorder="0" applyAlignment="0" applyProtection="0">
      <alignment vertical="center"/>
    </xf>
    <xf numFmtId="0" fontId="84" fillId="13" borderId="0" applyNumberFormat="0" applyBorder="0" applyAlignment="0" applyProtection="0">
      <alignment vertical="center"/>
    </xf>
    <xf numFmtId="0" fontId="84" fillId="13" borderId="0" applyNumberFormat="0" applyBorder="0" applyAlignment="0" applyProtection="0">
      <alignment vertical="center"/>
    </xf>
    <xf numFmtId="0" fontId="84" fillId="13" borderId="0" applyNumberFormat="0" applyBorder="0" applyAlignment="0" applyProtection="0">
      <alignment vertical="center"/>
    </xf>
    <xf numFmtId="0" fontId="84" fillId="13" borderId="0" applyNumberFormat="0" applyBorder="0" applyAlignment="0" applyProtection="0">
      <alignment vertical="center"/>
    </xf>
    <xf numFmtId="0" fontId="84" fillId="13" borderId="0" applyNumberFormat="0" applyBorder="0" applyAlignment="0" applyProtection="0">
      <alignment vertical="center"/>
    </xf>
    <xf numFmtId="0" fontId="84" fillId="14" borderId="0" applyNumberFormat="0" applyBorder="0" applyAlignment="0" applyProtection="0">
      <alignment vertical="center"/>
    </xf>
    <xf numFmtId="0" fontId="102" fillId="58" borderId="0" applyNumberFormat="0" applyBorder="0" applyAlignment="0" applyProtection="0">
      <alignment vertical="center"/>
    </xf>
    <xf numFmtId="0" fontId="102" fillId="58" borderId="0" applyNumberFormat="0" applyBorder="0" applyAlignment="0" applyProtection="0">
      <alignment vertical="center"/>
    </xf>
    <xf numFmtId="0" fontId="102" fillId="58" borderId="0" applyNumberFormat="0" applyBorder="0" applyAlignment="0" applyProtection="0">
      <alignment vertical="center"/>
    </xf>
    <xf numFmtId="0" fontId="84" fillId="14" borderId="0" applyNumberFormat="0" applyBorder="0" applyAlignment="0" applyProtection="0">
      <alignment vertical="center"/>
    </xf>
    <xf numFmtId="0" fontId="84" fillId="14" borderId="0" applyNumberFormat="0" applyBorder="0" applyAlignment="0" applyProtection="0">
      <alignment vertical="center"/>
    </xf>
    <xf numFmtId="0" fontId="84" fillId="14" borderId="0" applyNumberFormat="0" applyBorder="0" applyAlignment="0" applyProtection="0">
      <alignment vertical="center"/>
    </xf>
    <xf numFmtId="0" fontId="84" fillId="14" borderId="0" applyNumberFormat="0" applyBorder="0" applyAlignment="0" applyProtection="0">
      <alignment vertical="center"/>
    </xf>
    <xf numFmtId="0" fontId="84" fillId="14" borderId="0" applyNumberFormat="0" applyBorder="0" applyAlignment="0" applyProtection="0">
      <alignment vertical="center"/>
    </xf>
    <xf numFmtId="0" fontId="84" fillId="14" borderId="0" applyNumberFormat="0" applyBorder="0" applyAlignment="0" applyProtection="0">
      <alignment vertical="center"/>
    </xf>
    <xf numFmtId="0" fontId="84" fillId="15" borderId="0" applyNumberFormat="0" applyBorder="0" applyAlignment="0" applyProtection="0">
      <alignment vertical="center"/>
    </xf>
    <xf numFmtId="0" fontId="102" fillId="15"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15" borderId="0" applyNumberFormat="0" applyBorder="0" applyAlignment="0" applyProtection="0">
      <alignment vertical="center"/>
    </xf>
    <xf numFmtId="0" fontId="102" fillId="15" borderId="0" applyNumberFormat="0" applyBorder="0" applyAlignment="0" applyProtection="0">
      <alignment vertical="center"/>
    </xf>
    <xf numFmtId="0" fontId="102" fillId="15" borderId="0" applyNumberFormat="0" applyBorder="0" applyAlignment="0" applyProtection="0">
      <alignment vertical="center"/>
    </xf>
    <xf numFmtId="0" fontId="102" fillId="15" borderId="0" applyNumberFormat="0" applyBorder="0" applyAlignment="0" applyProtection="0">
      <alignment vertical="center"/>
    </xf>
    <xf numFmtId="0" fontId="102" fillId="15" borderId="0" applyNumberFormat="0" applyBorder="0" applyAlignment="0" applyProtection="0">
      <alignment vertical="center"/>
    </xf>
    <xf numFmtId="0" fontId="102" fillId="59" borderId="0" applyNumberFormat="0" applyBorder="0" applyAlignment="0" applyProtection="0">
      <alignment vertical="center"/>
    </xf>
    <xf numFmtId="0" fontId="102" fillId="15"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84" fillId="15" borderId="0" applyNumberFormat="0" applyBorder="0" applyAlignment="0" applyProtection="0">
      <alignment vertical="center"/>
    </xf>
    <xf numFmtId="0" fontId="84" fillId="15" borderId="0" applyNumberFormat="0" applyBorder="0" applyAlignment="0" applyProtection="0">
      <alignment vertical="center"/>
    </xf>
    <xf numFmtId="0" fontId="84" fillId="15" borderId="0" applyNumberFormat="0" applyBorder="0" applyAlignment="0" applyProtection="0">
      <alignment vertical="center"/>
    </xf>
    <xf numFmtId="0" fontId="84" fillId="15" borderId="0" applyNumberFormat="0" applyBorder="0" applyAlignment="0" applyProtection="0">
      <alignment vertical="center"/>
    </xf>
    <xf numFmtId="0" fontId="84" fillId="15" borderId="0" applyNumberFormat="0" applyBorder="0" applyAlignment="0" applyProtection="0">
      <alignment vertical="center"/>
    </xf>
    <xf numFmtId="0" fontId="84" fillId="15" borderId="0" applyNumberFormat="0" applyBorder="0" applyAlignment="0" applyProtection="0">
      <alignment vertical="center"/>
    </xf>
    <xf numFmtId="0" fontId="85" fillId="0" borderId="0" applyNumberFormat="0" applyFill="0" applyBorder="0" applyAlignment="0" applyProtection="0">
      <alignment vertical="center"/>
    </xf>
    <xf numFmtId="0" fontId="86" fillId="0" borderId="1" applyNumberFormat="0" applyFill="0" applyAlignment="0" applyProtection="0">
      <alignment vertical="center"/>
    </xf>
    <xf numFmtId="0" fontId="103" fillId="0" borderId="19" applyNumberFormat="0" applyFill="0" applyAlignment="0" applyProtection="0">
      <alignment vertical="center"/>
    </xf>
    <xf numFmtId="0" fontId="103" fillId="0" borderId="19" applyNumberFormat="0" applyFill="0" applyAlignment="0" applyProtection="0">
      <alignment vertical="center"/>
    </xf>
    <xf numFmtId="0" fontId="103" fillId="0" borderId="19" applyNumberFormat="0" applyFill="0" applyAlignment="0" applyProtection="0">
      <alignment vertical="center"/>
    </xf>
    <xf numFmtId="0" fontId="86" fillId="0" borderId="1" applyNumberFormat="0" applyFill="0" applyAlignment="0" applyProtection="0">
      <alignment vertical="center"/>
    </xf>
    <xf numFmtId="0" fontId="86" fillId="0" borderId="1" applyNumberFormat="0" applyFill="0" applyAlignment="0" applyProtection="0">
      <alignment vertical="center"/>
    </xf>
    <xf numFmtId="0" fontId="86" fillId="0" borderId="1" applyNumberFormat="0" applyFill="0" applyAlignment="0" applyProtection="0">
      <alignment vertical="center"/>
    </xf>
    <xf numFmtId="0" fontId="86" fillId="0" borderId="1" applyNumberFormat="0" applyFill="0" applyAlignment="0" applyProtection="0">
      <alignment vertical="center"/>
    </xf>
    <xf numFmtId="0" fontId="86" fillId="0" borderId="1" applyNumberFormat="0" applyFill="0" applyAlignment="0" applyProtection="0">
      <alignment vertical="center"/>
    </xf>
    <xf numFmtId="0" fontId="86" fillId="0" borderId="1" applyNumberFormat="0" applyFill="0" applyAlignment="0" applyProtection="0">
      <alignment vertical="center"/>
    </xf>
    <xf numFmtId="0" fontId="87" fillId="0" borderId="2" applyNumberFormat="0" applyFill="0" applyAlignment="0" applyProtection="0">
      <alignment vertical="center"/>
    </xf>
    <xf numFmtId="0" fontId="104" fillId="0" borderId="20" applyNumberFormat="0" applyFill="0" applyAlignment="0" applyProtection="0">
      <alignment vertical="center"/>
    </xf>
    <xf numFmtId="0" fontId="104" fillId="0" borderId="20" applyNumberFormat="0" applyFill="0" applyAlignment="0" applyProtection="0">
      <alignment vertical="center"/>
    </xf>
    <xf numFmtId="0" fontId="104" fillId="0" borderId="20" applyNumberFormat="0" applyFill="0" applyAlignment="0" applyProtection="0">
      <alignment vertical="center"/>
    </xf>
    <xf numFmtId="0" fontId="87" fillId="0" borderId="2" applyNumberFormat="0" applyFill="0" applyAlignment="0" applyProtection="0">
      <alignment vertical="center"/>
    </xf>
    <xf numFmtId="0" fontId="87" fillId="0" borderId="2" applyNumberFormat="0" applyFill="0" applyAlignment="0" applyProtection="0">
      <alignment vertical="center"/>
    </xf>
    <xf numFmtId="0" fontId="87" fillId="0" borderId="2" applyNumberFormat="0" applyFill="0" applyAlignment="0" applyProtection="0">
      <alignment vertical="center"/>
    </xf>
    <xf numFmtId="0" fontId="87" fillId="0" borderId="2" applyNumberFormat="0" applyFill="0" applyAlignment="0" applyProtection="0">
      <alignment vertical="center"/>
    </xf>
    <xf numFmtId="0" fontId="87" fillId="0" borderId="2" applyNumberFormat="0" applyFill="0" applyAlignment="0" applyProtection="0">
      <alignment vertical="center"/>
    </xf>
    <xf numFmtId="0" fontId="87" fillId="0" borderId="2" applyNumberFormat="0" applyFill="0" applyAlignment="0" applyProtection="0">
      <alignment vertical="center"/>
    </xf>
    <xf numFmtId="0" fontId="88" fillId="0" borderId="3" applyNumberFormat="0" applyFill="0" applyAlignment="0" applyProtection="0">
      <alignment vertical="center"/>
    </xf>
    <xf numFmtId="0" fontId="105" fillId="0" borderId="21" applyNumberFormat="0" applyFill="0" applyAlignment="0" applyProtection="0">
      <alignment vertical="center"/>
    </xf>
    <xf numFmtId="0" fontId="105" fillId="0" borderId="21" applyNumberFormat="0" applyFill="0" applyAlignment="0" applyProtection="0">
      <alignment vertical="center"/>
    </xf>
    <xf numFmtId="0" fontId="105" fillId="0" borderId="21" applyNumberFormat="0" applyFill="0" applyAlignment="0" applyProtection="0">
      <alignment vertical="center"/>
    </xf>
    <xf numFmtId="0" fontId="88" fillId="0" borderId="3" applyNumberFormat="0" applyFill="0" applyAlignment="0" applyProtection="0">
      <alignment vertical="center"/>
    </xf>
    <xf numFmtId="0" fontId="88" fillId="0" borderId="3" applyNumberFormat="0" applyFill="0" applyAlignment="0" applyProtection="0">
      <alignment vertical="center"/>
    </xf>
    <xf numFmtId="0" fontId="88" fillId="0" borderId="3" applyNumberFormat="0" applyFill="0" applyAlignment="0" applyProtection="0">
      <alignment vertical="center"/>
    </xf>
    <xf numFmtId="0" fontId="88" fillId="0" borderId="3" applyNumberFormat="0" applyFill="0" applyAlignment="0" applyProtection="0">
      <alignment vertical="center"/>
    </xf>
    <xf numFmtId="0" fontId="88" fillId="0" borderId="3" applyNumberFormat="0" applyFill="0" applyAlignment="0" applyProtection="0">
      <alignment vertical="center"/>
    </xf>
    <xf numFmtId="0" fontId="88" fillId="0" borderId="3" applyNumberFormat="0" applyFill="0" applyAlignment="0" applyProtection="0">
      <alignment vertical="center"/>
    </xf>
    <xf numFmtId="0" fontId="88" fillId="0" borderId="0" applyNumberFormat="0" applyFill="0" applyBorder="0" applyAlignment="0" applyProtection="0">
      <alignment vertical="center"/>
    </xf>
    <xf numFmtId="0" fontId="105" fillId="0" borderId="0" applyNumberFormat="0" applyFill="0" applyBorder="0" applyAlignment="0" applyProtection="0">
      <alignment vertical="center"/>
    </xf>
    <xf numFmtId="0" fontId="105" fillId="0" borderId="0" applyNumberFormat="0" applyFill="0" applyBorder="0" applyAlignment="0" applyProtection="0">
      <alignment vertical="center"/>
    </xf>
    <xf numFmtId="0" fontId="105"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106" fillId="0" borderId="0" applyNumberFormat="0" applyFill="0" applyBorder="0" applyAlignment="0" applyProtection="0">
      <alignment vertical="center"/>
    </xf>
    <xf numFmtId="0" fontId="106" fillId="0" borderId="0" applyNumberFormat="0" applyFill="0" applyBorder="0" applyAlignment="0" applyProtection="0">
      <alignment vertical="center"/>
    </xf>
    <xf numFmtId="0" fontId="106" fillId="0" borderId="0" applyNumberFormat="0" applyFill="0" applyBorder="0" applyAlignment="0" applyProtection="0">
      <alignment vertical="center"/>
    </xf>
    <xf numFmtId="0" fontId="85" fillId="0" borderId="0" applyNumberFormat="0" applyFill="0" applyBorder="0" applyAlignment="0" applyProtection="0">
      <alignment vertical="center"/>
    </xf>
    <xf numFmtId="0" fontId="85" fillId="0" borderId="0" applyNumberFormat="0" applyFill="0" applyBorder="0" applyAlignment="0" applyProtection="0">
      <alignment vertical="center"/>
    </xf>
    <xf numFmtId="0" fontId="85" fillId="0" borderId="0" applyNumberFormat="0" applyFill="0" applyBorder="0" applyAlignment="0" applyProtection="0">
      <alignment vertical="center"/>
    </xf>
    <xf numFmtId="0" fontId="85" fillId="0" borderId="0" applyNumberFormat="0" applyFill="0" applyBorder="0" applyAlignment="0" applyProtection="0">
      <alignment vertical="center"/>
    </xf>
    <xf numFmtId="0" fontId="85" fillId="0" borderId="0" applyNumberFormat="0" applyFill="0" applyBorder="0" applyAlignment="0" applyProtection="0">
      <alignment vertical="center"/>
    </xf>
    <xf numFmtId="0" fontId="85" fillId="0" borderId="0" applyNumberFormat="0" applyFill="0" applyBorder="0" applyAlignment="0" applyProtection="0">
      <alignment vertical="center"/>
    </xf>
    <xf numFmtId="0" fontId="89" fillId="3" borderId="0" applyNumberFormat="0" applyBorder="0" applyAlignment="0" applyProtection="0">
      <alignment vertical="center"/>
    </xf>
    <xf numFmtId="0" fontId="107" fillId="60" borderId="0" applyNumberFormat="0" applyBorder="0" applyAlignment="0" applyProtection="0">
      <alignment vertical="center"/>
    </xf>
    <xf numFmtId="0" fontId="107" fillId="60" borderId="0" applyNumberFormat="0" applyBorder="0" applyAlignment="0" applyProtection="0">
      <alignment vertical="center"/>
    </xf>
    <xf numFmtId="0" fontId="107" fillId="60" borderId="0" applyNumberFormat="0" applyBorder="0" applyAlignment="0" applyProtection="0">
      <alignment vertical="center"/>
    </xf>
    <xf numFmtId="0" fontId="89" fillId="3" borderId="0" applyNumberFormat="0" applyBorder="0" applyAlignment="0" applyProtection="0">
      <alignment vertical="center"/>
    </xf>
    <xf numFmtId="0" fontId="89" fillId="3" borderId="0" applyNumberFormat="0" applyBorder="0" applyAlignment="0" applyProtection="0">
      <alignment vertical="center"/>
    </xf>
    <xf numFmtId="0" fontId="89" fillId="3" borderId="0" applyNumberFormat="0" applyBorder="0" applyAlignment="0" applyProtection="0">
      <alignment vertical="center"/>
    </xf>
    <xf numFmtId="0" fontId="89" fillId="3" borderId="0" applyNumberFormat="0" applyBorder="0" applyAlignment="0" applyProtection="0">
      <alignment vertical="center"/>
    </xf>
    <xf numFmtId="0" fontId="89" fillId="3" borderId="0" applyNumberFormat="0" applyBorder="0" applyAlignment="0" applyProtection="0">
      <alignment vertical="center"/>
    </xf>
    <xf numFmtId="0" fontId="89" fillId="3" borderId="0" applyNumberFormat="0" applyBorder="0" applyAlignment="0" applyProtection="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101" fillId="0" borderId="0">
      <alignment vertical="center"/>
    </xf>
    <xf numFmtId="0" fontId="101" fillId="0" borderId="0">
      <alignment vertical="center"/>
    </xf>
    <xf numFmtId="0" fontId="101" fillId="0" borderId="0">
      <alignment vertical="center"/>
    </xf>
    <xf numFmtId="0" fontId="82" fillId="0" borderId="0">
      <alignment vertical="center"/>
    </xf>
    <xf numFmtId="0" fontId="82" fillId="0" borderId="0">
      <alignment vertical="center"/>
    </xf>
    <xf numFmtId="0" fontId="82" fillId="0" borderId="0">
      <alignment vertical="center"/>
    </xf>
    <xf numFmtId="0" fontId="90" fillId="4" borderId="0" applyNumberFormat="0" applyBorder="0" applyAlignment="0" applyProtection="0">
      <alignment vertical="center"/>
    </xf>
    <xf numFmtId="0" fontId="108" fillId="61" borderId="0" applyNumberFormat="0" applyBorder="0" applyAlignment="0" applyProtection="0">
      <alignment vertical="center"/>
    </xf>
    <xf numFmtId="0" fontId="108" fillId="61" borderId="0" applyNumberFormat="0" applyBorder="0" applyAlignment="0" applyProtection="0">
      <alignment vertical="center"/>
    </xf>
    <xf numFmtId="0" fontId="108" fillId="61" borderId="0" applyNumberFormat="0" applyBorder="0" applyAlignment="0" applyProtection="0">
      <alignment vertical="center"/>
    </xf>
    <xf numFmtId="0" fontId="90" fillId="4" borderId="0" applyNumberFormat="0" applyBorder="0" applyAlignment="0" applyProtection="0">
      <alignment vertical="center"/>
    </xf>
    <xf numFmtId="0" fontId="90" fillId="4" borderId="0" applyNumberFormat="0" applyBorder="0" applyAlignment="0" applyProtection="0">
      <alignment vertical="center"/>
    </xf>
    <xf numFmtId="0" fontId="90" fillId="4" borderId="0" applyNumberFormat="0" applyBorder="0" applyAlignment="0" applyProtection="0">
      <alignment vertical="center"/>
    </xf>
    <xf numFmtId="0" fontId="90" fillId="4" borderId="0" applyNumberFormat="0" applyBorder="0" applyAlignment="0" applyProtection="0">
      <alignment vertical="center"/>
    </xf>
    <xf numFmtId="0" fontId="90" fillId="4" borderId="0" applyNumberFormat="0" applyBorder="0" applyAlignment="0" applyProtection="0">
      <alignment vertical="center"/>
    </xf>
    <xf numFmtId="0" fontId="90" fillId="4" borderId="0" applyNumberFormat="0" applyBorder="0" applyAlignment="0" applyProtection="0">
      <alignment vertical="center"/>
    </xf>
    <xf numFmtId="0" fontId="91" fillId="0" borderId="4" applyNumberFormat="0" applyFill="0" applyAlignment="0" applyProtection="0">
      <alignment vertical="center"/>
    </xf>
    <xf numFmtId="0" fontId="109" fillId="0" borderId="22" applyNumberFormat="0" applyFill="0" applyAlignment="0" applyProtection="0">
      <alignment vertical="center"/>
    </xf>
    <xf numFmtId="0" fontId="109" fillId="0" borderId="22" applyNumberFormat="0" applyFill="0" applyAlignment="0" applyProtection="0">
      <alignment vertical="center"/>
    </xf>
    <xf numFmtId="0" fontId="109" fillId="0" borderId="22" applyNumberFormat="0" applyFill="0" applyAlignment="0" applyProtection="0">
      <alignment vertical="center"/>
    </xf>
    <xf numFmtId="0" fontId="91" fillId="0" borderId="4" applyNumberFormat="0" applyFill="0" applyAlignment="0" applyProtection="0">
      <alignment vertical="center"/>
    </xf>
    <xf numFmtId="0" fontId="91" fillId="0" borderId="4" applyNumberFormat="0" applyFill="0" applyAlignment="0" applyProtection="0">
      <alignment vertical="center"/>
    </xf>
    <xf numFmtId="0" fontId="91" fillId="0" borderId="4" applyNumberFormat="0" applyFill="0" applyAlignment="0" applyProtection="0">
      <alignment vertical="center"/>
    </xf>
    <xf numFmtId="0" fontId="91" fillId="0" borderId="4" applyNumberFormat="0" applyFill="0" applyAlignment="0" applyProtection="0">
      <alignment vertical="center"/>
    </xf>
    <xf numFmtId="0" fontId="91" fillId="0" borderId="4" applyNumberFormat="0" applyFill="0" applyAlignment="0" applyProtection="0">
      <alignment vertical="center"/>
    </xf>
    <xf numFmtId="0" fontId="91" fillId="0" borderId="4" applyNumberFormat="0" applyFill="0" applyAlignment="0" applyProtection="0">
      <alignment vertical="center"/>
    </xf>
    <xf numFmtId="0" fontId="92" fillId="16" borderId="5" applyNumberFormat="0" applyAlignment="0" applyProtection="0">
      <alignment vertical="center"/>
    </xf>
    <xf numFmtId="0" fontId="110" fillId="62" borderId="23" applyNumberFormat="0" applyAlignment="0" applyProtection="0">
      <alignment vertical="center"/>
    </xf>
    <xf numFmtId="0" fontId="110" fillId="62" borderId="23" applyNumberFormat="0" applyAlignment="0" applyProtection="0">
      <alignment vertical="center"/>
    </xf>
    <xf numFmtId="0" fontId="110" fillId="62" borderId="23" applyNumberFormat="0" applyAlignment="0" applyProtection="0">
      <alignment vertical="center"/>
    </xf>
    <xf numFmtId="0" fontId="92" fillId="16" borderId="5" applyNumberFormat="0" applyAlignment="0" applyProtection="0">
      <alignment vertical="center"/>
    </xf>
    <xf numFmtId="0" fontId="92" fillId="16" borderId="5" applyNumberFormat="0" applyAlignment="0" applyProtection="0">
      <alignment vertical="center"/>
    </xf>
    <xf numFmtId="0" fontId="92" fillId="16" borderId="5" applyNumberFormat="0" applyAlignment="0" applyProtection="0">
      <alignment vertical="center"/>
    </xf>
    <xf numFmtId="0" fontId="92" fillId="16" borderId="5" applyNumberFormat="0" applyAlignment="0" applyProtection="0">
      <alignment vertical="center"/>
    </xf>
    <xf numFmtId="0" fontId="92" fillId="16" borderId="5" applyNumberFormat="0" applyAlignment="0" applyProtection="0">
      <alignment vertical="center"/>
    </xf>
    <xf numFmtId="0" fontId="92" fillId="16" borderId="5" applyNumberFormat="0" applyAlignment="0" applyProtection="0">
      <alignment vertical="center"/>
    </xf>
    <xf numFmtId="0" fontId="93" fillId="17" borderId="6" applyNumberFormat="0" applyAlignment="0" applyProtection="0">
      <alignment vertical="center"/>
    </xf>
    <xf numFmtId="0" fontId="111" fillId="63" borderId="24" applyNumberFormat="0" applyAlignment="0" applyProtection="0">
      <alignment vertical="center"/>
    </xf>
    <xf numFmtId="0" fontId="111" fillId="63" borderId="24" applyNumberFormat="0" applyAlignment="0" applyProtection="0">
      <alignment vertical="center"/>
    </xf>
    <xf numFmtId="0" fontId="111" fillId="63" borderId="24" applyNumberFormat="0" applyAlignment="0" applyProtection="0">
      <alignment vertical="center"/>
    </xf>
    <xf numFmtId="0" fontId="93" fillId="17" borderId="6" applyNumberFormat="0" applyAlignment="0" applyProtection="0">
      <alignment vertical="center"/>
    </xf>
    <xf numFmtId="0" fontId="93" fillId="17" borderId="6" applyNumberFormat="0" applyAlignment="0" applyProtection="0">
      <alignment vertical="center"/>
    </xf>
    <xf numFmtId="0" fontId="93" fillId="17" borderId="6" applyNumberFormat="0" applyAlignment="0" applyProtection="0">
      <alignment vertical="center"/>
    </xf>
    <xf numFmtId="0" fontId="93" fillId="17" borderId="6" applyNumberFormat="0" applyAlignment="0" applyProtection="0">
      <alignment vertical="center"/>
    </xf>
    <xf numFmtId="0" fontId="93" fillId="17" borderId="6" applyNumberFormat="0" applyAlignment="0" applyProtection="0">
      <alignment vertical="center"/>
    </xf>
    <xf numFmtId="0" fontId="93" fillId="17" borderId="6" applyNumberFormat="0" applyAlignment="0" applyProtection="0">
      <alignment vertical="center"/>
    </xf>
    <xf numFmtId="0" fontId="94" fillId="0" borderId="0" applyNumberFormat="0" applyFill="0" applyBorder="0" applyAlignment="0" applyProtection="0">
      <alignment vertical="center"/>
    </xf>
    <xf numFmtId="0" fontId="112" fillId="0" borderId="0" applyNumberFormat="0" applyFill="0" applyBorder="0" applyAlignment="0" applyProtection="0">
      <alignment vertical="center"/>
    </xf>
    <xf numFmtId="0" fontId="112" fillId="0" borderId="0" applyNumberFormat="0" applyFill="0" applyBorder="0" applyAlignment="0" applyProtection="0">
      <alignment vertical="center"/>
    </xf>
    <xf numFmtId="0" fontId="112"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113" fillId="0" borderId="0" applyNumberFormat="0" applyFill="0" applyBorder="0" applyAlignment="0" applyProtection="0">
      <alignment vertical="center"/>
    </xf>
    <xf numFmtId="0" fontId="113" fillId="0" borderId="0" applyNumberFormat="0" applyFill="0" applyBorder="0" applyAlignment="0" applyProtection="0">
      <alignment vertical="center"/>
    </xf>
    <xf numFmtId="0" fontId="113"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6" fillId="0" borderId="7" applyNumberFormat="0" applyFill="0" applyAlignment="0" applyProtection="0">
      <alignment vertical="center"/>
    </xf>
    <xf numFmtId="0" fontId="114" fillId="0" borderId="25" applyNumberFormat="0" applyFill="0" applyAlignment="0" applyProtection="0">
      <alignment vertical="center"/>
    </xf>
    <xf numFmtId="0" fontId="114" fillId="0" borderId="25" applyNumberFormat="0" applyFill="0" applyAlignment="0" applyProtection="0">
      <alignment vertical="center"/>
    </xf>
    <xf numFmtId="0" fontId="114" fillId="0" borderId="25" applyNumberFormat="0" applyFill="0" applyAlignment="0" applyProtection="0">
      <alignment vertical="center"/>
    </xf>
    <xf numFmtId="0" fontId="96" fillId="0" borderId="7" applyNumberFormat="0" applyFill="0" applyAlignment="0" applyProtection="0">
      <alignment vertical="center"/>
    </xf>
    <xf numFmtId="0" fontId="96" fillId="0" borderId="7" applyNumberFormat="0" applyFill="0" applyAlignment="0" applyProtection="0">
      <alignment vertical="center"/>
    </xf>
    <xf numFmtId="0" fontId="96" fillId="0" borderId="7" applyNumberFormat="0" applyFill="0" applyAlignment="0" applyProtection="0">
      <alignment vertical="center"/>
    </xf>
    <xf numFmtId="0" fontId="96" fillId="0" borderId="7" applyNumberFormat="0" applyFill="0" applyAlignment="0" applyProtection="0">
      <alignment vertical="center"/>
    </xf>
    <xf numFmtId="0" fontId="96" fillId="0" borderId="7" applyNumberFormat="0" applyFill="0" applyAlignment="0" applyProtection="0">
      <alignment vertical="center"/>
    </xf>
    <xf numFmtId="0" fontId="96" fillId="0" borderId="7" applyNumberFormat="0" applyFill="0" applyAlignment="0" applyProtection="0">
      <alignment vertical="center"/>
    </xf>
    <xf numFmtId="0" fontId="84" fillId="18" borderId="0" applyNumberFormat="0" applyBorder="0" applyAlignment="0" applyProtection="0">
      <alignment vertical="center"/>
    </xf>
    <xf numFmtId="0" fontId="102" fillId="64" borderId="0" applyNumberFormat="0" applyBorder="0" applyAlignment="0" applyProtection="0">
      <alignment vertical="center"/>
    </xf>
    <xf numFmtId="0" fontId="102" fillId="64" borderId="0" applyNumberFormat="0" applyBorder="0" applyAlignment="0" applyProtection="0">
      <alignment vertical="center"/>
    </xf>
    <xf numFmtId="0" fontId="102" fillId="64" borderId="0" applyNumberFormat="0" applyBorder="0" applyAlignment="0" applyProtection="0">
      <alignment vertical="center"/>
    </xf>
    <xf numFmtId="0" fontId="84" fillId="18" borderId="0" applyNumberFormat="0" applyBorder="0" applyAlignment="0" applyProtection="0">
      <alignment vertical="center"/>
    </xf>
    <xf numFmtId="0" fontId="84" fillId="18" borderId="0" applyNumberFormat="0" applyBorder="0" applyAlignment="0" applyProtection="0">
      <alignment vertical="center"/>
    </xf>
    <xf numFmtId="0" fontId="84" fillId="18" borderId="0" applyNumberFormat="0" applyBorder="0" applyAlignment="0" applyProtection="0">
      <alignment vertical="center"/>
    </xf>
    <xf numFmtId="0" fontId="84" fillId="18" borderId="0" applyNumberFormat="0" applyBorder="0" applyAlignment="0" applyProtection="0">
      <alignment vertical="center"/>
    </xf>
    <xf numFmtId="0" fontId="84" fillId="18" borderId="0" applyNumberFormat="0" applyBorder="0" applyAlignment="0" applyProtection="0">
      <alignment vertical="center"/>
    </xf>
    <xf numFmtId="0" fontId="84" fillId="18" borderId="0" applyNumberFormat="0" applyBorder="0" applyAlignment="0" applyProtection="0">
      <alignment vertical="center"/>
    </xf>
    <xf numFmtId="0" fontId="84" fillId="19" borderId="0" applyNumberFormat="0" applyBorder="0" applyAlignment="0" applyProtection="0">
      <alignment vertical="center"/>
    </xf>
    <xf numFmtId="0" fontId="102" fillId="65" borderId="0" applyNumberFormat="0" applyBorder="0" applyAlignment="0" applyProtection="0">
      <alignment vertical="center"/>
    </xf>
    <xf numFmtId="0" fontId="102" fillId="65" borderId="0" applyNumberFormat="0" applyBorder="0" applyAlignment="0" applyProtection="0">
      <alignment vertical="center"/>
    </xf>
    <xf numFmtId="0" fontId="102" fillId="65" borderId="0" applyNumberFormat="0" applyBorder="0" applyAlignment="0" applyProtection="0">
      <alignment vertical="center"/>
    </xf>
    <xf numFmtId="0" fontId="84" fillId="19" borderId="0" applyNumberFormat="0" applyBorder="0" applyAlignment="0" applyProtection="0">
      <alignment vertical="center"/>
    </xf>
    <xf numFmtId="0" fontId="84" fillId="19" borderId="0" applyNumberFormat="0" applyBorder="0" applyAlignment="0" applyProtection="0">
      <alignment vertical="center"/>
    </xf>
    <xf numFmtId="0" fontId="84" fillId="19" borderId="0" applyNumberFormat="0" applyBorder="0" applyAlignment="0" applyProtection="0">
      <alignment vertical="center"/>
    </xf>
    <xf numFmtId="0" fontId="84" fillId="19" borderId="0" applyNumberFormat="0" applyBorder="0" applyAlignment="0" applyProtection="0">
      <alignment vertical="center"/>
    </xf>
    <xf numFmtId="0" fontId="84" fillId="19" borderId="0" applyNumberFormat="0" applyBorder="0" applyAlignment="0" applyProtection="0">
      <alignment vertical="center"/>
    </xf>
    <xf numFmtId="0" fontId="84" fillId="19" borderId="0" applyNumberFormat="0" applyBorder="0" applyAlignment="0" applyProtection="0">
      <alignment vertical="center"/>
    </xf>
    <xf numFmtId="0" fontId="84" fillId="20" borderId="0" applyNumberFormat="0" applyBorder="0" applyAlignment="0" applyProtection="0">
      <alignment vertical="center"/>
    </xf>
    <xf numFmtId="0" fontId="102" fillId="66" borderId="0" applyNumberFormat="0" applyBorder="0" applyAlignment="0" applyProtection="0">
      <alignment vertical="center"/>
    </xf>
    <xf numFmtId="0" fontId="102" fillId="66" borderId="0" applyNumberFormat="0" applyBorder="0" applyAlignment="0" applyProtection="0">
      <alignment vertical="center"/>
    </xf>
    <xf numFmtId="0" fontId="102" fillId="66" borderId="0" applyNumberFormat="0" applyBorder="0" applyAlignment="0" applyProtection="0">
      <alignment vertical="center"/>
    </xf>
    <xf numFmtId="0" fontId="84" fillId="20" borderId="0" applyNumberFormat="0" applyBorder="0" applyAlignment="0" applyProtection="0">
      <alignment vertical="center"/>
    </xf>
    <xf numFmtId="0" fontId="84" fillId="20" borderId="0" applyNumberFormat="0" applyBorder="0" applyAlignment="0" applyProtection="0">
      <alignment vertical="center"/>
    </xf>
    <xf numFmtId="0" fontId="84" fillId="20" borderId="0" applyNumberFormat="0" applyBorder="0" applyAlignment="0" applyProtection="0">
      <alignment vertical="center"/>
    </xf>
    <xf numFmtId="0" fontId="84" fillId="20" borderId="0" applyNumberFormat="0" applyBorder="0" applyAlignment="0" applyProtection="0">
      <alignment vertical="center"/>
    </xf>
    <xf numFmtId="0" fontId="84" fillId="20" borderId="0" applyNumberFormat="0" applyBorder="0" applyAlignment="0" applyProtection="0">
      <alignment vertical="center"/>
    </xf>
    <xf numFmtId="0" fontId="84" fillId="20" borderId="0" applyNumberFormat="0" applyBorder="0" applyAlignment="0" applyProtection="0">
      <alignment vertical="center"/>
    </xf>
    <xf numFmtId="0" fontId="84" fillId="13" borderId="0" applyNumberFormat="0" applyBorder="0" applyAlignment="0" applyProtection="0">
      <alignment vertical="center"/>
    </xf>
    <xf numFmtId="0" fontId="102" fillId="67" borderId="0" applyNumberFormat="0" applyBorder="0" applyAlignment="0" applyProtection="0">
      <alignment vertical="center"/>
    </xf>
    <xf numFmtId="0" fontId="102" fillId="67" borderId="0" applyNumberFormat="0" applyBorder="0" applyAlignment="0" applyProtection="0">
      <alignment vertical="center"/>
    </xf>
    <xf numFmtId="0" fontId="102" fillId="67" borderId="0" applyNumberFormat="0" applyBorder="0" applyAlignment="0" applyProtection="0">
      <alignment vertical="center"/>
    </xf>
    <xf numFmtId="0" fontId="84" fillId="13" borderId="0" applyNumberFormat="0" applyBorder="0" applyAlignment="0" applyProtection="0">
      <alignment vertical="center"/>
    </xf>
    <xf numFmtId="0" fontId="84" fillId="13" borderId="0" applyNumberFormat="0" applyBorder="0" applyAlignment="0" applyProtection="0">
      <alignment vertical="center"/>
    </xf>
    <xf numFmtId="0" fontId="84" fillId="13" borderId="0" applyNumberFormat="0" applyBorder="0" applyAlignment="0" applyProtection="0">
      <alignment vertical="center"/>
    </xf>
    <xf numFmtId="0" fontId="84" fillId="13" borderId="0" applyNumberFormat="0" applyBorder="0" applyAlignment="0" applyProtection="0">
      <alignment vertical="center"/>
    </xf>
    <xf numFmtId="0" fontId="84" fillId="13" borderId="0" applyNumberFormat="0" applyBorder="0" applyAlignment="0" applyProtection="0">
      <alignment vertical="center"/>
    </xf>
    <xf numFmtId="0" fontId="84" fillId="13" borderId="0" applyNumberFormat="0" applyBorder="0" applyAlignment="0" applyProtection="0">
      <alignment vertical="center"/>
    </xf>
    <xf numFmtId="0" fontId="84" fillId="14" borderId="0" applyNumberFormat="0" applyBorder="0" applyAlignment="0" applyProtection="0">
      <alignment vertical="center"/>
    </xf>
    <xf numFmtId="0" fontId="102" fillId="68" borderId="0" applyNumberFormat="0" applyBorder="0" applyAlignment="0" applyProtection="0">
      <alignment vertical="center"/>
    </xf>
    <xf numFmtId="0" fontId="102" fillId="68" borderId="0" applyNumberFormat="0" applyBorder="0" applyAlignment="0" applyProtection="0">
      <alignment vertical="center"/>
    </xf>
    <xf numFmtId="0" fontId="102" fillId="68" borderId="0" applyNumberFormat="0" applyBorder="0" applyAlignment="0" applyProtection="0">
      <alignment vertical="center"/>
    </xf>
    <xf numFmtId="0" fontId="84" fillId="14" borderId="0" applyNumberFormat="0" applyBorder="0" applyAlignment="0" applyProtection="0">
      <alignment vertical="center"/>
    </xf>
    <xf numFmtId="0" fontId="84" fillId="14" borderId="0" applyNumberFormat="0" applyBorder="0" applyAlignment="0" applyProtection="0">
      <alignment vertical="center"/>
    </xf>
    <xf numFmtId="0" fontId="84" fillId="14" borderId="0" applyNumberFormat="0" applyBorder="0" applyAlignment="0" applyProtection="0">
      <alignment vertical="center"/>
    </xf>
    <xf numFmtId="0" fontId="84" fillId="14" borderId="0" applyNumberFormat="0" applyBorder="0" applyAlignment="0" applyProtection="0">
      <alignment vertical="center"/>
    </xf>
    <xf numFmtId="0" fontId="84" fillId="14" borderId="0" applyNumberFormat="0" applyBorder="0" applyAlignment="0" applyProtection="0">
      <alignment vertical="center"/>
    </xf>
    <xf numFmtId="0" fontId="84" fillId="14" borderId="0" applyNumberFormat="0" applyBorder="0" applyAlignment="0" applyProtection="0">
      <alignment vertical="center"/>
    </xf>
    <xf numFmtId="0" fontId="84" fillId="21" borderId="0" applyNumberFormat="0" applyBorder="0" applyAlignment="0" applyProtection="0">
      <alignment vertical="center"/>
    </xf>
    <xf numFmtId="0" fontId="102" fillId="69" borderId="0" applyNumberFormat="0" applyBorder="0" applyAlignment="0" applyProtection="0">
      <alignment vertical="center"/>
    </xf>
    <xf numFmtId="0" fontId="102" fillId="69" borderId="0" applyNumberFormat="0" applyBorder="0" applyAlignment="0" applyProtection="0">
      <alignment vertical="center"/>
    </xf>
    <xf numFmtId="0" fontId="102" fillId="69" borderId="0" applyNumberFormat="0" applyBorder="0" applyAlignment="0" applyProtection="0">
      <alignment vertical="center"/>
    </xf>
    <xf numFmtId="0" fontId="84" fillId="21" borderId="0" applyNumberFormat="0" applyBorder="0" applyAlignment="0" applyProtection="0">
      <alignment vertical="center"/>
    </xf>
    <xf numFmtId="0" fontId="84" fillId="21" borderId="0" applyNumberFormat="0" applyBorder="0" applyAlignment="0" applyProtection="0">
      <alignment vertical="center"/>
    </xf>
    <xf numFmtId="0" fontId="84" fillId="21" borderId="0" applyNumberFormat="0" applyBorder="0" applyAlignment="0" applyProtection="0">
      <alignment vertical="center"/>
    </xf>
    <xf numFmtId="0" fontId="84" fillId="21" borderId="0" applyNumberFormat="0" applyBorder="0" applyAlignment="0" applyProtection="0">
      <alignment vertical="center"/>
    </xf>
    <xf numFmtId="0" fontId="84" fillId="21" borderId="0" applyNumberFormat="0" applyBorder="0" applyAlignment="0" applyProtection="0">
      <alignment vertical="center"/>
    </xf>
    <xf numFmtId="0" fontId="84" fillId="21" borderId="0" applyNumberFormat="0" applyBorder="0" applyAlignment="0" applyProtection="0">
      <alignment vertical="center"/>
    </xf>
    <xf numFmtId="0" fontId="97" fillId="22" borderId="0" applyNumberFormat="0" applyBorder="0" applyAlignment="0" applyProtection="0">
      <alignment vertical="center"/>
    </xf>
    <xf numFmtId="0" fontId="115" fillId="70" borderId="0" applyNumberFormat="0" applyBorder="0" applyAlignment="0" applyProtection="0">
      <alignment vertical="center"/>
    </xf>
    <xf numFmtId="0" fontId="115" fillId="70" borderId="0" applyNumberFormat="0" applyBorder="0" applyAlignment="0" applyProtection="0">
      <alignment vertical="center"/>
    </xf>
    <xf numFmtId="0" fontId="115" fillId="70" borderId="0" applyNumberFormat="0" applyBorder="0" applyAlignment="0" applyProtection="0">
      <alignment vertical="center"/>
    </xf>
    <xf numFmtId="0" fontId="97" fillId="22" borderId="0" applyNumberFormat="0" applyBorder="0" applyAlignment="0" applyProtection="0">
      <alignment vertical="center"/>
    </xf>
    <xf numFmtId="0" fontId="97" fillId="22" borderId="0" applyNumberFormat="0" applyBorder="0" applyAlignment="0" applyProtection="0">
      <alignment vertical="center"/>
    </xf>
    <xf numFmtId="0" fontId="97" fillId="22" borderId="0" applyNumberFormat="0" applyBorder="0" applyAlignment="0" applyProtection="0">
      <alignment vertical="center"/>
    </xf>
    <xf numFmtId="0" fontId="97" fillId="22" borderId="0" applyNumberFormat="0" applyBorder="0" applyAlignment="0" applyProtection="0">
      <alignment vertical="center"/>
    </xf>
    <xf numFmtId="0" fontId="97" fillId="22" borderId="0" applyNumberFormat="0" applyBorder="0" applyAlignment="0" applyProtection="0">
      <alignment vertical="center"/>
    </xf>
    <xf numFmtId="0" fontId="97" fillId="22" borderId="0" applyNumberFormat="0" applyBorder="0" applyAlignment="0" applyProtection="0">
      <alignment vertical="center"/>
    </xf>
    <xf numFmtId="0" fontId="98" fillId="16" borderId="8" applyNumberFormat="0" applyAlignment="0" applyProtection="0">
      <alignment vertical="center"/>
    </xf>
    <xf numFmtId="0" fontId="116" fillId="62" borderId="26" applyNumberFormat="0" applyAlignment="0" applyProtection="0">
      <alignment vertical="center"/>
    </xf>
    <xf numFmtId="0" fontId="116" fillId="62" borderId="26" applyNumberFormat="0" applyAlignment="0" applyProtection="0">
      <alignment vertical="center"/>
    </xf>
    <xf numFmtId="0" fontId="116" fillId="62" borderId="26" applyNumberFormat="0" applyAlignment="0" applyProtection="0">
      <alignment vertical="center"/>
    </xf>
    <xf numFmtId="0" fontId="98" fillId="16" borderId="8" applyNumberFormat="0" applyAlignment="0" applyProtection="0">
      <alignment vertical="center"/>
    </xf>
    <xf numFmtId="0" fontId="98" fillId="16" borderId="8" applyNumberFormat="0" applyAlignment="0" applyProtection="0">
      <alignment vertical="center"/>
    </xf>
    <xf numFmtId="0" fontId="98" fillId="16" borderId="8" applyNumberFormat="0" applyAlignment="0" applyProtection="0">
      <alignment vertical="center"/>
    </xf>
    <xf numFmtId="0" fontId="98" fillId="16" borderId="8" applyNumberFormat="0" applyAlignment="0" applyProtection="0">
      <alignment vertical="center"/>
    </xf>
    <xf numFmtId="0" fontId="98" fillId="16" borderId="8" applyNumberFormat="0" applyAlignment="0" applyProtection="0">
      <alignment vertical="center"/>
    </xf>
    <xf numFmtId="0" fontId="98" fillId="16" borderId="8" applyNumberFormat="0" applyAlignment="0" applyProtection="0">
      <alignment vertical="center"/>
    </xf>
    <xf numFmtId="0" fontId="99" fillId="7" borderId="5" applyNumberFormat="0" applyAlignment="0" applyProtection="0">
      <alignment vertical="center"/>
    </xf>
    <xf numFmtId="0" fontId="117" fillId="71" borderId="23" applyNumberFormat="0" applyAlignment="0" applyProtection="0">
      <alignment vertical="center"/>
    </xf>
    <xf numFmtId="0" fontId="117" fillId="71" borderId="23" applyNumberFormat="0" applyAlignment="0" applyProtection="0">
      <alignment vertical="center"/>
    </xf>
    <xf numFmtId="0" fontId="117" fillId="71" borderId="23" applyNumberFormat="0" applyAlignment="0" applyProtection="0">
      <alignment vertical="center"/>
    </xf>
    <xf numFmtId="0" fontId="99" fillId="7" borderId="5" applyNumberFormat="0" applyAlignment="0" applyProtection="0">
      <alignment vertical="center"/>
    </xf>
    <xf numFmtId="0" fontId="99" fillId="7" borderId="5" applyNumberFormat="0" applyAlignment="0" applyProtection="0">
      <alignment vertical="center"/>
    </xf>
    <xf numFmtId="0" fontId="99" fillId="7" borderId="5" applyNumberFormat="0" applyAlignment="0" applyProtection="0">
      <alignment vertical="center"/>
    </xf>
    <xf numFmtId="0" fontId="99" fillId="7" borderId="5" applyNumberFormat="0" applyAlignment="0" applyProtection="0">
      <alignment vertical="center"/>
    </xf>
    <xf numFmtId="0" fontId="99" fillId="7" borderId="5" applyNumberFormat="0" applyAlignment="0" applyProtection="0">
      <alignment vertical="center"/>
    </xf>
    <xf numFmtId="0" fontId="99" fillId="7" borderId="5" applyNumberForma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101" fillId="72" borderId="27" applyNumberFormat="0" applyFont="0" applyAlignment="0" applyProtection="0">
      <alignment vertical="center"/>
    </xf>
    <xf numFmtId="0" fontId="83"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101"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83"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83" fillId="72" borderId="27"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5" borderId="0" applyNumberFormat="0" applyBorder="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101" fillId="72" borderId="27"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101" fillId="72" borderId="27" applyNumberFormat="0" applyFont="0" applyAlignment="0" applyProtection="0">
      <alignment vertical="center"/>
    </xf>
    <xf numFmtId="0" fontId="83" fillId="72" borderId="27" applyNumberFormat="0" applyFont="0" applyAlignment="0" applyProtection="0">
      <alignment vertical="center"/>
    </xf>
    <xf numFmtId="0" fontId="83" fillId="23" borderId="9" applyNumberFormat="0" applyFont="0" applyAlignment="0" applyProtection="0">
      <alignment vertical="center"/>
    </xf>
    <xf numFmtId="0" fontId="83" fillId="72" borderId="27"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117" fillId="71" borderId="23" applyNumberForma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115" fillId="70" borderId="0" applyNumberFormat="0" applyBorder="0" applyAlignment="0" applyProtection="0">
      <alignment vertical="center"/>
    </xf>
    <xf numFmtId="0" fontId="98" fillId="16" borderId="8" applyNumberFormat="0" applyAlignment="0" applyProtection="0">
      <alignment vertical="center"/>
    </xf>
    <xf numFmtId="0" fontId="116" fillId="62" borderId="26" applyNumberFormat="0" applyAlignment="0" applyProtection="0">
      <alignment vertical="center"/>
    </xf>
    <xf numFmtId="0" fontId="84" fillId="14" borderId="0" applyNumberFormat="0" applyBorder="0" applyAlignment="0" applyProtection="0">
      <alignment vertical="center"/>
    </xf>
    <xf numFmtId="0" fontId="84" fillId="21" borderId="0" applyNumberFormat="0" applyBorder="0" applyAlignment="0" applyProtection="0">
      <alignment vertical="center"/>
    </xf>
    <xf numFmtId="0" fontId="84" fillId="21" borderId="0" applyNumberFormat="0" applyBorder="0" applyAlignment="0" applyProtection="0">
      <alignment vertical="center"/>
    </xf>
    <xf numFmtId="0" fontId="84" fillId="20" borderId="0" applyNumberFormat="0" applyBorder="0" applyAlignment="0" applyProtection="0">
      <alignment vertical="center"/>
    </xf>
    <xf numFmtId="0" fontId="84" fillId="19" borderId="0" applyNumberFormat="0" applyBorder="0" applyAlignment="0" applyProtection="0">
      <alignment vertical="center"/>
    </xf>
    <xf numFmtId="0" fontId="92" fillId="16" borderId="5" applyNumberFormat="0" applyAlignment="0" applyProtection="0">
      <alignment vertical="center"/>
    </xf>
    <xf numFmtId="0" fontId="102" fillId="65" borderId="0" applyNumberFormat="0" applyBorder="0" applyAlignment="0" applyProtection="0">
      <alignment vertical="center"/>
    </xf>
    <xf numFmtId="0" fontId="84" fillId="19" borderId="0" applyNumberFormat="0" applyBorder="0" applyAlignment="0" applyProtection="0">
      <alignment vertical="center"/>
    </xf>
    <xf numFmtId="0" fontId="84" fillId="18" borderId="0" applyNumberFormat="0" applyBorder="0" applyAlignment="0" applyProtection="0">
      <alignment vertical="center"/>
    </xf>
    <xf numFmtId="0" fontId="84" fillId="18" borderId="0" applyNumberFormat="0" applyBorder="0" applyAlignment="0" applyProtection="0">
      <alignment vertical="center"/>
    </xf>
    <xf numFmtId="0" fontId="102" fillId="64" borderId="0" applyNumberFormat="0" applyBorder="0" applyAlignment="0" applyProtection="0">
      <alignment vertical="center"/>
    </xf>
    <xf numFmtId="0" fontId="96" fillId="0" borderId="7" applyNumberFormat="0" applyFill="0" applyAlignment="0" applyProtection="0">
      <alignment vertical="center"/>
    </xf>
    <xf numFmtId="0" fontId="96" fillId="0" borderId="7" applyNumberFormat="0" applyFill="0" applyAlignment="0" applyProtection="0">
      <alignment vertical="center"/>
    </xf>
    <xf numFmtId="0" fontId="114" fillId="0" borderId="25" applyNumberFormat="0" applyFill="0" applyAlignment="0" applyProtection="0">
      <alignment vertical="center"/>
    </xf>
    <xf numFmtId="0" fontId="95"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113"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112" fillId="0" borderId="0" applyNumberFormat="0" applyFill="0" applyBorder="0" applyAlignment="0" applyProtection="0">
      <alignment vertical="center"/>
    </xf>
    <xf numFmtId="0" fontId="93" fillId="17" borderId="6" applyNumberFormat="0" applyAlignment="0" applyProtection="0">
      <alignment vertical="center"/>
    </xf>
    <xf numFmtId="0" fontId="92" fillId="16" borderId="5" applyNumberFormat="0" applyAlignment="0" applyProtection="0">
      <alignment vertical="center"/>
    </xf>
    <xf numFmtId="0" fontId="110" fillId="62" borderId="23" applyNumberFormat="0" applyAlignment="0" applyProtection="0">
      <alignment vertical="center"/>
    </xf>
    <xf numFmtId="0" fontId="92" fillId="16" borderId="5" applyNumberFormat="0" applyAlignment="0" applyProtection="0">
      <alignment vertical="center"/>
    </xf>
    <xf numFmtId="0" fontId="91" fillId="0" borderId="4" applyNumberFormat="0" applyFill="0" applyAlignment="0" applyProtection="0">
      <alignment vertical="center"/>
    </xf>
    <xf numFmtId="0" fontId="91" fillId="0" borderId="4" applyNumberFormat="0" applyFill="0" applyAlignment="0" applyProtection="0">
      <alignment vertical="center"/>
    </xf>
    <xf numFmtId="0" fontId="109" fillId="0" borderId="22" applyNumberFormat="0" applyFill="0" applyAlignment="0" applyProtection="0">
      <alignment vertical="center"/>
    </xf>
    <xf numFmtId="0" fontId="83" fillId="5" borderId="0" applyNumberFormat="0" applyBorder="0" applyAlignment="0" applyProtection="0">
      <alignment vertical="center"/>
    </xf>
    <xf numFmtId="0" fontId="90" fillId="4" borderId="0" applyNumberFormat="0" applyBorder="0" applyAlignment="0" applyProtection="0">
      <alignment vertical="center"/>
    </xf>
    <xf numFmtId="0" fontId="108" fillId="61" borderId="0" applyNumberFormat="0" applyBorder="0" applyAlignment="0" applyProtection="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7" fillId="0" borderId="2" applyNumberFormat="0" applyFill="0" applyAlignment="0" applyProtection="0">
      <alignment vertical="center"/>
    </xf>
    <xf numFmtId="0" fontId="89" fillId="3" borderId="0" applyNumberFormat="0" applyBorder="0" applyAlignment="0" applyProtection="0">
      <alignment vertical="center"/>
    </xf>
    <xf numFmtId="0" fontId="107" fillId="60" borderId="0" applyNumberFormat="0" applyBorder="0" applyAlignment="0" applyProtection="0">
      <alignment vertical="center"/>
    </xf>
    <xf numFmtId="0" fontId="89" fillId="3" borderId="0" applyNumberFormat="0" applyBorder="0" applyAlignment="0" applyProtection="0">
      <alignment vertical="center"/>
    </xf>
    <xf numFmtId="0" fontId="85" fillId="0" borderId="0" applyNumberFormat="0" applyFill="0" applyBorder="0" applyAlignment="0" applyProtection="0">
      <alignment vertical="center"/>
    </xf>
    <xf numFmtId="0" fontId="85" fillId="0" borderId="0" applyNumberFormat="0" applyFill="0" applyBorder="0" applyAlignment="0" applyProtection="0">
      <alignment vertical="center"/>
    </xf>
    <xf numFmtId="0" fontId="106"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3" applyNumberFormat="0" applyFill="0" applyAlignment="0" applyProtection="0">
      <alignment vertical="center"/>
    </xf>
    <xf numFmtId="0" fontId="87" fillId="0" borderId="2" applyNumberFormat="0" applyFill="0" applyAlignment="0" applyProtection="0">
      <alignment vertical="center"/>
    </xf>
    <xf numFmtId="0" fontId="86" fillId="0" borderId="1" applyNumberFormat="0" applyFill="0" applyAlignment="0" applyProtection="0">
      <alignment vertical="center"/>
    </xf>
    <xf numFmtId="0" fontId="86" fillId="0" borderId="1" applyNumberFormat="0" applyFill="0" applyAlignment="0" applyProtection="0">
      <alignment vertical="center"/>
    </xf>
    <xf numFmtId="0" fontId="103" fillId="0" borderId="19" applyNumberFormat="0" applyFill="0" applyAlignment="0" applyProtection="0">
      <alignment vertical="center"/>
    </xf>
    <xf numFmtId="0" fontId="84" fillId="15" borderId="0" applyNumberFormat="0" applyBorder="0" applyAlignment="0" applyProtection="0">
      <alignment vertical="center"/>
    </xf>
    <xf numFmtId="0" fontId="84" fillId="15" borderId="0" applyNumberFormat="0" applyBorder="0" applyAlignment="0" applyProtection="0">
      <alignment vertical="center"/>
    </xf>
    <xf numFmtId="0" fontId="84" fillId="14"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15" borderId="0" applyNumberFormat="0" applyBorder="0" applyAlignment="0" applyProtection="0">
      <alignment vertical="center"/>
    </xf>
    <xf numFmtId="0" fontId="102" fillId="15" borderId="0" applyNumberFormat="0" applyBorder="0" applyAlignment="0" applyProtection="0">
      <alignment vertical="center"/>
    </xf>
    <xf numFmtId="0" fontId="102" fillId="59" borderId="0" applyNumberFormat="0" applyBorder="0" applyAlignment="0" applyProtection="0">
      <alignment vertical="center"/>
    </xf>
    <xf numFmtId="0" fontId="102" fillId="58" borderId="0" applyNumberFormat="0" applyBorder="0" applyAlignment="0" applyProtection="0">
      <alignment vertical="center"/>
    </xf>
    <xf numFmtId="0" fontId="84" fillId="13" borderId="0" applyNumberFormat="0" applyBorder="0" applyAlignment="0" applyProtection="0">
      <alignment vertical="center"/>
    </xf>
    <xf numFmtId="0" fontId="84" fillId="13"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13" borderId="0" applyNumberFormat="0" applyBorder="0" applyAlignment="0" applyProtection="0">
      <alignment vertical="center"/>
    </xf>
    <xf numFmtId="0" fontId="102" fillId="13" borderId="0" applyNumberFormat="0" applyBorder="0" applyAlignment="0" applyProtection="0">
      <alignment vertical="center"/>
    </xf>
    <xf numFmtId="0" fontId="83" fillId="5" borderId="0" applyNumberFormat="0" applyBorder="0" applyAlignment="0" applyProtection="0">
      <alignment vertical="center"/>
    </xf>
    <xf numFmtId="0" fontId="83" fillId="11" borderId="0" applyNumberFormat="0" applyBorder="0" applyAlignment="0" applyProtection="0">
      <alignment vertical="center"/>
    </xf>
    <xf numFmtId="0" fontId="84" fillId="10" borderId="0" applyNumberFormat="0" applyBorder="0" applyAlignment="0" applyProtection="0">
      <alignment vertical="center"/>
    </xf>
    <xf numFmtId="0" fontId="84" fillId="10"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10"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84" fillId="10" borderId="0" applyNumberFormat="0" applyBorder="0" applyAlignment="0" applyProtection="0">
      <alignment vertical="center"/>
    </xf>
    <xf numFmtId="0" fontId="84" fillId="9" borderId="0" applyNumberFormat="0" applyBorder="0" applyAlignment="0" applyProtection="0">
      <alignment vertical="center"/>
    </xf>
    <xf numFmtId="0" fontId="102" fillId="55" borderId="0" applyNumberFormat="0" applyBorder="0" applyAlignment="0" applyProtection="0">
      <alignment vertical="center"/>
    </xf>
    <xf numFmtId="0" fontId="84" fillId="12"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101" fillId="53"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8" borderId="0" applyNumberFormat="0" applyBorder="0" applyAlignment="0" applyProtection="0">
      <alignment vertical="center"/>
    </xf>
    <xf numFmtId="0" fontId="83" fillId="11"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101" fillId="52"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101" fillId="51"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9" borderId="0" applyNumberFormat="0" applyBorder="0" applyAlignment="0" applyProtection="0">
      <alignment vertical="center"/>
    </xf>
    <xf numFmtId="0" fontId="101" fillId="5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10" borderId="0" applyNumberFormat="0" applyBorder="0" applyAlignment="0" applyProtection="0">
      <alignment vertical="center"/>
    </xf>
    <xf numFmtId="0" fontId="101" fillId="1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8"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8"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101" fillId="4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101" fillId="4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6"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101" fillId="4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4"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5" borderId="0" applyNumberFormat="0" applyBorder="0" applyAlignment="0" applyProtection="0">
      <alignment vertical="center"/>
    </xf>
    <xf numFmtId="0" fontId="101" fillId="5" borderId="0" applyNumberFormat="0" applyBorder="0" applyAlignment="0" applyProtection="0">
      <alignment vertical="center"/>
    </xf>
    <xf numFmtId="0" fontId="101"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 borderId="0" applyNumberFormat="0" applyBorder="0" applyAlignment="0" applyProtection="0">
      <alignment vertical="center"/>
    </xf>
    <xf numFmtId="0" fontId="101"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101" fillId="4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3" borderId="0" applyNumberFormat="0" applyBorder="0" applyAlignment="0" applyProtection="0">
      <alignment vertical="center"/>
    </xf>
    <xf numFmtId="0" fontId="101" fillId="3" borderId="0" applyNumberFormat="0" applyBorder="0" applyAlignment="0" applyProtection="0">
      <alignment vertical="center"/>
    </xf>
    <xf numFmtId="0" fontId="101" fillId="3" borderId="0" applyNumberFormat="0" applyBorder="0" applyAlignment="0" applyProtection="0">
      <alignment vertical="center"/>
    </xf>
    <xf numFmtId="0" fontId="101" fillId="43" borderId="0" applyNumberFormat="0" applyBorder="0" applyAlignment="0" applyProtection="0">
      <alignment vertical="center"/>
    </xf>
    <xf numFmtId="0" fontId="83" fillId="2"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101" fillId="4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101" fillId="2" borderId="0" applyNumberFormat="0" applyBorder="0" applyAlignment="0" applyProtection="0">
      <alignment vertical="center"/>
    </xf>
    <xf numFmtId="0" fontId="101" fillId="2" borderId="0" applyNumberFormat="0" applyBorder="0" applyAlignment="0" applyProtection="0">
      <alignment vertical="center"/>
    </xf>
    <xf numFmtId="0" fontId="101"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101" fillId="3" borderId="0" applyNumberFormat="0" applyBorder="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101" fillId="72" borderId="27"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101" fillId="72" borderId="27" applyNumberFormat="0" applyFont="0" applyAlignment="0" applyProtection="0">
      <alignment vertical="center"/>
    </xf>
    <xf numFmtId="0" fontId="83" fillId="72" borderId="27" applyNumberFormat="0" applyFont="0" applyAlignment="0" applyProtection="0">
      <alignment vertical="center"/>
    </xf>
    <xf numFmtId="0" fontId="101"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23" borderId="9" applyNumberFormat="0" applyFont="0" applyAlignment="0" applyProtection="0">
      <alignment vertical="center"/>
    </xf>
    <xf numFmtId="0" fontId="83" fillId="72" borderId="27"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117" fillId="71" borderId="23" applyNumberForma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99" fillId="7" borderId="5" applyNumberFormat="0" applyAlignment="0" applyProtection="0">
      <alignment vertical="center"/>
    </xf>
    <xf numFmtId="0" fontId="115" fillId="70" borderId="0" applyNumberFormat="0" applyBorder="0" applyAlignment="0" applyProtection="0">
      <alignment vertical="center"/>
    </xf>
    <xf numFmtId="0" fontId="98" fillId="16" borderId="8" applyNumberFormat="0" applyAlignment="0" applyProtection="0">
      <alignment vertical="center"/>
    </xf>
    <xf numFmtId="0" fontId="116" fillId="62" borderId="26" applyNumberFormat="0" applyAlignment="0" applyProtection="0">
      <alignment vertical="center"/>
    </xf>
    <xf numFmtId="0" fontId="97" fillId="22" borderId="0" applyNumberFormat="0" applyBorder="0" applyAlignment="0" applyProtection="0">
      <alignment vertical="center"/>
    </xf>
    <xf numFmtId="0" fontId="84" fillId="13" borderId="0" applyNumberFormat="0" applyBorder="0" applyAlignment="0" applyProtection="0">
      <alignment vertical="center"/>
    </xf>
    <xf numFmtId="0" fontId="84" fillId="21" borderId="0" applyNumberFormat="0" applyBorder="0" applyAlignment="0" applyProtection="0">
      <alignment vertical="center"/>
    </xf>
    <xf numFmtId="0" fontId="84" fillId="14" borderId="0" applyNumberFormat="0" applyBorder="0" applyAlignment="0" applyProtection="0">
      <alignment vertical="center"/>
    </xf>
    <xf numFmtId="0" fontId="84" fillId="14" borderId="0" applyNumberFormat="0" applyBorder="0" applyAlignment="0" applyProtection="0">
      <alignment vertical="center"/>
    </xf>
    <xf numFmtId="0" fontId="84" fillId="20" borderId="0" applyNumberFormat="0" applyBorder="0" applyAlignment="0" applyProtection="0">
      <alignment vertical="center"/>
    </xf>
    <xf numFmtId="0" fontId="84" fillId="13" borderId="0" applyNumberFormat="0" applyBorder="0" applyAlignment="0" applyProtection="0">
      <alignment vertical="center"/>
    </xf>
    <xf numFmtId="0" fontId="102" fillId="67" borderId="0" applyNumberFormat="0" applyBorder="0" applyAlignment="0" applyProtection="0">
      <alignment vertical="center"/>
    </xf>
    <xf numFmtId="0" fontId="84" fillId="19" borderId="0" applyNumberFormat="0" applyBorder="0" applyAlignment="0" applyProtection="0">
      <alignment vertical="center"/>
    </xf>
    <xf numFmtId="0" fontId="93" fillId="17" borderId="6" applyNumberFormat="0" applyAlignment="0" applyProtection="0">
      <alignment vertical="center"/>
    </xf>
    <xf numFmtId="0" fontId="113" fillId="0" borderId="0" applyNumberFormat="0" applyFill="0" applyBorder="0" applyAlignment="0" applyProtection="0">
      <alignment vertical="center"/>
    </xf>
    <xf numFmtId="0" fontId="83" fillId="10" borderId="0" applyNumberFormat="0" applyBorder="0" applyAlignment="0" applyProtection="0">
      <alignment vertical="center"/>
    </xf>
    <xf numFmtId="0" fontId="90" fillId="4" borderId="0" applyNumberFormat="0" applyBorder="0" applyAlignment="0" applyProtection="0">
      <alignment vertical="center"/>
    </xf>
    <xf numFmtId="0" fontId="108" fillId="61" borderId="0" applyNumberFormat="0" applyBorder="0" applyAlignment="0" applyProtection="0">
      <alignment vertical="center"/>
    </xf>
    <xf numFmtId="0" fontId="101" fillId="0" borderId="0">
      <alignment vertical="center"/>
    </xf>
    <xf numFmtId="0" fontId="82" fillId="0" borderId="0">
      <alignment vertical="center"/>
    </xf>
    <xf numFmtId="0" fontId="82" fillId="0" borderId="0">
      <alignment vertical="center"/>
    </xf>
    <xf numFmtId="0" fontId="82" fillId="0" borderId="0">
      <alignment vertical="center"/>
    </xf>
    <xf numFmtId="0" fontId="105" fillId="0" borderId="0" applyNumberFormat="0" applyFill="0" applyBorder="0" applyAlignment="0" applyProtection="0">
      <alignment vertical="center"/>
    </xf>
    <xf numFmtId="0" fontId="88" fillId="0" borderId="3" applyNumberFormat="0" applyFill="0" applyAlignment="0" applyProtection="0">
      <alignment vertical="center"/>
    </xf>
    <xf numFmtId="0" fontId="87" fillId="0" borderId="2" applyNumberFormat="0" applyFill="0" applyAlignment="0" applyProtection="0">
      <alignment vertical="center"/>
    </xf>
    <xf numFmtId="0" fontId="102" fillId="59"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83" fillId="5" borderId="0" applyNumberFormat="0" applyBorder="0" applyAlignment="0" applyProtection="0">
      <alignment vertical="center"/>
    </xf>
    <xf numFmtId="0" fontId="84" fillId="12" borderId="0" applyNumberFormat="0" applyBorder="0" applyAlignment="0" applyProtection="0">
      <alignment vertical="center"/>
    </xf>
    <xf numFmtId="0" fontId="84" fillId="9"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9"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8" borderId="0" applyNumberFormat="0" applyBorder="0" applyAlignment="0" applyProtection="0">
      <alignment vertical="center"/>
    </xf>
    <xf numFmtId="0" fontId="83" fillId="9"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7" borderId="0" applyNumberFormat="0" applyBorder="0" applyAlignment="0" applyProtection="0">
      <alignment vertical="center"/>
    </xf>
    <xf numFmtId="0" fontId="83" fillId="6" borderId="0" applyNumberFormat="0" applyBorder="0" applyAlignment="0" applyProtection="0">
      <alignment vertical="center"/>
    </xf>
    <xf numFmtId="0" fontId="83" fillId="5" borderId="0" applyNumberFormat="0" applyBorder="0" applyAlignment="0" applyProtection="0">
      <alignment vertical="center"/>
    </xf>
    <xf numFmtId="0" fontId="101" fillId="44"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4" borderId="0" applyNumberFormat="0" applyBorder="0" applyAlignment="0" applyProtection="0">
      <alignment vertical="center"/>
    </xf>
    <xf numFmtId="0" fontId="101" fillId="4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101" fillId="4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101" fillId="43" borderId="0" applyNumberFormat="0" applyBorder="0" applyAlignment="0" applyProtection="0">
      <alignment vertical="center"/>
    </xf>
    <xf numFmtId="0" fontId="83" fillId="2"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101" fillId="4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8" fillId="0" borderId="3" applyNumberFormat="0" applyFill="0" applyAlignment="0" applyProtection="0">
      <alignment vertical="center"/>
    </xf>
    <xf numFmtId="0" fontId="83" fillId="5"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101" fillId="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83" fillId="2" borderId="0" applyNumberFormat="0" applyBorder="0" applyAlignment="0" applyProtection="0">
      <alignment vertical="center"/>
    </xf>
    <xf numFmtId="0" fontId="101" fillId="4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101" fillId="4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101" fillId="44" borderId="0" applyNumberFormat="0" applyBorder="0" applyAlignment="0" applyProtection="0">
      <alignment vertical="center"/>
    </xf>
    <xf numFmtId="0" fontId="83" fillId="4"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101" fillId="45" borderId="0" applyNumberFormat="0" applyBorder="0" applyAlignment="0" applyProtection="0">
      <alignment vertical="center"/>
    </xf>
    <xf numFmtId="0" fontId="101" fillId="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83" fillId="4" borderId="0" applyNumberFormat="0" applyBorder="0" applyAlignment="0" applyProtection="0">
      <alignment vertical="center"/>
    </xf>
    <xf numFmtId="0" fontId="83" fillId="5" borderId="0" applyNumberFormat="0" applyBorder="0" applyAlignment="0" applyProtection="0">
      <alignment vertical="center"/>
    </xf>
    <xf numFmtId="0" fontId="83" fillId="6" borderId="0" applyNumberFormat="0" applyBorder="0" applyAlignment="0" applyProtection="0">
      <alignment vertical="center"/>
    </xf>
    <xf numFmtId="0" fontId="83" fillId="7"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101" fillId="49" borderId="0" applyNumberFormat="0" applyBorder="0" applyAlignment="0" applyProtection="0">
      <alignment vertical="center"/>
    </xf>
    <xf numFmtId="0" fontId="83" fillId="8" borderId="0" applyNumberFormat="0" applyBorder="0" applyAlignment="0" applyProtection="0">
      <alignment vertical="center"/>
    </xf>
    <xf numFmtId="0" fontId="83" fillId="10" borderId="0" applyNumberFormat="0" applyBorder="0" applyAlignment="0" applyProtection="0">
      <alignment vertical="center"/>
    </xf>
    <xf numFmtId="0" fontId="101" fillId="50" borderId="0" applyNumberFormat="0" applyBorder="0" applyAlignment="0" applyProtection="0">
      <alignment vertical="center"/>
    </xf>
    <xf numFmtId="0" fontId="83" fillId="9"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4" fillId="9" borderId="0" applyNumberFormat="0" applyBorder="0" applyAlignment="0" applyProtection="0">
      <alignment vertical="center"/>
    </xf>
    <xf numFmtId="0" fontId="102" fillId="54" borderId="0" applyNumberFormat="0" applyBorder="0" applyAlignment="0" applyProtection="0">
      <alignment vertical="center"/>
    </xf>
    <xf numFmtId="0" fontId="84" fillId="10" borderId="0" applyNumberFormat="0" applyBorder="0" applyAlignment="0" applyProtection="0">
      <alignment vertical="center"/>
    </xf>
    <xf numFmtId="0" fontId="102" fillId="57" borderId="0" applyNumberFormat="0" applyBorder="0" applyAlignment="0" applyProtection="0">
      <alignment vertical="center"/>
    </xf>
    <xf numFmtId="0" fontId="102" fillId="13" borderId="0" applyNumberFormat="0" applyBorder="0" applyAlignment="0" applyProtection="0">
      <alignment vertical="center"/>
    </xf>
    <xf numFmtId="0" fontId="102" fillId="58" borderId="0" applyNumberFormat="0" applyBorder="0" applyAlignment="0" applyProtection="0">
      <alignment vertical="center"/>
    </xf>
    <xf numFmtId="0" fontId="104" fillId="0" borderId="20" applyNumberFormat="0" applyFill="0" applyAlignment="0" applyProtection="0">
      <alignment vertical="center"/>
    </xf>
    <xf numFmtId="0" fontId="105" fillId="0" borderId="21" applyNumberFormat="0" applyFill="0" applyAlignment="0" applyProtection="0">
      <alignment vertical="center"/>
    </xf>
    <xf numFmtId="0" fontId="88" fillId="0" borderId="3" applyNumberFormat="0" applyFill="0" applyAlignment="0" applyProtection="0">
      <alignment vertical="center"/>
    </xf>
    <xf numFmtId="0" fontId="89" fillId="3" borderId="0" applyNumberFormat="0" applyBorder="0" applyAlignment="0" applyProtection="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3" fillId="10" borderId="0" applyNumberFormat="0" applyBorder="0" applyAlignment="0" applyProtection="0">
      <alignment vertical="center"/>
    </xf>
    <xf numFmtId="0" fontId="94" fillId="0" borderId="0" applyNumberFormat="0" applyFill="0" applyBorder="0" applyAlignment="0" applyProtection="0">
      <alignment vertical="center"/>
    </xf>
    <xf numFmtId="0" fontId="111" fillId="63" borderId="24" applyNumberFormat="0" applyAlignment="0" applyProtection="0">
      <alignment vertical="center"/>
    </xf>
    <xf numFmtId="0" fontId="84" fillId="19" borderId="0" applyNumberFormat="0" applyBorder="0" applyAlignment="0" applyProtection="0">
      <alignment vertical="center"/>
    </xf>
    <xf numFmtId="0" fontId="84" fillId="20" borderId="0" applyNumberFormat="0" applyBorder="0" applyAlignment="0" applyProtection="0">
      <alignment vertical="center"/>
    </xf>
    <xf numFmtId="0" fontId="102" fillId="67" borderId="0" applyNumberFormat="0" applyBorder="0" applyAlignment="0" applyProtection="0">
      <alignment vertical="center"/>
    </xf>
    <xf numFmtId="0" fontId="102" fillId="66" borderId="0" applyNumberFormat="0" applyBorder="0" applyAlignment="0" applyProtection="0">
      <alignment vertical="center"/>
    </xf>
    <xf numFmtId="0" fontId="102" fillId="68" borderId="0" applyNumberFormat="0" applyBorder="0" applyAlignment="0" applyProtection="0">
      <alignment vertical="center"/>
    </xf>
    <xf numFmtId="0" fontId="102" fillId="69" borderId="0" applyNumberFormat="0" applyBorder="0" applyAlignment="0" applyProtection="0">
      <alignment vertical="center"/>
    </xf>
    <xf numFmtId="0" fontId="84" fillId="13" borderId="0" applyNumberFormat="0" applyBorder="0" applyAlignment="0" applyProtection="0">
      <alignment vertical="center"/>
    </xf>
    <xf numFmtId="0" fontId="97" fillId="22" borderId="0" applyNumberFormat="0" applyBorder="0" applyAlignment="0" applyProtection="0">
      <alignment vertical="center"/>
    </xf>
    <xf numFmtId="0" fontId="97" fillId="22" borderId="0" applyNumberFormat="0" applyBorder="0" applyAlignment="0" applyProtection="0">
      <alignment vertical="center"/>
    </xf>
    <xf numFmtId="0" fontId="98" fillId="16" borderId="8" applyNumberForma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 borderId="0" applyNumberFormat="0" applyBorder="0" applyAlignment="0" applyProtection="0">
      <alignment vertical="center"/>
    </xf>
    <xf numFmtId="0" fontId="83" fillId="23" borderId="9" applyNumberFormat="0" applyFont="0" applyAlignment="0" applyProtection="0">
      <alignment vertical="center"/>
    </xf>
    <xf numFmtId="0" fontId="83" fillId="5" borderId="0" applyNumberFormat="0" applyBorder="0" applyAlignment="0" applyProtection="0">
      <alignment vertical="center"/>
    </xf>
    <xf numFmtId="0" fontId="88" fillId="0" borderId="3" applyNumberFormat="0" applyFill="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3"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90" fillId="4" borderId="0" applyNumberFormat="0" applyBorder="0" applyAlignment="0" applyProtection="0">
      <alignment vertical="center"/>
    </xf>
    <xf numFmtId="0" fontId="84" fillId="14" borderId="0" applyNumberFormat="0" applyBorder="0" applyAlignment="0" applyProtection="0">
      <alignment vertical="center"/>
    </xf>
    <xf numFmtId="0" fontId="84" fillId="21" borderId="0" applyNumberFormat="0" applyBorder="0" applyAlignment="0" applyProtection="0">
      <alignment vertical="center"/>
    </xf>
    <xf numFmtId="0" fontId="99" fillId="7" borderId="5" applyNumberForma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3" borderId="0" applyNumberFormat="0" applyBorder="0" applyAlignment="0" applyProtection="0">
      <alignment vertical="center"/>
    </xf>
    <xf numFmtId="0" fontId="102" fillId="66" borderId="0" applyNumberFormat="0" applyBorder="0" applyAlignment="0" applyProtection="0">
      <alignment vertical="center"/>
    </xf>
    <xf numFmtId="0" fontId="102" fillId="65" borderId="0" applyNumberFormat="0" applyBorder="0" applyAlignment="0" applyProtection="0">
      <alignment vertical="center"/>
    </xf>
    <xf numFmtId="0" fontId="84" fillId="18" borderId="0" applyNumberFormat="0" applyBorder="0" applyAlignment="0" applyProtection="0">
      <alignment vertical="center"/>
    </xf>
    <xf numFmtId="0" fontId="84" fillId="18" borderId="0" applyNumberFormat="0" applyBorder="0" applyAlignment="0" applyProtection="0">
      <alignment vertical="center"/>
    </xf>
    <xf numFmtId="0" fontId="102" fillId="64" borderId="0" applyNumberFormat="0" applyBorder="0" applyAlignment="0" applyProtection="0">
      <alignment vertical="center"/>
    </xf>
    <xf numFmtId="0" fontId="84" fillId="18" borderId="0" applyNumberFormat="0" applyBorder="0" applyAlignment="0" applyProtection="0">
      <alignment vertical="center"/>
    </xf>
    <xf numFmtId="0" fontId="96" fillId="0" borderId="7" applyNumberFormat="0" applyFill="0" applyAlignment="0" applyProtection="0">
      <alignment vertical="center"/>
    </xf>
    <xf numFmtId="0" fontId="96" fillId="0" borderId="7" applyNumberFormat="0" applyFill="0" applyAlignment="0" applyProtection="0">
      <alignment vertical="center"/>
    </xf>
    <xf numFmtId="0" fontId="114" fillId="0" borderId="25" applyNumberFormat="0" applyFill="0" applyAlignment="0" applyProtection="0">
      <alignment vertical="center"/>
    </xf>
    <xf numFmtId="0" fontId="95"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112"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3" fillId="17" borderId="6" applyNumberFormat="0" applyAlignment="0" applyProtection="0">
      <alignment vertical="center"/>
    </xf>
    <xf numFmtId="0" fontId="92" fillId="16" borderId="5" applyNumberFormat="0" applyAlignment="0" applyProtection="0">
      <alignment vertical="center"/>
    </xf>
    <xf numFmtId="0" fontId="92" fillId="16" borderId="5" applyNumberFormat="0" applyAlignment="0" applyProtection="0">
      <alignment vertical="center"/>
    </xf>
    <xf numFmtId="0" fontId="110" fillId="62" borderId="23" applyNumberFormat="0" applyAlignment="0" applyProtection="0">
      <alignment vertical="center"/>
    </xf>
    <xf numFmtId="0" fontId="91" fillId="0" borderId="4" applyNumberFormat="0" applyFill="0" applyAlignment="0" applyProtection="0">
      <alignment vertical="center"/>
    </xf>
    <xf numFmtId="0" fontId="91" fillId="0" borderId="4" applyNumberFormat="0" applyFill="0" applyAlignment="0" applyProtection="0">
      <alignment vertical="center"/>
    </xf>
    <xf numFmtId="0" fontId="109" fillId="0" borderId="22" applyNumberFormat="0" applyFill="0" applyAlignment="0" applyProtection="0">
      <alignment vertical="center"/>
    </xf>
    <xf numFmtId="0" fontId="91" fillId="0" borderId="4" applyNumberFormat="0" applyFill="0" applyAlignment="0" applyProtection="0">
      <alignment vertical="center"/>
    </xf>
    <xf numFmtId="0" fontId="89" fillId="3" borderId="0" applyNumberFormat="0" applyBorder="0" applyAlignment="0" applyProtection="0">
      <alignment vertical="center"/>
    </xf>
    <xf numFmtId="0" fontId="107" fillId="60" borderId="0" applyNumberFormat="0" applyBorder="0" applyAlignment="0" applyProtection="0">
      <alignment vertical="center"/>
    </xf>
    <xf numFmtId="0" fontId="85" fillId="0" borderId="0" applyNumberFormat="0" applyFill="0" applyBorder="0" applyAlignment="0" applyProtection="0">
      <alignment vertical="center"/>
    </xf>
    <xf numFmtId="0" fontId="85" fillId="0" borderId="0" applyNumberFormat="0" applyFill="0" applyBorder="0" applyAlignment="0" applyProtection="0">
      <alignment vertical="center"/>
    </xf>
    <xf numFmtId="0" fontId="106"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105" fillId="0" borderId="0" applyNumberFormat="0" applyFill="0" applyBorder="0" applyAlignment="0" applyProtection="0">
      <alignment vertical="center"/>
    </xf>
    <xf numFmtId="0" fontId="87" fillId="0" borderId="2" applyNumberFormat="0" applyFill="0" applyAlignment="0" applyProtection="0">
      <alignment vertical="center"/>
    </xf>
    <xf numFmtId="0" fontId="86" fillId="0" borderId="1" applyNumberFormat="0" applyFill="0" applyAlignment="0" applyProtection="0">
      <alignment vertical="center"/>
    </xf>
    <xf numFmtId="0" fontId="86" fillId="0" borderId="1" applyNumberFormat="0" applyFill="0" applyAlignment="0" applyProtection="0">
      <alignment vertical="center"/>
    </xf>
    <xf numFmtId="0" fontId="103" fillId="0" borderId="19" applyNumberFormat="0" applyFill="0" applyAlignment="0" applyProtection="0">
      <alignment vertical="center"/>
    </xf>
    <xf numFmtId="0" fontId="86" fillId="0" borderId="1" applyNumberFormat="0" applyFill="0" applyAlignment="0" applyProtection="0">
      <alignment vertical="center"/>
    </xf>
    <xf numFmtId="0" fontId="84" fillId="15" borderId="0" applyNumberFormat="0" applyBorder="0" applyAlignment="0" applyProtection="0">
      <alignment vertical="center"/>
    </xf>
    <xf numFmtId="0" fontId="84" fillId="15" borderId="0" applyNumberFormat="0" applyBorder="0" applyAlignment="0" applyProtection="0">
      <alignment vertical="center"/>
    </xf>
    <xf numFmtId="0" fontId="102" fillId="15"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15" borderId="0" applyNumberFormat="0" applyBorder="0" applyAlignment="0" applyProtection="0">
      <alignment vertical="center"/>
    </xf>
    <xf numFmtId="0" fontId="102" fillId="15" borderId="0" applyNumberFormat="0" applyBorder="0" applyAlignment="0" applyProtection="0">
      <alignment vertical="center"/>
    </xf>
    <xf numFmtId="0" fontId="102" fillId="15" borderId="0" applyNumberFormat="0" applyBorder="0" applyAlignment="0" applyProtection="0">
      <alignment vertical="center"/>
    </xf>
    <xf numFmtId="0" fontId="102" fillId="59" borderId="0" applyNumberFormat="0" applyBorder="0" applyAlignment="0" applyProtection="0">
      <alignment vertical="center"/>
    </xf>
    <xf numFmtId="0" fontId="84" fillId="14" borderId="0" applyNumberFormat="0" applyBorder="0" applyAlignment="0" applyProtection="0">
      <alignment vertical="center"/>
    </xf>
    <xf numFmtId="0" fontId="84" fillId="14" borderId="0" applyNumberFormat="0" applyBorder="0" applyAlignment="0" applyProtection="0">
      <alignment vertical="center"/>
    </xf>
    <xf numFmtId="0" fontId="84" fillId="13" borderId="0" applyNumberFormat="0" applyBorder="0" applyAlignment="0" applyProtection="0">
      <alignment vertical="center"/>
    </xf>
    <xf numFmtId="0" fontId="84" fillId="13"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84" fillId="12" borderId="0" applyNumberFormat="0" applyBorder="0" applyAlignment="0" applyProtection="0">
      <alignment vertical="center"/>
    </xf>
    <xf numFmtId="0" fontId="84" fillId="10"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5" borderId="0" applyNumberFormat="0" applyBorder="0" applyAlignment="0" applyProtection="0">
      <alignment vertical="center"/>
    </xf>
    <xf numFmtId="0" fontId="84" fillId="9"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101" fillId="53"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8" borderId="0" applyNumberFormat="0" applyBorder="0" applyAlignment="0" applyProtection="0">
      <alignment vertical="center"/>
    </xf>
    <xf numFmtId="0" fontId="83" fillId="11"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101" fillId="52"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101" fillId="51"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10" borderId="0" applyNumberFormat="0" applyBorder="0" applyAlignment="0" applyProtection="0">
      <alignment vertical="center"/>
    </xf>
    <xf numFmtId="0" fontId="101" fillId="10" borderId="0" applyNumberFormat="0" applyBorder="0" applyAlignment="0" applyProtection="0">
      <alignment vertical="center"/>
    </xf>
    <xf numFmtId="0" fontId="101" fillId="10" borderId="0" applyNumberFormat="0" applyBorder="0" applyAlignment="0" applyProtection="0">
      <alignment vertical="center"/>
    </xf>
    <xf numFmtId="0" fontId="101" fillId="50" borderId="0" applyNumberFormat="0" applyBorder="0" applyAlignment="0" applyProtection="0">
      <alignment vertical="center"/>
    </xf>
    <xf numFmtId="0" fontId="101"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8"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101" fillId="4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101" fillId="4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101" fillId="4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 borderId="0" applyNumberFormat="0" applyBorder="0" applyAlignment="0" applyProtection="0">
      <alignment vertical="center"/>
    </xf>
    <xf numFmtId="0" fontId="101" fillId="4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99" fillId="7" borderId="5" applyNumberForma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101"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3" borderId="0" applyNumberFormat="0" applyBorder="0" applyAlignment="0" applyProtection="0">
      <alignment vertical="center"/>
    </xf>
    <xf numFmtId="0" fontId="83" fillId="23" borderId="9"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93" fillId="17" borderId="6" applyNumberFormat="0" applyAlignment="0" applyProtection="0">
      <alignment vertical="center"/>
    </xf>
    <xf numFmtId="0" fontId="83" fillId="10" borderId="0" applyNumberFormat="0" applyBorder="0" applyAlignment="0" applyProtection="0">
      <alignment vertical="center"/>
    </xf>
    <xf numFmtId="0" fontId="88" fillId="0" borderId="0" applyNumberFormat="0" applyFill="0" applyBorder="0" applyAlignment="0" applyProtection="0">
      <alignment vertical="center"/>
    </xf>
    <xf numFmtId="0" fontId="87" fillId="0" borderId="2" applyNumberFormat="0" applyFill="0" applyAlignment="0" applyProtection="0">
      <alignment vertical="center"/>
    </xf>
    <xf numFmtId="0" fontId="84" fillId="14" borderId="0" applyNumberFormat="0" applyBorder="0" applyAlignment="0" applyProtection="0">
      <alignment vertical="center"/>
    </xf>
    <xf numFmtId="0" fontId="84" fillId="12" borderId="0" applyNumberFormat="0" applyBorder="0" applyAlignment="0" applyProtection="0">
      <alignment vertical="center"/>
    </xf>
    <xf numFmtId="0" fontId="83" fillId="11"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101" fillId="50" borderId="0" applyNumberFormat="0" applyBorder="0" applyAlignment="0" applyProtection="0">
      <alignment vertical="center"/>
    </xf>
    <xf numFmtId="0" fontId="83" fillId="10" borderId="0" applyNumberFormat="0" applyBorder="0" applyAlignment="0" applyProtection="0">
      <alignment vertical="center"/>
    </xf>
    <xf numFmtId="0" fontId="83" fillId="9"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7" borderId="0" applyNumberFormat="0" applyBorder="0" applyAlignment="0" applyProtection="0">
      <alignment vertical="center"/>
    </xf>
    <xf numFmtId="0" fontId="83" fillId="6" borderId="0" applyNumberFormat="0" applyBorder="0" applyAlignment="0" applyProtection="0">
      <alignment vertical="center"/>
    </xf>
    <xf numFmtId="0" fontId="83" fillId="5" borderId="0" applyNumberFormat="0" applyBorder="0" applyAlignment="0" applyProtection="0">
      <alignment vertical="center"/>
    </xf>
    <xf numFmtId="0" fontId="101" fillId="44"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3" borderId="9" applyNumberFormat="0" applyFont="0" applyAlignment="0" applyProtection="0">
      <alignment vertical="center"/>
    </xf>
    <xf numFmtId="0" fontId="83" fillId="3" borderId="0" applyNumberFormat="0" applyBorder="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101" fillId="72" borderId="27"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101" fillId="72" borderId="27" applyNumberFormat="0" applyFont="0" applyAlignment="0" applyProtection="0">
      <alignment vertical="center"/>
    </xf>
    <xf numFmtId="0" fontId="83" fillId="72" borderId="27" applyNumberFormat="0" applyFont="0" applyAlignment="0" applyProtection="0">
      <alignment vertical="center"/>
    </xf>
    <xf numFmtId="0" fontId="101" fillId="72" borderId="27" applyNumberFormat="0" applyFont="0" applyAlignment="0" applyProtection="0">
      <alignment vertical="center"/>
    </xf>
    <xf numFmtId="0" fontId="83" fillId="23" borderId="9" applyNumberFormat="0" applyFont="0" applyAlignment="0" applyProtection="0">
      <alignment vertical="center"/>
    </xf>
    <xf numFmtId="0" fontId="83" fillId="72" borderId="27"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117" fillId="71" borderId="23" applyNumberForma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99" fillId="7" borderId="5" applyNumberFormat="0" applyAlignment="0" applyProtection="0">
      <alignment vertical="center"/>
    </xf>
    <xf numFmtId="0" fontId="97" fillId="22" borderId="0" applyNumberFormat="0" applyBorder="0" applyAlignment="0" applyProtection="0">
      <alignment vertical="center"/>
    </xf>
    <xf numFmtId="0" fontId="98" fillId="16" borderId="8" applyNumberFormat="0" applyAlignment="0" applyProtection="0">
      <alignment vertical="center"/>
    </xf>
    <xf numFmtId="0" fontId="98" fillId="16" borderId="8" applyNumberFormat="0" applyAlignment="0" applyProtection="0">
      <alignment vertical="center"/>
    </xf>
    <xf numFmtId="0" fontId="97" fillId="22" borderId="0" applyNumberFormat="0" applyBorder="0" applyAlignment="0" applyProtection="0">
      <alignment vertical="center"/>
    </xf>
    <xf numFmtId="0" fontId="84" fillId="13" borderId="0" applyNumberFormat="0" applyBorder="0" applyAlignment="0" applyProtection="0">
      <alignment vertical="center"/>
    </xf>
    <xf numFmtId="0" fontId="84" fillId="21" borderId="0" applyNumberFormat="0" applyBorder="0" applyAlignment="0" applyProtection="0">
      <alignment vertical="center"/>
    </xf>
    <xf numFmtId="0" fontId="84" fillId="14" borderId="0" applyNumberFormat="0" applyBorder="0" applyAlignment="0" applyProtection="0">
      <alignment vertical="center"/>
    </xf>
    <xf numFmtId="0" fontId="102" fillId="68" borderId="0" applyNumberFormat="0" applyBorder="0" applyAlignment="0" applyProtection="0">
      <alignment vertical="center"/>
    </xf>
    <xf numFmtId="0" fontId="84" fillId="20" borderId="0" applyNumberFormat="0" applyBorder="0" applyAlignment="0" applyProtection="0">
      <alignment vertical="center"/>
    </xf>
    <xf numFmtId="0" fontId="84" fillId="13" borderId="0" applyNumberFormat="0" applyBorder="0" applyAlignment="0" applyProtection="0">
      <alignment vertical="center"/>
    </xf>
    <xf numFmtId="0" fontId="84" fillId="13" borderId="0" applyNumberFormat="0" applyBorder="0" applyAlignment="0" applyProtection="0">
      <alignment vertical="center"/>
    </xf>
    <xf numFmtId="0" fontId="111" fillId="63" borderId="24" applyNumberFormat="0" applyAlignment="0" applyProtection="0">
      <alignment vertical="center"/>
    </xf>
    <xf numFmtId="0" fontId="113" fillId="0" borderId="0" applyNumberFormat="0" applyFill="0" applyBorder="0" applyAlignment="0" applyProtection="0">
      <alignment vertical="center"/>
    </xf>
    <xf numFmtId="0" fontId="83" fillId="10" borderId="0" applyNumberFormat="0" applyBorder="0" applyAlignment="0" applyProtection="0">
      <alignment vertical="center"/>
    </xf>
    <xf numFmtId="0" fontId="90" fillId="4" borderId="0" applyNumberFormat="0" applyBorder="0" applyAlignment="0" applyProtection="0">
      <alignment vertical="center"/>
    </xf>
    <xf numFmtId="0" fontId="90" fillId="4" borderId="0" applyNumberFormat="0" applyBorder="0" applyAlignment="0" applyProtection="0">
      <alignment vertical="center"/>
    </xf>
    <xf numFmtId="0" fontId="101" fillId="0" borderId="0">
      <alignment vertical="center"/>
    </xf>
    <xf numFmtId="0" fontId="82" fillId="0" borderId="0">
      <alignment vertical="center"/>
    </xf>
    <xf numFmtId="0" fontId="82" fillId="0" borderId="0">
      <alignment vertical="center"/>
    </xf>
    <xf numFmtId="0" fontId="82" fillId="0" borderId="0">
      <alignment vertical="center"/>
    </xf>
    <xf numFmtId="0" fontId="105" fillId="0" borderId="21" applyNumberFormat="0" applyFill="0" applyAlignment="0" applyProtection="0">
      <alignment vertical="center"/>
    </xf>
    <xf numFmtId="0" fontId="88" fillId="0" borderId="3" applyNumberFormat="0" applyFill="0" applyAlignment="0" applyProtection="0">
      <alignment vertical="center"/>
    </xf>
    <xf numFmtId="0" fontId="87" fillId="0" borderId="2" applyNumberFormat="0" applyFill="0" applyAlignment="0" applyProtection="0">
      <alignment vertical="center"/>
    </xf>
    <xf numFmtId="0" fontId="84" fillId="14" borderId="0" applyNumberFormat="0" applyBorder="0" applyAlignment="0" applyProtection="0">
      <alignment vertical="center"/>
    </xf>
    <xf numFmtId="0" fontId="102" fillId="13" borderId="0" applyNumberFormat="0" applyBorder="0" applyAlignment="0" applyProtection="0">
      <alignment vertical="center"/>
    </xf>
    <xf numFmtId="0" fontId="102" fillId="57" borderId="0" applyNumberFormat="0" applyBorder="0" applyAlignment="0" applyProtection="0">
      <alignment vertical="center"/>
    </xf>
    <xf numFmtId="0" fontId="102" fillId="13" borderId="0" applyNumberFormat="0" applyBorder="0" applyAlignment="0" applyProtection="0">
      <alignment vertical="center"/>
    </xf>
    <xf numFmtId="0" fontId="84" fillId="12" borderId="0" applyNumberFormat="0" applyBorder="0" applyAlignment="0" applyProtection="0">
      <alignment vertical="center"/>
    </xf>
    <xf numFmtId="0" fontId="84" fillId="9"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9" borderId="0" applyNumberFormat="0" applyBorder="0" applyAlignment="0" applyProtection="0">
      <alignment vertical="center"/>
    </xf>
    <xf numFmtId="0" fontId="101" fillId="50" borderId="0" applyNumberFormat="0" applyBorder="0" applyAlignment="0" applyProtection="0">
      <alignment vertical="center"/>
    </xf>
    <xf numFmtId="0" fontId="83" fillId="10" borderId="0" applyNumberFormat="0" applyBorder="0" applyAlignment="0" applyProtection="0">
      <alignment vertical="center"/>
    </xf>
    <xf numFmtId="0" fontId="83" fillId="8" borderId="0" applyNumberFormat="0" applyBorder="0" applyAlignment="0" applyProtection="0">
      <alignment vertical="center"/>
    </xf>
    <xf numFmtId="0" fontId="101" fillId="49"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7" borderId="0" applyNumberFormat="0" applyBorder="0" applyAlignment="0" applyProtection="0">
      <alignment vertical="center"/>
    </xf>
    <xf numFmtId="0" fontId="83" fillId="6" borderId="0" applyNumberFormat="0" applyBorder="0" applyAlignment="0" applyProtection="0">
      <alignment vertical="center"/>
    </xf>
    <xf numFmtId="0" fontId="83" fillId="5" borderId="0" applyNumberFormat="0" applyBorder="0" applyAlignment="0" applyProtection="0">
      <alignment vertical="center"/>
    </xf>
    <xf numFmtId="0" fontId="101" fillId="44"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5" borderId="0" applyNumberFormat="0" applyBorder="0" applyAlignment="0" applyProtection="0">
      <alignment vertical="center"/>
    </xf>
    <xf numFmtId="0" fontId="101" fillId="4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4" borderId="0" applyNumberFormat="0" applyBorder="0" applyAlignment="0" applyProtection="0">
      <alignment vertical="center"/>
    </xf>
    <xf numFmtId="0" fontId="101" fillId="4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101" fillId="4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101" fillId="42" borderId="0" applyNumberFormat="0" applyBorder="0" applyAlignment="0" applyProtection="0">
      <alignment vertical="center"/>
    </xf>
    <xf numFmtId="0" fontId="83" fillId="2" borderId="0" applyNumberFormat="0" applyBorder="0" applyAlignment="0" applyProtection="0">
      <alignment vertical="center"/>
    </xf>
    <xf numFmtId="0" fontId="101" fillId="42" borderId="0" applyNumberFormat="0" applyBorder="0" applyAlignment="0" applyProtection="0">
      <alignment vertical="center"/>
    </xf>
    <xf numFmtId="0" fontId="83" fillId="2" borderId="0" applyNumberFormat="0" applyBorder="0" applyAlignment="0" applyProtection="0">
      <alignment vertical="center"/>
    </xf>
    <xf numFmtId="0" fontId="101" fillId="2" borderId="0" applyNumberFormat="0" applyBorder="0" applyAlignment="0" applyProtection="0">
      <alignment vertical="center"/>
    </xf>
    <xf numFmtId="0" fontId="101" fillId="4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3" borderId="9" applyNumberFormat="0" applyFont="0" applyAlignment="0" applyProtection="0">
      <alignment vertical="center"/>
    </xf>
    <xf numFmtId="0" fontId="83" fillId="3" borderId="0" applyNumberFormat="0" applyBorder="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101"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101" fillId="72" borderId="27"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99" fillId="7" borderId="5" applyNumberForma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4" fillId="21" borderId="0" applyNumberFormat="0" applyBorder="0" applyAlignment="0" applyProtection="0">
      <alignment vertical="center"/>
    </xf>
    <xf numFmtId="0" fontId="98" fillId="16" borderId="8" applyNumberFormat="0" applyAlignment="0" applyProtection="0">
      <alignment vertical="center"/>
    </xf>
    <xf numFmtId="0" fontId="97" fillId="22" borderId="0" applyNumberFormat="0" applyBorder="0" applyAlignment="0" applyProtection="0">
      <alignment vertical="center"/>
    </xf>
    <xf numFmtId="0" fontId="84" fillId="13" borderId="0" applyNumberFormat="0" applyBorder="0" applyAlignment="0" applyProtection="0">
      <alignment vertical="center"/>
    </xf>
    <xf numFmtId="0" fontId="102" fillId="69" borderId="0" applyNumberFormat="0" applyBorder="0" applyAlignment="0" applyProtection="0">
      <alignment vertical="center"/>
    </xf>
    <xf numFmtId="0" fontId="84" fillId="14" borderId="0" applyNumberFormat="0" applyBorder="0" applyAlignment="0" applyProtection="0">
      <alignment vertical="center"/>
    </xf>
    <xf numFmtId="0" fontId="84" fillId="20" borderId="0" applyNumberFormat="0" applyBorder="0" applyAlignment="0" applyProtection="0">
      <alignment vertical="center"/>
    </xf>
    <xf numFmtId="0" fontId="84" fillId="19" borderId="0" applyNumberFormat="0" applyBorder="0" applyAlignment="0" applyProtection="0">
      <alignment vertical="center"/>
    </xf>
    <xf numFmtId="0" fontId="111" fillId="63" borderId="24" applyNumberFormat="0" applyAlignment="0" applyProtection="0">
      <alignment vertical="center"/>
    </xf>
    <xf numFmtId="0" fontId="102" fillId="65" borderId="0" applyNumberFormat="0" applyBorder="0" applyAlignment="0" applyProtection="0">
      <alignment vertical="center"/>
    </xf>
    <xf numFmtId="0" fontId="84" fillId="18" borderId="0" applyNumberFormat="0" applyBorder="0" applyAlignment="0" applyProtection="0">
      <alignment vertical="center"/>
    </xf>
    <xf numFmtId="0" fontId="84" fillId="18" borderId="0" applyNumberFormat="0" applyBorder="0" applyAlignment="0" applyProtection="0">
      <alignment vertical="center"/>
    </xf>
    <xf numFmtId="0" fontId="102" fillId="64" borderId="0" applyNumberFormat="0" applyBorder="0" applyAlignment="0" applyProtection="0">
      <alignment vertical="center"/>
    </xf>
    <xf numFmtId="0" fontId="96" fillId="0" borderId="7" applyNumberFormat="0" applyFill="0" applyAlignment="0" applyProtection="0">
      <alignment vertical="center"/>
    </xf>
    <xf numFmtId="0" fontId="96" fillId="0" borderId="7" applyNumberFormat="0" applyFill="0" applyAlignment="0" applyProtection="0">
      <alignment vertical="center"/>
    </xf>
    <xf numFmtId="0" fontId="114" fillId="0" borderId="25" applyNumberFormat="0" applyFill="0" applyAlignment="0" applyProtection="0">
      <alignment vertical="center"/>
    </xf>
    <xf numFmtId="0" fontId="96" fillId="0" borderId="7" applyNumberFormat="0" applyFill="0" applyAlignment="0" applyProtection="0">
      <alignment vertical="center"/>
    </xf>
    <xf numFmtId="0" fontId="95"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112" fillId="0" borderId="0" applyNumberFormat="0" applyFill="0" applyBorder="0" applyAlignment="0" applyProtection="0">
      <alignment vertical="center"/>
    </xf>
    <xf numFmtId="0" fontId="93" fillId="17" borderId="6" applyNumberFormat="0" applyAlignment="0" applyProtection="0">
      <alignment vertical="center"/>
    </xf>
    <xf numFmtId="0" fontId="93" fillId="17" borderId="6" applyNumberFormat="0" applyAlignment="0" applyProtection="0">
      <alignment vertical="center"/>
    </xf>
    <xf numFmtId="0" fontId="92" fillId="16" borderId="5" applyNumberFormat="0" applyAlignment="0" applyProtection="0">
      <alignment vertical="center"/>
    </xf>
    <xf numFmtId="0" fontId="92" fillId="16" borderId="5" applyNumberFormat="0" applyAlignment="0" applyProtection="0">
      <alignment vertical="center"/>
    </xf>
    <xf numFmtId="0" fontId="110" fillId="62" borderId="23" applyNumberFormat="0" applyAlignment="0" applyProtection="0">
      <alignment vertical="center"/>
    </xf>
    <xf numFmtId="0" fontId="91" fillId="0" borderId="4" applyNumberFormat="0" applyFill="0" applyAlignment="0" applyProtection="0">
      <alignment vertical="center"/>
    </xf>
    <xf numFmtId="0" fontId="91" fillId="0" borderId="4" applyNumberFormat="0" applyFill="0" applyAlignment="0" applyProtection="0">
      <alignment vertical="center"/>
    </xf>
    <xf numFmtId="0" fontId="109" fillId="0" borderId="22" applyNumberFormat="0" applyFill="0" applyAlignment="0" applyProtection="0">
      <alignment vertical="center"/>
    </xf>
    <xf numFmtId="0" fontId="90" fillId="4" borderId="0" applyNumberFormat="0" applyBorder="0" applyAlignment="0" applyProtection="0">
      <alignment vertical="center"/>
    </xf>
    <xf numFmtId="0" fontId="83" fillId="10" borderId="0" applyNumberFormat="0" applyBorder="0" applyAlignment="0" applyProtection="0">
      <alignment vertical="center"/>
    </xf>
    <xf numFmtId="0" fontId="90" fillId="4" borderId="0" applyNumberFormat="0" applyBorder="0" applyAlignment="0" applyProtection="0">
      <alignment vertical="center"/>
    </xf>
    <xf numFmtId="0" fontId="101" fillId="0" borderId="0">
      <alignment vertical="center"/>
    </xf>
    <xf numFmtId="0" fontId="82" fillId="0" borderId="0">
      <alignment vertical="center"/>
    </xf>
    <xf numFmtId="0" fontId="82" fillId="0" borderId="0">
      <alignment vertical="center"/>
    </xf>
    <xf numFmtId="0" fontId="89" fillId="3" borderId="0" applyNumberFormat="0" applyBorder="0" applyAlignment="0" applyProtection="0">
      <alignment vertical="center"/>
    </xf>
    <xf numFmtId="0" fontId="105" fillId="0" borderId="21" applyNumberFormat="0" applyFill="0" applyAlignment="0" applyProtection="0">
      <alignment vertical="center"/>
    </xf>
    <xf numFmtId="0" fontId="89" fillId="3" borderId="0" applyNumberFormat="0" applyBorder="0" applyAlignment="0" applyProtection="0">
      <alignment vertical="center"/>
    </xf>
    <xf numFmtId="0" fontId="107" fillId="60" borderId="0" applyNumberFormat="0" applyBorder="0" applyAlignment="0" applyProtection="0">
      <alignment vertical="center"/>
    </xf>
    <xf numFmtId="0" fontId="85" fillId="0" borderId="0" applyNumberFormat="0" applyFill="0" applyBorder="0" applyAlignment="0" applyProtection="0">
      <alignment vertical="center"/>
    </xf>
    <xf numFmtId="0" fontId="85" fillId="0" borderId="0" applyNumberFormat="0" applyFill="0" applyBorder="0" applyAlignment="0" applyProtection="0">
      <alignment vertical="center"/>
    </xf>
    <xf numFmtId="0" fontId="106"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105" fillId="0" borderId="0" applyNumberFormat="0" applyFill="0" applyBorder="0" applyAlignment="0" applyProtection="0">
      <alignment vertical="center"/>
    </xf>
    <xf numFmtId="0" fontId="88" fillId="0" borderId="3" applyNumberFormat="0" applyFill="0" applyAlignment="0" applyProtection="0">
      <alignment vertical="center"/>
    </xf>
    <xf numFmtId="0" fontId="104" fillId="0" borderId="20" applyNumberFormat="0" applyFill="0" applyAlignment="0" applyProtection="0">
      <alignment vertical="center"/>
    </xf>
    <xf numFmtId="0" fontId="86" fillId="0" borderId="1" applyNumberFormat="0" applyFill="0" applyAlignment="0" applyProtection="0">
      <alignment vertical="center"/>
    </xf>
    <xf numFmtId="0" fontId="86" fillId="0" borderId="1" applyNumberFormat="0" applyFill="0" applyAlignment="0" applyProtection="0">
      <alignment vertical="center"/>
    </xf>
    <xf numFmtId="0" fontId="103" fillId="0" borderId="19" applyNumberFormat="0" applyFill="0" applyAlignment="0" applyProtection="0">
      <alignment vertical="center"/>
    </xf>
    <xf numFmtId="0" fontId="85" fillId="0" borderId="0" applyNumberFormat="0" applyFill="0" applyBorder="0" applyAlignment="0" applyProtection="0">
      <alignment vertical="center"/>
    </xf>
    <xf numFmtId="0" fontId="84" fillId="15" borderId="0" applyNumberFormat="0" applyBorder="0" applyAlignment="0" applyProtection="0">
      <alignment vertical="center"/>
    </xf>
    <xf numFmtId="0" fontId="84" fillId="15" borderId="0" applyNumberFormat="0" applyBorder="0" applyAlignment="0" applyProtection="0">
      <alignment vertical="center"/>
    </xf>
    <xf numFmtId="0" fontId="84" fillId="14"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15"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84" fillId="14" borderId="0" applyNumberFormat="0" applyBorder="0" applyAlignment="0" applyProtection="0">
      <alignment vertical="center"/>
    </xf>
    <xf numFmtId="0" fontId="84" fillId="13" borderId="0" applyNumberFormat="0" applyBorder="0" applyAlignment="0" applyProtection="0">
      <alignment vertical="center"/>
    </xf>
    <xf numFmtId="0" fontId="84" fillId="13"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13" borderId="0" applyNumberFormat="0" applyBorder="0" applyAlignment="0" applyProtection="0">
      <alignment vertical="center"/>
    </xf>
    <xf numFmtId="0" fontId="102" fillId="57" borderId="0" applyNumberFormat="0" applyBorder="0" applyAlignment="0" applyProtection="0">
      <alignment vertical="center"/>
    </xf>
    <xf numFmtId="0" fontId="84" fillId="13" borderId="0" applyNumberFormat="0" applyBorder="0" applyAlignment="0" applyProtection="0">
      <alignment vertical="center"/>
    </xf>
    <xf numFmtId="0" fontId="102" fillId="54" borderId="0" applyNumberFormat="0" applyBorder="0" applyAlignment="0" applyProtection="0">
      <alignment vertical="center"/>
    </xf>
    <xf numFmtId="0" fontId="84" fillId="10"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56" borderId="0" applyNumberFormat="0" applyBorder="0" applyAlignment="0" applyProtection="0">
      <alignment vertical="center"/>
    </xf>
    <xf numFmtId="0" fontId="102" fillId="10" borderId="0" applyNumberFormat="0" applyBorder="0" applyAlignment="0" applyProtection="0">
      <alignment vertical="center"/>
    </xf>
    <xf numFmtId="0" fontId="84" fillId="9" borderId="0" applyNumberFormat="0" applyBorder="0" applyAlignment="0" applyProtection="0">
      <alignment vertical="center"/>
    </xf>
    <xf numFmtId="0" fontId="102" fillId="55" borderId="0" applyNumberFormat="0" applyBorder="0" applyAlignment="0" applyProtection="0">
      <alignment vertical="center"/>
    </xf>
    <xf numFmtId="0" fontId="84" fillId="12"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101" fillId="53"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8" borderId="0" applyNumberFormat="0" applyBorder="0" applyAlignment="0" applyProtection="0">
      <alignment vertical="center"/>
    </xf>
    <xf numFmtId="0" fontId="83" fillId="11"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101" fillId="52"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101" fillId="51"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9" borderId="0" applyNumberFormat="0" applyBorder="0" applyAlignment="0" applyProtection="0">
      <alignment vertical="center"/>
    </xf>
    <xf numFmtId="0" fontId="101" fillId="5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1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8" borderId="0" applyNumberFormat="0" applyBorder="0" applyAlignment="0" applyProtection="0">
      <alignment vertical="center"/>
    </xf>
    <xf numFmtId="0" fontId="101" fillId="4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8"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101" fillId="4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101" fillId="4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6"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101" fillId="4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5"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101" fillId="45" borderId="0" applyNumberFormat="0" applyBorder="0" applyAlignment="0" applyProtection="0">
      <alignment vertical="center"/>
    </xf>
    <xf numFmtId="0" fontId="101" fillId="4"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5" borderId="0" applyNumberFormat="0" applyBorder="0" applyAlignment="0" applyProtection="0">
      <alignment vertical="center"/>
    </xf>
    <xf numFmtId="0" fontId="101" fillId="4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 borderId="0" applyNumberFormat="0" applyBorder="0" applyAlignment="0" applyProtection="0">
      <alignment vertical="center"/>
    </xf>
    <xf numFmtId="0" fontId="101" fillId="4" borderId="0" applyNumberFormat="0" applyBorder="0" applyAlignment="0" applyProtection="0">
      <alignment vertical="center"/>
    </xf>
    <xf numFmtId="0" fontId="101" fillId="4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3" borderId="0" applyNumberFormat="0" applyBorder="0" applyAlignment="0" applyProtection="0">
      <alignment vertical="center"/>
    </xf>
    <xf numFmtId="0" fontId="101" fillId="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101" fillId="42" borderId="0" applyNumberFormat="0" applyBorder="0" applyAlignment="0" applyProtection="0">
      <alignment vertical="center"/>
    </xf>
    <xf numFmtId="0" fontId="83" fillId="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2" borderId="0" applyNumberFormat="0" applyBorder="0" applyAlignment="0" applyProtection="0">
      <alignment vertical="center"/>
    </xf>
    <xf numFmtId="0" fontId="101" fillId="4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3" borderId="0" applyNumberFormat="0" applyBorder="0" applyAlignment="0" applyProtection="0">
      <alignment vertical="center"/>
    </xf>
    <xf numFmtId="0" fontId="84" fillId="20" borderId="0" applyNumberFormat="0" applyBorder="0" applyAlignment="0" applyProtection="0">
      <alignment vertical="center"/>
    </xf>
    <xf numFmtId="0" fontId="87" fillId="0" borderId="2" applyNumberFormat="0" applyFill="0" applyAlignment="0" applyProtection="0">
      <alignment vertical="center"/>
    </xf>
    <xf numFmtId="0" fontId="84" fillId="15" borderId="0" applyNumberFormat="0" applyBorder="0" applyAlignment="0" applyProtection="0">
      <alignment vertical="center"/>
    </xf>
    <xf numFmtId="0" fontId="84" fillId="12" borderId="0" applyNumberFormat="0" applyBorder="0" applyAlignment="0" applyProtection="0">
      <alignment vertical="center"/>
    </xf>
    <xf numFmtId="0" fontId="83" fillId="11"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101" fillId="50" borderId="0" applyNumberFormat="0" applyBorder="0" applyAlignment="0" applyProtection="0">
      <alignment vertical="center"/>
    </xf>
    <xf numFmtId="0" fontId="83" fillId="10" borderId="0" applyNumberFormat="0" applyBorder="0" applyAlignment="0" applyProtection="0">
      <alignment vertical="center"/>
    </xf>
    <xf numFmtId="0" fontId="83" fillId="9" borderId="0" applyNumberFormat="0" applyBorder="0" applyAlignment="0" applyProtection="0">
      <alignment vertical="center"/>
    </xf>
    <xf numFmtId="0" fontId="83" fillId="8" borderId="0" applyNumberFormat="0" applyBorder="0" applyAlignment="0" applyProtection="0">
      <alignment vertical="center"/>
    </xf>
    <xf numFmtId="0" fontId="83" fillId="2" borderId="0" applyNumberFormat="0" applyBorder="0" applyAlignment="0" applyProtection="0">
      <alignment vertical="center"/>
    </xf>
    <xf numFmtId="0" fontId="83" fillId="10" borderId="0" applyNumberFormat="0" applyBorder="0" applyAlignment="0" applyProtection="0">
      <alignment vertical="center"/>
    </xf>
    <xf numFmtId="0" fontId="83" fillId="2" borderId="0" applyNumberFormat="0" applyBorder="0" applyAlignment="0" applyProtection="0">
      <alignment vertical="center"/>
    </xf>
    <xf numFmtId="0" fontId="83" fillId="10" borderId="0" applyNumberFormat="0" applyBorder="0" applyAlignment="0" applyProtection="0">
      <alignment vertical="center"/>
    </xf>
    <xf numFmtId="0" fontId="83" fillId="2" borderId="0" applyNumberFormat="0" applyBorder="0" applyAlignment="0" applyProtection="0">
      <alignment vertical="center"/>
    </xf>
    <xf numFmtId="0" fontId="83" fillId="10" borderId="0" applyNumberFormat="0" applyBorder="0" applyAlignment="0" applyProtection="0">
      <alignment vertical="center"/>
    </xf>
    <xf numFmtId="0" fontId="83" fillId="2" borderId="0" applyNumberFormat="0" applyBorder="0" applyAlignment="0" applyProtection="0">
      <alignment vertical="center"/>
    </xf>
    <xf numFmtId="0" fontId="83" fillId="10" borderId="0" applyNumberFormat="0" applyBorder="0" applyAlignment="0" applyProtection="0">
      <alignment vertical="center"/>
    </xf>
    <xf numFmtId="0" fontId="83" fillId="2" borderId="0" applyNumberFormat="0" applyBorder="0" applyAlignment="0" applyProtection="0">
      <alignment vertical="center"/>
    </xf>
    <xf numFmtId="0" fontId="83" fillId="10" borderId="0" applyNumberFormat="0" applyBorder="0" applyAlignment="0" applyProtection="0">
      <alignment vertical="center"/>
    </xf>
    <xf numFmtId="0" fontId="83" fillId="2" borderId="0" applyNumberFormat="0" applyBorder="0" applyAlignment="0" applyProtection="0">
      <alignment vertical="center"/>
    </xf>
    <xf numFmtId="0" fontId="83" fillId="3" borderId="0" applyNumberFormat="0" applyBorder="0" applyAlignment="0" applyProtection="0">
      <alignment vertical="center"/>
    </xf>
    <xf numFmtId="0" fontId="83" fillId="4" borderId="0" applyNumberFormat="0" applyBorder="0" applyAlignment="0" applyProtection="0">
      <alignment vertical="center"/>
    </xf>
    <xf numFmtId="0" fontId="83" fillId="5" borderId="0" applyNumberFormat="0" applyBorder="0" applyAlignment="0" applyProtection="0">
      <alignment vertical="center"/>
    </xf>
    <xf numFmtId="0" fontId="83" fillId="6" borderId="0" applyNumberFormat="0" applyBorder="0" applyAlignment="0" applyProtection="0">
      <alignment vertical="center"/>
    </xf>
    <xf numFmtId="0" fontId="83" fillId="7" borderId="0" applyNumberFormat="0" applyBorder="0" applyAlignment="0" applyProtection="0">
      <alignment vertical="center"/>
    </xf>
    <xf numFmtId="0" fontId="83" fillId="8" borderId="0" applyNumberFormat="0" applyBorder="0" applyAlignment="0" applyProtection="0">
      <alignment vertical="center"/>
    </xf>
    <xf numFmtId="0" fontId="83" fillId="9" borderId="0" applyNumberFormat="0" applyBorder="0" applyAlignment="0" applyProtection="0">
      <alignment vertical="center"/>
    </xf>
    <xf numFmtId="0" fontId="83" fillId="10" borderId="0" applyNumberFormat="0" applyBorder="0" applyAlignment="0" applyProtection="0">
      <alignment vertical="center"/>
    </xf>
    <xf numFmtId="0" fontId="83" fillId="5" borderId="0" applyNumberFormat="0" applyBorder="0" applyAlignment="0" applyProtection="0">
      <alignment vertical="center"/>
    </xf>
    <xf numFmtId="0" fontId="83" fillId="8" borderId="0" applyNumberFormat="0" applyBorder="0" applyAlignment="0" applyProtection="0">
      <alignment vertical="center"/>
    </xf>
    <xf numFmtId="0" fontId="83" fillId="11" borderId="0" applyNumberFormat="0" applyBorder="0" applyAlignment="0" applyProtection="0">
      <alignment vertical="center"/>
    </xf>
    <xf numFmtId="0" fontId="84" fillId="12" borderId="0" applyNumberFormat="0" applyBorder="0" applyAlignment="0" applyProtection="0">
      <alignment vertical="center"/>
    </xf>
    <xf numFmtId="0" fontId="84" fillId="9" borderId="0" applyNumberFormat="0" applyBorder="0" applyAlignment="0" applyProtection="0">
      <alignment vertical="center"/>
    </xf>
    <xf numFmtId="0" fontId="84" fillId="10" borderId="0" applyNumberFormat="0" applyBorder="0" applyAlignment="0" applyProtection="0">
      <alignment vertical="center"/>
    </xf>
    <xf numFmtId="0" fontId="84" fillId="13" borderId="0" applyNumberFormat="0" applyBorder="0" applyAlignment="0" applyProtection="0">
      <alignment vertical="center"/>
    </xf>
    <xf numFmtId="0" fontId="84" fillId="14" borderId="0" applyNumberFormat="0" applyBorder="0" applyAlignment="0" applyProtection="0">
      <alignment vertical="center"/>
    </xf>
    <xf numFmtId="0" fontId="84" fillId="15" borderId="0" applyNumberFormat="0" applyBorder="0" applyAlignment="0" applyProtection="0">
      <alignment vertical="center"/>
    </xf>
    <xf numFmtId="0" fontId="85" fillId="0" borderId="0" applyNumberFormat="0" applyFill="0" applyBorder="0" applyAlignment="0" applyProtection="0">
      <alignment vertical="center"/>
    </xf>
    <xf numFmtId="0" fontId="86" fillId="0" borderId="1" applyNumberFormat="0" applyFill="0" applyAlignment="0" applyProtection="0">
      <alignment vertical="center"/>
    </xf>
    <xf numFmtId="0" fontId="87" fillId="0" borderId="2" applyNumberFormat="0" applyFill="0" applyAlignment="0" applyProtection="0">
      <alignment vertical="center"/>
    </xf>
    <xf numFmtId="0" fontId="88" fillId="0" borderId="3" applyNumberFormat="0" applyFill="0" applyAlignment="0" applyProtection="0">
      <alignment vertical="center"/>
    </xf>
    <xf numFmtId="0" fontId="88" fillId="0" borderId="0" applyNumberFormat="0" applyFill="0" applyBorder="0" applyAlignment="0" applyProtection="0">
      <alignment vertical="center"/>
    </xf>
    <xf numFmtId="0" fontId="89" fillId="3" borderId="0" applyNumberFormat="0" applyBorder="0" applyAlignment="0" applyProtection="0">
      <alignment vertical="center"/>
    </xf>
    <xf numFmtId="0" fontId="90" fillId="4" borderId="0" applyNumberFormat="0" applyBorder="0" applyAlignment="0" applyProtection="0">
      <alignment vertical="center"/>
    </xf>
    <xf numFmtId="0" fontId="91" fillId="0" borderId="4" applyNumberFormat="0" applyFill="0" applyAlignment="0" applyProtection="0">
      <alignment vertical="center"/>
    </xf>
    <xf numFmtId="0" fontId="92" fillId="16" borderId="5" applyNumberFormat="0" applyAlignment="0" applyProtection="0">
      <alignment vertical="center"/>
    </xf>
    <xf numFmtId="0" fontId="93" fillId="17" borderId="6" applyNumberFormat="0" applyAlignment="0" applyProtection="0">
      <alignment vertical="center"/>
    </xf>
    <xf numFmtId="0" fontId="94"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6" fillId="0" borderId="7" applyNumberFormat="0" applyFill="0" applyAlignment="0" applyProtection="0">
      <alignment vertical="center"/>
    </xf>
    <xf numFmtId="0" fontId="84" fillId="18" borderId="0" applyNumberFormat="0" applyBorder="0" applyAlignment="0" applyProtection="0">
      <alignment vertical="center"/>
    </xf>
    <xf numFmtId="0" fontId="84" fillId="19" borderId="0" applyNumberFormat="0" applyBorder="0" applyAlignment="0" applyProtection="0">
      <alignment vertical="center"/>
    </xf>
    <xf numFmtId="0" fontId="84" fillId="20" borderId="0" applyNumberFormat="0" applyBorder="0" applyAlignment="0" applyProtection="0">
      <alignment vertical="center"/>
    </xf>
    <xf numFmtId="0" fontId="84" fillId="13" borderId="0" applyNumberFormat="0" applyBorder="0" applyAlignment="0" applyProtection="0">
      <alignment vertical="center"/>
    </xf>
    <xf numFmtId="0" fontId="84" fillId="14" borderId="0" applyNumberFormat="0" applyBorder="0" applyAlignment="0" applyProtection="0">
      <alignment vertical="center"/>
    </xf>
    <xf numFmtId="0" fontId="84" fillId="21" borderId="0" applyNumberFormat="0" applyBorder="0" applyAlignment="0" applyProtection="0">
      <alignment vertical="center"/>
    </xf>
    <xf numFmtId="0" fontId="97" fillId="22" borderId="0" applyNumberFormat="0" applyBorder="0" applyAlignment="0" applyProtection="0">
      <alignment vertical="center"/>
    </xf>
    <xf numFmtId="0" fontId="98" fillId="16" borderId="8" applyNumberFormat="0" applyAlignment="0" applyProtection="0">
      <alignment vertical="center"/>
    </xf>
    <xf numFmtId="0" fontId="99" fillId="7" borderId="5" applyNumberForma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101" fillId="72" borderId="27" applyNumberFormat="0" applyFont="0" applyAlignment="0" applyProtection="0">
      <alignment vertical="center"/>
    </xf>
    <xf numFmtId="0" fontId="83" fillId="72" borderId="27"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99" fillId="7" borderId="5" applyNumberFormat="0" applyAlignment="0" applyProtection="0">
      <alignment vertical="center"/>
    </xf>
    <xf numFmtId="0" fontId="99" fillId="7" borderId="5" applyNumberFormat="0" applyAlignment="0" applyProtection="0">
      <alignment vertical="center"/>
    </xf>
    <xf numFmtId="0" fontId="98" fillId="16" borderId="8" applyNumberFormat="0" applyAlignment="0" applyProtection="0">
      <alignment vertical="center"/>
    </xf>
    <xf numFmtId="0" fontId="116" fillId="62" borderId="26" applyNumberFormat="0" applyAlignment="0" applyProtection="0">
      <alignment vertical="center"/>
    </xf>
    <xf numFmtId="0" fontId="97" fillId="22" borderId="0" applyNumberFormat="0" applyBorder="0" applyAlignment="0" applyProtection="0">
      <alignment vertical="center"/>
    </xf>
    <xf numFmtId="0" fontId="115" fillId="70" borderId="0" applyNumberFormat="0" applyBorder="0" applyAlignment="0" applyProtection="0">
      <alignment vertical="center"/>
    </xf>
    <xf numFmtId="0" fontId="84" fillId="21" borderId="0" applyNumberFormat="0" applyBorder="0" applyAlignment="0" applyProtection="0">
      <alignment vertical="center"/>
    </xf>
    <xf numFmtId="0" fontId="102" fillId="69" borderId="0" applyNumberFormat="0" applyBorder="0" applyAlignment="0" applyProtection="0">
      <alignment vertical="center"/>
    </xf>
    <xf numFmtId="0" fontId="84" fillId="14" borderId="0" applyNumberFormat="0" applyBorder="0" applyAlignment="0" applyProtection="0">
      <alignment vertical="center"/>
    </xf>
    <xf numFmtId="0" fontId="102" fillId="68" borderId="0" applyNumberFormat="0" applyBorder="0" applyAlignment="0" applyProtection="0">
      <alignment vertical="center"/>
    </xf>
    <xf numFmtId="0" fontId="102" fillId="66" borderId="0" applyNumberFormat="0" applyBorder="0" applyAlignment="0" applyProtection="0">
      <alignment vertical="center"/>
    </xf>
    <xf numFmtId="0" fontId="102" fillId="67" borderId="0" applyNumberFormat="0" applyBorder="0" applyAlignment="0" applyProtection="0">
      <alignment vertical="center"/>
    </xf>
    <xf numFmtId="0" fontId="84" fillId="20" borderId="0" applyNumberFormat="0" applyBorder="0" applyAlignment="0" applyProtection="0">
      <alignment vertical="center"/>
    </xf>
    <xf numFmtId="0" fontId="84" fillId="19" borderId="0" applyNumberFormat="0" applyBorder="0" applyAlignment="0" applyProtection="0">
      <alignment vertical="center"/>
    </xf>
    <xf numFmtId="0" fontId="93" fillId="17" borderId="6" applyNumberFormat="0" applyAlignment="0" applyProtection="0">
      <alignment vertical="center"/>
    </xf>
    <xf numFmtId="0" fontId="94" fillId="0" borderId="0" applyNumberFormat="0" applyFill="0" applyBorder="0" applyAlignment="0" applyProtection="0">
      <alignment vertical="center"/>
    </xf>
    <xf numFmtId="0" fontId="83" fillId="10" borderId="0" applyNumberFormat="0" applyBorder="0" applyAlignment="0" applyProtection="0">
      <alignment vertical="center"/>
    </xf>
    <xf numFmtId="0" fontId="108" fillId="61" borderId="0" applyNumberFormat="0" applyBorder="0" applyAlignment="0" applyProtection="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9" fillId="3" borderId="0" applyNumberFormat="0" applyBorder="0" applyAlignment="0" applyProtection="0">
      <alignment vertical="center"/>
    </xf>
    <xf numFmtId="0" fontId="83" fillId="72" borderId="27" applyNumberFormat="0" applyFont="0" applyAlignment="0" applyProtection="0">
      <alignment vertical="center"/>
    </xf>
    <xf numFmtId="0" fontId="101" fillId="72" borderId="27" applyNumberFormat="0" applyFont="0" applyAlignment="0" applyProtection="0">
      <alignment vertical="center"/>
    </xf>
    <xf numFmtId="0" fontId="104" fillId="0" borderId="20" applyNumberFormat="0" applyFill="0" applyAlignment="0" applyProtection="0">
      <alignment vertical="center"/>
    </xf>
    <xf numFmtId="0" fontId="102" fillId="58" borderId="0" applyNumberFormat="0" applyBorder="0" applyAlignment="0" applyProtection="0">
      <alignment vertical="center"/>
    </xf>
    <xf numFmtId="0" fontId="102" fillId="13" borderId="0" applyNumberFormat="0" applyBorder="0" applyAlignment="0" applyProtection="0">
      <alignment vertical="center"/>
    </xf>
    <xf numFmtId="0" fontId="102" fillId="57" borderId="0" applyNumberFormat="0" applyBorder="0" applyAlignment="0" applyProtection="0">
      <alignment vertical="center"/>
    </xf>
    <xf numFmtId="0" fontId="84" fillId="10" borderId="0" applyNumberFormat="0" applyBorder="0" applyAlignment="0" applyProtection="0">
      <alignment vertical="center"/>
    </xf>
    <xf numFmtId="0" fontId="102" fillId="54" borderId="0" applyNumberFormat="0" applyBorder="0" applyAlignment="0" applyProtection="0">
      <alignment vertical="center"/>
    </xf>
    <xf numFmtId="0" fontId="84" fillId="9"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9" borderId="0" applyNumberFormat="0" applyBorder="0" applyAlignment="0" applyProtection="0">
      <alignment vertical="center"/>
    </xf>
    <xf numFmtId="0" fontId="101" fillId="50" borderId="0" applyNumberFormat="0" applyBorder="0" applyAlignment="0" applyProtection="0">
      <alignment vertical="center"/>
    </xf>
    <xf numFmtId="0" fontId="83" fillId="10" borderId="0" applyNumberFormat="0" applyBorder="0" applyAlignment="0" applyProtection="0">
      <alignment vertical="center"/>
    </xf>
    <xf numFmtId="0" fontId="83" fillId="8" borderId="0" applyNumberFormat="0" applyBorder="0" applyAlignment="0" applyProtection="0">
      <alignment vertical="center"/>
    </xf>
    <xf numFmtId="0" fontId="83" fillId="9"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7" borderId="0" applyNumberFormat="0" applyBorder="0" applyAlignment="0" applyProtection="0">
      <alignment vertical="center"/>
    </xf>
    <xf numFmtId="0" fontId="83" fillId="6" borderId="0" applyNumberFormat="0" applyBorder="0" applyAlignment="0" applyProtection="0">
      <alignment vertical="center"/>
    </xf>
    <xf numFmtId="0" fontId="83" fillId="5" borderId="0" applyNumberFormat="0" applyBorder="0" applyAlignment="0" applyProtection="0">
      <alignment vertical="center"/>
    </xf>
    <xf numFmtId="0" fontId="83" fillId="4"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5" borderId="0" applyNumberFormat="0" applyBorder="0" applyAlignment="0" applyProtection="0">
      <alignment vertical="center"/>
    </xf>
    <xf numFmtId="0" fontId="101" fillId="4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4" borderId="0" applyNumberFormat="0" applyBorder="0" applyAlignment="0" applyProtection="0">
      <alignment vertical="center"/>
    </xf>
    <xf numFmtId="0" fontId="101"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101" fillId="4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101" fillId="42" borderId="0" applyNumberFormat="0" applyBorder="0" applyAlignment="0" applyProtection="0">
      <alignment vertical="center"/>
    </xf>
    <xf numFmtId="0" fontId="83" fillId="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2" borderId="0" applyNumberFormat="0" applyBorder="0" applyAlignment="0" applyProtection="0">
      <alignment vertical="center"/>
    </xf>
    <xf numFmtId="0" fontId="101" fillId="4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72" borderId="27" applyNumberFormat="0" applyFont="0" applyAlignment="0" applyProtection="0">
      <alignment vertical="center"/>
    </xf>
    <xf numFmtId="0" fontId="83" fillId="23" borderId="9" applyNumberFormat="0" applyFont="0" applyAlignment="0" applyProtection="0">
      <alignment vertical="center"/>
    </xf>
    <xf numFmtId="0" fontId="102" fillId="10" borderId="0" applyNumberFormat="0" applyBorder="0" applyAlignment="0" applyProtection="0">
      <alignment vertical="center"/>
    </xf>
    <xf numFmtId="0" fontId="83" fillId="11" borderId="0" applyNumberFormat="0" applyBorder="0" applyAlignment="0" applyProtection="0">
      <alignment vertical="center"/>
    </xf>
    <xf numFmtId="0" fontId="83" fillId="8" borderId="0" applyNumberFormat="0" applyBorder="0" applyAlignment="0" applyProtection="0">
      <alignment vertical="center"/>
    </xf>
    <xf numFmtId="0" fontId="101" fillId="45" borderId="0" applyNumberFormat="0" applyBorder="0" applyAlignment="0" applyProtection="0">
      <alignment vertical="center"/>
    </xf>
    <xf numFmtId="0" fontId="101" fillId="43" borderId="0" applyNumberFormat="0" applyBorder="0" applyAlignment="0" applyProtection="0">
      <alignment vertical="center"/>
    </xf>
    <xf numFmtId="0" fontId="101" fillId="3" borderId="0" applyNumberFormat="0" applyBorder="0" applyAlignment="0" applyProtection="0">
      <alignment vertical="center"/>
    </xf>
    <xf numFmtId="0" fontId="101" fillId="2" borderId="0" applyNumberFormat="0" applyBorder="0" applyAlignment="0" applyProtection="0">
      <alignment vertical="center"/>
    </xf>
    <xf numFmtId="0" fontId="83" fillId="4" borderId="0" applyNumberFormat="0" applyBorder="0" applyAlignment="0" applyProtection="0">
      <alignment vertical="center"/>
    </xf>
    <xf numFmtId="0" fontId="82" fillId="0" borderId="0">
      <alignment vertical="center"/>
    </xf>
    <xf numFmtId="0" fontId="106" fillId="0" borderId="0" applyNumberFormat="0" applyFill="0" applyBorder="0" applyAlignment="0" applyProtection="0">
      <alignment vertical="center"/>
    </xf>
    <xf numFmtId="0" fontId="105" fillId="0" borderId="21" applyNumberFormat="0" applyFill="0" applyAlignment="0" applyProtection="0">
      <alignment vertical="center"/>
    </xf>
    <xf numFmtId="0" fontId="102" fillId="56"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13" borderId="0" applyNumberFormat="0" applyBorder="0" applyAlignment="0" applyProtection="0">
      <alignment vertical="center"/>
    </xf>
    <xf numFmtId="0" fontId="102" fillId="13" borderId="0" applyNumberFormat="0" applyBorder="0" applyAlignment="0" applyProtection="0">
      <alignment vertical="center"/>
    </xf>
    <xf numFmtId="0" fontId="102" fillId="13" borderId="0" applyNumberFormat="0" applyBorder="0" applyAlignment="0" applyProtection="0">
      <alignment vertical="center"/>
    </xf>
    <xf numFmtId="0" fontId="102" fillId="57" borderId="0" applyNumberFormat="0" applyBorder="0" applyAlignment="0" applyProtection="0">
      <alignment vertical="center"/>
    </xf>
    <xf numFmtId="0" fontId="102" fillId="13" borderId="0" applyNumberFormat="0" applyBorder="0" applyAlignment="0" applyProtection="0">
      <alignment vertical="center"/>
    </xf>
    <xf numFmtId="0" fontId="84" fillId="10" borderId="0" applyNumberFormat="0" applyBorder="0" applyAlignment="0" applyProtection="0">
      <alignment vertical="center"/>
    </xf>
    <xf numFmtId="0" fontId="84" fillId="10"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10" borderId="0" applyNumberFormat="0" applyBorder="0" applyAlignment="0" applyProtection="0">
      <alignment vertical="center"/>
    </xf>
    <xf numFmtId="0" fontId="84" fillId="9" borderId="0" applyNumberFormat="0" applyBorder="0" applyAlignment="0" applyProtection="0">
      <alignment vertical="center"/>
    </xf>
    <xf numFmtId="0" fontId="84" fillId="9" borderId="0" applyNumberFormat="0" applyBorder="0" applyAlignment="0" applyProtection="0">
      <alignment vertical="center"/>
    </xf>
    <xf numFmtId="0" fontId="102" fillId="55" borderId="0" applyNumberFormat="0" applyBorder="0" applyAlignment="0" applyProtection="0">
      <alignment vertical="center"/>
    </xf>
    <xf numFmtId="0" fontId="84" fillId="9" borderId="0" applyNumberFormat="0" applyBorder="0" applyAlignment="0" applyProtection="0">
      <alignment vertical="center"/>
    </xf>
    <xf numFmtId="0" fontId="84" fillId="12" borderId="0" applyNumberFormat="0" applyBorder="0" applyAlignment="0" applyProtection="0">
      <alignment vertical="center"/>
    </xf>
    <xf numFmtId="0" fontId="84" fillId="12" borderId="0" applyNumberFormat="0" applyBorder="0" applyAlignment="0" applyProtection="0">
      <alignment vertical="center"/>
    </xf>
    <xf numFmtId="0" fontId="83" fillId="10"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72" borderId="27" applyNumberFormat="0" applyFont="0" applyAlignment="0" applyProtection="0">
      <alignment vertical="center"/>
    </xf>
    <xf numFmtId="0" fontId="83" fillId="11" borderId="0" applyNumberFormat="0" applyBorder="0" applyAlignment="0" applyProtection="0">
      <alignment vertical="center"/>
    </xf>
    <xf numFmtId="0" fontId="101" fillId="53"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8"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101" fillId="52"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101" fillId="51"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101" fillId="4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8" borderId="0" applyNumberFormat="0" applyBorder="0" applyAlignment="0" applyProtection="0">
      <alignment vertical="center"/>
    </xf>
    <xf numFmtId="0" fontId="83" fillId="9"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101" fillId="4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101" fillId="4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3" borderId="0" applyNumberFormat="0" applyBorder="0" applyAlignment="0" applyProtection="0">
      <alignment vertical="center"/>
    </xf>
    <xf numFmtId="0" fontId="101" fillId="3" borderId="0" applyNumberFormat="0" applyBorder="0" applyAlignment="0" applyProtection="0">
      <alignment vertical="center"/>
    </xf>
    <xf numFmtId="0" fontId="101" fillId="3" borderId="0" applyNumberFormat="0" applyBorder="0" applyAlignment="0" applyProtection="0">
      <alignment vertical="center"/>
    </xf>
    <xf numFmtId="0" fontId="101" fillId="43" borderId="0" applyNumberFormat="0" applyBorder="0" applyAlignment="0" applyProtection="0">
      <alignment vertical="center"/>
    </xf>
    <xf numFmtId="0" fontId="101"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101" fillId="42" borderId="0" applyNumberFormat="0" applyBorder="0" applyAlignment="0" applyProtection="0">
      <alignment vertical="center"/>
    </xf>
    <xf numFmtId="0" fontId="101" fillId="2" borderId="0" applyNumberFormat="0" applyBorder="0" applyAlignment="0" applyProtection="0">
      <alignment vertical="center"/>
    </xf>
    <xf numFmtId="0" fontId="101" fillId="2" borderId="0" applyNumberFormat="0" applyBorder="0" applyAlignment="0" applyProtection="0">
      <alignment vertical="center"/>
    </xf>
    <xf numFmtId="0" fontId="101" fillId="42" borderId="0" applyNumberFormat="0" applyBorder="0" applyAlignment="0" applyProtection="0">
      <alignment vertical="center"/>
    </xf>
    <xf numFmtId="0" fontId="101" fillId="43" borderId="0" applyNumberFormat="0" applyBorder="0" applyAlignment="0" applyProtection="0">
      <alignment vertical="center"/>
    </xf>
    <xf numFmtId="0" fontId="101" fillId="3" borderId="0" applyNumberFormat="0" applyBorder="0" applyAlignment="0" applyProtection="0">
      <alignment vertical="center"/>
    </xf>
    <xf numFmtId="0" fontId="101" fillId="3" borderId="0" applyNumberFormat="0" applyBorder="0" applyAlignment="0" applyProtection="0">
      <alignment vertical="center"/>
    </xf>
    <xf numFmtId="0" fontId="101" fillId="43" borderId="0" applyNumberFormat="0" applyBorder="0" applyAlignment="0" applyProtection="0">
      <alignment vertical="center"/>
    </xf>
    <xf numFmtId="0" fontId="101" fillId="44" borderId="0" applyNumberFormat="0" applyBorder="0" applyAlignment="0" applyProtection="0">
      <alignment vertical="center"/>
    </xf>
    <xf numFmtId="0" fontId="101" fillId="4" borderId="0" applyNumberFormat="0" applyBorder="0" applyAlignment="0" applyProtection="0">
      <alignment vertical="center"/>
    </xf>
    <xf numFmtId="0" fontId="101" fillId="4" borderId="0" applyNumberFormat="0" applyBorder="0" applyAlignment="0" applyProtection="0">
      <alignment vertical="center"/>
    </xf>
    <xf numFmtId="0" fontId="101" fillId="44" borderId="0" applyNumberFormat="0" applyBorder="0" applyAlignment="0" applyProtection="0">
      <alignment vertical="center"/>
    </xf>
    <xf numFmtId="0" fontId="101" fillId="45" borderId="0" applyNumberFormat="0" applyBorder="0" applyAlignment="0" applyProtection="0">
      <alignment vertical="center"/>
    </xf>
    <xf numFmtId="0" fontId="101" fillId="5" borderId="0" applyNumberFormat="0" applyBorder="0" applyAlignment="0" applyProtection="0">
      <alignment vertical="center"/>
    </xf>
    <xf numFmtId="0" fontId="101" fillId="5" borderId="0" applyNumberFormat="0" applyBorder="0" applyAlignment="0" applyProtection="0">
      <alignment vertical="center"/>
    </xf>
    <xf numFmtId="0" fontId="101" fillId="45" borderId="0" applyNumberFormat="0" applyBorder="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102" fillId="59" borderId="0" applyNumberFormat="0" applyBorder="0" applyAlignment="0" applyProtection="0">
      <alignment vertical="center"/>
    </xf>
    <xf numFmtId="0" fontId="102" fillId="56" borderId="0" applyNumberFormat="0" applyBorder="0" applyAlignment="0" applyProtection="0">
      <alignment vertical="center"/>
    </xf>
    <xf numFmtId="0" fontId="101" fillId="50" borderId="0" applyNumberFormat="0" applyBorder="0" applyAlignment="0" applyProtection="0">
      <alignment vertical="center"/>
    </xf>
    <xf numFmtId="0" fontId="101" fillId="10" borderId="0" applyNumberFormat="0" applyBorder="0" applyAlignment="0" applyProtection="0">
      <alignment vertical="center"/>
    </xf>
    <xf numFmtId="0" fontId="101" fillId="1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83" fillId="9" borderId="0" applyNumberFormat="0" applyBorder="0" applyAlignment="0" applyProtection="0">
      <alignment vertical="center"/>
    </xf>
    <xf numFmtId="0" fontId="83" fillId="8" borderId="0" applyNumberFormat="0" applyBorder="0" applyAlignment="0" applyProtection="0">
      <alignment vertical="center"/>
    </xf>
    <xf numFmtId="0" fontId="101" fillId="45" borderId="0" applyNumberFormat="0" applyBorder="0" applyAlignment="0" applyProtection="0">
      <alignment vertical="center"/>
    </xf>
    <xf numFmtId="0" fontId="101" fillId="5" borderId="0" applyNumberFormat="0" applyBorder="0" applyAlignment="0" applyProtection="0">
      <alignment vertical="center"/>
    </xf>
    <xf numFmtId="0" fontId="101" fillId="3" borderId="0" applyNumberFormat="0" applyBorder="0" applyAlignment="0" applyProtection="0">
      <alignment vertical="center"/>
    </xf>
    <xf numFmtId="0" fontId="83" fillId="3" borderId="0" applyNumberFormat="0" applyBorder="0" applyAlignment="0" applyProtection="0">
      <alignment vertical="center"/>
    </xf>
    <xf numFmtId="0" fontId="101" fillId="42" borderId="0" applyNumberFormat="0" applyBorder="0" applyAlignment="0" applyProtection="0">
      <alignment vertical="center"/>
    </xf>
    <xf numFmtId="0" fontId="83" fillId="2" borderId="0" applyNumberFormat="0" applyBorder="0" applyAlignment="0" applyProtection="0">
      <alignment vertical="center"/>
    </xf>
    <xf numFmtId="0" fontId="102" fillId="56"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56" borderId="0" applyNumberFormat="0" applyBorder="0" applyAlignment="0" applyProtection="0">
      <alignment vertical="center"/>
    </xf>
    <xf numFmtId="0" fontId="102" fillId="57" borderId="0" applyNumberFormat="0" applyBorder="0" applyAlignment="0" applyProtection="0">
      <alignment vertical="center"/>
    </xf>
    <xf numFmtId="0" fontId="102" fillId="13" borderId="0" applyNumberFormat="0" applyBorder="0" applyAlignment="0" applyProtection="0">
      <alignment vertical="center"/>
    </xf>
    <xf numFmtId="0" fontId="102" fillId="13" borderId="0" applyNumberFormat="0" applyBorder="0" applyAlignment="0" applyProtection="0">
      <alignment vertical="center"/>
    </xf>
    <xf numFmtId="0" fontId="102" fillId="57" borderId="0" applyNumberFormat="0" applyBorder="0" applyAlignment="0" applyProtection="0">
      <alignment vertical="center"/>
    </xf>
    <xf numFmtId="0" fontId="102" fillId="59" borderId="0" applyNumberFormat="0" applyBorder="0" applyAlignment="0" applyProtection="0">
      <alignment vertical="center"/>
    </xf>
    <xf numFmtId="0" fontId="102" fillId="15" borderId="0" applyNumberFormat="0" applyBorder="0" applyAlignment="0" applyProtection="0">
      <alignment vertical="center"/>
    </xf>
    <xf numFmtId="0" fontId="102" fillId="15" borderId="0" applyNumberFormat="0" applyBorder="0" applyAlignment="0" applyProtection="0">
      <alignment vertical="center"/>
    </xf>
    <xf numFmtId="0" fontId="102" fillId="59" borderId="0" applyNumberFormat="0" applyBorder="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101" fillId="72" borderId="27"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101"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23" borderId="9"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99" fillId="7" borderId="5" applyNumberForma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99" fillId="7" borderId="5" applyNumberForma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4" fillId="14" borderId="0" applyNumberFormat="0" applyBorder="0" applyAlignment="0" applyProtection="0">
      <alignment vertical="center"/>
    </xf>
    <xf numFmtId="0" fontId="116" fillId="62" borderId="26" applyNumberFormat="0" applyAlignment="0" applyProtection="0">
      <alignment vertical="center"/>
    </xf>
    <xf numFmtId="0" fontId="117" fillId="71" borderId="23" applyNumberFormat="0" applyAlignment="0" applyProtection="0">
      <alignment vertical="center"/>
    </xf>
    <xf numFmtId="0" fontId="98" fillId="16" borderId="8" applyNumberFormat="0" applyAlignment="0" applyProtection="0">
      <alignment vertical="center"/>
    </xf>
    <xf numFmtId="0" fontId="115" fillId="70" borderId="0" applyNumberFormat="0" applyBorder="0" applyAlignment="0" applyProtection="0">
      <alignment vertical="center"/>
    </xf>
    <xf numFmtId="0" fontId="97" fillId="22" borderId="0" applyNumberFormat="0" applyBorder="0" applyAlignment="0" applyProtection="0">
      <alignment vertical="center"/>
    </xf>
    <xf numFmtId="0" fontId="97" fillId="22" borderId="0" applyNumberFormat="0" applyBorder="0" applyAlignment="0" applyProtection="0">
      <alignment vertical="center"/>
    </xf>
    <xf numFmtId="0" fontId="84" fillId="14" borderId="0" applyNumberFormat="0" applyBorder="0" applyAlignment="0" applyProtection="0">
      <alignment vertical="center"/>
    </xf>
    <xf numFmtId="0" fontId="84" fillId="21" borderId="0" applyNumberFormat="0" applyBorder="0" applyAlignment="0" applyProtection="0">
      <alignment vertical="center"/>
    </xf>
    <xf numFmtId="0" fontId="102" fillId="69" borderId="0" applyNumberFormat="0" applyBorder="0" applyAlignment="0" applyProtection="0">
      <alignment vertical="center"/>
    </xf>
    <xf numFmtId="0" fontId="84" fillId="18" borderId="0" applyNumberFormat="0" applyBorder="0" applyAlignment="0" applyProtection="0">
      <alignment vertical="center"/>
    </xf>
    <xf numFmtId="0" fontId="102" fillId="67" borderId="0" applyNumberFormat="0" applyBorder="0" applyAlignment="0" applyProtection="0">
      <alignment vertical="center"/>
    </xf>
    <xf numFmtId="0" fontId="102" fillId="68" borderId="0" applyNumberFormat="0" applyBorder="0" applyAlignment="0" applyProtection="0">
      <alignment vertical="center"/>
    </xf>
    <xf numFmtId="0" fontId="84" fillId="13" borderId="0" applyNumberFormat="0" applyBorder="0" applyAlignment="0" applyProtection="0">
      <alignment vertical="center"/>
    </xf>
    <xf numFmtId="0" fontId="102" fillId="66" borderId="0" applyNumberFormat="0" applyBorder="0" applyAlignment="0" applyProtection="0">
      <alignment vertical="center"/>
    </xf>
    <xf numFmtId="0" fontId="84" fillId="20" borderId="0" applyNumberFormat="0" applyBorder="0" applyAlignment="0" applyProtection="0">
      <alignment vertical="center"/>
    </xf>
    <xf numFmtId="0" fontId="84" fillId="20" borderId="0" applyNumberFormat="0" applyBorder="0" applyAlignment="0" applyProtection="0">
      <alignment vertical="center"/>
    </xf>
    <xf numFmtId="0" fontId="84" fillId="18" borderId="0" applyNumberFormat="0" applyBorder="0" applyAlignment="0" applyProtection="0">
      <alignment vertical="center"/>
    </xf>
    <xf numFmtId="0" fontId="84" fillId="19" borderId="0" applyNumberFormat="0" applyBorder="0" applyAlignment="0" applyProtection="0">
      <alignment vertical="center"/>
    </xf>
    <xf numFmtId="0" fontId="102" fillId="65" borderId="0" applyNumberFormat="0" applyBorder="0" applyAlignment="0" applyProtection="0">
      <alignment vertical="center"/>
    </xf>
    <xf numFmtId="0" fontId="93" fillId="17" borderId="6" applyNumberFormat="0" applyAlignment="0" applyProtection="0">
      <alignment vertical="center"/>
    </xf>
    <xf numFmtId="0" fontId="114" fillId="0" borderId="25" applyNumberFormat="0" applyFill="0" applyAlignment="0" applyProtection="0">
      <alignment vertical="center"/>
    </xf>
    <xf numFmtId="0" fontId="102" fillId="64" borderId="0" applyNumberFormat="0" applyBorder="0" applyAlignment="0" applyProtection="0">
      <alignment vertical="center"/>
    </xf>
    <xf numFmtId="0" fontId="96" fillId="0" borderId="7" applyNumberFormat="0" applyFill="0" applyAlignment="0" applyProtection="0">
      <alignment vertical="center"/>
    </xf>
    <xf numFmtId="0" fontId="113"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3" fillId="17" borderId="6" applyNumberFormat="0" applyAlignment="0" applyProtection="0">
      <alignment vertical="center"/>
    </xf>
    <xf numFmtId="0" fontId="94" fillId="0" borderId="0" applyNumberFormat="0" applyFill="0" applyBorder="0" applyAlignment="0" applyProtection="0">
      <alignment vertical="center"/>
    </xf>
    <xf numFmtId="0" fontId="112" fillId="0" borderId="0" applyNumberFormat="0" applyFill="0" applyBorder="0" applyAlignment="0" applyProtection="0">
      <alignment vertical="center"/>
    </xf>
    <xf numFmtId="0" fontId="101" fillId="0" borderId="0">
      <alignment vertical="center"/>
    </xf>
    <xf numFmtId="0" fontId="110" fillId="62" borderId="23" applyNumberFormat="0" applyAlignment="0" applyProtection="0">
      <alignment vertical="center"/>
    </xf>
    <xf numFmtId="0" fontId="111" fillId="63" borderId="24" applyNumberFormat="0" applyAlignment="0" applyProtection="0">
      <alignment vertical="center"/>
    </xf>
    <xf numFmtId="0" fontId="92" fillId="16" borderId="5" applyNumberFormat="0" applyAlignment="0" applyProtection="0">
      <alignment vertical="center"/>
    </xf>
    <xf numFmtId="0" fontId="109" fillId="0" borderId="22" applyNumberFormat="0" applyFill="0" applyAlignment="0" applyProtection="0">
      <alignment vertical="center"/>
    </xf>
    <xf numFmtId="0" fontId="91" fillId="0" borderId="4" applyNumberFormat="0" applyFill="0" applyAlignment="0" applyProtection="0">
      <alignment vertical="center"/>
    </xf>
    <xf numFmtId="0" fontId="91" fillId="0" borderId="4" applyNumberFormat="0" applyFill="0" applyAlignment="0" applyProtection="0">
      <alignment vertical="center"/>
    </xf>
    <xf numFmtId="0" fontId="90" fillId="4" borderId="0" applyNumberFormat="0" applyBorder="0" applyAlignment="0" applyProtection="0">
      <alignment vertical="center"/>
    </xf>
    <xf numFmtId="0" fontId="108" fillId="61" borderId="0" applyNumberFormat="0" applyBorder="0" applyAlignment="0" applyProtection="0">
      <alignment vertical="center"/>
    </xf>
    <xf numFmtId="0" fontId="83" fillId="2" borderId="0" applyNumberFormat="0" applyBorder="0" applyAlignment="0" applyProtection="0">
      <alignment vertical="center"/>
    </xf>
    <xf numFmtId="0" fontId="89" fillId="3" borderId="0" applyNumberFormat="0" applyBorder="0" applyAlignment="0" applyProtection="0">
      <alignment vertical="center"/>
    </xf>
    <xf numFmtId="0" fontId="82" fillId="0" borderId="0">
      <alignment vertical="center"/>
    </xf>
    <xf numFmtId="0" fontId="82" fillId="0" borderId="0">
      <alignment vertical="center"/>
    </xf>
    <xf numFmtId="0" fontId="82" fillId="0" borderId="0">
      <alignment vertical="center"/>
    </xf>
    <xf numFmtId="0" fontId="88" fillId="0" borderId="0" applyNumberFormat="0" applyFill="0" applyBorder="0" applyAlignment="0" applyProtection="0">
      <alignment vertical="center"/>
    </xf>
    <xf numFmtId="0" fontId="89" fillId="3" borderId="0" applyNumberFormat="0" applyBorder="0" applyAlignment="0" applyProtection="0">
      <alignment vertical="center"/>
    </xf>
    <xf numFmtId="0" fontId="107" fillId="60" borderId="0" applyNumberFormat="0" applyBorder="0" applyAlignment="0" applyProtection="0">
      <alignment vertical="center"/>
    </xf>
    <xf numFmtId="0" fontId="85" fillId="0" borderId="0" applyNumberFormat="0" applyFill="0" applyBorder="0" applyAlignment="0" applyProtection="0">
      <alignment vertical="center"/>
    </xf>
    <xf numFmtId="0" fontId="88" fillId="0" borderId="3" applyNumberFormat="0" applyFill="0" applyAlignment="0" applyProtection="0">
      <alignment vertical="center"/>
    </xf>
    <xf numFmtId="0" fontId="88" fillId="0" borderId="0" applyNumberFormat="0" applyFill="0" applyBorder="0" applyAlignment="0" applyProtection="0">
      <alignment vertical="center"/>
    </xf>
    <xf numFmtId="0" fontId="105" fillId="0" borderId="0" applyNumberFormat="0" applyFill="0" applyBorder="0" applyAlignment="0" applyProtection="0">
      <alignment vertical="center"/>
    </xf>
    <xf numFmtId="0" fontId="88" fillId="0" borderId="3" applyNumberFormat="0" applyFill="0" applyAlignment="0" applyProtection="0">
      <alignment vertical="center"/>
    </xf>
    <xf numFmtId="0" fontId="103" fillId="0" borderId="19" applyNumberFormat="0" applyFill="0" applyAlignment="0" applyProtection="0">
      <alignment vertical="center"/>
    </xf>
    <xf numFmtId="0" fontId="87" fillId="0" borderId="2" applyNumberFormat="0" applyFill="0" applyAlignment="0" applyProtection="0">
      <alignment vertical="center"/>
    </xf>
    <xf numFmtId="0" fontId="104" fillId="0" borderId="20" applyNumberFormat="0" applyFill="0" applyAlignment="0" applyProtection="0">
      <alignment vertical="center"/>
    </xf>
    <xf numFmtId="0" fontId="86" fillId="0" borderId="1" applyNumberFormat="0" applyFill="0" applyAlignment="0" applyProtection="0">
      <alignment vertical="center"/>
    </xf>
    <xf numFmtId="0" fontId="102" fillId="59" borderId="0" applyNumberFormat="0" applyBorder="0" applyAlignment="0" applyProtection="0">
      <alignment vertical="center"/>
    </xf>
    <xf numFmtId="0" fontId="85" fillId="0" borderId="0" applyNumberFormat="0" applyFill="0" applyBorder="0" applyAlignment="0" applyProtection="0">
      <alignment vertical="center"/>
    </xf>
    <xf numFmtId="0" fontId="84" fillId="15"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15" borderId="0" applyNumberFormat="0" applyBorder="0" applyAlignment="0" applyProtection="0">
      <alignment vertical="center"/>
    </xf>
    <xf numFmtId="0" fontId="102" fillId="58" borderId="0" applyNumberFormat="0" applyBorder="0" applyAlignment="0" applyProtection="0">
      <alignment vertical="center"/>
    </xf>
    <xf numFmtId="0" fontId="102" fillId="15" borderId="0" applyNumberFormat="0" applyBorder="0" applyAlignment="0" applyProtection="0">
      <alignment vertical="center"/>
    </xf>
    <xf numFmtId="0" fontId="84" fillId="14" borderId="0" applyNumberFormat="0" applyBorder="0" applyAlignment="0" applyProtection="0">
      <alignment vertical="center"/>
    </xf>
    <xf numFmtId="0" fontId="102" fillId="57" borderId="0" applyNumberFormat="0" applyBorder="0" applyAlignment="0" applyProtection="0">
      <alignment vertical="center"/>
    </xf>
    <xf numFmtId="0" fontId="84" fillId="19" borderId="0" applyNumberFormat="0" applyBorder="0" applyAlignment="0" applyProtection="0">
      <alignment vertical="center"/>
    </xf>
    <xf numFmtId="0" fontId="102" fillId="56"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13"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84" fillId="13" borderId="0" applyNumberFormat="0" applyBorder="0" applyAlignment="0" applyProtection="0">
      <alignment vertical="center"/>
    </xf>
    <xf numFmtId="0" fontId="84" fillId="10" borderId="0" applyNumberFormat="0" applyBorder="0" applyAlignment="0" applyProtection="0">
      <alignment vertical="center"/>
    </xf>
    <xf numFmtId="0" fontId="84" fillId="10"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84" fillId="9" borderId="0" applyNumberFormat="0" applyBorder="0" applyAlignment="0" applyProtection="0">
      <alignment vertical="center"/>
    </xf>
    <xf numFmtId="0" fontId="84" fillId="9" borderId="0" applyNumberFormat="0" applyBorder="0" applyAlignment="0" applyProtection="0">
      <alignment vertical="center"/>
    </xf>
    <xf numFmtId="0" fontId="102" fillId="55" borderId="0" applyNumberFormat="0" applyBorder="0" applyAlignment="0" applyProtection="0">
      <alignment vertical="center"/>
    </xf>
    <xf numFmtId="0" fontId="84" fillId="12" borderId="0" applyNumberFormat="0" applyBorder="0" applyAlignment="0" applyProtection="0">
      <alignment vertical="center"/>
    </xf>
    <xf numFmtId="0" fontId="84" fillId="12" borderId="0" applyNumberFormat="0" applyBorder="0" applyAlignment="0" applyProtection="0">
      <alignment vertical="center"/>
    </xf>
    <xf numFmtId="0" fontId="102" fillId="54" borderId="0" applyNumberFormat="0" applyBorder="0" applyAlignment="0" applyProtection="0">
      <alignment vertical="center"/>
    </xf>
    <xf numFmtId="0" fontId="83" fillId="9" borderId="0" applyNumberFormat="0" applyBorder="0" applyAlignment="0" applyProtection="0">
      <alignment vertical="center"/>
    </xf>
    <xf numFmtId="0" fontId="102" fillId="54"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72" borderId="27" applyNumberFormat="0" applyFont="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72" borderId="27" applyNumberFormat="0" applyFont="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101" fillId="50" borderId="0" applyNumberFormat="0" applyBorder="0" applyAlignment="0" applyProtection="0">
      <alignment vertical="center"/>
    </xf>
    <xf numFmtId="0" fontId="83" fillId="72" borderId="27" applyNumberFormat="0" applyFont="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101" fillId="52"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72" borderId="27" applyNumberFormat="0" applyFont="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101" fillId="51"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72" borderId="27" applyNumberFormat="0" applyFont="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72" borderId="27" applyNumberFormat="0" applyFont="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10" borderId="0" applyNumberFormat="0" applyBorder="0" applyAlignment="0" applyProtection="0">
      <alignment vertical="center"/>
    </xf>
    <xf numFmtId="0" fontId="101" fillId="5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8" borderId="0" applyNumberFormat="0" applyBorder="0" applyAlignment="0" applyProtection="0">
      <alignment vertical="center"/>
    </xf>
    <xf numFmtId="0" fontId="83" fillId="72" borderId="27" applyNumberFormat="0" applyFont="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101" fillId="4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72" borderId="27" applyNumberFormat="0" applyFont="0" applyAlignment="0" applyProtection="0">
      <alignment vertical="center"/>
    </xf>
    <xf numFmtId="0" fontId="83" fillId="9"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101" fillId="47" borderId="0" applyNumberFormat="0" applyBorder="0" applyAlignment="0" applyProtection="0">
      <alignment vertical="center"/>
    </xf>
    <xf numFmtId="0" fontId="83" fillId="72" borderId="27" applyNumberFormat="0" applyFont="0" applyAlignment="0" applyProtection="0">
      <alignment vertical="center"/>
    </xf>
    <xf numFmtId="0" fontId="83" fillId="8" borderId="0" applyNumberFormat="0" applyBorder="0" applyAlignment="0" applyProtection="0">
      <alignment vertical="center"/>
    </xf>
    <xf numFmtId="0" fontId="101" fillId="4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2" borderId="27" applyNumberFormat="0" applyFont="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6"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101" fillId="4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5" borderId="0" applyNumberFormat="0" applyBorder="0" applyAlignment="0" applyProtection="0">
      <alignment vertical="center"/>
    </xf>
    <xf numFmtId="0" fontId="101" fillId="5" borderId="0" applyNumberFormat="0" applyBorder="0" applyAlignment="0" applyProtection="0">
      <alignment vertical="center"/>
    </xf>
    <xf numFmtId="0" fontId="83" fillId="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3"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 borderId="0" applyNumberFormat="0" applyBorder="0" applyAlignment="0" applyProtection="0">
      <alignment vertical="center"/>
    </xf>
    <xf numFmtId="0" fontId="101" fillId="4" borderId="0" applyNumberFormat="0" applyBorder="0" applyAlignment="0" applyProtection="0">
      <alignment vertical="center"/>
    </xf>
    <xf numFmtId="0" fontId="101" fillId="4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101" fillId="4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2" borderId="0" applyNumberFormat="0" applyBorder="0" applyAlignment="0" applyProtection="0">
      <alignment vertical="center"/>
    </xf>
    <xf numFmtId="0" fontId="101" fillId="2" borderId="0" applyNumberFormat="0" applyBorder="0" applyAlignment="0" applyProtection="0">
      <alignment vertical="center"/>
    </xf>
    <xf numFmtId="0" fontId="101" fillId="4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72" borderId="27" applyNumberFormat="0" applyFont="0" applyAlignment="0" applyProtection="0">
      <alignment vertical="center"/>
    </xf>
    <xf numFmtId="0" fontId="102" fillId="15" borderId="0" applyNumberFormat="0" applyBorder="0" applyAlignment="0" applyProtection="0">
      <alignment vertical="center"/>
    </xf>
    <xf numFmtId="0" fontId="102" fillId="13"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83" fillId="5" borderId="0" applyNumberFormat="0" applyBorder="0" applyAlignment="0" applyProtection="0">
      <alignment vertical="center"/>
    </xf>
    <xf numFmtId="0" fontId="101" fillId="10"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83" fillId="72" borderId="27"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72" borderId="27"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101"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101" fillId="72" borderId="27" applyNumberFormat="0" applyFont="0" applyAlignment="0" applyProtection="0">
      <alignment vertical="center"/>
    </xf>
    <xf numFmtId="0" fontId="83" fillId="72" borderId="27" applyNumberFormat="0" applyFont="0" applyAlignment="0" applyProtection="0">
      <alignment vertical="center"/>
    </xf>
    <xf numFmtId="0" fontId="101" fillId="72" borderId="27" applyNumberFormat="0" applyFont="0" applyAlignment="0" applyProtection="0">
      <alignment vertical="center"/>
    </xf>
    <xf numFmtId="0" fontId="83" fillId="23" borderId="9"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99" fillId="7" borderId="5" applyNumberForma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99" fillId="7" borderId="5" applyNumberForma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4" fillId="14" borderId="0" applyNumberFormat="0" applyBorder="0" applyAlignment="0" applyProtection="0">
      <alignment vertical="center"/>
    </xf>
    <xf numFmtId="0" fontId="116" fillId="62" borderId="26" applyNumberFormat="0" applyAlignment="0" applyProtection="0">
      <alignment vertical="center"/>
    </xf>
    <xf numFmtId="0" fontId="99" fillId="7" borderId="5" applyNumberFormat="0" applyAlignment="0" applyProtection="0">
      <alignment vertical="center"/>
    </xf>
    <xf numFmtId="0" fontId="98" fillId="16" borderId="8" applyNumberFormat="0" applyAlignment="0" applyProtection="0">
      <alignment vertical="center"/>
    </xf>
    <xf numFmtId="0" fontId="97" fillId="22" borderId="0" applyNumberFormat="0" applyBorder="0" applyAlignment="0" applyProtection="0">
      <alignment vertical="center"/>
    </xf>
    <xf numFmtId="0" fontId="97" fillId="22" borderId="0" applyNumberFormat="0" applyBorder="0" applyAlignment="0" applyProtection="0">
      <alignment vertical="center"/>
    </xf>
    <xf numFmtId="0" fontId="97" fillId="22" borderId="0" applyNumberFormat="0" applyBorder="0" applyAlignment="0" applyProtection="0">
      <alignment vertical="center"/>
    </xf>
    <xf numFmtId="0" fontId="84" fillId="14" borderId="0" applyNumberFormat="0" applyBorder="0" applyAlignment="0" applyProtection="0">
      <alignment vertical="center"/>
    </xf>
    <xf numFmtId="0" fontId="84" fillId="21" borderId="0" applyNumberFormat="0" applyBorder="0" applyAlignment="0" applyProtection="0">
      <alignment vertical="center"/>
    </xf>
    <xf numFmtId="0" fontId="102" fillId="69" borderId="0" applyNumberFormat="0" applyBorder="0" applyAlignment="0" applyProtection="0">
      <alignment vertical="center"/>
    </xf>
    <xf numFmtId="0" fontId="84" fillId="18" borderId="0" applyNumberFormat="0" applyBorder="0" applyAlignment="0" applyProtection="0">
      <alignment vertical="center"/>
    </xf>
    <xf numFmtId="0" fontId="102" fillId="67" borderId="0" applyNumberFormat="0" applyBorder="0" applyAlignment="0" applyProtection="0">
      <alignment vertical="center"/>
    </xf>
    <xf numFmtId="0" fontId="84" fillId="14" borderId="0" applyNumberFormat="0" applyBorder="0" applyAlignment="0" applyProtection="0">
      <alignment vertical="center"/>
    </xf>
    <xf numFmtId="0" fontId="84" fillId="13" borderId="0" applyNumberFormat="0" applyBorder="0" applyAlignment="0" applyProtection="0">
      <alignment vertical="center"/>
    </xf>
    <xf numFmtId="0" fontId="84" fillId="20" borderId="0" applyNumberFormat="0" applyBorder="0" applyAlignment="0" applyProtection="0">
      <alignment vertical="center"/>
    </xf>
    <xf numFmtId="0" fontId="84" fillId="20" borderId="0" applyNumberFormat="0" applyBorder="0" applyAlignment="0" applyProtection="0">
      <alignment vertical="center"/>
    </xf>
    <xf numFmtId="0" fontId="84" fillId="20" borderId="0" applyNumberFormat="0" applyBorder="0" applyAlignment="0" applyProtection="0">
      <alignment vertical="center"/>
    </xf>
    <xf numFmtId="0" fontId="84" fillId="18" borderId="0" applyNumberFormat="0" applyBorder="0" applyAlignment="0" applyProtection="0">
      <alignment vertical="center"/>
    </xf>
    <xf numFmtId="0" fontId="84" fillId="19" borderId="0" applyNumberFormat="0" applyBorder="0" applyAlignment="0" applyProtection="0">
      <alignment vertical="center"/>
    </xf>
    <xf numFmtId="0" fontId="102" fillId="65" borderId="0" applyNumberFormat="0" applyBorder="0" applyAlignment="0" applyProtection="0">
      <alignment vertical="center"/>
    </xf>
    <xf numFmtId="0" fontId="93" fillId="17" borderId="6" applyNumberFormat="0" applyAlignment="0" applyProtection="0">
      <alignment vertical="center"/>
    </xf>
    <xf numFmtId="0" fontId="114" fillId="0" borderId="25" applyNumberFormat="0" applyFill="0" applyAlignment="0" applyProtection="0">
      <alignment vertical="center"/>
    </xf>
    <xf numFmtId="0" fontId="84" fillId="18" borderId="0" applyNumberFormat="0" applyBorder="0" applyAlignment="0" applyProtection="0">
      <alignment vertical="center"/>
    </xf>
    <xf numFmtId="0" fontId="96" fillId="0" borderId="7" applyNumberFormat="0" applyFill="0" applyAlignment="0" applyProtection="0">
      <alignment vertical="center"/>
    </xf>
    <xf numFmtId="0" fontId="95"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3" fillId="17" borderId="6" applyNumberFormat="0" applyAlignment="0" applyProtection="0">
      <alignment vertical="center"/>
    </xf>
    <xf numFmtId="0" fontId="94" fillId="0" borderId="0" applyNumberFormat="0" applyFill="0" applyBorder="0" applyAlignment="0" applyProtection="0">
      <alignment vertical="center"/>
    </xf>
    <xf numFmtId="0" fontId="112" fillId="0" borderId="0" applyNumberFormat="0" applyFill="0" applyBorder="0" applyAlignment="0" applyProtection="0">
      <alignment vertical="center"/>
    </xf>
    <xf numFmtId="0" fontId="101" fillId="0" borderId="0">
      <alignment vertical="center"/>
    </xf>
    <xf numFmtId="0" fontId="110" fillId="62" borderId="23" applyNumberFormat="0" applyAlignment="0" applyProtection="0">
      <alignment vertical="center"/>
    </xf>
    <xf numFmtId="0" fontId="93" fillId="17" borderId="6" applyNumberFormat="0" applyAlignment="0" applyProtection="0">
      <alignment vertical="center"/>
    </xf>
    <xf numFmtId="0" fontId="92" fillId="16" borderId="5" applyNumberFormat="0" applyAlignment="0" applyProtection="0">
      <alignment vertical="center"/>
    </xf>
    <xf numFmtId="0" fontId="91" fillId="0" borderId="4" applyNumberFormat="0" applyFill="0" applyAlignment="0" applyProtection="0">
      <alignment vertical="center"/>
    </xf>
    <xf numFmtId="0" fontId="91" fillId="0" borderId="4" applyNumberFormat="0" applyFill="0" applyAlignment="0" applyProtection="0">
      <alignment vertical="center"/>
    </xf>
    <xf numFmtId="0" fontId="91" fillId="0" borderId="4" applyNumberFormat="0" applyFill="0" applyAlignment="0" applyProtection="0">
      <alignment vertical="center"/>
    </xf>
    <xf numFmtId="0" fontId="82" fillId="0" borderId="0">
      <alignment vertical="center"/>
    </xf>
    <xf numFmtId="0" fontId="90" fillId="4" borderId="0" applyNumberFormat="0" applyBorder="0" applyAlignment="0" applyProtection="0">
      <alignment vertical="center"/>
    </xf>
    <xf numFmtId="0" fontId="108" fillId="61" borderId="0" applyNumberFormat="0" applyBorder="0" applyAlignment="0" applyProtection="0">
      <alignment vertical="center"/>
    </xf>
    <xf numFmtId="0" fontId="83" fillId="2" borderId="0" applyNumberFormat="0" applyBorder="0" applyAlignment="0" applyProtection="0">
      <alignment vertical="center"/>
    </xf>
    <xf numFmtId="0" fontId="89" fillId="3" borderId="0" applyNumberFormat="0" applyBorder="0" applyAlignment="0" applyProtection="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8" fillId="0" borderId="0" applyNumberFormat="0" applyFill="0" applyBorder="0" applyAlignment="0" applyProtection="0">
      <alignment vertical="center"/>
    </xf>
    <xf numFmtId="0" fontId="89" fillId="3" borderId="0" applyNumberFormat="0" applyBorder="0" applyAlignment="0" applyProtection="0">
      <alignment vertical="center"/>
    </xf>
    <xf numFmtId="0" fontId="89" fillId="3" borderId="0" applyNumberFormat="0" applyBorder="0" applyAlignment="0" applyProtection="0">
      <alignment vertical="center"/>
    </xf>
    <xf numFmtId="0" fontId="85" fillId="0" borderId="0" applyNumberFormat="0" applyFill="0" applyBorder="0" applyAlignment="0" applyProtection="0">
      <alignment vertical="center"/>
    </xf>
    <xf numFmtId="0" fontId="106" fillId="0" borderId="0" applyNumberFormat="0" applyFill="0" applyBorder="0" applyAlignment="0" applyProtection="0">
      <alignment vertical="center"/>
    </xf>
    <xf numFmtId="0" fontId="87" fillId="0" borderId="2" applyNumberFormat="0" applyFill="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3" applyNumberFormat="0" applyFill="0" applyAlignment="0" applyProtection="0">
      <alignment vertical="center"/>
    </xf>
    <xf numFmtId="0" fontId="105" fillId="0" borderId="21" applyNumberFormat="0" applyFill="0" applyAlignment="0" applyProtection="0">
      <alignment vertical="center"/>
    </xf>
    <xf numFmtId="0" fontId="103" fillId="0" borderId="19" applyNumberFormat="0" applyFill="0" applyAlignment="0" applyProtection="0">
      <alignment vertical="center"/>
    </xf>
    <xf numFmtId="0" fontId="87" fillId="0" borderId="2" applyNumberFormat="0" applyFill="0" applyAlignment="0" applyProtection="0">
      <alignment vertical="center"/>
    </xf>
    <xf numFmtId="0" fontId="104" fillId="0" borderId="20" applyNumberFormat="0" applyFill="0" applyAlignment="0" applyProtection="0">
      <alignment vertical="center"/>
    </xf>
    <xf numFmtId="0" fontId="86" fillId="0" borderId="1" applyNumberFormat="0" applyFill="0" applyAlignment="0" applyProtection="0">
      <alignment vertical="center"/>
    </xf>
    <xf numFmtId="0" fontId="86" fillId="0" borderId="1" applyNumberFormat="0" applyFill="0" applyAlignment="0" applyProtection="0">
      <alignment vertical="center"/>
    </xf>
    <xf numFmtId="0" fontId="102" fillId="59" borderId="0" applyNumberFormat="0" applyBorder="0" applyAlignment="0" applyProtection="0">
      <alignment vertical="center"/>
    </xf>
    <xf numFmtId="0" fontId="84" fillId="15" borderId="0" applyNumberFormat="0" applyBorder="0" applyAlignment="0" applyProtection="0">
      <alignment vertical="center"/>
    </xf>
    <xf numFmtId="0" fontId="84" fillId="15"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15" borderId="0" applyNumberFormat="0" applyBorder="0" applyAlignment="0" applyProtection="0">
      <alignment vertical="center"/>
    </xf>
    <xf numFmtId="0" fontId="102" fillId="15" borderId="0" applyNumberFormat="0" applyBorder="0" applyAlignment="0" applyProtection="0">
      <alignment vertical="center"/>
    </xf>
    <xf numFmtId="0" fontId="84" fillId="14" borderId="0" applyNumberFormat="0" applyBorder="0" applyAlignment="0" applyProtection="0">
      <alignment vertical="center"/>
    </xf>
    <xf numFmtId="0" fontId="84" fillId="15" borderId="0" applyNumberFormat="0" applyBorder="0" applyAlignment="0" applyProtection="0">
      <alignment vertical="center"/>
    </xf>
    <xf numFmtId="0" fontId="84" fillId="14" borderId="0" applyNumberFormat="0" applyBorder="0" applyAlignment="0" applyProtection="0">
      <alignment vertical="center"/>
    </xf>
    <xf numFmtId="0" fontId="102" fillId="58" borderId="0" applyNumberFormat="0" applyBorder="0" applyAlignment="0" applyProtection="0">
      <alignment vertical="center"/>
    </xf>
    <xf numFmtId="0" fontId="102" fillId="57" borderId="0" applyNumberFormat="0" applyBorder="0" applyAlignment="0" applyProtection="0">
      <alignment vertical="center"/>
    </xf>
    <xf numFmtId="0" fontId="84" fillId="13" borderId="0" applyNumberFormat="0" applyBorder="0" applyAlignment="0" applyProtection="0">
      <alignment vertical="center"/>
    </xf>
    <xf numFmtId="0" fontId="84" fillId="13" borderId="0" applyNumberFormat="0" applyBorder="0" applyAlignment="0" applyProtection="0">
      <alignment vertical="center"/>
    </xf>
    <xf numFmtId="0" fontId="102" fillId="57"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83" fillId="9" borderId="0" applyNumberFormat="0" applyBorder="0" applyAlignment="0" applyProtection="0">
      <alignment vertical="center"/>
    </xf>
    <xf numFmtId="0" fontId="84" fillId="12"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101" fillId="10"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10" borderId="0" applyNumberFormat="0" applyBorder="0" applyAlignment="0" applyProtection="0">
      <alignment vertical="center"/>
    </xf>
    <xf numFmtId="0" fontId="101" fillId="10" borderId="0" applyNumberFormat="0" applyBorder="0" applyAlignment="0" applyProtection="0">
      <alignment vertical="center"/>
    </xf>
    <xf numFmtId="0" fontId="101" fillId="10" borderId="0" applyNumberFormat="0" applyBorder="0" applyAlignment="0" applyProtection="0">
      <alignment vertical="center"/>
    </xf>
    <xf numFmtId="0" fontId="101" fillId="50" borderId="0" applyNumberFormat="0" applyBorder="0" applyAlignment="0" applyProtection="0">
      <alignment vertical="center"/>
    </xf>
    <xf numFmtId="0" fontId="83" fillId="10"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8" borderId="0" applyNumberFormat="0" applyBorder="0" applyAlignment="0" applyProtection="0">
      <alignment vertical="center"/>
    </xf>
    <xf numFmtId="0" fontId="83" fillId="9" borderId="0" applyNumberFormat="0" applyBorder="0" applyAlignment="0" applyProtection="0">
      <alignment vertical="center"/>
    </xf>
    <xf numFmtId="0" fontId="83" fillId="8" borderId="0" applyNumberFormat="0" applyBorder="0" applyAlignment="0" applyProtection="0">
      <alignment vertical="center"/>
    </xf>
    <xf numFmtId="0" fontId="101" fillId="47" borderId="0" applyNumberFormat="0" applyBorder="0" applyAlignment="0" applyProtection="0">
      <alignment vertical="center"/>
    </xf>
    <xf numFmtId="0" fontId="83" fillId="8"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5" borderId="0" applyNumberFormat="0" applyBorder="0" applyAlignment="0" applyProtection="0">
      <alignment vertical="center"/>
    </xf>
    <xf numFmtId="0" fontId="83" fillId="4" borderId="0" applyNumberFormat="0" applyBorder="0" applyAlignment="0" applyProtection="0">
      <alignment vertical="center"/>
    </xf>
    <xf numFmtId="0" fontId="83" fillId="3"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101"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83" fillId="2" borderId="0" applyNumberFormat="0" applyBorder="0" applyAlignment="0" applyProtection="0">
      <alignment vertical="center"/>
    </xf>
    <xf numFmtId="0" fontId="101" fillId="2" borderId="0" applyNumberFormat="0" applyBorder="0" applyAlignment="0" applyProtection="0">
      <alignment vertical="center"/>
    </xf>
    <xf numFmtId="0" fontId="101" fillId="4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72" borderId="27" applyNumberFormat="0" applyFont="0" applyAlignment="0" applyProtection="0">
      <alignment vertical="center"/>
    </xf>
    <xf numFmtId="0" fontId="102" fillId="15" borderId="0" applyNumberFormat="0" applyBorder="0" applyAlignment="0" applyProtection="0">
      <alignment vertical="center"/>
    </xf>
    <xf numFmtId="0" fontId="102" fillId="13" borderId="0" applyNumberFormat="0" applyBorder="0" applyAlignment="0" applyProtection="0">
      <alignment vertical="center"/>
    </xf>
    <xf numFmtId="0" fontId="101" fillId="10" borderId="0" applyNumberFormat="0" applyBorder="0" applyAlignment="0" applyProtection="0">
      <alignment vertical="center"/>
    </xf>
    <xf numFmtId="0" fontId="83" fillId="7" borderId="0" applyNumberFormat="0" applyBorder="0" applyAlignment="0" applyProtection="0">
      <alignment vertical="center"/>
    </xf>
    <xf numFmtId="0" fontId="83" fillId="6" borderId="0" applyNumberFormat="0" applyBorder="0" applyAlignment="0" applyProtection="0">
      <alignment vertical="center"/>
    </xf>
    <xf numFmtId="0" fontId="101" fillId="4" borderId="0" applyNumberFormat="0" applyBorder="0" applyAlignment="0" applyProtection="0">
      <alignment vertical="center"/>
    </xf>
    <xf numFmtId="0" fontId="83" fillId="4" borderId="0" applyNumberFormat="0" applyBorder="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101" fillId="72" borderId="27"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72" borderId="27"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101"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101"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23" borderId="9"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117" fillId="71" borderId="23" applyNumberForma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99" fillId="7" borderId="5" applyNumberForma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102" fillId="68" borderId="0" applyNumberFormat="0" applyBorder="0" applyAlignment="0" applyProtection="0">
      <alignment vertical="center"/>
    </xf>
    <xf numFmtId="0" fontId="116" fillId="62" borderId="26" applyNumberFormat="0" applyAlignment="0" applyProtection="0">
      <alignment vertical="center"/>
    </xf>
    <xf numFmtId="0" fontId="98" fillId="16" borderId="8" applyNumberFormat="0" applyAlignment="0" applyProtection="0">
      <alignment vertical="center"/>
    </xf>
    <xf numFmtId="0" fontId="98" fillId="16" borderId="8" applyNumberFormat="0" applyAlignment="0" applyProtection="0">
      <alignment vertical="center"/>
    </xf>
    <xf numFmtId="0" fontId="84" fillId="21" borderId="0" applyNumberFormat="0" applyBorder="0" applyAlignment="0" applyProtection="0">
      <alignment vertical="center"/>
    </xf>
    <xf numFmtId="0" fontId="97" fillId="22" borderId="0" applyNumberFormat="0" applyBorder="0" applyAlignment="0" applyProtection="0">
      <alignment vertical="center"/>
    </xf>
    <xf numFmtId="0" fontId="115" fillId="70" borderId="0" applyNumberFormat="0" applyBorder="0" applyAlignment="0" applyProtection="0">
      <alignment vertical="center"/>
    </xf>
    <xf numFmtId="0" fontId="84" fillId="14" borderId="0" applyNumberFormat="0" applyBorder="0" applyAlignment="0" applyProtection="0">
      <alignment vertical="center"/>
    </xf>
    <xf numFmtId="0" fontId="84" fillId="21" borderId="0" applyNumberFormat="0" applyBorder="0" applyAlignment="0" applyProtection="0">
      <alignment vertical="center"/>
    </xf>
    <xf numFmtId="0" fontId="102" fillId="69" borderId="0" applyNumberFormat="0" applyBorder="0" applyAlignment="0" applyProtection="0">
      <alignment vertical="center"/>
    </xf>
    <xf numFmtId="0" fontId="102" fillId="64" borderId="0" applyNumberFormat="0" applyBorder="0" applyAlignment="0" applyProtection="0">
      <alignment vertical="center"/>
    </xf>
    <xf numFmtId="0" fontId="102" fillId="67" borderId="0" applyNumberFormat="0" applyBorder="0" applyAlignment="0" applyProtection="0">
      <alignment vertical="center"/>
    </xf>
    <xf numFmtId="0" fontId="84" fillId="13" borderId="0" applyNumberFormat="0" applyBorder="0" applyAlignment="0" applyProtection="0">
      <alignment vertical="center"/>
    </xf>
    <xf numFmtId="0" fontId="84" fillId="13" borderId="0" applyNumberFormat="0" applyBorder="0" applyAlignment="0" applyProtection="0">
      <alignment vertical="center"/>
    </xf>
    <xf numFmtId="0" fontId="84" fillId="19" borderId="0" applyNumberFormat="0" applyBorder="0" applyAlignment="0" applyProtection="0">
      <alignment vertical="center"/>
    </xf>
    <xf numFmtId="0" fontId="84" fillId="20" borderId="0" applyNumberFormat="0" applyBorder="0" applyAlignment="0" applyProtection="0">
      <alignment vertical="center"/>
    </xf>
    <xf numFmtId="0" fontId="102" fillId="66" borderId="0" applyNumberFormat="0" applyBorder="0" applyAlignment="0" applyProtection="0">
      <alignment vertical="center"/>
    </xf>
    <xf numFmtId="0" fontId="84" fillId="18" borderId="0" applyNumberFormat="0" applyBorder="0" applyAlignment="0" applyProtection="0">
      <alignment vertical="center"/>
    </xf>
    <xf numFmtId="0" fontId="84" fillId="19" borderId="0" applyNumberFormat="0" applyBorder="0" applyAlignment="0" applyProtection="0">
      <alignment vertical="center"/>
    </xf>
    <xf numFmtId="0" fontId="102" fillId="65" borderId="0" applyNumberFormat="0" applyBorder="0" applyAlignment="0" applyProtection="0">
      <alignment vertical="center"/>
    </xf>
    <xf numFmtId="0" fontId="111" fillId="63" borderId="24" applyNumberFormat="0" applyAlignment="0" applyProtection="0">
      <alignment vertical="center"/>
    </xf>
    <xf numFmtId="0" fontId="114" fillId="0" borderId="25" applyNumberFormat="0" applyFill="0" applyAlignment="0" applyProtection="0">
      <alignment vertical="center"/>
    </xf>
    <xf numFmtId="0" fontId="96" fillId="0" borderId="7" applyNumberFormat="0" applyFill="0" applyAlignment="0" applyProtection="0">
      <alignment vertical="center"/>
    </xf>
    <xf numFmtId="0" fontId="96" fillId="0" borderId="7" applyNumberFormat="0" applyFill="0" applyAlignment="0" applyProtection="0">
      <alignment vertical="center"/>
    </xf>
    <xf numFmtId="0" fontId="94"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113" fillId="0" borderId="0" applyNumberFormat="0" applyFill="0" applyBorder="0" applyAlignment="0" applyProtection="0">
      <alignment vertical="center"/>
    </xf>
    <xf numFmtId="0" fontId="93" fillId="17" borderId="6" applyNumberFormat="0" applyAlignment="0" applyProtection="0">
      <alignment vertical="center"/>
    </xf>
    <xf numFmtId="0" fontId="94" fillId="0" borderId="0" applyNumberFormat="0" applyFill="0" applyBorder="0" applyAlignment="0" applyProtection="0">
      <alignment vertical="center"/>
    </xf>
    <xf numFmtId="0" fontId="112" fillId="0" borderId="0" applyNumberFormat="0" applyFill="0" applyBorder="0" applyAlignment="0" applyProtection="0">
      <alignment vertical="center"/>
    </xf>
    <xf numFmtId="0" fontId="101" fillId="0" borderId="0">
      <alignment vertical="center"/>
    </xf>
    <xf numFmtId="0" fontId="110" fillId="62" borderId="23" applyNumberFormat="0" applyAlignment="0" applyProtection="0">
      <alignment vertical="center"/>
    </xf>
    <xf numFmtId="0" fontId="92" fillId="16" borderId="5" applyNumberFormat="0" applyAlignment="0" applyProtection="0">
      <alignment vertical="center"/>
    </xf>
    <xf numFmtId="0" fontId="92" fillId="16" borderId="5" applyNumberFormat="0" applyAlignment="0" applyProtection="0">
      <alignment vertical="center"/>
    </xf>
    <xf numFmtId="0" fontId="90" fillId="4" borderId="0" applyNumberFormat="0" applyBorder="0" applyAlignment="0" applyProtection="0">
      <alignment vertical="center"/>
    </xf>
    <xf numFmtId="0" fontId="91" fillId="0" borderId="4" applyNumberFormat="0" applyFill="0" applyAlignment="0" applyProtection="0">
      <alignment vertical="center"/>
    </xf>
    <xf numFmtId="0" fontId="109" fillId="0" borderId="22" applyNumberFormat="0" applyFill="0" applyAlignment="0" applyProtection="0">
      <alignment vertical="center"/>
    </xf>
    <xf numFmtId="0" fontId="82" fillId="0" borderId="0">
      <alignment vertical="center"/>
    </xf>
    <xf numFmtId="0" fontId="90" fillId="4" borderId="0" applyNumberFormat="0" applyBorder="0" applyAlignment="0" applyProtection="0">
      <alignment vertical="center"/>
    </xf>
    <xf numFmtId="0" fontId="108" fillId="61" borderId="0" applyNumberFormat="0" applyBorder="0" applyAlignment="0" applyProtection="0">
      <alignment vertical="center"/>
    </xf>
    <xf numFmtId="0" fontId="83" fillId="2" borderId="0" applyNumberFormat="0" applyBorder="0" applyAlignment="0" applyProtection="0">
      <alignment vertical="center"/>
    </xf>
    <xf numFmtId="0" fontId="89" fillId="3" borderId="0" applyNumberFormat="0" applyBorder="0" applyAlignment="0" applyProtection="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8" fillId="0" borderId="0" applyNumberFormat="0" applyFill="0" applyBorder="0" applyAlignment="0" applyProtection="0">
      <alignment vertical="center"/>
    </xf>
    <xf numFmtId="0" fontId="107" fillId="60" borderId="0" applyNumberFormat="0" applyBorder="0" applyAlignment="0" applyProtection="0">
      <alignment vertical="center"/>
    </xf>
    <xf numFmtId="0" fontId="85" fillId="0" borderId="0" applyNumberFormat="0" applyFill="0" applyBorder="0" applyAlignment="0" applyProtection="0">
      <alignment vertical="center"/>
    </xf>
    <xf numFmtId="0" fontId="85" fillId="0" borderId="0" applyNumberFormat="0" applyFill="0" applyBorder="0" applyAlignment="0" applyProtection="0">
      <alignment vertical="center"/>
    </xf>
    <xf numFmtId="0" fontId="106" fillId="0" borderId="0" applyNumberFormat="0" applyFill="0" applyBorder="0" applyAlignment="0" applyProtection="0">
      <alignment vertical="center"/>
    </xf>
    <xf numFmtId="0" fontId="87" fillId="0" borderId="2" applyNumberFormat="0" applyFill="0" applyAlignment="0" applyProtection="0">
      <alignment vertical="center"/>
    </xf>
    <xf numFmtId="0" fontId="105" fillId="0" borderId="0" applyNumberFormat="0" applyFill="0" applyBorder="0" applyAlignment="0" applyProtection="0">
      <alignment vertical="center"/>
    </xf>
    <xf numFmtId="0" fontId="88" fillId="0" borderId="3" applyNumberFormat="0" applyFill="0" applyAlignment="0" applyProtection="0">
      <alignment vertical="center"/>
    </xf>
    <xf numFmtId="0" fontId="88" fillId="0" borderId="3" applyNumberFormat="0" applyFill="0" applyAlignment="0" applyProtection="0">
      <alignment vertical="center"/>
    </xf>
    <xf numFmtId="0" fontId="105" fillId="0" borderId="21" applyNumberFormat="0" applyFill="0" applyAlignment="0" applyProtection="0">
      <alignment vertical="center"/>
    </xf>
    <xf numFmtId="0" fontId="103" fillId="0" borderId="19" applyNumberFormat="0" applyFill="0" applyAlignment="0" applyProtection="0">
      <alignment vertical="center"/>
    </xf>
    <xf numFmtId="0" fontId="87" fillId="0" borderId="2" applyNumberFormat="0" applyFill="0" applyAlignment="0" applyProtection="0">
      <alignment vertical="center"/>
    </xf>
    <xf numFmtId="0" fontId="104" fillId="0" borderId="20" applyNumberFormat="0" applyFill="0" applyAlignment="0" applyProtection="0">
      <alignment vertical="center"/>
    </xf>
    <xf numFmtId="0" fontId="86" fillId="0" borderId="1" applyNumberFormat="0" applyFill="0" applyAlignment="0" applyProtection="0">
      <alignment vertical="center"/>
    </xf>
    <xf numFmtId="0" fontId="86" fillId="0" borderId="1" applyNumberFormat="0" applyFill="0" applyAlignment="0" applyProtection="0">
      <alignment vertical="center"/>
    </xf>
    <xf numFmtId="0" fontId="102" fillId="59" borderId="0" applyNumberFormat="0" applyBorder="0" applyAlignment="0" applyProtection="0">
      <alignment vertical="center"/>
    </xf>
    <xf numFmtId="0" fontId="84" fillId="15" borderId="0" applyNumberFormat="0" applyBorder="0" applyAlignment="0" applyProtection="0">
      <alignment vertical="center"/>
    </xf>
    <xf numFmtId="0" fontId="84" fillId="15"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15" borderId="0" applyNumberFormat="0" applyBorder="0" applyAlignment="0" applyProtection="0">
      <alignment vertical="center"/>
    </xf>
    <xf numFmtId="0" fontId="102" fillId="15" borderId="0" applyNumberFormat="0" applyBorder="0" applyAlignment="0" applyProtection="0">
      <alignment vertical="center"/>
    </xf>
    <xf numFmtId="0" fontId="102" fillId="59" borderId="0" applyNumberFormat="0" applyBorder="0" applyAlignment="0" applyProtection="0">
      <alignment vertical="center"/>
    </xf>
    <xf numFmtId="0" fontId="84" fillId="13" borderId="0" applyNumberFormat="0" applyBorder="0" applyAlignment="0" applyProtection="0">
      <alignment vertical="center"/>
    </xf>
    <xf numFmtId="0" fontId="84" fillId="14" borderId="0" applyNumberFormat="0" applyBorder="0" applyAlignment="0" applyProtection="0">
      <alignment vertical="center"/>
    </xf>
    <xf numFmtId="0" fontId="84" fillId="14" borderId="0" applyNumberFormat="0" applyBorder="0" applyAlignment="0" applyProtection="0">
      <alignment vertical="center"/>
    </xf>
    <xf numFmtId="0" fontId="102" fillId="58" borderId="0" applyNumberFormat="0" applyBorder="0" applyAlignment="0" applyProtection="0">
      <alignment vertical="center"/>
    </xf>
    <xf numFmtId="0" fontId="102" fillId="57" borderId="0" applyNumberFormat="0" applyBorder="0" applyAlignment="0" applyProtection="0">
      <alignment vertical="center"/>
    </xf>
    <xf numFmtId="0" fontId="84" fillId="13" borderId="0" applyNumberFormat="0" applyBorder="0" applyAlignment="0" applyProtection="0">
      <alignment vertical="center"/>
    </xf>
    <xf numFmtId="0" fontId="84" fillId="13" borderId="0" applyNumberFormat="0" applyBorder="0" applyAlignment="0" applyProtection="0">
      <alignment vertical="center"/>
    </xf>
    <xf numFmtId="0" fontId="102" fillId="57"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83" fillId="9"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101" fillId="53"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10" borderId="0" applyNumberFormat="0" applyBorder="0" applyAlignment="0" applyProtection="0">
      <alignment vertical="center"/>
    </xf>
    <xf numFmtId="0" fontId="101" fillId="1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83" fillId="10"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8" borderId="0" applyNumberFormat="0" applyBorder="0" applyAlignment="0" applyProtection="0">
      <alignment vertical="center"/>
    </xf>
    <xf numFmtId="0" fontId="83" fillId="9" borderId="0" applyNumberFormat="0" applyBorder="0" applyAlignment="0" applyProtection="0">
      <alignment vertical="center"/>
    </xf>
    <xf numFmtId="0" fontId="83" fillId="8" borderId="0" applyNumberFormat="0" applyBorder="0" applyAlignment="0" applyProtection="0">
      <alignment vertical="center"/>
    </xf>
    <xf numFmtId="0" fontId="101" fillId="47" borderId="0" applyNumberFormat="0" applyBorder="0" applyAlignment="0" applyProtection="0">
      <alignment vertical="center"/>
    </xf>
    <xf numFmtId="0" fontId="83" fillId="8"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5" borderId="0" applyNumberFormat="0" applyBorder="0" applyAlignment="0" applyProtection="0">
      <alignment vertical="center"/>
    </xf>
    <xf numFmtId="0" fontId="83" fillId="4" borderId="0" applyNumberFormat="0" applyBorder="0" applyAlignment="0" applyProtection="0">
      <alignment vertical="center"/>
    </xf>
    <xf numFmtId="0" fontId="83" fillId="3"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 borderId="0" applyNumberFormat="0" applyBorder="0" applyAlignment="0" applyProtection="0">
      <alignment vertical="center"/>
    </xf>
    <xf numFmtId="0" fontId="101" fillId="4" borderId="0" applyNumberFormat="0" applyBorder="0" applyAlignment="0" applyProtection="0">
      <alignment vertical="center"/>
    </xf>
    <xf numFmtId="0" fontId="101" fillId="44" borderId="0" applyNumberFormat="0" applyBorder="0" applyAlignment="0" applyProtection="0">
      <alignment vertical="center"/>
    </xf>
    <xf numFmtId="0" fontId="101"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101" fillId="2" borderId="0" applyNumberFormat="0" applyBorder="0" applyAlignment="0" applyProtection="0">
      <alignment vertical="center"/>
    </xf>
    <xf numFmtId="0" fontId="83" fillId="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83" fillId="2" borderId="0" applyNumberFormat="0" applyBorder="0" applyAlignment="0" applyProtection="0">
      <alignment vertical="center"/>
    </xf>
    <xf numFmtId="0" fontId="101" fillId="2" borderId="0" applyNumberFormat="0" applyBorder="0" applyAlignment="0" applyProtection="0">
      <alignment vertical="center"/>
    </xf>
    <xf numFmtId="0" fontId="101" fillId="4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102" fillId="59" borderId="0" applyNumberFormat="0" applyBorder="0" applyAlignment="0" applyProtection="0">
      <alignment vertical="center"/>
    </xf>
    <xf numFmtId="0" fontId="102" fillId="56" borderId="0" applyNumberFormat="0" applyBorder="0" applyAlignment="0" applyProtection="0">
      <alignment vertical="center"/>
    </xf>
    <xf numFmtId="0" fontId="102" fillId="10" borderId="0" applyNumberFormat="0" applyBorder="0" applyAlignment="0" applyProtection="0">
      <alignment vertical="center"/>
    </xf>
    <xf numFmtId="0" fontId="101" fillId="50" borderId="0" applyNumberFormat="0" applyBorder="0" applyAlignment="0" applyProtection="0">
      <alignment vertical="center"/>
    </xf>
    <xf numFmtId="0" fontId="83" fillId="10" borderId="0" applyNumberFormat="0" applyBorder="0" applyAlignment="0" applyProtection="0">
      <alignment vertical="center"/>
    </xf>
    <xf numFmtId="0" fontId="101" fillId="5" borderId="0" applyNumberFormat="0" applyBorder="0" applyAlignment="0" applyProtection="0">
      <alignment vertical="center"/>
    </xf>
    <xf numFmtId="0" fontId="83" fillId="5" borderId="0" applyNumberFormat="0" applyBorder="0" applyAlignment="0" applyProtection="0">
      <alignment vertical="center"/>
    </xf>
    <xf numFmtId="0" fontId="101" fillId="4" borderId="0" applyNumberFormat="0" applyBorder="0" applyAlignment="0" applyProtection="0">
      <alignment vertical="center"/>
    </xf>
    <xf numFmtId="0" fontId="101" fillId="43" borderId="0" applyNumberFormat="0" applyBorder="0" applyAlignment="0" applyProtection="0">
      <alignment vertical="center"/>
    </xf>
    <xf numFmtId="0" fontId="101" fillId="42" borderId="0" applyNumberFormat="0" applyBorder="0" applyAlignment="0" applyProtection="0">
      <alignment vertical="center"/>
    </xf>
    <xf numFmtId="0" fontId="101" fillId="2" borderId="0" applyNumberFormat="0" applyBorder="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101" fillId="72" borderId="27"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101" fillId="72" borderId="27"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101"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23" borderId="9"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117" fillId="71" borderId="23" applyNumberForma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99" fillId="7" borderId="5" applyNumberForma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102" fillId="68" borderId="0" applyNumberFormat="0" applyBorder="0" applyAlignment="0" applyProtection="0">
      <alignment vertical="center"/>
    </xf>
    <xf numFmtId="0" fontId="98" fillId="16" borderId="8" applyNumberFormat="0" applyAlignment="0" applyProtection="0">
      <alignment vertical="center"/>
    </xf>
    <xf numFmtId="0" fontId="98" fillId="16" borderId="8" applyNumberFormat="0" applyAlignment="0" applyProtection="0">
      <alignment vertical="center"/>
    </xf>
    <xf numFmtId="0" fontId="98" fillId="16" borderId="8" applyNumberFormat="0" applyAlignment="0" applyProtection="0">
      <alignment vertical="center"/>
    </xf>
    <xf numFmtId="0" fontId="84" fillId="21" borderId="0" applyNumberFormat="0" applyBorder="0" applyAlignment="0" applyProtection="0">
      <alignment vertical="center"/>
    </xf>
    <xf numFmtId="0" fontId="97" fillId="22" borderId="0" applyNumberFormat="0" applyBorder="0" applyAlignment="0" applyProtection="0">
      <alignment vertical="center"/>
    </xf>
    <xf numFmtId="0" fontId="115" fillId="70" borderId="0" applyNumberFormat="0" applyBorder="0" applyAlignment="0" applyProtection="0">
      <alignment vertical="center"/>
    </xf>
    <xf numFmtId="0" fontId="84" fillId="14" borderId="0" applyNumberFormat="0" applyBorder="0" applyAlignment="0" applyProtection="0">
      <alignment vertical="center"/>
    </xf>
    <xf numFmtId="0" fontId="84" fillId="21" borderId="0" applyNumberFormat="0" applyBorder="0" applyAlignment="0" applyProtection="0">
      <alignment vertical="center"/>
    </xf>
    <xf numFmtId="0" fontId="84" fillId="21" borderId="0" applyNumberFormat="0" applyBorder="0" applyAlignment="0" applyProtection="0">
      <alignment vertical="center"/>
    </xf>
    <xf numFmtId="0" fontId="102" fillId="64" borderId="0" applyNumberFormat="0" applyBorder="0" applyAlignment="0" applyProtection="0">
      <alignment vertical="center"/>
    </xf>
    <xf numFmtId="0" fontId="84" fillId="13" borderId="0" applyNumberFormat="0" applyBorder="0" applyAlignment="0" applyProtection="0">
      <alignment vertical="center"/>
    </xf>
    <xf numFmtId="0" fontId="84" fillId="13" borderId="0" applyNumberFormat="0" applyBorder="0" applyAlignment="0" applyProtection="0">
      <alignment vertical="center"/>
    </xf>
    <xf numFmtId="0" fontId="84" fillId="13" borderId="0" applyNumberFormat="0" applyBorder="0" applyAlignment="0" applyProtection="0">
      <alignment vertical="center"/>
    </xf>
    <xf numFmtId="0" fontId="84" fillId="19" borderId="0" applyNumberFormat="0" applyBorder="0" applyAlignment="0" applyProtection="0">
      <alignment vertical="center"/>
    </xf>
    <xf numFmtId="0" fontId="84" fillId="20" borderId="0" applyNumberFormat="0" applyBorder="0" applyAlignment="0" applyProtection="0">
      <alignment vertical="center"/>
    </xf>
    <xf numFmtId="0" fontId="102" fillId="66" borderId="0" applyNumberFormat="0" applyBorder="0" applyAlignment="0" applyProtection="0">
      <alignment vertical="center"/>
    </xf>
    <xf numFmtId="0" fontId="84" fillId="18" borderId="0" applyNumberFormat="0" applyBorder="0" applyAlignment="0" applyProtection="0">
      <alignment vertical="center"/>
    </xf>
    <xf numFmtId="0" fontId="84" fillId="19" borderId="0" applyNumberFormat="0" applyBorder="0" applyAlignment="0" applyProtection="0">
      <alignment vertical="center"/>
    </xf>
    <xf numFmtId="0" fontId="84" fillId="19" borderId="0" applyNumberFormat="0" applyBorder="0" applyAlignment="0" applyProtection="0">
      <alignment vertical="center"/>
    </xf>
    <xf numFmtId="0" fontId="111" fillId="63" borderId="24" applyNumberFormat="0" applyAlignment="0" applyProtection="0">
      <alignment vertical="center"/>
    </xf>
    <xf numFmtId="0" fontId="96" fillId="0" borderId="7" applyNumberFormat="0" applyFill="0" applyAlignment="0" applyProtection="0">
      <alignment vertical="center"/>
    </xf>
    <xf numFmtId="0" fontId="96" fillId="0" borderId="7" applyNumberFormat="0" applyFill="0" applyAlignment="0" applyProtection="0">
      <alignment vertical="center"/>
    </xf>
    <xf numFmtId="0" fontId="96" fillId="0" borderId="7" applyNumberFormat="0" applyFill="0" applyAlignment="0" applyProtection="0">
      <alignment vertical="center"/>
    </xf>
    <xf numFmtId="0" fontId="94"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113" fillId="0" borderId="0" applyNumberFormat="0" applyFill="0" applyBorder="0" applyAlignment="0" applyProtection="0">
      <alignment vertical="center"/>
    </xf>
    <xf numFmtId="0" fontId="93" fillId="17" borderId="6" applyNumberFormat="0" applyAlignment="0" applyProtection="0">
      <alignment vertical="center"/>
    </xf>
    <xf numFmtId="0" fontId="94"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82" fillId="0" borderId="0">
      <alignment vertical="center"/>
    </xf>
    <xf numFmtId="0" fontId="92" fillId="16" borderId="5" applyNumberFormat="0" applyAlignment="0" applyProtection="0">
      <alignment vertical="center"/>
    </xf>
    <xf numFmtId="0" fontId="92" fillId="16" borderId="5" applyNumberFormat="0" applyAlignment="0" applyProtection="0">
      <alignment vertical="center"/>
    </xf>
    <xf numFmtId="0" fontId="92" fillId="16" borderId="5" applyNumberFormat="0" applyAlignment="0" applyProtection="0">
      <alignment vertical="center"/>
    </xf>
    <xf numFmtId="0" fontId="90" fillId="4" borderId="0" applyNumberFormat="0" applyBorder="0" applyAlignment="0" applyProtection="0">
      <alignment vertical="center"/>
    </xf>
    <xf numFmtId="0" fontId="91" fillId="0" borderId="4" applyNumberFormat="0" applyFill="0" applyAlignment="0" applyProtection="0">
      <alignment vertical="center"/>
    </xf>
    <xf numFmtId="0" fontId="109" fillId="0" borderId="22" applyNumberFormat="0" applyFill="0" applyAlignment="0" applyProtection="0">
      <alignment vertical="center"/>
    </xf>
    <xf numFmtId="0" fontId="82" fillId="0" borderId="0">
      <alignment vertical="center"/>
    </xf>
    <xf numFmtId="0" fontId="90" fillId="4" borderId="0" applyNumberFormat="0" applyBorder="0" applyAlignment="0" applyProtection="0">
      <alignment vertical="center"/>
    </xf>
    <xf numFmtId="0" fontId="90" fillId="4" borderId="0" applyNumberFormat="0" applyBorder="0" applyAlignment="0" applyProtection="0">
      <alignment vertical="center"/>
    </xf>
    <xf numFmtId="0" fontId="83" fillId="2" borderId="0" applyNumberFormat="0" applyBorder="0" applyAlignment="0" applyProtection="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9" fillId="3" borderId="0" applyNumberFormat="0" applyBorder="0" applyAlignment="0" applyProtection="0">
      <alignment vertical="center"/>
    </xf>
    <xf numFmtId="0" fontId="107" fillId="60" borderId="0" applyNumberFormat="0" applyBorder="0" applyAlignment="0" applyProtection="0">
      <alignment vertical="center"/>
    </xf>
    <xf numFmtId="0" fontId="85" fillId="0" borderId="0" applyNumberFormat="0" applyFill="0" applyBorder="0" applyAlignment="0" applyProtection="0">
      <alignment vertical="center"/>
    </xf>
    <xf numFmtId="0" fontId="85"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105" fillId="0" borderId="0" applyNumberFormat="0" applyFill="0" applyBorder="0" applyAlignment="0" applyProtection="0">
      <alignment vertical="center"/>
    </xf>
    <xf numFmtId="0" fontId="88" fillId="0" borderId="3" applyNumberFormat="0" applyFill="0" applyAlignment="0" applyProtection="0">
      <alignment vertical="center"/>
    </xf>
    <xf numFmtId="0" fontId="88" fillId="0" borderId="3" applyNumberFormat="0" applyFill="0" applyAlignment="0" applyProtection="0">
      <alignment vertical="center"/>
    </xf>
    <xf numFmtId="0" fontId="86" fillId="0" borderId="1" applyNumberFormat="0" applyFill="0" applyAlignment="0" applyProtection="0">
      <alignment vertical="center"/>
    </xf>
    <xf numFmtId="0" fontId="87" fillId="0" borderId="2" applyNumberFormat="0" applyFill="0" applyAlignment="0" applyProtection="0">
      <alignment vertical="center"/>
    </xf>
    <xf numFmtId="0" fontId="87" fillId="0" borderId="2" applyNumberFormat="0" applyFill="0" applyAlignment="0" applyProtection="0">
      <alignment vertical="center"/>
    </xf>
    <xf numFmtId="0" fontId="86" fillId="0" borderId="1" applyNumberFormat="0" applyFill="0" applyAlignment="0" applyProtection="0">
      <alignment vertical="center"/>
    </xf>
    <xf numFmtId="0" fontId="102" fillId="59" borderId="0" applyNumberFormat="0" applyBorder="0" applyAlignment="0" applyProtection="0">
      <alignment vertical="center"/>
    </xf>
    <xf numFmtId="0" fontId="84" fillId="15"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15" borderId="0" applyNumberFormat="0" applyBorder="0" applyAlignment="0" applyProtection="0">
      <alignment vertical="center"/>
    </xf>
    <xf numFmtId="0" fontId="84" fillId="13" borderId="0" applyNumberFormat="0" applyBorder="0" applyAlignment="0" applyProtection="0">
      <alignment vertical="center"/>
    </xf>
    <xf numFmtId="0" fontId="84" fillId="14" borderId="0" applyNumberFormat="0" applyBorder="0" applyAlignment="0" applyProtection="0">
      <alignment vertical="center"/>
    </xf>
    <xf numFmtId="0" fontId="84" fillId="14"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6"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13" borderId="0" applyNumberFormat="0" applyBorder="0" applyAlignment="0" applyProtection="0">
      <alignment vertical="center"/>
    </xf>
    <xf numFmtId="0" fontId="102" fillId="13"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84" fillId="10" borderId="0" applyNumberFormat="0" applyBorder="0" applyAlignment="0" applyProtection="0">
      <alignment vertical="center"/>
    </xf>
    <xf numFmtId="0" fontId="84" fillId="10"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84" fillId="10" borderId="0" applyNumberFormat="0" applyBorder="0" applyAlignment="0" applyProtection="0">
      <alignment vertical="center"/>
    </xf>
    <xf numFmtId="0" fontId="84" fillId="9" borderId="0" applyNumberFormat="0" applyBorder="0" applyAlignment="0" applyProtection="0">
      <alignment vertical="center"/>
    </xf>
    <xf numFmtId="0" fontId="84" fillId="9" borderId="0" applyNumberFormat="0" applyBorder="0" applyAlignment="0" applyProtection="0">
      <alignment vertical="center"/>
    </xf>
    <xf numFmtId="0" fontId="102" fillId="55" borderId="0" applyNumberFormat="0" applyBorder="0" applyAlignment="0" applyProtection="0">
      <alignment vertical="center"/>
    </xf>
    <xf numFmtId="0" fontId="84" fillId="12" borderId="0" applyNumberFormat="0" applyBorder="0" applyAlignment="0" applyProtection="0">
      <alignment vertical="center"/>
    </xf>
    <xf numFmtId="0" fontId="84" fillId="12" borderId="0" applyNumberFormat="0" applyBorder="0" applyAlignment="0" applyProtection="0">
      <alignment vertical="center"/>
    </xf>
    <xf numFmtId="0" fontId="102" fillId="54" borderId="0" applyNumberFormat="0" applyBorder="0" applyAlignment="0" applyProtection="0">
      <alignment vertical="center"/>
    </xf>
    <xf numFmtId="0" fontId="83" fillId="9"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101" fillId="53"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8"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101" fillId="52"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101" fillId="51"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10" borderId="0" applyNumberFormat="0" applyBorder="0" applyAlignment="0" applyProtection="0">
      <alignment vertical="center"/>
    </xf>
    <xf numFmtId="0" fontId="101" fillId="50" borderId="0" applyNumberFormat="0" applyBorder="0" applyAlignment="0" applyProtection="0">
      <alignment vertical="center"/>
    </xf>
    <xf numFmtId="0" fontId="101"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8"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101" fillId="4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7"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101" fillId="4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6"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101" fillId="4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5" borderId="0" applyNumberFormat="0" applyBorder="0" applyAlignment="0" applyProtection="0">
      <alignment vertical="center"/>
    </xf>
    <xf numFmtId="0" fontId="101" fillId="5" borderId="0" applyNumberFormat="0" applyBorder="0" applyAlignment="0" applyProtection="0">
      <alignment vertical="center"/>
    </xf>
    <xf numFmtId="0" fontId="101" fillId="5" borderId="0" applyNumberFormat="0" applyBorder="0" applyAlignment="0" applyProtection="0">
      <alignment vertical="center"/>
    </xf>
    <xf numFmtId="0" fontId="83" fillId="4" borderId="0" applyNumberFormat="0" applyBorder="0" applyAlignment="0" applyProtection="0">
      <alignment vertical="center"/>
    </xf>
    <xf numFmtId="0" fontId="101" fillId="45" borderId="0" applyNumberFormat="0" applyBorder="0" applyAlignment="0" applyProtection="0">
      <alignment vertical="center"/>
    </xf>
    <xf numFmtId="0" fontId="101"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3"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 borderId="0" applyNumberFormat="0" applyBorder="0" applyAlignment="0" applyProtection="0">
      <alignment vertical="center"/>
    </xf>
    <xf numFmtId="0" fontId="101" fillId="4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3" borderId="0" applyNumberFormat="0" applyBorder="0" applyAlignment="0" applyProtection="0">
      <alignment vertical="center"/>
    </xf>
    <xf numFmtId="0" fontId="101" fillId="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2" borderId="0" applyNumberFormat="0" applyBorder="0" applyAlignment="0" applyProtection="0">
      <alignment vertical="center"/>
    </xf>
    <xf numFmtId="0" fontId="83" fillId="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3" borderId="0" applyNumberFormat="0" applyBorder="0" applyAlignment="0" applyProtection="0">
      <alignment vertical="center"/>
    </xf>
    <xf numFmtId="0" fontId="83" fillId="4" borderId="0" applyNumberFormat="0" applyBorder="0" applyAlignment="0" applyProtection="0">
      <alignment vertical="center"/>
    </xf>
    <xf numFmtId="0" fontId="83" fillId="5" borderId="0" applyNumberFormat="0" applyBorder="0" applyAlignment="0" applyProtection="0">
      <alignment vertical="center"/>
    </xf>
    <xf numFmtId="0" fontId="83" fillId="6" borderId="0" applyNumberFormat="0" applyBorder="0" applyAlignment="0" applyProtection="0">
      <alignment vertical="center"/>
    </xf>
    <xf numFmtId="0" fontId="83" fillId="7" borderId="0" applyNumberFormat="0" applyBorder="0" applyAlignment="0" applyProtection="0">
      <alignment vertical="center"/>
    </xf>
    <xf numFmtId="0" fontId="83" fillId="8" borderId="0" applyNumberFormat="0" applyBorder="0" applyAlignment="0" applyProtection="0">
      <alignment vertical="center"/>
    </xf>
    <xf numFmtId="0" fontId="83" fillId="9" borderId="0" applyNumberFormat="0" applyBorder="0" applyAlignment="0" applyProtection="0">
      <alignment vertical="center"/>
    </xf>
    <xf numFmtId="0" fontId="83" fillId="10" borderId="0" applyNumberFormat="0" applyBorder="0" applyAlignment="0" applyProtection="0">
      <alignment vertical="center"/>
    </xf>
    <xf numFmtId="0" fontId="83" fillId="5" borderId="0" applyNumberFormat="0" applyBorder="0" applyAlignment="0" applyProtection="0">
      <alignment vertical="center"/>
    </xf>
    <xf numFmtId="0" fontId="83" fillId="8" borderId="0" applyNumberFormat="0" applyBorder="0" applyAlignment="0" applyProtection="0">
      <alignment vertical="center"/>
    </xf>
    <xf numFmtId="0" fontId="83" fillId="11" borderId="0" applyNumberFormat="0" applyBorder="0" applyAlignment="0" applyProtection="0">
      <alignment vertical="center"/>
    </xf>
    <xf numFmtId="0" fontId="84" fillId="12" borderId="0" applyNumberFormat="0" applyBorder="0" applyAlignment="0" applyProtection="0">
      <alignment vertical="center"/>
    </xf>
    <xf numFmtId="0" fontId="84" fillId="9" borderId="0" applyNumberFormat="0" applyBorder="0" applyAlignment="0" applyProtection="0">
      <alignment vertical="center"/>
    </xf>
    <xf numFmtId="0" fontId="84" fillId="10" borderId="0" applyNumberFormat="0" applyBorder="0" applyAlignment="0" applyProtection="0">
      <alignment vertical="center"/>
    </xf>
    <xf numFmtId="0" fontId="84" fillId="13" borderId="0" applyNumberFormat="0" applyBorder="0" applyAlignment="0" applyProtection="0">
      <alignment vertical="center"/>
    </xf>
    <xf numFmtId="0" fontId="84" fillId="14" borderId="0" applyNumberFormat="0" applyBorder="0" applyAlignment="0" applyProtection="0">
      <alignment vertical="center"/>
    </xf>
    <xf numFmtId="0" fontId="84" fillId="15" borderId="0" applyNumberFormat="0" applyBorder="0" applyAlignment="0" applyProtection="0">
      <alignment vertical="center"/>
    </xf>
    <xf numFmtId="0" fontId="85" fillId="0" borderId="0" applyNumberFormat="0" applyFill="0" applyBorder="0" applyAlignment="0" applyProtection="0">
      <alignment vertical="center"/>
    </xf>
    <xf numFmtId="0" fontId="86" fillId="0" borderId="1" applyNumberFormat="0" applyFill="0" applyAlignment="0" applyProtection="0">
      <alignment vertical="center"/>
    </xf>
    <xf numFmtId="0" fontId="87" fillId="0" borderId="2" applyNumberFormat="0" applyFill="0" applyAlignment="0" applyProtection="0">
      <alignment vertical="center"/>
    </xf>
    <xf numFmtId="0" fontId="88" fillId="0" borderId="3" applyNumberFormat="0" applyFill="0" applyAlignment="0" applyProtection="0">
      <alignment vertical="center"/>
    </xf>
    <xf numFmtId="0" fontId="88" fillId="0" borderId="0" applyNumberFormat="0" applyFill="0" applyBorder="0" applyAlignment="0" applyProtection="0">
      <alignment vertical="center"/>
    </xf>
    <xf numFmtId="0" fontId="89" fillId="3" borderId="0" applyNumberFormat="0" applyBorder="0" applyAlignment="0" applyProtection="0">
      <alignment vertical="center"/>
    </xf>
    <xf numFmtId="0" fontId="90" fillId="4" borderId="0" applyNumberFormat="0" applyBorder="0" applyAlignment="0" applyProtection="0">
      <alignment vertical="center"/>
    </xf>
    <xf numFmtId="0" fontId="91" fillId="0" borderId="4" applyNumberFormat="0" applyFill="0" applyAlignment="0" applyProtection="0">
      <alignment vertical="center"/>
    </xf>
    <xf numFmtId="0" fontId="92" fillId="16" borderId="5" applyNumberFormat="0" applyAlignment="0" applyProtection="0">
      <alignment vertical="center"/>
    </xf>
    <xf numFmtId="0" fontId="93" fillId="17" borderId="6" applyNumberFormat="0" applyAlignment="0" applyProtection="0">
      <alignment vertical="center"/>
    </xf>
    <xf numFmtId="0" fontId="94"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6" fillId="0" borderId="7" applyNumberFormat="0" applyFill="0" applyAlignment="0" applyProtection="0">
      <alignment vertical="center"/>
    </xf>
    <xf numFmtId="0" fontId="84" fillId="18" borderId="0" applyNumberFormat="0" applyBorder="0" applyAlignment="0" applyProtection="0">
      <alignment vertical="center"/>
    </xf>
    <xf numFmtId="0" fontId="84" fillId="19" borderId="0" applyNumberFormat="0" applyBorder="0" applyAlignment="0" applyProtection="0">
      <alignment vertical="center"/>
    </xf>
    <xf numFmtId="0" fontId="84" fillId="20" borderId="0" applyNumberFormat="0" applyBorder="0" applyAlignment="0" applyProtection="0">
      <alignment vertical="center"/>
    </xf>
    <xf numFmtId="0" fontId="84" fillId="13" borderId="0" applyNumberFormat="0" applyBorder="0" applyAlignment="0" applyProtection="0">
      <alignment vertical="center"/>
    </xf>
    <xf numFmtId="0" fontId="84" fillId="14" borderId="0" applyNumberFormat="0" applyBorder="0" applyAlignment="0" applyProtection="0">
      <alignment vertical="center"/>
    </xf>
    <xf numFmtId="0" fontId="84" fillId="21" borderId="0" applyNumberFormat="0" applyBorder="0" applyAlignment="0" applyProtection="0">
      <alignment vertical="center"/>
    </xf>
    <xf numFmtId="0" fontId="97" fillId="22" borderId="0" applyNumberFormat="0" applyBorder="0" applyAlignment="0" applyProtection="0">
      <alignment vertical="center"/>
    </xf>
    <xf numFmtId="0" fontId="98" fillId="16" borderId="8" applyNumberFormat="0" applyAlignment="0" applyProtection="0">
      <alignment vertical="center"/>
    </xf>
    <xf numFmtId="0" fontId="99" fillId="7" borderId="5" applyNumberFormat="0" applyAlignment="0" applyProtection="0">
      <alignment vertical="center"/>
    </xf>
    <xf numFmtId="0" fontId="83" fillId="23" borderId="9" applyNumberFormat="0" applyFont="0" applyAlignment="0" applyProtection="0">
      <alignment vertical="center"/>
    </xf>
    <xf numFmtId="0" fontId="83" fillId="72" borderId="27" applyNumberFormat="0" applyFont="0" applyAlignment="0" applyProtection="0">
      <alignment vertical="center"/>
    </xf>
    <xf numFmtId="0" fontId="101" fillId="72" borderId="27" applyNumberFormat="0" applyFont="0" applyAlignment="0" applyProtection="0">
      <alignment vertical="center"/>
    </xf>
    <xf numFmtId="0" fontId="83" fillId="72" borderId="27" applyNumberFormat="0" applyFont="0" applyAlignment="0" applyProtection="0">
      <alignment vertical="center"/>
    </xf>
    <xf numFmtId="0" fontId="121" fillId="0" borderId="0" applyNumberFormat="0" applyFill="0" applyBorder="0" applyAlignment="0" applyProtection="0">
      <alignment vertical="top"/>
      <protection locked="0"/>
    </xf>
    <xf numFmtId="0" fontId="83" fillId="72" borderId="27" applyNumberFormat="0" applyFont="0" applyAlignment="0" applyProtection="0">
      <alignment vertical="center"/>
    </xf>
    <xf numFmtId="0" fontId="101" fillId="43" borderId="0" applyNumberFormat="0" applyBorder="0" applyAlignment="0" applyProtection="0">
      <alignment vertical="center"/>
    </xf>
    <xf numFmtId="0" fontId="83" fillId="72" borderId="27" applyNumberFormat="0" applyFont="0" applyAlignment="0" applyProtection="0">
      <alignment vertical="center"/>
    </xf>
    <xf numFmtId="0" fontId="101" fillId="3" borderId="0" applyNumberFormat="0" applyBorder="0" applyAlignment="0" applyProtection="0">
      <alignment vertical="center"/>
    </xf>
    <xf numFmtId="0" fontId="101" fillId="43" borderId="0" applyNumberFormat="0" applyBorder="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101" fillId="44" borderId="0" applyNumberFormat="0" applyBorder="0" applyAlignment="0" applyProtection="0">
      <alignment vertical="center"/>
    </xf>
    <xf numFmtId="0" fontId="101" fillId="4" borderId="0" applyNumberFormat="0" applyBorder="0" applyAlignment="0" applyProtection="0">
      <alignment vertical="center"/>
    </xf>
    <xf numFmtId="0" fontId="101" fillId="44" borderId="0" applyNumberFormat="0" applyBorder="0" applyAlignment="0" applyProtection="0">
      <alignment vertical="center"/>
    </xf>
    <xf numFmtId="0" fontId="101" fillId="45" borderId="0" applyNumberFormat="0" applyBorder="0" applyAlignment="0" applyProtection="0">
      <alignment vertical="center"/>
    </xf>
    <xf numFmtId="0" fontId="101" fillId="5" borderId="0" applyNumberFormat="0" applyBorder="0" applyAlignment="0" applyProtection="0">
      <alignment vertical="center"/>
    </xf>
    <xf numFmtId="0" fontId="101" fillId="45" borderId="0" applyNumberFormat="0" applyBorder="0" applyAlignment="0" applyProtection="0">
      <alignment vertical="center"/>
    </xf>
    <xf numFmtId="0" fontId="101" fillId="50" borderId="0" applyNumberFormat="0" applyBorder="0" applyAlignment="0" applyProtection="0">
      <alignment vertical="center"/>
    </xf>
    <xf numFmtId="0" fontId="101" fillId="10" borderId="0" applyNumberFormat="0" applyBorder="0" applyAlignment="0" applyProtection="0">
      <alignment vertical="center"/>
    </xf>
    <xf numFmtId="0" fontId="101" fillId="50" borderId="0" applyNumberFormat="0" applyBorder="0" applyAlignment="0" applyProtection="0">
      <alignment vertical="center"/>
    </xf>
    <xf numFmtId="0" fontId="102" fillId="56" borderId="0" applyNumberFormat="0" applyBorder="0" applyAlignment="0" applyProtection="0">
      <alignment vertical="center"/>
    </xf>
    <xf numFmtId="0" fontId="102" fillId="10" borderId="0" applyNumberFormat="0" applyBorder="0" applyAlignment="0" applyProtection="0">
      <alignment vertical="center"/>
    </xf>
    <xf numFmtId="0" fontId="102" fillId="56" borderId="0" applyNumberFormat="0" applyBorder="0" applyAlignment="0" applyProtection="0">
      <alignment vertical="center"/>
    </xf>
    <xf numFmtId="0" fontId="102" fillId="57" borderId="0" applyNumberFormat="0" applyBorder="0" applyAlignment="0" applyProtection="0">
      <alignment vertical="center"/>
    </xf>
    <xf numFmtId="0" fontId="102" fillId="13" borderId="0" applyNumberFormat="0" applyBorder="0" applyAlignment="0" applyProtection="0">
      <alignment vertical="center"/>
    </xf>
    <xf numFmtId="0" fontId="102" fillId="57" borderId="0" applyNumberFormat="0" applyBorder="0" applyAlignment="0" applyProtection="0">
      <alignment vertical="center"/>
    </xf>
    <xf numFmtId="0" fontId="102" fillId="59" borderId="0" applyNumberFormat="0" applyBorder="0" applyAlignment="0" applyProtection="0">
      <alignment vertical="center"/>
    </xf>
    <xf numFmtId="0" fontId="102" fillId="15" borderId="0" applyNumberFormat="0" applyBorder="0" applyAlignment="0" applyProtection="0">
      <alignment vertical="center"/>
    </xf>
    <xf numFmtId="0" fontId="102" fillId="59" borderId="0" applyNumberFormat="0" applyBorder="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101" fillId="42" borderId="0" applyNumberFormat="0" applyBorder="0" applyAlignment="0" applyProtection="0">
      <alignment vertical="center"/>
    </xf>
    <xf numFmtId="0" fontId="101" fillId="2" borderId="0" applyNumberFormat="0" applyBorder="0" applyAlignment="0" applyProtection="0">
      <alignment vertical="center"/>
    </xf>
    <xf numFmtId="0" fontId="101" fillId="42" borderId="0" applyNumberFormat="0" applyBorder="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101" fillId="2" borderId="0" applyNumberFormat="0" applyBorder="0" applyAlignment="0" applyProtection="0">
      <alignment vertical="center"/>
    </xf>
    <xf numFmtId="0" fontId="101" fillId="42" borderId="0" applyNumberFormat="0" applyBorder="0" applyAlignment="0" applyProtection="0">
      <alignment vertical="center"/>
    </xf>
    <xf numFmtId="0" fontId="101" fillId="2" borderId="0" applyNumberFormat="0" applyBorder="0" applyAlignment="0" applyProtection="0">
      <alignment vertical="center"/>
    </xf>
    <xf numFmtId="0" fontId="101" fillId="42" borderId="0" applyNumberFormat="0" applyBorder="0" applyAlignment="0" applyProtection="0">
      <alignment vertical="center"/>
    </xf>
    <xf numFmtId="0" fontId="101" fillId="2" borderId="0" applyNumberFormat="0" applyBorder="0" applyAlignment="0" applyProtection="0">
      <alignment vertical="center"/>
    </xf>
    <xf numFmtId="0" fontId="83" fillId="2" borderId="0" applyNumberFormat="0" applyBorder="0" applyAlignment="0" applyProtection="0">
      <alignment vertical="center"/>
    </xf>
    <xf numFmtId="0" fontId="101" fillId="3" borderId="0" applyNumberFormat="0" applyBorder="0" applyAlignment="0" applyProtection="0">
      <alignment vertical="center"/>
    </xf>
    <xf numFmtId="0" fontId="101" fillId="43" borderId="0" applyNumberFormat="0" applyBorder="0" applyAlignment="0" applyProtection="0">
      <alignment vertical="center"/>
    </xf>
    <xf numFmtId="0" fontId="101" fillId="3" borderId="0" applyNumberFormat="0" applyBorder="0" applyAlignment="0" applyProtection="0">
      <alignment vertical="center"/>
    </xf>
    <xf numFmtId="0" fontId="101" fillId="43" borderId="0" applyNumberFormat="0" applyBorder="0" applyAlignment="0" applyProtection="0">
      <alignment vertical="center"/>
    </xf>
    <xf numFmtId="0" fontId="101" fillId="3" borderId="0" applyNumberFormat="0" applyBorder="0" applyAlignment="0" applyProtection="0">
      <alignment vertical="center"/>
    </xf>
    <xf numFmtId="0" fontId="83" fillId="3" borderId="0" applyNumberFormat="0" applyBorder="0" applyAlignment="0" applyProtection="0">
      <alignment vertical="center"/>
    </xf>
    <xf numFmtId="0" fontId="101" fillId="4" borderId="0" applyNumberFormat="0" applyBorder="0" applyAlignment="0" applyProtection="0">
      <alignment vertical="center"/>
    </xf>
    <xf numFmtId="0" fontId="101" fillId="44" borderId="0" applyNumberFormat="0" applyBorder="0" applyAlignment="0" applyProtection="0">
      <alignment vertical="center"/>
    </xf>
    <xf numFmtId="0" fontId="101" fillId="4" borderId="0" applyNumberFormat="0" applyBorder="0" applyAlignment="0" applyProtection="0">
      <alignment vertical="center"/>
    </xf>
    <xf numFmtId="0" fontId="101" fillId="44" borderId="0" applyNumberFormat="0" applyBorder="0" applyAlignment="0" applyProtection="0">
      <alignment vertical="center"/>
    </xf>
    <xf numFmtId="0" fontId="101" fillId="4" borderId="0" applyNumberFormat="0" applyBorder="0" applyAlignment="0" applyProtection="0">
      <alignment vertical="center"/>
    </xf>
    <xf numFmtId="0" fontId="83" fillId="4" borderId="0" applyNumberFormat="0" applyBorder="0" applyAlignment="0" applyProtection="0">
      <alignment vertical="center"/>
    </xf>
    <xf numFmtId="0" fontId="101" fillId="5" borderId="0" applyNumberFormat="0" applyBorder="0" applyAlignment="0" applyProtection="0">
      <alignment vertical="center"/>
    </xf>
    <xf numFmtId="0" fontId="101" fillId="45" borderId="0" applyNumberFormat="0" applyBorder="0" applyAlignment="0" applyProtection="0">
      <alignment vertical="center"/>
    </xf>
    <xf numFmtId="0" fontId="101" fillId="5" borderId="0" applyNumberFormat="0" applyBorder="0" applyAlignment="0" applyProtection="0">
      <alignment vertical="center"/>
    </xf>
    <xf numFmtId="0" fontId="101" fillId="45" borderId="0" applyNumberFormat="0" applyBorder="0" applyAlignment="0" applyProtection="0">
      <alignment vertical="center"/>
    </xf>
    <xf numFmtId="0" fontId="101" fillId="5" borderId="0" applyNumberFormat="0" applyBorder="0" applyAlignment="0" applyProtection="0">
      <alignment vertical="center"/>
    </xf>
    <xf numFmtId="0" fontId="83" fillId="5" borderId="0" applyNumberFormat="0" applyBorder="0" applyAlignment="0" applyProtection="0">
      <alignment vertical="center"/>
    </xf>
    <xf numFmtId="0" fontId="83" fillId="6" borderId="0" applyNumberFormat="0" applyBorder="0" applyAlignment="0" applyProtection="0">
      <alignment vertical="center"/>
    </xf>
    <xf numFmtId="0" fontId="83" fillId="7" borderId="0" applyNumberFormat="0" applyBorder="0" applyAlignment="0" applyProtection="0">
      <alignment vertical="center"/>
    </xf>
    <xf numFmtId="0" fontId="83" fillId="8" borderId="0" applyNumberFormat="0" applyBorder="0" applyAlignment="0" applyProtection="0">
      <alignment vertical="center"/>
    </xf>
    <xf numFmtId="0" fontId="83" fillId="9" borderId="0" applyNumberFormat="0" applyBorder="0" applyAlignment="0" applyProtection="0">
      <alignment vertical="center"/>
    </xf>
    <xf numFmtId="0" fontId="101" fillId="10" borderId="0" applyNumberFormat="0" applyBorder="0" applyAlignment="0" applyProtection="0">
      <alignment vertical="center"/>
    </xf>
    <xf numFmtId="0" fontId="101" fillId="50" borderId="0" applyNumberFormat="0" applyBorder="0" applyAlignment="0" applyProtection="0">
      <alignment vertical="center"/>
    </xf>
    <xf numFmtId="0" fontId="101" fillId="10" borderId="0" applyNumberFormat="0" applyBorder="0" applyAlignment="0" applyProtection="0">
      <alignment vertical="center"/>
    </xf>
    <xf numFmtId="0" fontId="101" fillId="50" borderId="0" applyNumberFormat="0" applyBorder="0" applyAlignment="0" applyProtection="0">
      <alignment vertical="center"/>
    </xf>
    <xf numFmtId="0" fontId="101" fillId="10" borderId="0" applyNumberFormat="0" applyBorder="0" applyAlignment="0" applyProtection="0">
      <alignment vertical="center"/>
    </xf>
    <xf numFmtId="0" fontId="83" fillId="10" borderId="0" applyNumberFormat="0" applyBorder="0" applyAlignment="0" applyProtection="0">
      <alignment vertical="center"/>
    </xf>
    <xf numFmtId="0" fontId="83" fillId="5" borderId="0" applyNumberFormat="0" applyBorder="0" applyAlignment="0" applyProtection="0">
      <alignment vertical="center"/>
    </xf>
    <xf numFmtId="0" fontId="83" fillId="8" borderId="0" applyNumberFormat="0" applyBorder="0" applyAlignment="0" applyProtection="0">
      <alignment vertical="center"/>
    </xf>
    <xf numFmtId="0" fontId="83" fillId="11" borderId="0" applyNumberFormat="0" applyBorder="0" applyAlignment="0" applyProtection="0">
      <alignment vertical="center"/>
    </xf>
    <xf numFmtId="0" fontId="102" fillId="10" borderId="0" applyNumberFormat="0" applyBorder="0" applyAlignment="0" applyProtection="0">
      <alignment vertical="center"/>
    </xf>
    <xf numFmtId="0" fontId="102" fillId="56" borderId="0" applyNumberFormat="0" applyBorder="0" applyAlignment="0" applyProtection="0">
      <alignment vertical="center"/>
    </xf>
    <xf numFmtId="0" fontId="102" fillId="10" borderId="0" applyNumberFormat="0" applyBorder="0" applyAlignment="0" applyProtection="0">
      <alignment vertical="center"/>
    </xf>
    <xf numFmtId="0" fontId="102" fillId="56" borderId="0" applyNumberFormat="0" applyBorder="0" applyAlignment="0" applyProtection="0">
      <alignment vertical="center"/>
    </xf>
    <xf numFmtId="0" fontId="102" fillId="10" borderId="0" applyNumberFormat="0" applyBorder="0" applyAlignment="0" applyProtection="0">
      <alignment vertical="center"/>
    </xf>
    <xf numFmtId="0" fontId="102" fillId="13" borderId="0" applyNumberFormat="0" applyBorder="0" applyAlignment="0" applyProtection="0">
      <alignment vertical="center"/>
    </xf>
    <xf numFmtId="0" fontId="102" fillId="57" borderId="0" applyNumberFormat="0" applyBorder="0" applyAlignment="0" applyProtection="0">
      <alignment vertical="center"/>
    </xf>
    <xf numFmtId="0" fontId="102" fillId="13" borderId="0" applyNumberFormat="0" applyBorder="0" applyAlignment="0" applyProtection="0">
      <alignment vertical="center"/>
    </xf>
    <xf numFmtId="0" fontId="102" fillId="57" borderId="0" applyNumberFormat="0" applyBorder="0" applyAlignment="0" applyProtection="0">
      <alignment vertical="center"/>
    </xf>
    <xf numFmtId="0" fontId="102" fillId="13" borderId="0" applyNumberFormat="0" applyBorder="0" applyAlignment="0" applyProtection="0">
      <alignment vertical="center"/>
    </xf>
    <xf numFmtId="0" fontId="102" fillId="15" borderId="0" applyNumberFormat="0" applyBorder="0" applyAlignment="0" applyProtection="0">
      <alignment vertical="center"/>
    </xf>
    <xf numFmtId="0" fontId="102" fillId="59" borderId="0" applyNumberFormat="0" applyBorder="0" applyAlignment="0" applyProtection="0">
      <alignment vertical="center"/>
    </xf>
    <xf numFmtId="0" fontId="102" fillId="15" borderId="0" applyNumberFormat="0" applyBorder="0" applyAlignment="0" applyProtection="0">
      <alignment vertical="center"/>
    </xf>
    <xf numFmtId="0" fontId="102" fillId="59" borderId="0" applyNumberFormat="0" applyBorder="0" applyAlignment="0" applyProtection="0">
      <alignment vertical="center"/>
    </xf>
    <xf numFmtId="0" fontId="102" fillId="15" borderId="0" applyNumberFormat="0" applyBorder="0" applyAlignment="0" applyProtection="0">
      <alignment vertical="center"/>
    </xf>
    <xf numFmtId="0" fontId="83"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83" fillId="23" borderId="9" applyNumberFormat="0" applyFont="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101" fillId="42" borderId="0" applyNumberFormat="0" applyBorder="0" applyAlignment="0" applyProtection="0">
      <alignment vertical="center"/>
    </xf>
    <xf numFmtId="0" fontId="101" fillId="2" borderId="0" applyNumberFormat="0" applyBorder="0" applyAlignment="0" applyProtection="0">
      <alignment vertical="center"/>
    </xf>
    <xf numFmtId="0" fontId="101" fillId="42"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101" fillId="43" borderId="0" applyNumberFormat="0" applyBorder="0" applyAlignment="0" applyProtection="0">
      <alignment vertical="center"/>
    </xf>
    <xf numFmtId="0" fontId="101" fillId="3" borderId="0" applyNumberFormat="0" applyBorder="0" applyAlignment="0" applyProtection="0">
      <alignment vertical="center"/>
    </xf>
    <xf numFmtId="0" fontId="101" fillId="43"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101" fillId="44" borderId="0" applyNumberFormat="0" applyBorder="0" applyAlignment="0" applyProtection="0">
      <alignment vertical="center"/>
    </xf>
    <xf numFmtId="0" fontId="101" fillId="4" borderId="0" applyNumberFormat="0" applyBorder="0" applyAlignment="0" applyProtection="0">
      <alignment vertical="center"/>
    </xf>
    <xf numFmtId="0" fontId="101" fillId="44"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101" fillId="45" borderId="0" applyNumberFormat="0" applyBorder="0" applyAlignment="0" applyProtection="0">
      <alignment vertical="center"/>
    </xf>
    <xf numFmtId="0" fontId="101" fillId="5" borderId="0" applyNumberFormat="0" applyBorder="0" applyAlignment="0" applyProtection="0">
      <alignment vertical="center"/>
    </xf>
    <xf numFmtId="0" fontId="101" fillId="45"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101" fillId="50" borderId="0" applyNumberFormat="0" applyBorder="0" applyAlignment="0" applyProtection="0">
      <alignment vertical="center"/>
    </xf>
    <xf numFmtId="0" fontId="101" fillId="10" borderId="0" applyNumberFormat="0" applyBorder="0" applyAlignment="0" applyProtection="0">
      <alignment vertical="center"/>
    </xf>
    <xf numFmtId="0" fontId="101" fillId="50"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102" fillId="56" borderId="0" applyNumberFormat="0" applyBorder="0" applyAlignment="0" applyProtection="0">
      <alignment vertical="center"/>
    </xf>
    <xf numFmtId="0" fontId="102" fillId="10" borderId="0" applyNumberFormat="0" applyBorder="0" applyAlignment="0" applyProtection="0">
      <alignment vertical="center"/>
    </xf>
    <xf numFmtId="0" fontId="102" fillId="56" borderId="0" applyNumberFormat="0" applyBorder="0" applyAlignment="0" applyProtection="0">
      <alignment vertical="center"/>
    </xf>
    <xf numFmtId="0" fontId="102" fillId="57" borderId="0" applyNumberFormat="0" applyBorder="0" applyAlignment="0" applyProtection="0">
      <alignment vertical="center"/>
    </xf>
    <xf numFmtId="0" fontId="102" fillId="13" borderId="0" applyNumberFormat="0" applyBorder="0" applyAlignment="0" applyProtection="0">
      <alignment vertical="center"/>
    </xf>
    <xf numFmtId="0" fontId="102" fillId="57" borderId="0" applyNumberFormat="0" applyBorder="0" applyAlignment="0" applyProtection="0">
      <alignment vertical="center"/>
    </xf>
    <xf numFmtId="0" fontId="102" fillId="59" borderId="0" applyNumberFormat="0" applyBorder="0" applyAlignment="0" applyProtection="0">
      <alignment vertical="center"/>
    </xf>
    <xf numFmtId="0" fontId="102" fillId="15" borderId="0" applyNumberFormat="0" applyBorder="0" applyAlignment="0" applyProtection="0">
      <alignment vertical="center"/>
    </xf>
    <xf numFmtId="0" fontId="102" fillId="59" borderId="0" applyNumberFormat="0" applyBorder="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101" fillId="2" borderId="0" applyNumberFormat="0" applyBorder="0" applyAlignment="0" applyProtection="0">
      <alignment vertical="center"/>
    </xf>
    <xf numFmtId="0" fontId="101" fillId="42" borderId="0" applyNumberFormat="0" applyBorder="0" applyAlignment="0" applyProtection="0">
      <alignment vertical="center"/>
    </xf>
    <xf numFmtId="0" fontId="101" fillId="2" borderId="0" applyNumberFormat="0" applyBorder="0" applyAlignment="0" applyProtection="0">
      <alignment vertical="center"/>
    </xf>
    <xf numFmtId="0" fontId="83" fillId="2"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101" fillId="3" borderId="0" applyNumberFormat="0" applyBorder="0" applyAlignment="0" applyProtection="0">
      <alignment vertical="center"/>
    </xf>
    <xf numFmtId="0" fontId="101" fillId="43" borderId="0" applyNumberFormat="0" applyBorder="0" applyAlignment="0" applyProtection="0">
      <alignment vertical="center"/>
    </xf>
    <xf numFmtId="0" fontId="101" fillId="3" borderId="0" applyNumberFormat="0" applyBorder="0" applyAlignment="0" applyProtection="0">
      <alignment vertical="center"/>
    </xf>
    <xf numFmtId="0" fontId="83" fillId="3"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101" fillId="4" borderId="0" applyNumberFormat="0" applyBorder="0" applyAlignment="0" applyProtection="0">
      <alignment vertical="center"/>
    </xf>
    <xf numFmtId="0" fontId="101" fillId="44" borderId="0" applyNumberFormat="0" applyBorder="0" applyAlignment="0" applyProtection="0">
      <alignment vertical="center"/>
    </xf>
    <xf numFmtId="0" fontId="101" fillId="4" borderId="0" applyNumberFormat="0" applyBorder="0" applyAlignment="0" applyProtection="0">
      <alignment vertical="center"/>
    </xf>
    <xf numFmtId="0" fontId="83" fillId="4"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101" fillId="5" borderId="0" applyNumberFormat="0" applyBorder="0" applyAlignment="0" applyProtection="0">
      <alignment vertical="center"/>
    </xf>
    <xf numFmtId="0" fontId="101" fillId="45" borderId="0" applyNumberFormat="0" applyBorder="0" applyAlignment="0" applyProtection="0">
      <alignment vertical="center"/>
    </xf>
    <xf numFmtId="0" fontId="101" fillId="5" borderId="0" applyNumberFormat="0" applyBorder="0" applyAlignment="0" applyProtection="0">
      <alignment vertical="center"/>
    </xf>
    <xf numFmtId="0" fontId="83" fillId="5"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101" fillId="10" borderId="0" applyNumberFormat="0" applyBorder="0" applyAlignment="0" applyProtection="0">
      <alignment vertical="center"/>
    </xf>
    <xf numFmtId="0" fontId="101" fillId="50" borderId="0" applyNumberFormat="0" applyBorder="0" applyAlignment="0" applyProtection="0">
      <alignment vertical="center"/>
    </xf>
    <xf numFmtId="0" fontId="101" fillId="10" borderId="0" applyNumberFormat="0" applyBorder="0" applyAlignment="0" applyProtection="0">
      <alignment vertical="center"/>
    </xf>
    <xf numFmtId="0" fontId="83" fillId="10"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102" fillId="10" borderId="0" applyNumberFormat="0" applyBorder="0" applyAlignment="0" applyProtection="0">
      <alignment vertical="center"/>
    </xf>
    <xf numFmtId="0" fontId="102" fillId="56" borderId="0" applyNumberFormat="0" applyBorder="0" applyAlignment="0" applyProtection="0">
      <alignment vertical="center"/>
    </xf>
    <xf numFmtId="0" fontId="102" fillId="10" borderId="0" applyNumberFormat="0" applyBorder="0" applyAlignment="0" applyProtection="0">
      <alignment vertical="center"/>
    </xf>
    <xf numFmtId="0" fontId="102" fillId="13" borderId="0" applyNumberFormat="0" applyBorder="0" applyAlignment="0" applyProtection="0">
      <alignment vertical="center"/>
    </xf>
    <xf numFmtId="0" fontId="102" fillId="57" borderId="0" applyNumberFormat="0" applyBorder="0" applyAlignment="0" applyProtection="0">
      <alignment vertical="center"/>
    </xf>
    <xf numFmtId="0" fontId="102" fillId="13" borderId="0" applyNumberFormat="0" applyBorder="0" applyAlignment="0" applyProtection="0">
      <alignment vertical="center"/>
    </xf>
    <xf numFmtId="0" fontId="102" fillId="15" borderId="0" applyNumberFormat="0" applyBorder="0" applyAlignment="0" applyProtection="0">
      <alignment vertical="center"/>
    </xf>
    <xf numFmtId="0" fontId="102" fillId="59" borderId="0" applyNumberFormat="0" applyBorder="0" applyAlignment="0" applyProtection="0">
      <alignment vertical="center"/>
    </xf>
    <xf numFmtId="0" fontId="102" fillId="15" borderId="0" applyNumberFormat="0" applyBorder="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83" fillId="23" borderId="9" applyNumberFormat="0" applyFont="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101" fillId="42" borderId="0" applyNumberFormat="0" applyBorder="0" applyAlignment="0" applyProtection="0">
      <alignment vertical="center"/>
    </xf>
    <xf numFmtId="0" fontId="83" fillId="2"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101" fillId="43" borderId="0" applyNumberFormat="0" applyBorder="0" applyAlignment="0" applyProtection="0">
      <alignment vertical="center"/>
    </xf>
    <xf numFmtId="0" fontId="83" fillId="3"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101" fillId="44" borderId="0" applyNumberFormat="0" applyBorder="0" applyAlignment="0" applyProtection="0">
      <alignment vertical="center"/>
    </xf>
    <xf numFmtId="0" fontId="83" fillId="4"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101" fillId="45" borderId="0" applyNumberFormat="0" applyBorder="0" applyAlignment="0" applyProtection="0">
      <alignment vertical="center"/>
    </xf>
    <xf numFmtId="0" fontId="83" fillId="5"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101" fillId="50" borderId="0" applyNumberFormat="0" applyBorder="0" applyAlignment="0" applyProtection="0">
      <alignment vertical="center"/>
    </xf>
    <xf numFmtId="0" fontId="83" fillId="10"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102" fillId="56" borderId="0" applyNumberFormat="0" applyBorder="0" applyAlignment="0" applyProtection="0">
      <alignment vertical="center"/>
    </xf>
    <xf numFmtId="0" fontId="102" fillId="57" borderId="0" applyNumberFormat="0" applyBorder="0" applyAlignment="0" applyProtection="0">
      <alignment vertical="center"/>
    </xf>
    <xf numFmtId="0" fontId="102" fillId="59" borderId="0" applyNumberFormat="0" applyBorder="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83" fillId="23" borderId="9" applyNumberFormat="0" applyFont="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23" borderId="9"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23" borderId="9" applyNumberFormat="0" applyFont="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101" fillId="42" borderId="0" applyNumberFormat="0" applyBorder="0" applyAlignment="0" applyProtection="0">
      <alignment vertical="center"/>
    </xf>
    <xf numFmtId="0" fontId="101" fillId="2" borderId="0" applyNumberFormat="0" applyBorder="0" applyAlignment="0" applyProtection="0">
      <alignment vertical="center"/>
    </xf>
    <xf numFmtId="0" fontId="101" fillId="2" borderId="0" applyNumberFormat="0" applyBorder="0" applyAlignment="0" applyProtection="0">
      <alignment vertical="center"/>
    </xf>
    <xf numFmtId="0" fontId="101" fillId="4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101" fillId="43" borderId="0" applyNumberFormat="0" applyBorder="0" applyAlignment="0" applyProtection="0">
      <alignment vertical="center"/>
    </xf>
    <xf numFmtId="0" fontId="101" fillId="3" borderId="0" applyNumberFormat="0" applyBorder="0" applyAlignment="0" applyProtection="0">
      <alignment vertical="center"/>
    </xf>
    <xf numFmtId="0" fontId="101" fillId="3" borderId="0" applyNumberFormat="0" applyBorder="0" applyAlignment="0" applyProtection="0">
      <alignment vertical="center"/>
    </xf>
    <xf numFmtId="0" fontId="101" fillId="4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101" fillId="44" borderId="0" applyNumberFormat="0" applyBorder="0" applyAlignment="0" applyProtection="0">
      <alignment vertical="center"/>
    </xf>
    <xf numFmtId="0" fontId="101" fillId="4" borderId="0" applyNumberFormat="0" applyBorder="0" applyAlignment="0" applyProtection="0">
      <alignment vertical="center"/>
    </xf>
    <xf numFmtId="0" fontId="101" fillId="4" borderId="0" applyNumberFormat="0" applyBorder="0" applyAlignment="0" applyProtection="0">
      <alignment vertical="center"/>
    </xf>
    <xf numFmtId="0" fontId="101" fillId="4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101" fillId="45" borderId="0" applyNumberFormat="0" applyBorder="0" applyAlignment="0" applyProtection="0">
      <alignment vertical="center"/>
    </xf>
    <xf numFmtId="0" fontId="101" fillId="5" borderId="0" applyNumberFormat="0" applyBorder="0" applyAlignment="0" applyProtection="0">
      <alignment vertical="center"/>
    </xf>
    <xf numFmtId="0" fontId="101" fillId="5" borderId="0" applyNumberFormat="0" applyBorder="0" applyAlignment="0" applyProtection="0">
      <alignment vertical="center"/>
    </xf>
    <xf numFmtId="0" fontId="101" fillId="4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101" fillId="50" borderId="0" applyNumberFormat="0" applyBorder="0" applyAlignment="0" applyProtection="0">
      <alignment vertical="center"/>
    </xf>
    <xf numFmtId="0" fontId="101" fillId="10" borderId="0" applyNumberFormat="0" applyBorder="0" applyAlignment="0" applyProtection="0">
      <alignment vertical="center"/>
    </xf>
    <xf numFmtId="0" fontId="101" fillId="10" borderId="0" applyNumberFormat="0" applyBorder="0" applyAlignment="0" applyProtection="0">
      <alignment vertical="center"/>
    </xf>
    <xf numFmtId="0" fontId="101" fillId="5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102" fillId="56"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56" borderId="0" applyNumberFormat="0" applyBorder="0" applyAlignment="0" applyProtection="0">
      <alignment vertical="center"/>
    </xf>
    <xf numFmtId="0" fontId="102" fillId="57" borderId="0" applyNumberFormat="0" applyBorder="0" applyAlignment="0" applyProtection="0">
      <alignment vertical="center"/>
    </xf>
    <xf numFmtId="0" fontId="102" fillId="13" borderId="0" applyNumberFormat="0" applyBorder="0" applyAlignment="0" applyProtection="0">
      <alignment vertical="center"/>
    </xf>
    <xf numFmtId="0" fontId="102" fillId="13" borderId="0" applyNumberFormat="0" applyBorder="0" applyAlignment="0" applyProtection="0">
      <alignment vertical="center"/>
    </xf>
    <xf numFmtId="0" fontId="102" fillId="57" borderId="0" applyNumberFormat="0" applyBorder="0" applyAlignment="0" applyProtection="0">
      <alignment vertical="center"/>
    </xf>
    <xf numFmtId="0" fontId="102" fillId="59" borderId="0" applyNumberFormat="0" applyBorder="0" applyAlignment="0" applyProtection="0">
      <alignment vertical="center"/>
    </xf>
    <xf numFmtId="0" fontId="102" fillId="15" borderId="0" applyNumberFormat="0" applyBorder="0" applyAlignment="0" applyProtection="0">
      <alignment vertical="center"/>
    </xf>
    <xf numFmtId="0" fontId="102" fillId="15" borderId="0" applyNumberFormat="0" applyBorder="0" applyAlignment="0" applyProtection="0">
      <alignment vertical="center"/>
    </xf>
    <xf numFmtId="0" fontId="102" fillId="59" borderId="0" applyNumberFormat="0" applyBorder="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101" fillId="2" borderId="0" applyNumberFormat="0" applyBorder="0" applyAlignment="0" applyProtection="0">
      <alignment vertical="center"/>
    </xf>
    <xf numFmtId="0" fontId="101" fillId="42" borderId="0" applyNumberFormat="0" applyBorder="0" applyAlignment="0" applyProtection="0">
      <alignment vertical="center"/>
    </xf>
    <xf numFmtId="0" fontId="101" fillId="2" borderId="0" applyNumberFormat="0" applyBorder="0" applyAlignment="0" applyProtection="0">
      <alignment vertical="center"/>
    </xf>
    <xf numFmtId="0" fontId="101" fillId="42" borderId="0" applyNumberFormat="0" applyBorder="0" applyAlignment="0" applyProtection="0">
      <alignment vertical="center"/>
    </xf>
    <xf numFmtId="0" fontId="101" fillId="2" borderId="0" applyNumberFormat="0" applyBorder="0" applyAlignment="0" applyProtection="0">
      <alignment vertical="center"/>
    </xf>
    <xf numFmtId="0" fontId="83" fillId="2" borderId="0" applyNumberFormat="0" applyBorder="0" applyAlignment="0" applyProtection="0">
      <alignment vertical="center"/>
    </xf>
    <xf numFmtId="0" fontId="101" fillId="3" borderId="0" applyNumberFormat="0" applyBorder="0" applyAlignment="0" applyProtection="0">
      <alignment vertical="center"/>
    </xf>
    <xf numFmtId="0" fontId="101" fillId="43" borderId="0" applyNumberFormat="0" applyBorder="0" applyAlignment="0" applyProtection="0">
      <alignment vertical="center"/>
    </xf>
    <xf numFmtId="0" fontId="101" fillId="3" borderId="0" applyNumberFormat="0" applyBorder="0" applyAlignment="0" applyProtection="0">
      <alignment vertical="center"/>
    </xf>
    <xf numFmtId="0" fontId="101" fillId="43" borderId="0" applyNumberFormat="0" applyBorder="0" applyAlignment="0" applyProtection="0">
      <alignment vertical="center"/>
    </xf>
    <xf numFmtId="0" fontId="101" fillId="3" borderId="0" applyNumberFormat="0" applyBorder="0" applyAlignment="0" applyProtection="0">
      <alignment vertical="center"/>
    </xf>
    <xf numFmtId="0" fontId="83" fillId="3" borderId="0" applyNumberFormat="0" applyBorder="0" applyAlignment="0" applyProtection="0">
      <alignment vertical="center"/>
    </xf>
    <xf numFmtId="0" fontId="101" fillId="4" borderId="0" applyNumberFormat="0" applyBorder="0" applyAlignment="0" applyProtection="0">
      <alignment vertical="center"/>
    </xf>
    <xf numFmtId="0" fontId="101" fillId="44" borderId="0" applyNumberFormat="0" applyBorder="0" applyAlignment="0" applyProtection="0">
      <alignment vertical="center"/>
    </xf>
    <xf numFmtId="0" fontId="101" fillId="4" borderId="0" applyNumberFormat="0" applyBorder="0" applyAlignment="0" applyProtection="0">
      <alignment vertical="center"/>
    </xf>
    <xf numFmtId="0" fontId="101" fillId="44" borderId="0" applyNumberFormat="0" applyBorder="0" applyAlignment="0" applyProtection="0">
      <alignment vertical="center"/>
    </xf>
    <xf numFmtId="0" fontId="101" fillId="4" borderId="0" applyNumberFormat="0" applyBorder="0" applyAlignment="0" applyProtection="0">
      <alignment vertical="center"/>
    </xf>
    <xf numFmtId="0" fontId="83" fillId="4" borderId="0" applyNumberFormat="0" applyBorder="0" applyAlignment="0" applyProtection="0">
      <alignment vertical="center"/>
    </xf>
    <xf numFmtId="0" fontId="101" fillId="5" borderId="0" applyNumberFormat="0" applyBorder="0" applyAlignment="0" applyProtection="0">
      <alignment vertical="center"/>
    </xf>
    <xf numFmtId="0" fontId="101" fillId="45" borderId="0" applyNumberFormat="0" applyBorder="0" applyAlignment="0" applyProtection="0">
      <alignment vertical="center"/>
    </xf>
    <xf numFmtId="0" fontId="101" fillId="5" borderId="0" applyNumberFormat="0" applyBorder="0" applyAlignment="0" applyProtection="0">
      <alignment vertical="center"/>
    </xf>
    <xf numFmtId="0" fontId="101" fillId="45" borderId="0" applyNumberFormat="0" applyBorder="0" applyAlignment="0" applyProtection="0">
      <alignment vertical="center"/>
    </xf>
    <xf numFmtId="0" fontId="101" fillId="5" borderId="0" applyNumberFormat="0" applyBorder="0" applyAlignment="0" applyProtection="0">
      <alignment vertical="center"/>
    </xf>
    <xf numFmtId="0" fontId="83" fillId="5" borderId="0" applyNumberFormat="0" applyBorder="0" applyAlignment="0" applyProtection="0">
      <alignment vertical="center"/>
    </xf>
    <xf numFmtId="0" fontId="83" fillId="6" borderId="0" applyNumberFormat="0" applyBorder="0" applyAlignment="0" applyProtection="0">
      <alignment vertical="center"/>
    </xf>
    <xf numFmtId="0" fontId="83" fillId="7" borderId="0" applyNumberFormat="0" applyBorder="0" applyAlignment="0" applyProtection="0">
      <alignment vertical="center"/>
    </xf>
    <xf numFmtId="0" fontId="83" fillId="8" borderId="0" applyNumberFormat="0" applyBorder="0" applyAlignment="0" applyProtection="0">
      <alignment vertical="center"/>
    </xf>
    <xf numFmtId="0" fontId="83" fillId="9" borderId="0" applyNumberFormat="0" applyBorder="0" applyAlignment="0" applyProtection="0">
      <alignment vertical="center"/>
    </xf>
    <xf numFmtId="0" fontId="101" fillId="10" borderId="0" applyNumberFormat="0" applyBorder="0" applyAlignment="0" applyProtection="0">
      <alignment vertical="center"/>
    </xf>
    <xf numFmtId="0" fontId="101" fillId="50" borderId="0" applyNumberFormat="0" applyBorder="0" applyAlignment="0" applyProtection="0">
      <alignment vertical="center"/>
    </xf>
    <xf numFmtId="0" fontId="101" fillId="10" borderId="0" applyNumberFormat="0" applyBorder="0" applyAlignment="0" applyProtection="0">
      <alignment vertical="center"/>
    </xf>
    <xf numFmtId="0" fontId="101" fillId="50" borderId="0" applyNumberFormat="0" applyBorder="0" applyAlignment="0" applyProtection="0">
      <alignment vertical="center"/>
    </xf>
    <xf numFmtId="0" fontId="101" fillId="10" borderId="0" applyNumberFormat="0" applyBorder="0" applyAlignment="0" applyProtection="0">
      <alignment vertical="center"/>
    </xf>
    <xf numFmtId="0" fontId="83" fillId="10" borderId="0" applyNumberFormat="0" applyBorder="0" applyAlignment="0" applyProtection="0">
      <alignment vertical="center"/>
    </xf>
    <xf numFmtId="0" fontId="83" fillId="5" borderId="0" applyNumberFormat="0" applyBorder="0" applyAlignment="0" applyProtection="0">
      <alignment vertical="center"/>
    </xf>
    <xf numFmtId="0" fontId="83" fillId="8" borderId="0" applyNumberFormat="0" applyBorder="0" applyAlignment="0" applyProtection="0">
      <alignment vertical="center"/>
    </xf>
    <xf numFmtId="0" fontId="83" fillId="11" borderId="0" applyNumberFormat="0" applyBorder="0" applyAlignment="0" applyProtection="0">
      <alignment vertical="center"/>
    </xf>
    <xf numFmtId="0" fontId="102" fillId="10" borderId="0" applyNumberFormat="0" applyBorder="0" applyAlignment="0" applyProtection="0">
      <alignment vertical="center"/>
    </xf>
    <xf numFmtId="0" fontId="102" fillId="56" borderId="0" applyNumberFormat="0" applyBorder="0" applyAlignment="0" applyProtection="0">
      <alignment vertical="center"/>
    </xf>
    <xf numFmtId="0" fontId="102" fillId="10" borderId="0" applyNumberFormat="0" applyBorder="0" applyAlignment="0" applyProtection="0">
      <alignment vertical="center"/>
    </xf>
    <xf numFmtId="0" fontId="102" fillId="56" borderId="0" applyNumberFormat="0" applyBorder="0" applyAlignment="0" applyProtection="0">
      <alignment vertical="center"/>
    </xf>
    <xf numFmtId="0" fontId="102" fillId="10" borderId="0" applyNumberFormat="0" applyBorder="0" applyAlignment="0" applyProtection="0">
      <alignment vertical="center"/>
    </xf>
    <xf numFmtId="0" fontId="102" fillId="13" borderId="0" applyNumberFormat="0" applyBorder="0" applyAlignment="0" applyProtection="0">
      <alignment vertical="center"/>
    </xf>
    <xf numFmtId="0" fontId="102" fillId="57" borderId="0" applyNumberFormat="0" applyBorder="0" applyAlignment="0" applyProtection="0">
      <alignment vertical="center"/>
    </xf>
    <xf numFmtId="0" fontId="102" fillId="13" borderId="0" applyNumberFormat="0" applyBorder="0" applyAlignment="0" applyProtection="0">
      <alignment vertical="center"/>
    </xf>
    <xf numFmtId="0" fontId="102" fillId="57" borderId="0" applyNumberFormat="0" applyBorder="0" applyAlignment="0" applyProtection="0">
      <alignment vertical="center"/>
    </xf>
    <xf numFmtId="0" fontId="102" fillId="13" borderId="0" applyNumberFormat="0" applyBorder="0" applyAlignment="0" applyProtection="0">
      <alignment vertical="center"/>
    </xf>
    <xf numFmtId="0" fontId="102" fillId="15" borderId="0" applyNumberFormat="0" applyBorder="0" applyAlignment="0" applyProtection="0">
      <alignment vertical="center"/>
    </xf>
    <xf numFmtId="0" fontId="102" fillId="59" borderId="0" applyNumberFormat="0" applyBorder="0" applyAlignment="0" applyProtection="0">
      <alignment vertical="center"/>
    </xf>
    <xf numFmtId="0" fontId="102" fillId="15" borderId="0" applyNumberFormat="0" applyBorder="0" applyAlignment="0" applyProtection="0">
      <alignment vertical="center"/>
    </xf>
    <xf numFmtId="0" fontId="102" fillId="59" borderId="0" applyNumberFormat="0" applyBorder="0" applyAlignment="0" applyProtection="0">
      <alignment vertical="center"/>
    </xf>
    <xf numFmtId="0" fontId="102" fillId="15" borderId="0" applyNumberFormat="0" applyBorder="0" applyAlignment="0" applyProtection="0">
      <alignment vertical="center"/>
    </xf>
    <xf numFmtId="0" fontId="83"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83" fillId="23" borderId="9" applyNumberFormat="0" applyFont="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101" fillId="42" borderId="0" applyNumberFormat="0" applyBorder="0" applyAlignment="0" applyProtection="0">
      <alignment vertical="center"/>
    </xf>
    <xf numFmtId="0" fontId="101" fillId="2" borderId="0" applyNumberFormat="0" applyBorder="0" applyAlignment="0" applyProtection="0">
      <alignment vertical="center"/>
    </xf>
    <xf numFmtId="0" fontId="101" fillId="42"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101" fillId="43" borderId="0" applyNumberFormat="0" applyBorder="0" applyAlignment="0" applyProtection="0">
      <alignment vertical="center"/>
    </xf>
    <xf numFmtId="0" fontId="101" fillId="3" borderId="0" applyNumberFormat="0" applyBorder="0" applyAlignment="0" applyProtection="0">
      <alignment vertical="center"/>
    </xf>
    <xf numFmtId="0" fontId="101" fillId="43"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101" fillId="44" borderId="0" applyNumberFormat="0" applyBorder="0" applyAlignment="0" applyProtection="0">
      <alignment vertical="center"/>
    </xf>
    <xf numFmtId="0" fontId="101" fillId="4" borderId="0" applyNumberFormat="0" applyBorder="0" applyAlignment="0" applyProtection="0">
      <alignment vertical="center"/>
    </xf>
    <xf numFmtId="0" fontId="101" fillId="44"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101" fillId="45" borderId="0" applyNumberFormat="0" applyBorder="0" applyAlignment="0" applyProtection="0">
      <alignment vertical="center"/>
    </xf>
    <xf numFmtId="0" fontId="101" fillId="5" borderId="0" applyNumberFormat="0" applyBorder="0" applyAlignment="0" applyProtection="0">
      <alignment vertical="center"/>
    </xf>
    <xf numFmtId="0" fontId="101" fillId="45"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101" fillId="50" borderId="0" applyNumberFormat="0" applyBorder="0" applyAlignment="0" applyProtection="0">
      <alignment vertical="center"/>
    </xf>
    <xf numFmtId="0" fontId="101" fillId="10" borderId="0" applyNumberFormat="0" applyBorder="0" applyAlignment="0" applyProtection="0">
      <alignment vertical="center"/>
    </xf>
    <xf numFmtId="0" fontId="101" fillId="50"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102" fillId="56" borderId="0" applyNumberFormat="0" applyBorder="0" applyAlignment="0" applyProtection="0">
      <alignment vertical="center"/>
    </xf>
    <xf numFmtId="0" fontId="102" fillId="10" borderId="0" applyNumberFormat="0" applyBorder="0" applyAlignment="0" applyProtection="0">
      <alignment vertical="center"/>
    </xf>
    <xf numFmtId="0" fontId="102" fillId="56" borderId="0" applyNumberFormat="0" applyBorder="0" applyAlignment="0" applyProtection="0">
      <alignment vertical="center"/>
    </xf>
    <xf numFmtId="0" fontId="102" fillId="57" borderId="0" applyNumberFormat="0" applyBorder="0" applyAlignment="0" applyProtection="0">
      <alignment vertical="center"/>
    </xf>
    <xf numFmtId="0" fontId="102" fillId="13" borderId="0" applyNumberFormat="0" applyBorder="0" applyAlignment="0" applyProtection="0">
      <alignment vertical="center"/>
    </xf>
    <xf numFmtId="0" fontId="102" fillId="57" borderId="0" applyNumberFormat="0" applyBorder="0" applyAlignment="0" applyProtection="0">
      <alignment vertical="center"/>
    </xf>
    <xf numFmtId="0" fontId="102" fillId="59" borderId="0" applyNumberFormat="0" applyBorder="0" applyAlignment="0" applyProtection="0">
      <alignment vertical="center"/>
    </xf>
    <xf numFmtId="0" fontId="102" fillId="15" borderId="0" applyNumberFormat="0" applyBorder="0" applyAlignment="0" applyProtection="0">
      <alignment vertical="center"/>
    </xf>
    <xf numFmtId="0" fontId="102" fillId="59" borderId="0" applyNumberFormat="0" applyBorder="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101" fillId="2" borderId="0" applyNumberFormat="0" applyBorder="0" applyAlignment="0" applyProtection="0">
      <alignment vertical="center"/>
    </xf>
    <xf numFmtId="0" fontId="101" fillId="42" borderId="0" applyNumberFormat="0" applyBorder="0" applyAlignment="0" applyProtection="0">
      <alignment vertical="center"/>
    </xf>
    <xf numFmtId="0" fontId="101" fillId="2" borderId="0" applyNumberFormat="0" applyBorder="0" applyAlignment="0" applyProtection="0">
      <alignment vertical="center"/>
    </xf>
    <xf numFmtId="0" fontId="83" fillId="2"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101" fillId="3" borderId="0" applyNumberFormat="0" applyBorder="0" applyAlignment="0" applyProtection="0">
      <alignment vertical="center"/>
    </xf>
    <xf numFmtId="0" fontId="101" fillId="43" borderId="0" applyNumberFormat="0" applyBorder="0" applyAlignment="0" applyProtection="0">
      <alignment vertical="center"/>
    </xf>
    <xf numFmtId="0" fontId="101" fillId="3" borderId="0" applyNumberFormat="0" applyBorder="0" applyAlignment="0" applyProtection="0">
      <alignment vertical="center"/>
    </xf>
    <xf numFmtId="0" fontId="83" fillId="3"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101" fillId="4" borderId="0" applyNumberFormat="0" applyBorder="0" applyAlignment="0" applyProtection="0">
      <alignment vertical="center"/>
    </xf>
    <xf numFmtId="0" fontId="101" fillId="44" borderId="0" applyNumberFormat="0" applyBorder="0" applyAlignment="0" applyProtection="0">
      <alignment vertical="center"/>
    </xf>
    <xf numFmtId="0" fontId="101" fillId="4" borderId="0" applyNumberFormat="0" applyBorder="0" applyAlignment="0" applyProtection="0">
      <alignment vertical="center"/>
    </xf>
    <xf numFmtId="0" fontId="83" fillId="4"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101" fillId="5" borderId="0" applyNumberFormat="0" applyBorder="0" applyAlignment="0" applyProtection="0">
      <alignment vertical="center"/>
    </xf>
    <xf numFmtId="0" fontId="101" fillId="45" borderId="0" applyNumberFormat="0" applyBorder="0" applyAlignment="0" applyProtection="0">
      <alignment vertical="center"/>
    </xf>
    <xf numFmtId="0" fontId="101" fillId="5" borderId="0" applyNumberFormat="0" applyBorder="0" applyAlignment="0" applyProtection="0">
      <alignment vertical="center"/>
    </xf>
    <xf numFmtId="0" fontId="83" fillId="5"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101" fillId="10" borderId="0" applyNumberFormat="0" applyBorder="0" applyAlignment="0" applyProtection="0">
      <alignment vertical="center"/>
    </xf>
    <xf numFmtId="0" fontId="101" fillId="50" borderId="0" applyNumberFormat="0" applyBorder="0" applyAlignment="0" applyProtection="0">
      <alignment vertical="center"/>
    </xf>
    <xf numFmtId="0" fontId="101" fillId="10" borderId="0" applyNumberFormat="0" applyBorder="0" applyAlignment="0" applyProtection="0">
      <alignment vertical="center"/>
    </xf>
    <xf numFmtId="0" fontId="83" fillId="10"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102" fillId="10" borderId="0" applyNumberFormat="0" applyBorder="0" applyAlignment="0" applyProtection="0">
      <alignment vertical="center"/>
    </xf>
    <xf numFmtId="0" fontId="102" fillId="56" borderId="0" applyNumberFormat="0" applyBorder="0" applyAlignment="0" applyProtection="0">
      <alignment vertical="center"/>
    </xf>
    <xf numFmtId="0" fontId="102" fillId="10" borderId="0" applyNumberFormat="0" applyBorder="0" applyAlignment="0" applyProtection="0">
      <alignment vertical="center"/>
    </xf>
    <xf numFmtId="0" fontId="102" fillId="13" borderId="0" applyNumberFormat="0" applyBorder="0" applyAlignment="0" applyProtection="0">
      <alignment vertical="center"/>
    </xf>
    <xf numFmtId="0" fontId="102" fillId="57" borderId="0" applyNumberFormat="0" applyBorder="0" applyAlignment="0" applyProtection="0">
      <alignment vertical="center"/>
    </xf>
    <xf numFmtId="0" fontId="102" fillId="13" borderId="0" applyNumberFormat="0" applyBorder="0" applyAlignment="0" applyProtection="0">
      <alignment vertical="center"/>
    </xf>
    <xf numFmtId="0" fontId="102" fillId="15" borderId="0" applyNumberFormat="0" applyBorder="0" applyAlignment="0" applyProtection="0">
      <alignment vertical="center"/>
    </xf>
    <xf numFmtId="0" fontId="102" fillId="59" borderId="0" applyNumberFormat="0" applyBorder="0" applyAlignment="0" applyProtection="0">
      <alignment vertical="center"/>
    </xf>
    <xf numFmtId="0" fontId="102" fillId="15" borderId="0" applyNumberFormat="0" applyBorder="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83" fillId="23" borderId="9" applyNumberFormat="0" applyFont="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101" fillId="42" borderId="0" applyNumberFormat="0" applyBorder="0" applyAlignment="0" applyProtection="0">
      <alignment vertical="center"/>
    </xf>
    <xf numFmtId="0" fontId="83" fillId="2"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101" fillId="43" borderId="0" applyNumberFormat="0" applyBorder="0" applyAlignment="0" applyProtection="0">
      <alignment vertical="center"/>
    </xf>
    <xf numFmtId="0" fontId="83" fillId="3"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101" fillId="44" borderId="0" applyNumberFormat="0" applyBorder="0" applyAlignment="0" applyProtection="0">
      <alignment vertical="center"/>
    </xf>
    <xf numFmtId="0" fontId="83" fillId="4"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101" fillId="45" borderId="0" applyNumberFormat="0" applyBorder="0" applyAlignment="0" applyProtection="0">
      <alignment vertical="center"/>
    </xf>
    <xf numFmtId="0" fontId="83" fillId="5"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101" fillId="50" borderId="0" applyNumberFormat="0" applyBorder="0" applyAlignment="0" applyProtection="0">
      <alignment vertical="center"/>
    </xf>
    <xf numFmtId="0" fontId="83" fillId="10"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102" fillId="56" borderId="0" applyNumberFormat="0" applyBorder="0" applyAlignment="0" applyProtection="0">
      <alignment vertical="center"/>
    </xf>
    <xf numFmtId="0" fontId="102" fillId="57" borderId="0" applyNumberFormat="0" applyBorder="0" applyAlignment="0" applyProtection="0">
      <alignment vertical="center"/>
    </xf>
    <xf numFmtId="0" fontId="102" fillId="59" borderId="0" applyNumberFormat="0" applyBorder="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83" fillId="23" borderId="9" applyNumberFormat="0" applyFont="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23" borderId="9"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23" borderId="9" applyNumberFormat="0" applyFont="0" applyAlignment="0" applyProtection="0">
      <alignment vertical="center"/>
    </xf>
    <xf numFmtId="0" fontId="101" fillId="42" borderId="0" applyNumberFormat="0" applyBorder="0" applyAlignment="0" applyProtection="0">
      <alignment vertical="center"/>
    </xf>
    <xf numFmtId="0" fontId="101" fillId="2" borderId="0" applyNumberFormat="0" applyBorder="0" applyAlignment="0" applyProtection="0">
      <alignment vertical="center"/>
    </xf>
    <xf numFmtId="0" fontId="101" fillId="42" borderId="0" applyNumberFormat="0" applyBorder="0" applyAlignment="0" applyProtection="0">
      <alignment vertical="center"/>
    </xf>
    <xf numFmtId="0" fontId="101" fillId="2" borderId="0" applyNumberFormat="0" applyBorder="0" applyAlignment="0" applyProtection="0">
      <alignment vertical="center"/>
    </xf>
    <xf numFmtId="0" fontId="101" fillId="2" borderId="0" applyNumberFormat="0" applyBorder="0" applyAlignment="0" applyProtection="0">
      <alignment vertical="center"/>
    </xf>
    <xf numFmtId="0" fontId="101" fillId="42" borderId="0" applyNumberFormat="0" applyBorder="0" applyAlignment="0" applyProtection="0">
      <alignment vertical="center"/>
    </xf>
    <xf numFmtId="0" fontId="101"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101" fillId="43" borderId="0" applyNumberFormat="0" applyBorder="0" applyAlignment="0" applyProtection="0">
      <alignment vertical="center"/>
    </xf>
    <xf numFmtId="0" fontId="101" fillId="3" borderId="0" applyNumberFormat="0" applyBorder="0" applyAlignment="0" applyProtection="0">
      <alignment vertical="center"/>
    </xf>
    <xf numFmtId="0" fontId="101" fillId="43" borderId="0" applyNumberFormat="0" applyBorder="0" applyAlignment="0" applyProtection="0">
      <alignment vertical="center"/>
    </xf>
    <xf numFmtId="0" fontId="101" fillId="3" borderId="0" applyNumberFormat="0" applyBorder="0" applyAlignment="0" applyProtection="0">
      <alignment vertical="center"/>
    </xf>
    <xf numFmtId="0" fontId="101" fillId="3" borderId="0" applyNumberFormat="0" applyBorder="0" applyAlignment="0" applyProtection="0">
      <alignment vertical="center"/>
    </xf>
    <xf numFmtId="0" fontId="101" fillId="43" borderId="0" applyNumberFormat="0" applyBorder="0" applyAlignment="0" applyProtection="0">
      <alignment vertical="center"/>
    </xf>
    <xf numFmtId="0" fontId="101"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101" fillId="44" borderId="0" applyNumberFormat="0" applyBorder="0" applyAlignment="0" applyProtection="0">
      <alignment vertical="center"/>
    </xf>
    <xf numFmtId="0" fontId="101" fillId="4" borderId="0" applyNumberFormat="0" applyBorder="0" applyAlignment="0" applyProtection="0">
      <alignment vertical="center"/>
    </xf>
    <xf numFmtId="0" fontId="101" fillId="44" borderId="0" applyNumberFormat="0" applyBorder="0" applyAlignment="0" applyProtection="0">
      <alignment vertical="center"/>
    </xf>
    <xf numFmtId="0" fontId="101" fillId="4" borderId="0" applyNumberFormat="0" applyBorder="0" applyAlignment="0" applyProtection="0">
      <alignment vertical="center"/>
    </xf>
    <xf numFmtId="0" fontId="101" fillId="4" borderId="0" applyNumberFormat="0" applyBorder="0" applyAlignment="0" applyProtection="0">
      <alignment vertical="center"/>
    </xf>
    <xf numFmtId="0" fontId="101" fillId="44" borderId="0" applyNumberFormat="0" applyBorder="0" applyAlignment="0" applyProtection="0">
      <alignment vertical="center"/>
    </xf>
    <xf numFmtId="0" fontId="101"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101" fillId="3" borderId="0" applyNumberFormat="0" applyBorder="0" applyAlignment="0" applyProtection="0">
      <alignment vertical="center"/>
    </xf>
    <xf numFmtId="0" fontId="101" fillId="3" borderId="0" applyNumberFormat="0" applyBorder="0" applyAlignment="0" applyProtection="0">
      <alignment vertical="center"/>
    </xf>
    <xf numFmtId="0" fontId="101" fillId="45" borderId="0" applyNumberFormat="0" applyBorder="0" applyAlignment="0" applyProtection="0">
      <alignment vertical="center"/>
    </xf>
    <xf numFmtId="0" fontId="101" fillId="5" borderId="0" applyNumberFormat="0" applyBorder="0" applyAlignment="0" applyProtection="0">
      <alignment vertical="center"/>
    </xf>
    <xf numFmtId="0" fontId="101" fillId="45" borderId="0" applyNumberFormat="0" applyBorder="0" applyAlignment="0" applyProtection="0">
      <alignment vertical="center"/>
    </xf>
    <xf numFmtId="0" fontId="101" fillId="5" borderId="0" applyNumberFormat="0" applyBorder="0" applyAlignment="0" applyProtection="0">
      <alignment vertical="center"/>
    </xf>
    <xf numFmtId="0" fontId="101" fillId="5" borderId="0" applyNumberFormat="0" applyBorder="0" applyAlignment="0" applyProtection="0">
      <alignment vertical="center"/>
    </xf>
    <xf numFmtId="0" fontId="101" fillId="45" borderId="0" applyNumberFormat="0" applyBorder="0" applyAlignment="0" applyProtection="0">
      <alignment vertical="center"/>
    </xf>
    <xf numFmtId="0" fontId="101"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8"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8" borderId="0" applyNumberFormat="0" applyBorder="0" applyAlignment="0" applyProtection="0">
      <alignment vertical="center"/>
    </xf>
    <xf numFmtId="0" fontId="83" fillId="2" borderId="0" applyNumberFormat="0" applyBorder="0" applyAlignment="0" applyProtection="0">
      <alignment vertical="center"/>
    </xf>
    <xf numFmtId="0" fontId="83" fillId="9"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9"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101" fillId="50" borderId="0" applyNumberFormat="0" applyBorder="0" applyAlignment="0" applyProtection="0">
      <alignment vertical="center"/>
    </xf>
    <xf numFmtId="0" fontId="101" fillId="10" borderId="0" applyNumberFormat="0" applyBorder="0" applyAlignment="0" applyProtection="0">
      <alignment vertical="center"/>
    </xf>
    <xf numFmtId="0" fontId="83" fillId="2" borderId="0" applyNumberFormat="0" applyBorder="0" applyAlignment="0" applyProtection="0">
      <alignment vertical="center"/>
    </xf>
    <xf numFmtId="0" fontId="101" fillId="50" borderId="0" applyNumberFormat="0" applyBorder="0" applyAlignment="0" applyProtection="0">
      <alignment vertical="center"/>
    </xf>
    <xf numFmtId="0" fontId="101" fillId="10" borderId="0" applyNumberFormat="0" applyBorder="0" applyAlignment="0" applyProtection="0">
      <alignment vertical="center"/>
    </xf>
    <xf numFmtId="0" fontId="101" fillId="10"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101" fillId="50" borderId="0" applyNumberFormat="0" applyBorder="0" applyAlignment="0" applyProtection="0">
      <alignment vertical="center"/>
    </xf>
    <xf numFmtId="0" fontId="101" fillId="10"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4" fillId="12" borderId="0" applyNumberFormat="0" applyBorder="0" applyAlignment="0" applyProtection="0">
      <alignment vertical="center"/>
    </xf>
    <xf numFmtId="0" fontId="84" fillId="9" borderId="0" applyNumberFormat="0" applyBorder="0" applyAlignment="0" applyProtection="0">
      <alignment vertical="center"/>
    </xf>
    <xf numFmtId="0" fontId="84" fillId="10" borderId="0" applyNumberFormat="0" applyBorder="0" applyAlignment="0" applyProtection="0">
      <alignment vertical="center"/>
    </xf>
    <xf numFmtId="0" fontId="102" fillId="56" borderId="0" applyNumberFormat="0" applyBorder="0" applyAlignment="0" applyProtection="0">
      <alignment vertical="center"/>
    </xf>
    <xf numFmtId="0" fontId="102" fillId="10" borderId="0" applyNumberFormat="0" applyBorder="0" applyAlignment="0" applyProtection="0">
      <alignment vertical="center"/>
    </xf>
    <xf numFmtId="0" fontId="102" fillId="56"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56" borderId="0" applyNumberFormat="0" applyBorder="0" applyAlignment="0" applyProtection="0">
      <alignment vertical="center"/>
    </xf>
    <xf numFmtId="0" fontId="102" fillId="10" borderId="0" applyNumberFormat="0" applyBorder="0" applyAlignment="0" applyProtection="0">
      <alignment vertical="center"/>
    </xf>
    <xf numFmtId="0" fontId="84" fillId="13" borderId="0" applyNumberFormat="0" applyBorder="0" applyAlignment="0" applyProtection="0">
      <alignment vertical="center"/>
    </xf>
    <xf numFmtId="0" fontId="102" fillId="57" borderId="0" applyNumberFormat="0" applyBorder="0" applyAlignment="0" applyProtection="0">
      <alignment vertical="center"/>
    </xf>
    <xf numFmtId="0" fontId="102" fillId="13" borderId="0" applyNumberFormat="0" applyBorder="0" applyAlignment="0" applyProtection="0">
      <alignment vertical="center"/>
    </xf>
    <xf numFmtId="0" fontId="102" fillId="57" borderId="0" applyNumberFormat="0" applyBorder="0" applyAlignment="0" applyProtection="0">
      <alignment vertical="center"/>
    </xf>
    <xf numFmtId="0" fontId="102" fillId="13" borderId="0" applyNumberFormat="0" applyBorder="0" applyAlignment="0" applyProtection="0">
      <alignment vertical="center"/>
    </xf>
    <xf numFmtId="0" fontId="102" fillId="13" borderId="0" applyNumberFormat="0" applyBorder="0" applyAlignment="0" applyProtection="0">
      <alignment vertical="center"/>
    </xf>
    <xf numFmtId="0" fontId="102" fillId="57" borderId="0" applyNumberFormat="0" applyBorder="0" applyAlignment="0" applyProtection="0">
      <alignment vertical="center"/>
    </xf>
    <xf numFmtId="0" fontId="102" fillId="13" borderId="0" applyNumberFormat="0" applyBorder="0" applyAlignment="0" applyProtection="0">
      <alignment vertical="center"/>
    </xf>
    <xf numFmtId="0" fontId="84" fillId="14" borderId="0" applyNumberFormat="0" applyBorder="0" applyAlignment="0" applyProtection="0">
      <alignment vertical="center"/>
    </xf>
    <xf numFmtId="0" fontId="84" fillId="15" borderId="0" applyNumberFormat="0" applyBorder="0" applyAlignment="0" applyProtection="0">
      <alignment vertical="center"/>
    </xf>
    <xf numFmtId="0" fontId="102" fillId="59" borderId="0" applyNumberFormat="0" applyBorder="0" applyAlignment="0" applyProtection="0">
      <alignment vertical="center"/>
    </xf>
    <xf numFmtId="0" fontId="102" fillId="15" borderId="0" applyNumberFormat="0" applyBorder="0" applyAlignment="0" applyProtection="0">
      <alignment vertical="center"/>
    </xf>
    <xf numFmtId="0" fontId="102" fillId="59" borderId="0" applyNumberFormat="0" applyBorder="0" applyAlignment="0" applyProtection="0">
      <alignment vertical="center"/>
    </xf>
    <xf numFmtId="0" fontId="102" fillId="15" borderId="0" applyNumberFormat="0" applyBorder="0" applyAlignment="0" applyProtection="0">
      <alignment vertical="center"/>
    </xf>
    <xf numFmtId="0" fontId="102" fillId="15" borderId="0" applyNumberFormat="0" applyBorder="0" applyAlignment="0" applyProtection="0">
      <alignment vertical="center"/>
    </xf>
    <xf numFmtId="0" fontId="102" fillId="59" borderId="0" applyNumberFormat="0" applyBorder="0" applyAlignment="0" applyProtection="0">
      <alignment vertical="center"/>
    </xf>
    <xf numFmtId="0" fontId="102" fillId="15" borderId="0" applyNumberFormat="0" applyBorder="0" applyAlignment="0" applyProtection="0">
      <alignment vertical="center"/>
    </xf>
    <xf numFmtId="0" fontId="85" fillId="0" borderId="0" applyNumberFormat="0" applyFill="0" applyBorder="0" applyAlignment="0" applyProtection="0">
      <alignment vertical="center"/>
    </xf>
    <xf numFmtId="0" fontId="86" fillId="0" borderId="1" applyNumberFormat="0" applyFill="0" applyAlignment="0" applyProtection="0">
      <alignment vertical="center"/>
    </xf>
    <xf numFmtId="0" fontId="87" fillId="0" borderId="2" applyNumberFormat="0" applyFill="0" applyAlignment="0" applyProtection="0">
      <alignment vertical="center"/>
    </xf>
    <xf numFmtId="0" fontId="88" fillId="0" borderId="3" applyNumberFormat="0" applyFill="0" applyAlignment="0" applyProtection="0">
      <alignment vertical="center"/>
    </xf>
    <xf numFmtId="0" fontId="88" fillId="0" borderId="0" applyNumberFormat="0" applyFill="0" applyBorder="0" applyAlignment="0" applyProtection="0">
      <alignment vertical="center"/>
    </xf>
    <xf numFmtId="0" fontId="89" fillId="3" borderId="0" applyNumberFormat="0" applyBorder="0" applyAlignment="0" applyProtection="0">
      <alignment vertical="center"/>
    </xf>
    <xf numFmtId="0" fontId="90" fillId="4" borderId="0" applyNumberFormat="0" applyBorder="0" applyAlignment="0" applyProtection="0">
      <alignment vertical="center"/>
    </xf>
    <xf numFmtId="0" fontId="91" fillId="0" borderId="4" applyNumberFormat="0" applyFill="0" applyAlignment="0" applyProtection="0">
      <alignment vertical="center"/>
    </xf>
    <xf numFmtId="0" fontId="92" fillId="16" borderId="5" applyNumberFormat="0" applyAlignment="0" applyProtection="0">
      <alignment vertical="center"/>
    </xf>
    <xf numFmtId="0" fontId="93" fillId="17" borderId="6" applyNumberFormat="0" applyAlignment="0" applyProtection="0">
      <alignment vertical="center"/>
    </xf>
    <xf numFmtId="0" fontId="94"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6" fillId="0" borderId="7" applyNumberFormat="0" applyFill="0" applyAlignment="0" applyProtection="0">
      <alignment vertical="center"/>
    </xf>
    <xf numFmtId="0" fontId="84" fillId="18" borderId="0" applyNumberFormat="0" applyBorder="0" applyAlignment="0" applyProtection="0">
      <alignment vertical="center"/>
    </xf>
    <xf numFmtId="0" fontId="84" fillId="19" borderId="0" applyNumberFormat="0" applyBorder="0" applyAlignment="0" applyProtection="0">
      <alignment vertical="center"/>
    </xf>
    <xf numFmtId="0" fontId="84" fillId="20" borderId="0" applyNumberFormat="0" applyBorder="0" applyAlignment="0" applyProtection="0">
      <alignment vertical="center"/>
    </xf>
    <xf numFmtId="0" fontId="84" fillId="13" borderId="0" applyNumberFormat="0" applyBorder="0" applyAlignment="0" applyProtection="0">
      <alignment vertical="center"/>
    </xf>
    <xf numFmtId="0" fontId="84" fillId="14" borderId="0" applyNumberFormat="0" applyBorder="0" applyAlignment="0" applyProtection="0">
      <alignment vertical="center"/>
    </xf>
    <xf numFmtId="0" fontId="84" fillId="21" borderId="0" applyNumberFormat="0" applyBorder="0" applyAlignment="0" applyProtection="0">
      <alignment vertical="center"/>
    </xf>
    <xf numFmtId="0" fontId="97" fillId="22" borderId="0" applyNumberFormat="0" applyBorder="0" applyAlignment="0" applyProtection="0">
      <alignment vertical="center"/>
    </xf>
    <xf numFmtId="0" fontId="98" fillId="16" borderId="8" applyNumberFormat="0" applyAlignment="0" applyProtection="0">
      <alignment vertical="center"/>
    </xf>
    <xf numFmtId="0" fontId="99" fillId="7" borderId="5" applyNumberFormat="0" applyAlignment="0" applyProtection="0">
      <alignment vertical="center"/>
    </xf>
    <xf numFmtId="0" fontId="101" fillId="2" borderId="0" applyNumberFormat="0" applyBorder="0" applyAlignment="0" applyProtection="0">
      <alignment vertical="center"/>
    </xf>
    <xf numFmtId="0" fontId="101" fillId="2" borderId="0" applyNumberFormat="0" applyBorder="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101" fillId="4" borderId="0" applyNumberFormat="0" applyBorder="0" applyAlignment="0" applyProtection="0">
      <alignment vertical="center"/>
    </xf>
    <xf numFmtId="0" fontId="101"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101" fillId="5" borderId="0" applyNumberFormat="0" applyBorder="0" applyAlignment="0" applyProtection="0">
      <alignment vertical="center"/>
    </xf>
    <xf numFmtId="0" fontId="101"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101" fillId="10" borderId="0" applyNumberFormat="0" applyBorder="0" applyAlignment="0" applyProtection="0">
      <alignment vertical="center"/>
    </xf>
    <xf numFmtId="0" fontId="101"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3" borderId="0" applyNumberFormat="0" applyBorder="0" applyAlignment="0" applyProtection="0">
      <alignment vertical="center"/>
    </xf>
    <xf numFmtId="0" fontId="102" fillId="13" borderId="0" applyNumberFormat="0" applyBorder="0" applyAlignment="0" applyProtection="0">
      <alignment vertical="center"/>
    </xf>
    <xf numFmtId="0" fontId="102" fillId="15" borderId="0" applyNumberFormat="0" applyBorder="0" applyAlignment="0" applyProtection="0">
      <alignment vertical="center"/>
    </xf>
    <xf numFmtId="0" fontId="102" fillId="15" borderId="0" applyNumberFormat="0" applyBorder="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101" fillId="42" borderId="0" applyNumberFormat="0" applyBorder="0" applyAlignment="0" applyProtection="0">
      <alignment vertical="center"/>
    </xf>
    <xf numFmtId="0" fontId="101" fillId="2" borderId="0" applyNumberFormat="0" applyBorder="0" applyAlignment="0" applyProtection="0">
      <alignment vertical="center"/>
    </xf>
    <xf numFmtId="0" fontId="83" fillId="72" borderId="27" applyNumberFormat="0" applyFont="0" applyAlignment="0" applyProtection="0">
      <alignment vertical="center"/>
    </xf>
    <xf numFmtId="0" fontId="101" fillId="43" borderId="0" applyNumberFormat="0" applyBorder="0" applyAlignment="0" applyProtection="0">
      <alignment vertical="center"/>
    </xf>
    <xf numFmtId="0" fontId="83" fillId="72" borderId="27" applyNumberFormat="0" applyFont="0" applyAlignment="0" applyProtection="0">
      <alignment vertical="center"/>
    </xf>
    <xf numFmtId="0" fontId="101" fillId="3" borderId="0" applyNumberFormat="0" applyBorder="0" applyAlignment="0" applyProtection="0">
      <alignment vertical="center"/>
    </xf>
    <xf numFmtId="0" fontId="101" fillId="43" borderId="0" applyNumberFormat="0" applyBorder="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101" fillId="43" borderId="0" applyNumberFormat="0" applyBorder="0" applyAlignment="0" applyProtection="0">
      <alignment vertical="center"/>
    </xf>
    <xf numFmtId="0" fontId="101" fillId="3" borderId="0" applyNumberFormat="0" applyBorder="0" applyAlignment="0" applyProtection="0">
      <alignment vertical="center"/>
    </xf>
    <xf numFmtId="0" fontId="101" fillId="44" borderId="0" applyNumberFormat="0" applyBorder="0" applyAlignment="0" applyProtection="0">
      <alignment vertical="center"/>
    </xf>
    <xf numFmtId="0" fontId="101" fillId="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 borderId="0" applyNumberFormat="0" applyBorder="0" applyAlignment="0" applyProtection="0">
      <alignment vertical="center"/>
    </xf>
    <xf numFmtId="0" fontId="101" fillId="45" borderId="0" applyNumberFormat="0" applyBorder="0" applyAlignment="0" applyProtection="0">
      <alignment vertical="center"/>
    </xf>
    <xf numFmtId="0" fontId="101" fillId="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5" borderId="0" applyNumberFormat="0" applyBorder="0" applyAlignment="0" applyProtection="0">
      <alignment vertical="center"/>
    </xf>
    <xf numFmtId="0" fontId="101" fillId="50" borderId="0" applyNumberFormat="0" applyBorder="0" applyAlignment="0" applyProtection="0">
      <alignment vertical="center"/>
    </xf>
    <xf numFmtId="0" fontId="101" fillId="10" borderId="0" applyNumberFormat="0" applyBorder="0" applyAlignment="0" applyProtection="0">
      <alignment vertical="center"/>
    </xf>
    <xf numFmtId="0" fontId="101" fillId="50" borderId="0" applyNumberFormat="0" applyBorder="0" applyAlignment="0" applyProtection="0">
      <alignment vertical="center"/>
    </xf>
    <xf numFmtId="0" fontId="101" fillId="10" borderId="0" applyNumberFormat="0" applyBorder="0" applyAlignment="0" applyProtection="0">
      <alignment vertical="center"/>
    </xf>
    <xf numFmtId="0" fontId="101" fillId="50" borderId="0" applyNumberFormat="0" applyBorder="0" applyAlignment="0" applyProtection="0">
      <alignment vertical="center"/>
    </xf>
    <xf numFmtId="0" fontId="102" fillId="56" borderId="0" applyNumberFormat="0" applyBorder="0" applyAlignment="0" applyProtection="0">
      <alignment vertical="center"/>
    </xf>
    <xf numFmtId="0" fontId="102" fillId="10" borderId="0" applyNumberFormat="0" applyBorder="0" applyAlignment="0" applyProtection="0">
      <alignment vertical="center"/>
    </xf>
    <xf numFmtId="0" fontId="102" fillId="57" borderId="0" applyNumberFormat="0" applyBorder="0" applyAlignment="0" applyProtection="0">
      <alignment vertical="center"/>
    </xf>
    <xf numFmtId="0" fontId="102" fillId="13" borderId="0" applyNumberFormat="0" applyBorder="0" applyAlignment="0" applyProtection="0">
      <alignment vertical="center"/>
    </xf>
    <xf numFmtId="0" fontId="102" fillId="56" borderId="0" applyNumberFormat="0" applyBorder="0" applyAlignment="0" applyProtection="0">
      <alignment vertical="center"/>
    </xf>
    <xf numFmtId="0" fontId="102" fillId="59" borderId="0" applyNumberFormat="0" applyBorder="0" applyAlignment="0" applyProtection="0">
      <alignment vertical="center"/>
    </xf>
    <xf numFmtId="0" fontId="102" fillId="10" borderId="0" applyNumberFormat="0" applyBorder="0" applyAlignment="0" applyProtection="0">
      <alignment vertical="center"/>
    </xf>
    <xf numFmtId="0" fontId="102" fillId="56" borderId="0" applyNumberFormat="0" applyBorder="0" applyAlignment="0" applyProtection="0">
      <alignment vertical="center"/>
    </xf>
    <xf numFmtId="0" fontId="102" fillId="15" borderId="0" applyNumberFormat="0" applyBorder="0" applyAlignment="0" applyProtection="0">
      <alignment vertical="center"/>
    </xf>
    <xf numFmtId="0" fontId="102" fillId="57" borderId="0" applyNumberFormat="0" applyBorder="0" applyAlignment="0" applyProtection="0">
      <alignment vertical="center"/>
    </xf>
    <xf numFmtId="0" fontId="102" fillId="13" borderId="0" applyNumberFormat="0" applyBorder="0" applyAlignment="0" applyProtection="0">
      <alignment vertical="center"/>
    </xf>
    <xf numFmtId="0" fontId="102" fillId="57" borderId="0" applyNumberFormat="0" applyBorder="0" applyAlignment="0" applyProtection="0">
      <alignment vertical="center"/>
    </xf>
    <xf numFmtId="0" fontId="102" fillId="59" borderId="0" applyNumberFormat="0" applyBorder="0" applyAlignment="0" applyProtection="0">
      <alignment vertical="center"/>
    </xf>
    <xf numFmtId="0" fontId="102" fillId="15" borderId="0" applyNumberFormat="0" applyBorder="0" applyAlignment="0" applyProtection="0">
      <alignment vertical="center"/>
    </xf>
    <xf numFmtId="0" fontId="102" fillId="59" borderId="0" applyNumberFormat="0" applyBorder="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101" fillId="42" borderId="0" applyNumberFormat="0" applyBorder="0" applyAlignment="0" applyProtection="0">
      <alignment vertical="center"/>
    </xf>
    <xf numFmtId="0" fontId="101" fillId="2" borderId="0" applyNumberFormat="0" applyBorder="0" applyAlignment="0" applyProtection="0">
      <alignment vertical="center"/>
    </xf>
    <xf numFmtId="0" fontId="101" fillId="42" borderId="0" applyNumberFormat="0" applyBorder="0" applyAlignment="0" applyProtection="0">
      <alignment vertical="center"/>
    </xf>
    <xf numFmtId="0" fontId="83" fillId="2" borderId="0" applyNumberFormat="0" applyBorder="0" applyAlignment="0" applyProtection="0">
      <alignment vertical="center"/>
    </xf>
    <xf numFmtId="0" fontId="83" fillId="3" borderId="0" applyNumberFormat="0" applyBorder="0" applyAlignment="0" applyProtection="0">
      <alignment vertical="center"/>
    </xf>
    <xf numFmtId="0" fontId="83" fillId="4" borderId="0" applyNumberFormat="0" applyBorder="0" applyAlignment="0" applyProtection="0">
      <alignment vertical="center"/>
    </xf>
    <xf numFmtId="0" fontId="83" fillId="5" borderId="0" applyNumberFormat="0" applyBorder="0" applyAlignment="0" applyProtection="0">
      <alignment vertical="center"/>
    </xf>
    <xf numFmtId="0" fontId="83" fillId="6" borderId="0" applyNumberFormat="0" applyBorder="0" applyAlignment="0" applyProtection="0">
      <alignment vertical="center"/>
    </xf>
    <xf numFmtId="0" fontId="83" fillId="7" borderId="0" applyNumberFormat="0" applyBorder="0" applyAlignment="0" applyProtection="0">
      <alignment vertical="center"/>
    </xf>
    <xf numFmtId="0" fontId="83" fillId="8" borderId="0" applyNumberFormat="0" applyBorder="0" applyAlignment="0" applyProtection="0">
      <alignment vertical="center"/>
    </xf>
    <xf numFmtId="0" fontId="83" fillId="9" borderId="0" applyNumberFormat="0" applyBorder="0" applyAlignment="0" applyProtection="0">
      <alignment vertical="center"/>
    </xf>
    <xf numFmtId="0" fontId="83" fillId="10" borderId="0" applyNumberFormat="0" applyBorder="0" applyAlignment="0" applyProtection="0">
      <alignment vertical="center"/>
    </xf>
    <xf numFmtId="0" fontId="83" fillId="5" borderId="0" applyNumberFormat="0" applyBorder="0" applyAlignment="0" applyProtection="0">
      <alignment vertical="center"/>
    </xf>
    <xf numFmtId="0" fontId="83" fillId="8" borderId="0" applyNumberFormat="0" applyBorder="0" applyAlignment="0" applyProtection="0">
      <alignment vertical="center"/>
    </xf>
    <xf numFmtId="0" fontId="83" fillId="11" borderId="0" applyNumberFormat="0" applyBorder="0" applyAlignment="0" applyProtection="0">
      <alignment vertical="center"/>
    </xf>
    <xf numFmtId="0" fontId="83" fillId="23" borderId="9"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121" fillId="0" borderId="0" applyNumberFormat="0" applyFill="0" applyBorder="0" applyAlignment="0" applyProtection="0">
      <alignment vertical="top"/>
      <protection locked="0"/>
    </xf>
    <xf numFmtId="0" fontId="101" fillId="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2" borderId="0" applyNumberFormat="0" applyBorder="0" applyAlignment="0" applyProtection="0">
      <alignment vertical="center"/>
    </xf>
    <xf numFmtId="0" fontId="101" fillId="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3" borderId="0" applyNumberFormat="0" applyBorder="0" applyAlignment="0" applyProtection="0">
      <alignment vertical="center"/>
    </xf>
    <xf numFmtId="0" fontId="101" fillId="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 borderId="0" applyNumberFormat="0" applyBorder="0" applyAlignment="0" applyProtection="0">
      <alignment vertical="center"/>
    </xf>
    <xf numFmtId="0" fontId="101" fillId="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5" borderId="0" applyNumberFormat="0" applyBorder="0" applyAlignment="0" applyProtection="0">
      <alignment vertical="center"/>
    </xf>
    <xf numFmtId="0" fontId="101" fillId="1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10" borderId="0" applyNumberFormat="0" applyBorder="0" applyAlignment="0" applyProtection="0">
      <alignment vertical="center"/>
    </xf>
    <xf numFmtId="0" fontId="102" fillId="10"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10" borderId="0" applyNumberFormat="0" applyBorder="0" applyAlignment="0" applyProtection="0">
      <alignment vertical="center"/>
    </xf>
    <xf numFmtId="0" fontId="102" fillId="13"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13" borderId="0" applyNumberFormat="0" applyBorder="0" applyAlignment="0" applyProtection="0">
      <alignment vertical="center"/>
    </xf>
    <xf numFmtId="0" fontId="102" fillId="15"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15" borderId="0" applyNumberFormat="0" applyBorder="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42" borderId="0" applyNumberFormat="0" applyBorder="0" applyAlignment="0" applyProtection="0">
      <alignment vertical="center"/>
    </xf>
    <xf numFmtId="0" fontId="101" fillId="43" borderId="0" applyNumberFormat="0" applyBorder="0" applyAlignment="0" applyProtection="0">
      <alignment vertical="center"/>
    </xf>
    <xf numFmtId="0" fontId="101" fillId="44" borderId="0" applyNumberFormat="0" applyBorder="0" applyAlignment="0" applyProtection="0">
      <alignment vertical="center"/>
    </xf>
    <xf numFmtId="0" fontId="101" fillId="45" borderId="0" applyNumberFormat="0" applyBorder="0" applyAlignment="0" applyProtection="0">
      <alignment vertical="center"/>
    </xf>
    <xf numFmtId="0" fontId="101" fillId="50" borderId="0" applyNumberFormat="0" applyBorder="0" applyAlignment="0" applyProtection="0">
      <alignment vertical="center"/>
    </xf>
    <xf numFmtId="0" fontId="102" fillId="56" borderId="0" applyNumberFormat="0" applyBorder="0" applyAlignment="0" applyProtection="0">
      <alignment vertical="center"/>
    </xf>
    <xf numFmtId="0" fontId="102" fillId="57" borderId="0" applyNumberFormat="0" applyBorder="0" applyAlignment="0" applyProtection="0">
      <alignment vertical="center"/>
    </xf>
    <xf numFmtId="0" fontId="102" fillId="59" borderId="0" applyNumberFormat="0" applyBorder="0" applyAlignment="0" applyProtection="0">
      <alignment vertical="center"/>
    </xf>
    <xf numFmtId="0" fontId="101" fillId="42" borderId="0" applyNumberFormat="0" applyBorder="0" applyAlignment="0" applyProtection="0">
      <alignment vertical="center"/>
    </xf>
    <xf numFmtId="0" fontId="101" fillId="2" borderId="0" applyNumberFormat="0" applyBorder="0" applyAlignment="0" applyProtection="0">
      <alignment vertical="center"/>
    </xf>
    <xf numFmtId="0" fontId="101" fillId="42" borderId="0" applyNumberFormat="0" applyBorder="0" applyAlignment="0" applyProtection="0">
      <alignment vertical="center"/>
    </xf>
    <xf numFmtId="0" fontId="101" fillId="43" borderId="0" applyNumberFormat="0" applyBorder="0" applyAlignment="0" applyProtection="0">
      <alignment vertical="center"/>
    </xf>
    <xf numFmtId="0" fontId="101" fillId="3" borderId="0" applyNumberFormat="0" applyBorder="0" applyAlignment="0" applyProtection="0">
      <alignment vertical="center"/>
    </xf>
    <xf numFmtId="0" fontId="101" fillId="43" borderId="0" applyNumberFormat="0" applyBorder="0" applyAlignment="0" applyProtection="0">
      <alignment vertical="center"/>
    </xf>
    <xf numFmtId="0" fontId="101" fillId="44" borderId="0" applyNumberFormat="0" applyBorder="0" applyAlignment="0" applyProtection="0">
      <alignment vertical="center"/>
    </xf>
    <xf numFmtId="0" fontId="101" fillId="4" borderId="0" applyNumberFormat="0" applyBorder="0" applyAlignment="0" applyProtection="0">
      <alignment vertical="center"/>
    </xf>
    <xf numFmtId="0" fontId="101" fillId="44" borderId="0" applyNumberFormat="0" applyBorder="0" applyAlignment="0" applyProtection="0">
      <alignment vertical="center"/>
    </xf>
    <xf numFmtId="0" fontId="101" fillId="45" borderId="0" applyNumberFormat="0" applyBorder="0" applyAlignment="0" applyProtection="0">
      <alignment vertical="center"/>
    </xf>
    <xf numFmtId="0" fontId="101" fillId="5" borderId="0" applyNumberFormat="0" applyBorder="0" applyAlignment="0" applyProtection="0">
      <alignment vertical="center"/>
    </xf>
    <xf numFmtId="0" fontId="101" fillId="45" borderId="0" applyNumberFormat="0" applyBorder="0" applyAlignment="0" applyProtection="0">
      <alignment vertical="center"/>
    </xf>
    <xf numFmtId="0" fontId="101" fillId="50" borderId="0" applyNumberFormat="0" applyBorder="0" applyAlignment="0" applyProtection="0">
      <alignment vertical="center"/>
    </xf>
    <xf numFmtId="0" fontId="101" fillId="10" borderId="0" applyNumberFormat="0" applyBorder="0" applyAlignment="0" applyProtection="0">
      <alignment vertical="center"/>
    </xf>
    <xf numFmtId="0" fontId="101" fillId="50" borderId="0" applyNumberFormat="0" applyBorder="0" applyAlignment="0" applyProtection="0">
      <alignment vertical="center"/>
    </xf>
    <xf numFmtId="0" fontId="102" fillId="56" borderId="0" applyNumberFormat="0" applyBorder="0" applyAlignment="0" applyProtection="0">
      <alignment vertical="center"/>
    </xf>
    <xf numFmtId="0" fontId="102" fillId="10" borderId="0" applyNumberFormat="0" applyBorder="0" applyAlignment="0" applyProtection="0">
      <alignment vertical="center"/>
    </xf>
    <xf numFmtId="0" fontId="102" fillId="56" borderId="0" applyNumberFormat="0" applyBorder="0" applyAlignment="0" applyProtection="0">
      <alignment vertical="center"/>
    </xf>
    <xf numFmtId="0" fontId="102" fillId="57" borderId="0" applyNumberFormat="0" applyBorder="0" applyAlignment="0" applyProtection="0">
      <alignment vertical="center"/>
    </xf>
    <xf numFmtId="0" fontId="102" fillId="13" borderId="0" applyNumberFormat="0" applyBorder="0" applyAlignment="0" applyProtection="0">
      <alignment vertical="center"/>
    </xf>
    <xf numFmtId="0" fontId="102" fillId="57" borderId="0" applyNumberFormat="0" applyBorder="0" applyAlignment="0" applyProtection="0">
      <alignment vertical="center"/>
    </xf>
    <xf numFmtId="0" fontId="102" fillId="59" borderId="0" applyNumberFormat="0" applyBorder="0" applyAlignment="0" applyProtection="0">
      <alignment vertical="center"/>
    </xf>
    <xf numFmtId="0" fontId="102" fillId="15" borderId="0" applyNumberFormat="0" applyBorder="0" applyAlignment="0" applyProtection="0">
      <alignment vertical="center"/>
    </xf>
    <xf numFmtId="0" fontId="102" fillId="59" borderId="0" applyNumberFormat="0" applyBorder="0" applyAlignment="0" applyProtection="0">
      <alignment vertical="center"/>
    </xf>
    <xf numFmtId="0" fontId="101" fillId="2" borderId="0" applyNumberFormat="0" applyBorder="0" applyAlignment="0" applyProtection="0">
      <alignment vertical="center"/>
    </xf>
    <xf numFmtId="0" fontId="101" fillId="42" borderId="0" applyNumberFormat="0" applyBorder="0" applyAlignment="0" applyProtection="0">
      <alignment vertical="center"/>
    </xf>
    <xf numFmtId="0" fontId="101" fillId="2" borderId="0" applyNumberFormat="0" applyBorder="0" applyAlignment="0" applyProtection="0">
      <alignment vertical="center"/>
    </xf>
    <xf numFmtId="0" fontId="101" fillId="3" borderId="0" applyNumberFormat="0" applyBorder="0" applyAlignment="0" applyProtection="0">
      <alignment vertical="center"/>
    </xf>
    <xf numFmtId="0" fontId="101" fillId="43" borderId="0" applyNumberFormat="0" applyBorder="0" applyAlignment="0" applyProtection="0">
      <alignment vertical="center"/>
    </xf>
    <xf numFmtId="0" fontId="101" fillId="3" borderId="0" applyNumberFormat="0" applyBorder="0" applyAlignment="0" applyProtection="0">
      <alignment vertical="center"/>
    </xf>
    <xf numFmtId="0" fontId="101" fillId="4" borderId="0" applyNumberFormat="0" applyBorder="0" applyAlignment="0" applyProtection="0">
      <alignment vertical="center"/>
    </xf>
    <xf numFmtId="0" fontId="101" fillId="44" borderId="0" applyNumberFormat="0" applyBorder="0" applyAlignment="0" applyProtection="0">
      <alignment vertical="center"/>
    </xf>
    <xf numFmtId="0" fontId="101" fillId="4" borderId="0" applyNumberFormat="0" applyBorder="0" applyAlignment="0" applyProtection="0">
      <alignment vertical="center"/>
    </xf>
    <xf numFmtId="0" fontId="101" fillId="5" borderId="0" applyNumberFormat="0" applyBorder="0" applyAlignment="0" applyProtection="0">
      <alignment vertical="center"/>
    </xf>
    <xf numFmtId="0" fontId="101" fillId="45" borderId="0" applyNumberFormat="0" applyBorder="0" applyAlignment="0" applyProtection="0">
      <alignment vertical="center"/>
    </xf>
    <xf numFmtId="0" fontId="101" fillId="5" borderId="0" applyNumberFormat="0" applyBorder="0" applyAlignment="0" applyProtection="0">
      <alignment vertical="center"/>
    </xf>
    <xf numFmtId="0" fontId="101" fillId="10" borderId="0" applyNumberFormat="0" applyBorder="0" applyAlignment="0" applyProtection="0">
      <alignment vertical="center"/>
    </xf>
    <xf numFmtId="0" fontId="101" fillId="50" borderId="0" applyNumberFormat="0" applyBorder="0" applyAlignment="0" applyProtection="0">
      <alignment vertical="center"/>
    </xf>
    <xf numFmtId="0" fontId="101" fillId="10" borderId="0" applyNumberFormat="0" applyBorder="0" applyAlignment="0" applyProtection="0">
      <alignment vertical="center"/>
    </xf>
    <xf numFmtId="0" fontId="102" fillId="10" borderId="0" applyNumberFormat="0" applyBorder="0" applyAlignment="0" applyProtection="0">
      <alignment vertical="center"/>
    </xf>
    <xf numFmtId="0" fontId="102" fillId="56" borderId="0" applyNumberFormat="0" applyBorder="0" applyAlignment="0" applyProtection="0">
      <alignment vertical="center"/>
    </xf>
    <xf numFmtId="0" fontId="102" fillId="10" borderId="0" applyNumberFormat="0" applyBorder="0" applyAlignment="0" applyProtection="0">
      <alignment vertical="center"/>
    </xf>
    <xf numFmtId="0" fontId="102" fillId="13" borderId="0" applyNumberFormat="0" applyBorder="0" applyAlignment="0" applyProtection="0">
      <alignment vertical="center"/>
    </xf>
    <xf numFmtId="0" fontId="102" fillId="57" borderId="0" applyNumberFormat="0" applyBorder="0" applyAlignment="0" applyProtection="0">
      <alignment vertical="center"/>
    </xf>
    <xf numFmtId="0" fontId="102" fillId="13" borderId="0" applyNumberFormat="0" applyBorder="0" applyAlignment="0" applyProtection="0">
      <alignment vertical="center"/>
    </xf>
    <xf numFmtId="0" fontId="102" fillId="15" borderId="0" applyNumberFormat="0" applyBorder="0" applyAlignment="0" applyProtection="0">
      <alignment vertical="center"/>
    </xf>
    <xf numFmtId="0" fontId="102" fillId="59" borderId="0" applyNumberFormat="0" applyBorder="0" applyAlignment="0" applyProtection="0">
      <alignment vertical="center"/>
    </xf>
    <xf numFmtId="0" fontId="102" fillId="15" borderId="0" applyNumberFormat="0" applyBorder="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83" fillId="2" borderId="0" applyNumberFormat="0" applyBorder="0" applyAlignment="0" applyProtection="0">
      <alignment vertical="center"/>
    </xf>
    <xf numFmtId="0" fontId="101" fillId="2" borderId="0" applyNumberFormat="0" applyBorder="0" applyAlignment="0" applyProtection="0">
      <alignment vertical="center"/>
    </xf>
    <xf numFmtId="0" fontId="83" fillId="3" borderId="0" applyNumberFormat="0" applyBorder="0" applyAlignment="0" applyProtection="0">
      <alignment vertical="center"/>
    </xf>
    <xf numFmtId="0" fontId="101" fillId="3" borderId="0" applyNumberFormat="0" applyBorder="0" applyAlignment="0" applyProtection="0">
      <alignment vertical="center"/>
    </xf>
    <xf numFmtId="0" fontId="83" fillId="4" borderId="0" applyNumberFormat="0" applyBorder="0" applyAlignment="0" applyProtection="0">
      <alignment vertical="center"/>
    </xf>
    <xf numFmtId="0" fontId="101" fillId="4" borderId="0" applyNumberFormat="0" applyBorder="0" applyAlignment="0" applyProtection="0">
      <alignment vertical="center"/>
    </xf>
    <xf numFmtId="0" fontId="83" fillId="5" borderId="0" applyNumberFormat="0" applyBorder="0" applyAlignment="0" applyProtection="0">
      <alignment vertical="center"/>
    </xf>
    <xf numFmtId="0" fontId="101" fillId="5" borderId="0" applyNumberFormat="0" applyBorder="0" applyAlignment="0" applyProtection="0">
      <alignment vertical="center"/>
    </xf>
    <xf numFmtId="0" fontId="83" fillId="6" borderId="0" applyNumberFormat="0" applyBorder="0" applyAlignment="0" applyProtection="0">
      <alignment vertical="center"/>
    </xf>
    <xf numFmtId="0" fontId="83" fillId="7" borderId="0" applyNumberFormat="0" applyBorder="0" applyAlignment="0" applyProtection="0">
      <alignment vertical="center"/>
    </xf>
    <xf numFmtId="0" fontId="83" fillId="8" borderId="0" applyNumberFormat="0" applyBorder="0" applyAlignment="0" applyProtection="0">
      <alignment vertical="center"/>
    </xf>
    <xf numFmtId="0" fontId="83" fillId="9" borderId="0" applyNumberFormat="0" applyBorder="0" applyAlignment="0" applyProtection="0">
      <alignment vertical="center"/>
    </xf>
    <xf numFmtId="0" fontId="83" fillId="10" borderId="0" applyNumberFormat="0" applyBorder="0" applyAlignment="0" applyProtection="0">
      <alignment vertical="center"/>
    </xf>
    <xf numFmtId="0" fontId="101" fillId="10" borderId="0" applyNumberFormat="0" applyBorder="0" applyAlignment="0" applyProtection="0">
      <alignment vertical="center"/>
    </xf>
    <xf numFmtId="0" fontId="83" fillId="5" borderId="0" applyNumberFormat="0" applyBorder="0" applyAlignment="0" applyProtection="0">
      <alignment vertical="center"/>
    </xf>
    <xf numFmtId="0" fontId="83" fillId="8" borderId="0" applyNumberFormat="0" applyBorder="0" applyAlignment="0" applyProtection="0">
      <alignment vertical="center"/>
    </xf>
    <xf numFmtId="0" fontId="83" fillId="11" borderId="0" applyNumberFormat="0" applyBorder="0" applyAlignment="0" applyProtection="0">
      <alignment vertical="center"/>
    </xf>
    <xf numFmtId="0" fontId="102" fillId="10" borderId="0" applyNumberFormat="0" applyBorder="0" applyAlignment="0" applyProtection="0">
      <alignment vertical="center"/>
    </xf>
    <xf numFmtId="0" fontId="102" fillId="13" borderId="0" applyNumberFormat="0" applyBorder="0" applyAlignment="0" applyProtection="0">
      <alignment vertical="center"/>
    </xf>
    <xf numFmtId="0" fontId="102" fillId="15" borderId="0" applyNumberFormat="0" applyBorder="0" applyAlignment="0" applyProtection="0">
      <alignment vertical="center"/>
    </xf>
    <xf numFmtId="0" fontId="83" fillId="23" borderId="9" applyNumberFormat="0" applyFont="0" applyAlignment="0" applyProtection="0">
      <alignment vertical="center"/>
    </xf>
    <xf numFmtId="0" fontId="101" fillId="72" borderId="27" applyNumberFormat="0" applyFont="0" applyAlignment="0" applyProtection="0">
      <alignment vertical="center"/>
    </xf>
    <xf numFmtId="0" fontId="83"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101" fillId="42" borderId="0" applyNumberFormat="0" applyBorder="0" applyAlignment="0" applyProtection="0">
      <alignment vertical="center"/>
    </xf>
    <xf numFmtId="0" fontId="101"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101" fillId="43" borderId="0" applyNumberFormat="0" applyBorder="0" applyAlignment="0" applyProtection="0">
      <alignment vertical="center"/>
    </xf>
    <xf numFmtId="0" fontId="101"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101" fillId="44" borderId="0" applyNumberFormat="0" applyBorder="0" applyAlignment="0" applyProtection="0">
      <alignment vertical="center"/>
    </xf>
    <xf numFmtId="0" fontId="101"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101" fillId="45" borderId="0" applyNumberFormat="0" applyBorder="0" applyAlignment="0" applyProtection="0">
      <alignment vertical="center"/>
    </xf>
    <xf numFmtId="0" fontId="101"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101" fillId="2"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101" fillId="42"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101" fillId="42"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101" fillId="2"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101" fillId="50" borderId="0" applyNumberFormat="0" applyBorder="0" applyAlignment="0" applyProtection="0">
      <alignment vertical="center"/>
    </xf>
    <xf numFmtId="0" fontId="101"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102" fillId="56" borderId="0" applyNumberFormat="0" applyBorder="0" applyAlignment="0" applyProtection="0">
      <alignment vertical="center"/>
    </xf>
    <xf numFmtId="0" fontId="102" fillId="10" borderId="0" applyNumberFormat="0" applyBorder="0" applyAlignment="0" applyProtection="0">
      <alignment vertical="center"/>
    </xf>
    <xf numFmtId="0" fontId="102" fillId="57" borderId="0" applyNumberFormat="0" applyBorder="0" applyAlignment="0" applyProtection="0">
      <alignment vertical="center"/>
    </xf>
    <xf numFmtId="0" fontId="102" fillId="13" borderId="0" applyNumberFormat="0" applyBorder="0" applyAlignment="0" applyProtection="0">
      <alignment vertical="center"/>
    </xf>
    <xf numFmtId="0" fontId="102" fillId="59" borderId="0" applyNumberFormat="0" applyBorder="0" applyAlignment="0" applyProtection="0">
      <alignment vertical="center"/>
    </xf>
    <xf numFmtId="0" fontId="102" fillId="15" borderId="0" applyNumberFormat="0" applyBorder="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101" fillId="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3" borderId="0" applyNumberFormat="0" applyBorder="0" applyAlignment="0" applyProtection="0">
      <alignment vertical="center"/>
    </xf>
    <xf numFmtId="0" fontId="101" fillId="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 borderId="0" applyNumberFormat="0" applyBorder="0" applyAlignment="0" applyProtection="0">
      <alignment vertical="center"/>
    </xf>
    <xf numFmtId="0" fontId="101" fillId="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5" borderId="0" applyNumberFormat="0" applyBorder="0" applyAlignment="0" applyProtection="0">
      <alignment vertical="center"/>
    </xf>
    <xf numFmtId="0" fontId="101" fillId="1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10" borderId="0" applyNumberFormat="0" applyBorder="0" applyAlignment="0" applyProtection="0">
      <alignment vertical="center"/>
    </xf>
    <xf numFmtId="0" fontId="102" fillId="10"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10" borderId="0" applyNumberFormat="0" applyBorder="0" applyAlignment="0" applyProtection="0">
      <alignment vertical="center"/>
    </xf>
    <xf numFmtId="0" fontId="102" fillId="13"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13" borderId="0" applyNumberFormat="0" applyBorder="0" applyAlignment="0" applyProtection="0">
      <alignment vertical="center"/>
    </xf>
    <xf numFmtId="0" fontId="102" fillId="15"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15" borderId="0" applyNumberFormat="0" applyBorder="0" applyAlignment="0" applyProtection="0">
      <alignment vertical="center"/>
    </xf>
    <xf numFmtId="0" fontId="101" fillId="72" borderId="27" applyNumberFormat="0" applyFont="0" applyAlignment="0" applyProtection="0">
      <alignment vertical="center"/>
    </xf>
    <xf numFmtId="0" fontId="101" fillId="43" borderId="0" applyNumberFormat="0" applyBorder="0" applyAlignment="0" applyProtection="0">
      <alignment vertical="center"/>
    </xf>
    <xf numFmtId="0" fontId="101" fillId="3" borderId="0" applyNumberFormat="0" applyBorder="0" applyAlignment="0" applyProtection="0">
      <alignment vertical="center"/>
    </xf>
    <xf numFmtId="0" fontId="101" fillId="43" borderId="0" applyNumberFormat="0" applyBorder="0" applyAlignment="0" applyProtection="0">
      <alignment vertical="center"/>
    </xf>
    <xf numFmtId="0" fontId="101" fillId="42" borderId="0" applyNumberFormat="0" applyBorder="0" applyAlignment="0" applyProtection="0">
      <alignment vertical="center"/>
    </xf>
    <xf numFmtId="0" fontId="101" fillId="2" borderId="0" applyNumberFormat="0" applyBorder="0" applyAlignment="0" applyProtection="0">
      <alignment vertical="center"/>
    </xf>
    <xf numFmtId="0" fontId="101" fillId="42" borderId="0" applyNumberFormat="0" applyBorder="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2" fillId="15" borderId="0" applyNumberFormat="0" applyBorder="0" applyAlignment="0" applyProtection="0">
      <alignment vertical="center"/>
    </xf>
    <xf numFmtId="0" fontId="102" fillId="59" borderId="0" applyNumberFormat="0" applyBorder="0" applyAlignment="0" applyProtection="0">
      <alignment vertical="center"/>
    </xf>
    <xf numFmtId="0" fontId="102" fillId="15" borderId="0" applyNumberFormat="0" applyBorder="0" applyAlignment="0" applyProtection="0">
      <alignment vertical="center"/>
    </xf>
    <xf numFmtId="0" fontId="102" fillId="56" borderId="0" applyNumberFormat="0" applyBorder="0" applyAlignment="0" applyProtection="0">
      <alignment vertical="center"/>
    </xf>
    <xf numFmtId="0" fontId="101" fillId="5" borderId="0" applyNumberFormat="0" applyBorder="0" applyAlignment="0" applyProtection="0">
      <alignment vertical="center"/>
    </xf>
    <xf numFmtId="0" fontId="101" fillId="45" borderId="0" applyNumberFormat="0" applyBorder="0" applyAlignment="0" applyProtection="0">
      <alignment vertical="center"/>
    </xf>
    <xf numFmtId="0" fontId="101" fillId="4" borderId="0" applyNumberFormat="0" applyBorder="0" applyAlignment="0" applyProtection="0">
      <alignment vertical="center"/>
    </xf>
    <xf numFmtId="0" fontId="101" fillId="44" borderId="0" applyNumberFormat="0" applyBorder="0" applyAlignment="0" applyProtection="0">
      <alignment vertical="center"/>
    </xf>
    <xf numFmtId="0" fontId="101" fillId="4" borderId="0" applyNumberFormat="0" applyBorder="0" applyAlignment="0" applyProtection="0">
      <alignment vertical="center"/>
    </xf>
    <xf numFmtId="0" fontId="101" fillId="3" borderId="0" applyNumberFormat="0" applyBorder="0" applyAlignment="0" applyProtection="0">
      <alignment vertical="center"/>
    </xf>
    <xf numFmtId="0" fontId="101" fillId="43" borderId="0" applyNumberFormat="0" applyBorder="0" applyAlignment="0" applyProtection="0">
      <alignment vertical="center"/>
    </xf>
    <xf numFmtId="0" fontId="101" fillId="3" borderId="0" applyNumberFormat="0" applyBorder="0" applyAlignment="0" applyProtection="0">
      <alignment vertical="center"/>
    </xf>
    <xf numFmtId="0" fontId="101" fillId="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2" borderId="0" applyNumberFormat="0" applyBorder="0" applyAlignment="0" applyProtection="0">
      <alignment vertical="center"/>
    </xf>
    <xf numFmtId="0" fontId="101" fillId="2" borderId="0" applyNumberFormat="0" applyBorder="0" applyAlignment="0" applyProtection="0">
      <alignment vertical="center"/>
    </xf>
    <xf numFmtId="0" fontId="101" fillId="42" borderId="0" applyNumberFormat="0" applyBorder="0" applyAlignment="0" applyProtection="0">
      <alignment vertical="center"/>
    </xf>
    <xf numFmtId="0" fontId="101" fillId="43" borderId="0" applyNumberFormat="0" applyBorder="0" applyAlignment="0" applyProtection="0">
      <alignment vertical="center"/>
    </xf>
    <xf numFmtId="0" fontId="101" fillId="3" borderId="0" applyNumberFormat="0" applyBorder="0" applyAlignment="0" applyProtection="0">
      <alignment vertical="center"/>
    </xf>
    <xf numFmtId="0" fontId="101" fillId="3" borderId="0" applyNumberFormat="0" applyBorder="0" applyAlignment="0" applyProtection="0">
      <alignment vertical="center"/>
    </xf>
    <xf numFmtId="0" fontId="101" fillId="43"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 borderId="0" applyNumberFormat="0" applyBorder="0" applyAlignment="0" applyProtection="0">
      <alignment vertical="center"/>
    </xf>
    <xf numFmtId="0" fontId="101" fillId="44" borderId="0" applyNumberFormat="0" applyBorder="0" applyAlignment="0" applyProtection="0">
      <alignment vertical="center"/>
    </xf>
    <xf numFmtId="0" fontId="101" fillId="4" borderId="0" applyNumberFormat="0" applyBorder="0" applyAlignment="0" applyProtection="0">
      <alignment vertical="center"/>
    </xf>
    <xf numFmtId="0" fontId="101" fillId="4" borderId="0" applyNumberFormat="0" applyBorder="0" applyAlignment="0" applyProtection="0">
      <alignment vertical="center"/>
    </xf>
    <xf numFmtId="0" fontId="101" fillId="44" borderId="0" applyNumberFormat="0" applyBorder="0" applyAlignment="0" applyProtection="0">
      <alignment vertical="center"/>
    </xf>
    <xf numFmtId="0" fontId="101" fillId="45" borderId="0" applyNumberFormat="0" applyBorder="0" applyAlignment="0" applyProtection="0">
      <alignment vertical="center"/>
    </xf>
    <xf numFmtId="0" fontId="101" fillId="5" borderId="0" applyNumberFormat="0" applyBorder="0" applyAlignment="0" applyProtection="0">
      <alignment vertical="center"/>
    </xf>
    <xf numFmtId="0" fontId="101" fillId="5" borderId="0" applyNumberFormat="0" applyBorder="0" applyAlignment="0" applyProtection="0">
      <alignment vertical="center"/>
    </xf>
    <xf numFmtId="0" fontId="101" fillId="45" borderId="0" applyNumberFormat="0" applyBorder="0" applyAlignment="0" applyProtection="0">
      <alignment vertical="center"/>
    </xf>
    <xf numFmtId="0" fontId="101" fillId="50" borderId="0" applyNumberFormat="0" applyBorder="0" applyAlignment="0" applyProtection="0">
      <alignment vertical="center"/>
    </xf>
    <xf numFmtId="0" fontId="101" fillId="10" borderId="0" applyNumberFormat="0" applyBorder="0" applyAlignment="0" applyProtection="0">
      <alignment vertical="center"/>
    </xf>
    <xf numFmtId="0" fontId="101" fillId="10" borderId="0" applyNumberFormat="0" applyBorder="0" applyAlignment="0" applyProtection="0">
      <alignment vertical="center"/>
    </xf>
    <xf numFmtId="0" fontId="101" fillId="50" borderId="0" applyNumberFormat="0" applyBorder="0" applyAlignment="0" applyProtection="0">
      <alignment vertical="center"/>
    </xf>
    <xf numFmtId="0" fontId="102" fillId="13" borderId="0" applyNumberFormat="0" applyBorder="0" applyAlignment="0" applyProtection="0">
      <alignment vertical="center"/>
    </xf>
    <xf numFmtId="0" fontId="102" fillId="13" borderId="0" applyNumberFormat="0" applyBorder="0" applyAlignment="0" applyProtection="0">
      <alignment vertical="center"/>
    </xf>
    <xf numFmtId="0" fontId="102" fillId="56"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56" borderId="0" applyNumberFormat="0" applyBorder="0" applyAlignment="0" applyProtection="0">
      <alignment vertical="center"/>
    </xf>
    <xf numFmtId="0" fontId="102" fillId="57" borderId="0" applyNumberFormat="0" applyBorder="0" applyAlignment="0" applyProtection="0">
      <alignment vertical="center"/>
    </xf>
    <xf numFmtId="0" fontId="102" fillId="13" borderId="0" applyNumberFormat="0" applyBorder="0" applyAlignment="0" applyProtection="0">
      <alignment vertical="center"/>
    </xf>
    <xf numFmtId="0" fontId="102" fillId="13" borderId="0" applyNumberFormat="0" applyBorder="0" applyAlignment="0" applyProtection="0">
      <alignment vertical="center"/>
    </xf>
    <xf numFmtId="0" fontId="102" fillId="57" borderId="0" applyNumberFormat="0" applyBorder="0" applyAlignment="0" applyProtection="0">
      <alignment vertical="center"/>
    </xf>
    <xf numFmtId="0" fontId="102" fillId="59" borderId="0" applyNumberFormat="0" applyBorder="0" applyAlignment="0" applyProtection="0">
      <alignment vertical="center"/>
    </xf>
    <xf numFmtId="0" fontId="102" fillId="15" borderId="0" applyNumberFormat="0" applyBorder="0" applyAlignment="0" applyProtection="0">
      <alignment vertical="center"/>
    </xf>
    <xf numFmtId="0" fontId="102" fillId="15" borderId="0" applyNumberFormat="0" applyBorder="0" applyAlignment="0" applyProtection="0">
      <alignment vertical="center"/>
    </xf>
    <xf numFmtId="0" fontId="102" fillId="59" borderId="0" applyNumberFormat="0" applyBorder="0" applyAlignment="0" applyProtection="0">
      <alignment vertical="center"/>
    </xf>
    <xf numFmtId="0" fontId="101" fillId="10" borderId="0" applyNumberFormat="0" applyBorder="0" applyAlignment="0" applyProtection="0">
      <alignment vertical="center"/>
    </xf>
    <xf numFmtId="0" fontId="101" fillId="10" borderId="0" applyNumberFormat="0" applyBorder="0" applyAlignment="0" applyProtection="0">
      <alignment vertical="center"/>
    </xf>
    <xf numFmtId="0" fontId="83" fillId="72" borderId="27" applyNumberFormat="0" applyFont="0" applyAlignment="0" applyProtection="0">
      <alignment vertical="center"/>
    </xf>
    <xf numFmtId="0" fontId="101" fillId="2" borderId="0" applyNumberFormat="0" applyBorder="0" applyAlignment="0" applyProtection="0">
      <alignment vertical="center"/>
    </xf>
    <xf numFmtId="0" fontId="101" fillId="5"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2" fillId="57"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1" fillId="50" borderId="0" applyNumberFormat="0" applyBorder="0" applyAlignment="0" applyProtection="0">
      <alignment vertical="center"/>
    </xf>
    <xf numFmtId="0" fontId="101" fillId="5" borderId="0" applyNumberFormat="0" applyBorder="0" applyAlignment="0" applyProtection="0">
      <alignment vertical="center"/>
    </xf>
    <xf numFmtId="0" fontId="101" fillId="50" borderId="0" applyNumberFormat="0" applyBorder="0" applyAlignment="0" applyProtection="0">
      <alignment vertical="center"/>
    </xf>
    <xf numFmtId="0" fontId="101" fillId="10" borderId="0" applyNumberFormat="0" applyBorder="0" applyAlignment="0" applyProtection="0">
      <alignment vertical="center"/>
    </xf>
    <xf numFmtId="0" fontId="101" fillId="50" borderId="0" applyNumberFormat="0" applyBorder="0" applyAlignment="0" applyProtection="0">
      <alignment vertical="center"/>
    </xf>
    <xf numFmtId="0" fontId="102" fillId="56" borderId="0" applyNumberFormat="0" applyBorder="0" applyAlignment="0" applyProtection="0">
      <alignment vertical="center"/>
    </xf>
    <xf numFmtId="0" fontId="102" fillId="10" borderId="0" applyNumberFormat="0" applyBorder="0" applyAlignment="0" applyProtection="0">
      <alignment vertical="center"/>
    </xf>
    <xf numFmtId="0" fontId="102" fillId="56" borderId="0" applyNumberFormat="0" applyBorder="0" applyAlignment="0" applyProtection="0">
      <alignment vertical="center"/>
    </xf>
    <xf numFmtId="0" fontId="102" fillId="57" borderId="0" applyNumberFormat="0" applyBorder="0" applyAlignment="0" applyProtection="0">
      <alignment vertical="center"/>
    </xf>
    <xf numFmtId="0" fontId="102" fillId="13" borderId="0" applyNumberFormat="0" applyBorder="0" applyAlignment="0" applyProtection="0">
      <alignment vertical="center"/>
    </xf>
    <xf numFmtId="0" fontId="102" fillId="57" borderId="0" applyNumberFormat="0" applyBorder="0" applyAlignment="0" applyProtection="0">
      <alignment vertical="center"/>
    </xf>
    <xf numFmtId="0" fontId="102" fillId="59" borderId="0" applyNumberFormat="0" applyBorder="0" applyAlignment="0" applyProtection="0">
      <alignment vertical="center"/>
    </xf>
    <xf numFmtId="0" fontId="102" fillId="15" borderId="0" applyNumberFormat="0" applyBorder="0" applyAlignment="0" applyProtection="0">
      <alignment vertical="center"/>
    </xf>
    <xf numFmtId="0" fontId="102" fillId="59" borderId="0" applyNumberFormat="0" applyBorder="0" applyAlignment="0" applyProtection="0">
      <alignment vertical="center"/>
    </xf>
    <xf numFmtId="0" fontId="101" fillId="42" borderId="0" applyNumberFormat="0" applyBorder="0" applyAlignment="0" applyProtection="0">
      <alignment vertical="center"/>
    </xf>
    <xf numFmtId="0" fontId="101" fillId="43" borderId="0" applyNumberFormat="0" applyBorder="0" applyAlignment="0" applyProtection="0">
      <alignment vertical="center"/>
    </xf>
    <xf numFmtId="0" fontId="101" fillId="44" borderId="0" applyNumberFormat="0" applyBorder="0" applyAlignment="0" applyProtection="0">
      <alignment vertical="center"/>
    </xf>
    <xf numFmtId="0" fontId="101" fillId="45" borderId="0" applyNumberFormat="0" applyBorder="0" applyAlignment="0" applyProtection="0">
      <alignment vertical="center"/>
    </xf>
    <xf numFmtId="0" fontId="101" fillId="50" borderId="0" applyNumberFormat="0" applyBorder="0" applyAlignment="0" applyProtection="0">
      <alignment vertical="center"/>
    </xf>
    <xf numFmtId="0" fontId="102" fillId="56" borderId="0" applyNumberFormat="0" applyBorder="0" applyAlignment="0" applyProtection="0">
      <alignment vertical="center"/>
    </xf>
    <xf numFmtId="0" fontId="102" fillId="57" borderId="0" applyNumberFormat="0" applyBorder="0" applyAlignment="0" applyProtection="0">
      <alignment vertical="center"/>
    </xf>
    <xf numFmtId="0" fontId="102" fillId="59" borderId="0" applyNumberFormat="0" applyBorder="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82" fillId="0" borderId="0">
      <alignment vertical="center"/>
    </xf>
    <xf numFmtId="0" fontId="101" fillId="42" borderId="0" applyNumberFormat="0" applyBorder="0" applyAlignment="0" applyProtection="0">
      <alignment vertical="center"/>
    </xf>
    <xf numFmtId="0" fontId="101" fillId="2" borderId="0" applyNumberFormat="0" applyBorder="0" applyAlignment="0" applyProtection="0">
      <alignment vertical="center"/>
    </xf>
    <xf numFmtId="0" fontId="101" fillId="2" borderId="0" applyNumberFormat="0" applyBorder="0" applyAlignment="0" applyProtection="0">
      <alignment vertical="center"/>
    </xf>
    <xf numFmtId="0" fontId="101" fillId="42" borderId="0" applyNumberFormat="0" applyBorder="0" applyAlignment="0" applyProtection="0">
      <alignment vertical="center"/>
    </xf>
    <xf numFmtId="0" fontId="101" fillId="43" borderId="0" applyNumberFormat="0" applyBorder="0" applyAlignment="0" applyProtection="0">
      <alignment vertical="center"/>
    </xf>
    <xf numFmtId="0" fontId="101" fillId="3" borderId="0" applyNumberFormat="0" applyBorder="0" applyAlignment="0" applyProtection="0">
      <alignment vertical="center"/>
    </xf>
    <xf numFmtId="0" fontId="101" fillId="3" borderId="0" applyNumberFormat="0" applyBorder="0" applyAlignment="0" applyProtection="0">
      <alignment vertical="center"/>
    </xf>
    <xf numFmtId="0" fontId="101" fillId="43" borderId="0" applyNumberFormat="0" applyBorder="0" applyAlignment="0" applyProtection="0">
      <alignment vertical="center"/>
    </xf>
    <xf numFmtId="0" fontId="101" fillId="44" borderId="0" applyNumberFormat="0" applyBorder="0" applyAlignment="0" applyProtection="0">
      <alignment vertical="center"/>
    </xf>
    <xf numFmtId="0" fontId="101" fillId="4" borderId="0" applyNumberFormat="0" applyBorder="0" applyAlignment="0" applyProtection="0">
      <alignment vertical="center"/>
    </xf>
    <xf numFmtId="0" fontId="101" fillId="4" borderId="0" applyNumberFormat="0" applyBorder="0" applyAlignment="0" applyProtection="0">
      <alignment vertical="center"/>
    </xf>
    <xf numFmtId="0" fontId="101" fillId="44" borderId="0" applyNumberFormat="0" applyBorder="0" applyAlignment="0" applyProtection="0">
      <alignment vertical="center"/>
    </xf>
    <xf numFmtId="0" fontId="101" fillId="45" borderId="0" applyNumberFormat="0" applyBorder="0" applyAlignment="0" applyProtection="0">
      <alignment vertical="center"/>
    </xf>
    <xf numFmtId="0" fontId="101" fillId="5" borderId="0" applyNumberFormat="0" applyBorder="0" applyAlignment="0" applyProtection="0">
      <alignment vertical="center"/>
    </xf>
    <xf numFmtId="0" fontId="101" fillId="5" borderId="0" applyNumberFormat="0" applyBorder="0" applyAlignment="0" applyProtection="0">
      <alignment vertical="center"/>
    </xf>
    <xf numFmtId="0" fontId="101" fillId="45"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3" borderId="0" applyNumberFormat="0" applyBorder="0" applyAlignment="0" applyProtection="0">
      <alignment vertical="center"/>
    </xf>
    <xf numFmtId="0" fontId="101" fillId="2" borderId="0" applyNumberFormat="0" applyBorder="0" applyAlignment="0" applyProtection="0">
      <alignment vertical="center"/>
    </xf>
    <xf numFmtId="0" fontId="101" fillId="50" borderId="0" applyNumberFormat="0" applyBorder="0" applyAlignment="0" applyProtection="0">
      <alignment vertical="center"/>
    </xf>
    <xf numFmtId="0" fontId="101" fillId="10" borderId="0" applyNumberFormat="0" applyBorder="0" applyAlignment="0" applyProtection="0">
      <alignment vertical="center"/>
    </xf>
    <xf numFmtId="0" fontId="101" fillId="10" borderId="0" applyNumberFormat="0" applyBorder="0" applyAlignment="0" applyProtection="0">
      <alignment vertical="center"/>
    </xf>
    <xf numFmtId="0" fontId="101" fillId="50" borderId="0" applyNumberFormat="0" applyBorder="0" applyAlignment="0" applyProtection="0">
      <alignment vertical="center"/>
    </xf>
    <xf numFmtId="0" fontId="102" fillId="15" borderId="0" applyNumberFormat="0" applyBorder="0" applyAlignment="0" applyProtection="0">
      <alignment vertical="center"/>
    </xf>
    <xf numFmtId="0" fontId="102" fillId="15" borderId="0" applyNumberFormat="0" applyBorder="0" applyAlignment="0" applyProtection="0">
      <alignment vertical="center"/>
    </xf>
    <xf numFmtId="0" fontId="102" fillId="13" borderId="0" applyNumberFormat="0" applyBorder="0" applyAlignment="0" applyProtection="0">
      <alignment vertical="center"/>
    </xf>
    <xf numFmtId="0" fontId="102" fillId="13" borderId="0" applyNumberFormat="0" applyBorder="0" applyAlignment="0" applyProtection="0">
      <alignment vertical="center"/>
    </xf>
    <xf numFmtId="0" fontId="102" fillId="56"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 borderId="0" applyNumberFormat="0" applyBorder="0" applyAlignment="0" applyProtection="0">
      <alignment vertical="center"/>
    </xf>
    <xf numFmtId="0" fontId="101" fillId="43" borderId="0" applyNumberFormat="0" applyBorder="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4" fillId="12" borderId="0" applyNumberFormat="0" applyBorder="0" applyAlignment="0" applyProtection="0">
      <alignment vertical="center"/>
    </xf>
    <xf numFmtId="0" fontId="84" fillId="9" borderId="0" applyNumberFormat="0" applyBorder="0" applyAlignment="0" applyProtection="0">
      <alignment vertical="center"/>
    </xf>
    <xf numFmtId="0" fontId="84" fillId="10" borderId="0" applyNumberFormat="0" applyBorder="0" applyAlignment="0" applyProtection="0">
      <alignment vertical="center"/>
    </xf>
    <xf numFmtId="0" fontId="102" fillId="56"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56" borderId="0" applyNumberFormat="0" applyBorder="0" applyAlignment="0" applyProtection="0">
      <alignment vertical="center"/>
    </xf>
    <xf numFmtId="0" fontId="84" fillId="13" borderId="0" applyNumberFormat="0" applyBorder="0" applyAlignment="0" applyProtection="0">
      <alignment vertical="center"/>
    </xf>
    <xf numFmtId="0" fontId="102" fillId="57" borderId="0" applyNumberFormat="0" applyBorder="0" applyAlignment="0" applyProtection="0">
      <alignment vertical="center"/>
    </xf>
    <xf numFmtId="0" fontId="102" fillId="13" borderId="0" applyNumberFormat="0" applyBorder="0" applyAlignment="0" applyProtection="0">
      <alignment vertical="center"/>
    </xf>
    <xf numFmtId="0" fontId="102" fillId="13" borderId="0" applyNumberFormat="0" applyBorder="0" applyAlignment="0" applyProtection="0">
      <alignment vertical="center"/>
    </xf>
    <xf numFmtId="0" fontId="102" fillId="57" borderId="0" applyNumberFormat="0" applyBorder="0" applyAlignment="0" applyProtection="0">
      <alignment vertical="center"/>
    </xf>
    <xf numFmtId="0" fontId="84" fillId="14" borderId="0" applyNumberFormat="0" applyBorder="0" applyAlignment="0" applyProtection="0">
      <alignment vertical="center"/>
    </xf>
    <xf numFmtId="0" fontId="84" fillId="15" borderId="0" applyNumberFormat="0" applyBorder="0" applyAlignment="0" applyProtection="0">
      <alignment vertical="center"/>
    </xf>
    <xf numFmtId="0" fontId="102" fillId="59" borderId="0" applyNumberFormat="0" applyBorder="0" applyAlignment="0" applyProtection="0">
      <alignment vertical="center"/>
    </xf>
    <xf numFmtId="0" fontId="102" fillId="15" borderId="0" applyNumberFormat="0" applyBorder="0" applyAlignment="0" applyProtection="0">
      <alignment vertical="center"/>
    </xf>
    <xf numFmtId="0" fontId="102" fillId="15" borderId="0" applyNumberFormat="0" applyBorder="0" applyAlignment="0" applyProtection="0">
      <alignment vertical="center"/>
    </xf>
    <xf numFmtId="0" fontId="102" fillId="59" borderId="0" applyNumberFormat="0" applyBorder="0" applyAlignment="0" applyProtection="0">
      <alignment vertical="center"/>
    </xf>
    <xf numFmtId="0" fontId="85" fillId="0" borderId="0" applyNumberFormat="0" applyFill="0" applyBorder="0" applyAlignment="0" applyProtection="0">
      <alignment vertical="center"/>
    </xf>
    <xf numFmtId="0" fontId="86" fillId="0" borderId="1" applyNumberFormat="0" applyFill="0" applyAlignment="0" applyProtection="0">
      <alignment vertical="center"/>
    </xf>
    <xf numFmtId="0" fontId="87" fillId="0" borderId="2" applyNumberFormat="0" applyFill="0" applyAlignment="0" applyProtection="0">
      <alignment vertical="center"/>
    </xf>
    <xf numFmtId="0" fontId="88" fillId="0" borderId="3" applyNumberFormat="0" applyFill="0" applyAlignment="0" applyProtection="0">
      <alignment vertical="center"/>
    </xf>
    <xf numFmtId="0" fontId="88" fillId="0" borderId="0" applyNumberFormat="0" applyFill="0" applyBorder="0" applyAlignment="0" applyProtection="0">
      <alignment vertical="center"/>
    </xf>
    <xf numFmtId="0" fontId="89" fillId="3" borderId="0" applyNumberFormat="0" applyBorder="0" applyAlignment="0" applyProtection="0">
      <alignment vertical="center"/>
    </xf>
    <xf numFmtId="0" fontId="90" fillId="4" borderId="0" applyNumberFormat="0" applyBorder="0" applyAlignment="0" applyProtection="0">
      <alignment vertical="center"/>
    </xf>
    <xf numFmtId="0" fontId="91" fillId="0" borderId="4" applyNumberFormat="0" applyFill="0" applyAlignment="0" applyProtection="0">
      <alignment vertical="center"/>
    </xf>
    <xf numFmtId="0" fontId="92" fillId="16" borderId="5" applyNumberFormat="0" applyAlignment="0" applyProtection="0">
      <alignment vertical="center"/>
    </xf>
    <xf numFmtId="0" fontId="93" fillId="17" borderId="6" applyNumberFormat="0" applyAlignment="0" applyProtection="0">
      <alignment vertical="center"/>
    </xf>
    <xf numFmtId="0" fontId="94"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6" fillId="0" borderId="7" applyNumberFormat="0" applyFill="0" applyAlignment="0" applyProtection="0">
      <alignment vertical="center"/>
    </xf>
    <xf numFmtId="0" fontId="84" fillId="18" borderId="0" applyNumberFormat="0" applyBorder="0" applyAlignment="0" applyProtection="0">
      <alignment vertical="center"/>
    </xf>
    <xf numFmtId="0" fontId="84" fillId="19" borderId="0" applyNumberFormat="0" applyBorder="0" applyAlignment="0" applyProtection="0">
      <alignment vertical="center"/>
    </xf>
    <xf numFmtId="0" fontId="84" fillId="20" borderId="0" applyNumberFormat="0" applyBorder="0" applyAlignment="0" applyProtection="0">
      <alignment vertical="center"/>
    </xf>
    <xf numFmtId="0" fontId="84" fillId="13" borderId="0" applyNumberFormat="0" applyBorder="0" applyAlignment="0" applyProtection="0">
      <alignment vertical="center"/>
    </xf>
    <xf numFmtId="0" fontId="84" fillId="14" borderId="0" applyNumberFormat="0" applyBorder="0" applyAlignment="0" applyProtection="0">
      <alignment vertical="center"/>
    </xf>
    <xf numFmtId="0" fontId="84" fillId="21" borderId="0" applyNumberFormat="0" applyBorder="0" applyAlignment="0" applyProtection="0">
      <alignment vertical="center"/>
    </xf>
    <xf numFmtId="0" fontId="97" fillId="22" borderId="0" applyNumberFormat="0" applyBorder="0" applyAlignment="0" applyProtection="0">
      <alignment vertical="center"/>
    </xf>
    <xf numFmtId="0" fontId="98" fillId="16" borderId="8" applyNumberFormat="0" applyAlignment="0" applyProtection="0">
      <alignment vertical="center"/>
    </xf>
    <xf numFmtId="0" fontId="99" fillId="7" borderId="5" applyNumberForma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101" fillId="5" borderId="0" applyNumberFormat="0" applyBorder="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101" fillId="4" borderId="0" applyNumberFormat="0" applyBorder="0" applyAlignment="0" applyProtection="0">
      <alignment vertical="center"/>
    </xf>
    <xf numFmtId="0" fontId="101" fillId="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2" borderId="0" applyNumberFormat="0" applyBorder="0" applyAlignment="0" applyProtection="0">
      <alignment vertical="center"/>
    </xf>
    <xf numFmtId="0" fontId="101" fillId="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3" borderId="0" applyNumberFormat="0" applyBorder="0" applyAlignment="0" applyProtection="0">
      <alignment vertical="center"/>
    </xf>
    <xf numFmtId="0" fontId="101" fillId="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 borderId="0" applyNumberFormat="0" applyBorder="0" applyAlignment="0" applyProtection="0">
      <alignment vertical="center"/>
    </xf>
    <xf numFmtId="0" fontId="101" fillId="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5" borderId="0" applyNumberFormat="0" applyBorder="0" applyAlignment="0" applyProtection="0">
      <alignment vertical="center"/>
    </xf>
    <xf numFmtId="0" fontId="102" fillId="56" borderId="0" applyNumberFormat="0" applyBorder="0" applyAlignment="0" applyProtection="0">
      <alignment vertical="center"/>
    </xf>
    <xf numFmtId="0" fontId="102" fillId="57" borderId="0" applyNumberFormat="0" applyBorder="0" applyAlignment="0" applyProtection="0">
      <alignment vertical="center"/>
    </xf>
    <xf numFmtId="0" fontId="101" fillId="1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10" borderId="0" applyNumberFormat="0" applyBorder="0" applyAlignment="0" applyProtection="0">
      <alignment vertical="center"/>
    </xf>
    <xf numFmtId="0" fontId="102" fillId="56" borderId="0" applyNumberFormat="0" applyBorder="0" applyAlignment="0" applyProtection="0">
      <alignment vertical="center"/>
    </xf>
    <xf numFmtId="0" fontId="101" fillId="50" borderId="0" applyNumberFormat="0" applyBorder="0" applyAlignment="0" applyProtection="0">
      <alignment vertical="center"/>
    </xf>
    <xf numFmtId="0" fontId="101" fillId="2" borderId="0" applyNumberFormat="0" applyBorder="0" applyAlignment="0" applyProtection="0">
      <alignment vertical="center"/>
    </xf>
    <xf numFmtId="0" fontId="102" fillId="15" borderId="0" applyNumberFormat="0" applyBorder="0" applyAlignment="0" applyProtection="0">
      <alignment vertical="center"/>
    </xf>
    <xf numFmtId="0" fontId="102" fillId="13" borderId="0" applyNumberFormat="0" applyBorder="0" applyAlignment="0" applyProtection="0">
      <alignment vertical="center"/>
    </xf>
    <xf numFmtId="0" fontId="102" fillId="10"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10" borderId="0" applyNumberFormat="0" applyBorder="0" applyAlignment="0" applyProtection="0">
      <alignment vertical="center"/>
    </xf>
    <xf numFmtId="0" fontId="102" fillId="13"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13" borderId="0" applyNumberFormat="0" applyBorder="0" applyAlignment="0" applyProtection="0">
      <alignment vertical="center"/>
    </xf>
    <xf numFmtId="0" fontId="102" fillId="15"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15" borderId="0" applyNumberFormat="0" applyBorder="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101" fillId="3"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2" borderId="0" applyNumberFormat="0" applyBorder="0" applyAlignment="0" applyProtection="0">
      <alignment vertical="center"/>
    </xf>
    <xf numFmtId="0" fontId="101" fillId="43" borderId="0" applyNumberFormat="0" applyBorder="0" applyAlignment="0" applyProtection="0">
      <alignment vertical="center"/>
    </xf>
    <xf numFmtId="0" fontId="101" fillId="3" borderId="0" applyNumberFormat="0" applyBorder="0" applyAlignment="0" applyProtection="0">
      <alignment vertical="center"/>
    </xf>
    <xf numFmtId="0" fontId="101" fillId="44" borderId="0" applyNumberFormat="0" applyBorder="0" applyAlignment="0" applyProtection="0">
      <alignment vertical="center"/>
    </xf>
    <xf numFmtId="0" fontId="101" fillId="4" borderId="0" applyNumberFormat="0" applyBorder="0" applyAlignment="0" applyProtection="0">
      <alignment vertical="center"/>
    </xf>
    <xf numFmtId="0" fontId="101" fillId="45" borderId="0" applyNumberFormat="0" applyBorder="0" applyAlignment="0" applyProtection="0">
      <alignment vertical="center"/>
    </xf>
    <xf numFmtId="0" fontId="101" fillId="5" borderId="0" applyNumberFormat="0" applyBorder="0" applyAlignment="0" applyProtection="0">
      <alignment vertical="center"/>
    </xf>
    <xf numFmtId="0" fontId="82" fillId="0" borderId="0">
      <alignment vertical="center"/>
    </xf>
    <xf numFmtId="0" fontId="102" fillId="15" borderId="0" applyNumberFormat="0" applyBorder="0" applyAlignment="0" applyProtection="0">
      <alignment vertical="center"/>
    </xf>
    <xf numFmtId="0" fontId="101" fillId="10" borderId="0" applyNumberFormat="0" applyBorder="0" applyAlignment="0" applyProtection="0">
      <alignment vertical="center"/>
    </xf>
    <xf numFmtId="0" fontId="101" fillId="5" borderId="0" applyNumberFormat="0" applyBorder="0" applyAlignment="0" applyProtection="0">
      <alignment vertical="center"/>
    </xf>
    <xf numFmtId="0" fontId="101" fillId="4"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2" borderId="0" applyNumberFormat="0" applyBorder="0" applyAlignment="0" applyProtection="0">
      <alignment vertical="center"/>
    </xf>
    <xf numFmtId="0" fontId="101" fillId="50" borderId="0" applyNumberFormat="0" applyBorder="0" applyAlignment="0" applyProtection="0">
      <alignment vertical="center"/>
    </xf>
    <xf numFmtId="0" fontId="101" fillId="10"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1" fillId="44" borderId="0" applyNumberFormat="0" applyBorder="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102" fillId="56" borderId="0" applyNumberFormat="0" applyBorder="0" applyAlignment="0" applyProtection="0">
      <alignment vertical="center"/>
    </xf>
    <xf numFmtId="0" fontId="102" fillId="10" borderId="0" applyNumberFormat="0" applyBorder="0" applyAlignment="0" applyProtection="0">
      <alignment vertical="center"/>
    </xf>
    <xf numFmtId="0" fontId="102" fillId="57" borderId="0" applyNumberFormat="0" applyBorder="0" applyAlignment="0" applyProtection="0">
      <alignment vertical="center"/>
    </xf>
    <xf numFmtId="0" fontId="102" fillId="13" borderId="0" applyNumberFormat="0" applyBorder="0" applyAlignment="0" applyProtection="0">
      <alignment vertical="center"/>
    </xf>
    <xf numFmtId="0" fontId="102" fillId="59" borderId="0" applyNumberFormat="0" applyBorder="0" applyAlignment="0" applyProtection="0">
      <alignment vertical="center"/>
    </xf>
    <xf numFmtId="0" fontId="102" fillId="15" borderId="0" applyNumberFormat="0" applyBorder="0" applyAlignment="0" applyProtection="0">
      <alignment vertical="center"/>
    </xf>
    <xf numFmtId="0" fontId="83" fillId="72" borderId="27" applyNumberFormat="0" applyFont="0" applyAlignment="0" applyProtection="0">
      <alignment vertical="center"/>
    </xf>
    <xf numFmtId="0" fontId="101" fillId="43" borderId="0" applyNumberFormat="0" applyBorder="0" applyAlignment="0" applyProtection="0">
      <alignment vertical="center"/>
    </xf>
    <xf numFmtId="0" fontId="102" fillId="56" borderId="0" applyNumberFormat="0" applyBorder="0" applyAlignment="0" applyProtection="0">
      <alignment vertical="center"/>
    </xf>
    <xf numFmtId="0" fontId="82" fillId="0" borderId="0">
      <alignment vertical="center"/>
    </xf>
    <xf numFmtId="0" fontId="102" fillId="13" borderId="0" applyNumberFormat="0" applyBorder="0" applyAlignment="0" applyProtection="0">
      <alignment vertical="center"/>
    </xf>
    <xf numFmtId="0" fontId="102" fillId="56" borderId="0" applyNumberFormat="0" applyBorder="0" applyAlignment="0" applyProtection="0">
      <alignment vertical="center"/>
    </xf>
    <xf numFmtId="0" fontId="102" fillId="10" borderId="0" applyNumberFormat="0" applyBorder="0" applyAlignment="0" applyProtection="0">
      <alignment vertical="center"/>
    </xf>
    <xf numFmtId="0" fontId="101" fillId="10" borderId="0" applyNumberFormat="0" applyBorder="0" applyAlignment="0" applyProtection="0">
      <alignment vertical="center"/>
    </xf>
    <xf numFmtId="0" fontId="101" fillId="10" borderId="0" applyNumberFormat="0" applyBorder="0" applyAlignment="0" applyProtection="0">
      <alignment vertical="center"/>
    </xf>
    <xf numFmtId="0" fontId="101" fillId="44" borderId="0" applyNumberFormat="0" applyBorder="0" applyAlignment="0" applyProtection="0">
      <alignment vertical="center"/>
    </xf>
    <xf numFmtId="0" fontId="101" fillId="3" borderId="0" applyNumberFormat="0" applyBorder="0" applyAlignment="0" applyProtection="0">
      <alignment vertical="center"/>
    </xf>
    <xf numFmtId="0" fontId="101" fillId="42" borderId="0" applyNumberFormat="0" applyBorder="0" applyAlignment="0" applyProtection="0">
      <alignment vertical="center"/>
    </xf>
    <xf numFmtId="0" fontId="101" fillId="2" borderId="0" applyNumberFormat="0" applyBorder="0" applyAlignment="0" applyProtection="0">
      <alignment vertical="center"/>
    </xf>
    <xf numFmtId="0" fontId="102" fillId="59" borderId="0" applyNumberFormat="0" applyBorder="0" applyAlignment="0" applyProtection="0">
      <alignment vertical="center"/>
    </xf>
    <xf numFmtId="0" fontId="102" fillId="13" borderId="0" applyNumberFormat="0" applyBorder="0" applyAlignment="0" applyProtection="0">
      <alignment vertical="center"/>
    </xf>
    <xf numFmtId="0" fontId="102" fillId="10" borderId="0" applyNumberFormat="0" applyBorder="0" applyAlignment="0" applyProtection="0">
      <alignment vertical="center"/>
    </xf>
    <xf numFmtId="0" fontId="101" fillId="50" borderId="0" applyNumberFormat="0" applyBorder="0" applyAlignment="0" applyProtection="0">
      <alignment vertical="center"/>
    </xf>
    <xf numFmtId="0" fontId="101" fillId="45" borderId="0" applyNumberFormat="0" applyBorder="0" applyAlignment="0" applyProtection="0">
      <alignment vertical="center"/>
    </xf>
    <xf numFmtId="0" fontId="101" fillId="2" borderId="0" applyNumberFormat="0" applyBorder="0" applyAlignment="0" applyProtection="0">
      <alignment vertical="center"/>
    </xf>
    <xf numFmtId="0" fontId="83" fillId="72" borderId="27" applyNumberFormat="0" applyFont="0" applyAlignment="0" applyProtection="0">
      <alignment vertical="center"/>
    </xf>
    <xf numFmtId="0" fontId="102" fillId="13" borderId="0" applyNumberFormat="0" applyBorder="0" applyAlignment="0" applyProtection="0">
      <alignment vertical="center"/>
    </xf>
    <xf numFmtId="0" fontId="102" fillId="10" borderId="0" applyNumberFormat="0" applyBorder="0" applyAlignment="0" applyProtection="0">
      <alignment vertical="center"/>
    </xf>
    <xf numFmtId="0" fontId="101" fillId="72" borderId="27" applyNumberFormat="0" applyFont="0" applyAlignment="0" applyProtection="0">
      <alignment vertical="center"/>
    </xf>
    <xf numFmtId="0" fontId="101" fillId="43" borderId="0" applyNumberFormat="0" applyBorder="0" applyAlignment="0" applyProtection="0">
      <alignment vertical="center"/>
    </xf>
    <xf numFmtId="0" fontId="101" fillId="50" borderId="0" applyNumberFormat="0" applyBorder="0" applyAlignment="0" applyProtection="0">
      <alignment vertical="center"/>
    </xf>
    <xf numFmtId="0" fontId="101" fillId="5" borderId="0" applyNumberFormat="0" applyBorder="0" applyAlignment="0" applyProtection="0">
      <alignment vertical="center"/>
    </xf>
    <xf numFmtId="0" fontId="101" fillId="10" borderId="0" applyNumberFormat="0" applyBorder="0" applyAlignment="0" applyProtection="0">
      <alignment vertical="center"/>
    </xf>
    <xf numFmtId="0" fontId="101" fillId="5" borderId="0" applyNumberFormat="0" applyBorder="0" applyAlignment="0" applyProtection="0">
      <alignment vertical="center"/>
    </xf>
    <xf numFmtId="0" fontId="101" fillId="2" borderId="0" applyNumberFormat="0" applyBorder="0" applyAlignment="0" applyProtection="0">
      <alignment vertical="center"/>
    </xf>
    <xf numFmtId="0" fontId="102" fillId="15" borderId="0" applyNumberFormat="0" applyBorder="0" applyAlignment="0" applyProtection="0">
      <alignment vertical="center"/>
    </xf>
    <xf numFmtId="0" fontId="102" fillId="57" borderId="0" applyNumberFormat="0" applyBorder="0" applyAlignment="0" applyProtection="0">
      <alignment vertical="center"/>
    </xf>
    <xf numFmtId="0" fontId="102" fillId="10" borderId="0" applyNumberFormat="0" applyBorder="0" applyAlignment="0" applyProtection="0">
      <alignment vertical="center"/>
    </xf>
    <xf numFmtId="0" fontId="101" fillId="10" borderId="0" applyNumberFormat="0" applyBorder="0" applyAlignment="0" applyProtection="0">
      <alignment vertical="center"/>
    </xf>
    <xf numFmtId="0" fontId="101" fillId="5" borderId="0" applyNumberFormat="0" applyBorder="0" applyAlignment="0" applyProtection="0">
      <alignment vertical="center"/>
    </xf>
    <xf numFmtId="0" fontId="101" fillId="4" borderId="0" applyNumberFormat="0" applyBorder="0" applyAlignment="0" applyProtection="0">
      <alignment vertical="center"/>
    </xf>
    <xf numFmtId="0" fontId="101" fillId="3"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72" borderId="27" applyNumberFormat="0" applyFont="0" applyAlignment="0" applyProtection="0">
      <alignment vertical="center"/>
    </xf>
    <xf numFmtId="0" fontId="102" fillId="10" borderId="0" applyNumberFormat="0" applyBorder="0" applyAlignment="0" applyProtection="0">
      <alignment vertical="center"/>
    </xf>
    <xf numFmtId="0" fontId="101" fillId="5" borderId="0" applyNumberFormat="0" applyBorder="0" applyAlignment="0" applyProtection="0">
      <alignment vertical="center"/>
    </xf>
    <xf numFmtId="0" fontId="101" fillId="4" borderId="0" applyNumberFormat="0" applyBorder="0" applyAlignment="0" applyProtection="0">
      <alignment vertical="center"/>
    </xf>
    <xf numFmtId="0" fontId="101" fillId="3" borderId="0" applyNumberFormat="0" applyBorder="0" applyAlignment="0" applyProtection="0">
      <alignment vertical="center"/>
    </xf>
    <xf numFmtId="0" fontId="101" fillId="42" borderId="0" applyNumberFormat="0" applyBorder="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102" fillId="15" borderId="0" applyNumberFormat="0" applyBorder="0" applyAlignment="0" applyProtection="0">
      <alignment vertical="center"/>
    </xf>
    <xf numFmtId="0" fontId="102" fillId="57" borderId="0" applyNumberFormat="0" applyBorder="0" applyAlignment="0" applyProtection="0">
      <alignment vertical="center"/>
    </xf>
    <xf numFmtId="0" fontId="102" fillId="10" borderId="0" applyNumberFormat="0" applyBorder="0" applyAlignment="0" applyProtection="0">
      <alignment vertical="center"/>
    </xf>
    <xf numFmtId="0" fontId="101" fillId="10" borderId="0" applyNumberFormat="0" applyBorder="0" applyAlignment="0" applyProtection="0">
      <alignment vertical="center"/>
    </xf>
    <xf numFmtId="0" fontId="101" fillId="44" borderId="0" applyNumberFormat="0" applyBorder="0" applyAlignment="0" applyProtection="0">
      <alignment vertical="center"/>
    </xf>
    <xf numFmtId="0" fontId="101" fillId="4" borderId="0" applyNumberFormat="0" applyBorder="0" applyAlignment="0" applyProtection="0">
      <alignment vertical="center"/>
    </xf>
    <xf numFmtId="0" fontId="101" fillId="3"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2" borderId="0" applyNumberFormat="0" applyBorder="0" applyAlignment="0" applyProtection="0">
      <alignment vertical="center"/>
    </xf>
    <xf numFmtId="0" fontId="101" fillId="2" borderId="0" applyNumberFormat="0" applyBorder="0" applyAlignment="0" applyProtection="0">
      <alignment vertical="center"/>
    </xf>
    <xf numFmtId="0" fontId="101" fillId="2" borderId="0" applyNumberFormat="0" applyBorder="0" applyAlignment="0" applyProtection="0">
      <alignment vertical="center"/>
    </xf>
    <xf numFmtId="0" fontId="101" fillId="2" borderId="0" applyNumberFormat="0" applyBorder="0" applyAlignment="0" applyProtection="0">
      <alignment vertical="center"/>
    </xf>
    <xf numFmtId="0" fontId="101" fillId="2" borderId="0" applyNumberFormat="0" applyBorder="0" applyAlignment="0" applyProtection="0">
      <alignment vertical="center"/>
    </xf>
    <xf numFmtId="0" fontId="101" fillId="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101" fillId="5" borderId="0" applyNumberFormat="0" applyBorder="0" applyAlignment="0" applyProtection="0">
      <alignment vertical="center"/>
    </xf>
    <xf numFmtId="0" fontId="101" fillId="5" borderId="0" applyNumberFormat="0" applyBorder="0" applyAlignment="0" applyProtection="0">
      <alignment vertical="center"/>
    </xf>
    <xf numFmtId="0" fontId="101" fillId="5"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3" borderId="0" applyNumberFormat="0" applyBorder="0" applyAlignment="0" applyProtection="0">
      <alignment vertical="center"/>
    </xf>
    <xf numFmtId="0" fontId="101" fillId="3" borderId="0" applyNumberFormat="0" applyBorder="0" applyAlignment="0" applyProtection="0">
      <alignment vertical="center"/>
    </xf>
    <xf numFmtId="0" fontId="101" fillId="3" borderId="0" applyNumberFormat="0" applyBorder="0" applyAlignment="0" applyProtection="0">
      <alignment vertical="center"/>
    </xf>
    <xf numFmtId="0" fontId="101" fillId="3" borderId="0" applyNumberFormat="0" applyBorder="0" applyAlignment="0" applyProtection="0">
      <alignment vertical="center"/>
    </xf>
    <xf numFmtId="0" fontId="101" fillId="3" borderId="0" applyNumberFormat="0" applyBorder="0" applyAlignment="0" applyProtection="0">
      <alignment vertical="center"/>
    </xf>
    <xf numFmtId="0" fontId="101" fillId="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 borderId="0" applyNumberFormat="0" applyBorder="0" applyAlignment="0" applyProtection="0">
      <alignment vertical="center"/>
    </xf>
    <xf numFmtId="0" fontId="101" fillId="4" borderId="0" applyNumberFormat="0" applyBorder="0" applyAlignment="0" applyProtection="0">
      <alignment vertical="center"/>
    </xf>
    <xf numFmtId="0" fontId="101" fillId="4" borderId="0" applyNumberFormat="0" applyBorder="0" applyAlignment="0" applyProtection="0">
      <alignment vertical="center"/>
    </xf>
    <xf numFmtId="0" fontId="101" fillId="4" borderId="0" applyNumberFormat="0" applyBorder="0" applyAlignment="0" applyProtection="0">
      <alignment vertical="center"/>
    </xf>
    <xf numFmtId="0" fontId="101" fillId="4" borderId="0" applyNumberFormat="0" applyBorder="0" applyAlignment="0" applyProtection="0">
      <alignment vertical="center"/>
    </xf>
    <xf numFmtId="0" fontId="101" fillId="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5" borderId="0" applyNumberFormat="0" applyBorder="0" applyAlignment="0" applyProtection="0">
      <alignment vertical="center"/>
    </xf>
    <xf numFmtId="0" fontId="101" fillId="5" borderId="0" applyNumberFormat="0" applyBorder="0" applyAlignment="0" applyProtection="0">
      <alignment vertical="center"/>
    </xf>
    <xf numFmtId="0" fontId="101" fillId="5" borderId="0" applyNumberFormat="0" applyBorder="0" applyAlignment="0" applyProtection="0">
      <alignment vertical="center"/>
    </xf>
    <xf numFmtId="0" fontId="101" fillId="5" borderId="0" applyNumberFormat="0" applyBorder="0" applyAlignment="0" applyProtection="0">
      <alignment vertical="center"/>
    </xf>
    <xf numFmtId="0" fontId="101" fillId="5" borderId="0" applyNumberFormat="0" applyBorder="0" applyAlignment="0" applyProtection="0">
      <alignment vertical="center"/>
    </xf>
    <xf numFmtId="0" fontId="101" fillId="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101" fillId="46" borderId="0" applyNumberFormat="0" applyBorder="0" applyAlignment="0" applyProtection="0">
      <alignment vertical="center"/>
    </xf>
    <xf numFmtId="0" fontId="101" fillId="4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101" fillId="47" borderId="0" applyNumberFormat="0" applyBorder="0" applyAlignment="0" applyProtection="0">
      <alignment vertical="center"/>
    </xf>
    <xf numFmtId="0" fontId="101" fillId="4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101" fillId="48" borderId="0" applyNumberFormat="0" applyBorder="0" applyAlignment="0" applyProtection="0">
      <alignment vertical="center"/>
    </xf>
    <xf numFmtId="0" fontId="101" fillId="4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101" fillId="49" borderId="0" applyNumberFormat="0" applyBorder="0" applyAlignment="0" applyProtection="0">
      <alignment vertical="center"/>
    </xf>
    <xf numFmtId="0" fontId="101" fillId="4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10" borderId="0" applyNumberFormat="0" applyBorder="0" applyAlignment="0" applyProtection="0">
      <alignment vertical="center"/>
    </xf>
    <xf numFmtId="0" fontId="101" fillId="10" borderId="0" applyNumberFormat="0" applyBorder="0" applyAlignment="0" applyProtection="0">
      <alignment vertical="center"/>
    </xf>
    <xf numFmtId="0" fontId="101" fillId="10" borderId="0" applyNumberFormat="0" applyBorder="0" applyAlignment="0" applyProtection="0">
      <alignment vertical="center"/>
    </xf>
    <xf numFmtId="0" fontId="101" fillId="10" borderId="0" applyNumberFormat="0" applyBorder="0" applyAlignment="0" applyProtection="0">
      <alignment vertical="center"/>
    </xf>
    <xf numFmtId="0" fontId="101" fillId="10" borderId="0" applyNumberFormat="0" applyBorder="0" applyAlignment="0" applyProtection="0">
      <alignment vertical="center"/>
    </xf>
    <xf numFmtId="0" fontId="101" fillId="1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83" fillId="10"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2"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102" fillId="15" borderId="0" applyNumberFormat="0" applyBorder="0" applyAlignment="0" applyProtection="0">
      <alignment vertical="center"/>
    </xf>
    <xf numFmtId="0" fontId="102" fillId="57"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101" fillId="51" borderId="0" applyNumberFormat="0" applyBorder="0" applyAlignment="0" applyProtection="0">
      <alignment vertical="center"/>
    </xf>
    <xf numFmtId="0" fontId="101" fillId="51"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101" fillId="4" borderId="0" applyNumberFormat="0" applyBorder="0" applyAlignment="0" applyProtection="0">
      <alignment vertical="center"/>
    </xf>
    <xf numFmtId="0" fontId="83" fillId="8" borderId="0" applyNumberFormat="0" applyBorder="0" applyAlignment="0" applyProtection="0">
      <alignment vertical="center"/>
    </xf>
    <xf numFmtId="0" fontId="101" fillId="52" borderId="0" applyNumberFormat="0" applyBorder="0" applyAlignment="0" applyProtection="0">
      <alignment vertical="center"/>
    </xf>
    <xf numFmtId="0" fontId="101" fillId="52"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101" fillId="3"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101" fillId="2"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23" borderId="9" applyNumberFormat="0" applyFont="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8" borderId="0" applyNumberFormat="0" applyBorder="0" applyAlignment="0" applyProtection="0">
      <alignment vertical="center"/>
    </xf>
    <xf numFmtId="0" fontId="83" fillId="5" borderId="0" applyNumberFormat="0" applyBorder="0" applyAlignment="0" applyProtection="0">
      <alignment vertical="center"/>
    </xf>
    <xf numFmtId="0" fontId="83" fillId="11"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101" fillId="53" borderId="0" applyNumberFormat="0" applyBorder="0" applyAlignment="0" applyProtection="0">
      <alignment vertical="center"/>
    </xf>
    <xf numFmtId="0" fontId="101" fillId="53"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9" borderId="0" applyNumberFormat="0" applyBorder="0" applyAlignment="0" applyProtection="0">
      <alignment vertical="center"/>
    </xf>
    <xf numFmtId="0" fontId="83" fillId="11"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11"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7" borderId="0" applyNumberFormat="0" applyBorder="0" applyAlignment="0" applyProtection="0">
      <alignment vertical="center"/>
    </xf>
    <xf numFmtId="0" fontId="83" fillId="6"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5"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102" fillId="54" borderId="0" applyNumberFormat="0" applyBorder="0" applyAlignment="0" applyProtection="0">
      <alignment vertical="center"/>
    </xf>
    <xf numFmtId="0" fontId="102" fillId="54" borderId="0" applyNumberFormat="0" applyBorder="0" applyAlignment="0" applyProtection="0">
      <alignment vertical="center"/>
    </xf>
    <xf numFmtId="0" fontId="84" fillId="12" borderId="0" applyNumberFormat="0" applyBorder="0" applyAlignment="0" applyProtection="0">
      <alignment vertical="center"/>
    </xf>
    <xf numFmtId="0" fontId="84" fillId="12" borderId="0" applyNumberFormat="0" applyBorder="0" applyAlignment="0" applyProtection="0">
      <alignment vertical="center"/>
    </xf>
    <xf numFmtId="0" fontId="84" fillId="12" borderId="0" applyNumberFormat="0" applyBorder="0" applyAlignment="0" applyProtection="0">
      <alignment vertical="center"/>
    </xf>
    <xf numFmtId="0" fontId="84" fillId="12" borderId="0" applyNumberFormat="0" applyBorder="0" applyAlignment="0" applyProtection="0">
      <alignment vertical="center"/>
    </xf>
    <xf numFmtId="0" fontId="84" fillId="12" borderId="0" applyNumberFormat="0" applyBorder="0" applyAlignment="0" applyProtection="0">
      <alignment vertical="center"/>
    </xf>
    <xf numFmtId="0" fontId="84" fillId="12" borderId="0" applyNumberFormat="0" applyBorder="0" applyAlignment="0" applyProtection="0">
      <alignment vertical="center"/>
    </xf>
    <xf numFmtId="0" fontId="102" fillId="55" borderId="0" applyNumberFormat="0" applyBorder="0" applyAlignment="0" applyProtection="0">
      <alignment vertical="center"/>
    </xf>
    <xf numFmtId="0" fontId="102" fillId="55" borderId="0" applyNumberFormat="0" applyBorder="0" applyAlignment="0" applyProtection="0">
      <alignment vertical="center"/>
    </xf>
    <xf numFmtId="0" fontId="84" fillId="9" borderId="0" applyNumberFormat="0" applyBorder="0" applyAlignment="0" applyProtection="0">
      <alignment vertical="center"/>
    </xf>
    <xf numFmtId="0" fontId="84" fillId="9" borderId="0" applyNumberFormat="0" applyBorder="0" applyAlignment="0" applyProtection="0">
      <alignment vertical="center"/>
    </xf>
    <xf numFmtId="0" fontId="84" fillId="9" borderId="0" applyNumberFormat="0" applyBorder="0" applyAlignment="0" applyProtection="0">
      <alignment vertical="center"/>
    </xf>
    <xf numFmtId="0" fontId="84" fillId="9" borderId="0" applyNumberFormat="0" applyBorder="0" applyAlignment="0" applyProtection="0">
      <alignment vertical="center"/>
    </xf>
    <xf numFmtId="0" fontId="84" fillId="9" borderId="0" applyNumberFormat="0" applyBorder="0" applyAlignment="0" applyProtection="0">
      <alignment vertical="center"/>
    </xf>
    <xf numFmtId="0" fontId="84" fillId="9"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84" fillId="10" borderId="0" applyNumberFormat="0" applyBorder="0" applyAlignment="0" applyProtection="0">
      <alignment vertical="center"/>
    </xf>
    <xf numFmtId="0" fontId="84" fillId="10" borderId="0" applyNumberFormat="0" applyBorder="0" applyAlignment="0" applyProtection="0">
      <alignment vertical="center"/>
    </xf>
    <xf numFmtId="0" fontId="84" fillId="10" borderId="0" applyNumberFormat="0" applyBorder="0" applyAlignment="0" applyProtection="0">
      <alignment vertical="center"/>
    </xf>
    <xf numFmtId="0" fontId="84" fillId="10" borderId="0" applyNumberFormat="0" applyBorder="0" applyAlignment="0" applyProtection="0">
      <alignment vertical="center"/>
    </xf>
    <xf numFmtId="0" fontId="84" fillId="10" borderId="0" applyNumberFormat="0" applyBorder="0" applyAlignment="0" applyProtection="0">
      <alignment vertical="center"/>
    </xf>
    <xf numFmtId="0" fontId="84" fillId="10"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13" borderId="0" applyNumberFormat="0" applyBorder="0" applyAlignment="0" applyProtection="0">
      <alignment vertical="center"/>
    </xf>
    <xf numFmtId="0" fontId="102" fillId="13" borderId="0" applyNumberFormat="0" applyBorder="0" applyAlignment="0" applyProtection="0">
      <alignment vertical="center"/>
    </xf>
    <xf numFmtId="0" fontId="102" fillId="13" borderId="0" applyNumberFormat="0" applyBorder="0" applyAlignment="0" applyProtection="0">
      <alignment vertical="center"/>
    </xf>
    <xf numFmtId="0" fontId="102" fillId="13" borderId="0" applyNumberFormat="0" applyBorder="0" applyAlignment="0" applyProtection="0">
      <alignment vertical="center"/>
    </xf>
    <xf numFmtId="0" fontId="102" fillId="13" borderId="0" applyNumberFormat="0" applyBorder="0" applyAlignment="0" applyProtection="0">
      <alignment vertical="center"/>
    </xf>
    <xf numFmtId="0" fontId="102" fillId="13"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84" fillId="13" borderId="0" applyNumberFormat="0" applyBorder="0" applyAlignment="0" applyProtection="0">
      <alignment vertical="center"/>
    </xf>
    <xf numFmtId="0" fontId="84" fillId="13" borderId="0" applyNumberFormat="0" applyBorder="0" applyAlignment="0" applyProtection="0">
      <alignment vertical="center"/>
    </xf>
    <xf numFmtId="0" fontId="84" fillId="13" borderId="0" applyNumberFormat="0" applyBorder="0" applyAlignment="0" applyProtection="0">
      <alignment vertical="center"/>
    </xf>
    <xf numFmtId="0" fontId="84" fillId="13" borderId="0" applyNumberFormat="0" applyBorder="0" applyAlignment="0" applyProtection="0">
      <alignment vertical="center"/>
    </xf>
    <xf numFmtId="0" fontId="84" fillId="13" borderId="0" applyNumberFormat="0" applyBorder="0" applyAlignment="0" applyProtection="0">
      <alignment vertical="center"/>
    </xf>
    <xf numFmtId="0" fontId="84" fillId="13" borderId="0" applyNumberFormat="0" applyBorder="0" applyAlignment="0" applyProtection="0">
      <alignment vertical="center"/>
    </xf>
    <xf numFmtId="0" fontId="102" fillId="58" borderId="0" applyNumberFormat="0" applyBorder="0" applyAlignment="0" applyProtection="0">
      <alignment vertical="center"/>
    </xf>
    <xf numFmtId="0" fontId="102" fillId="58" borderId="0" applyNumberFormat="0" applyBorder="0" applyAlignment="0" applyProtection="0">
      <alignment vertical="center"/>
    </xf>
    <xf numFmtId="0" fontId="84" fillId="14" borderId="0" applyNumberFormat="0" applyBorder="0" applyAlignment="0" applyProtection="0">
      <alignment vertical="center"/>
    </xf>
    <xf numFmtId="0" fontId="84" fillId="14" borderId="0" applyNumberFormat="0" applyBorder="0" applyAlignment="0" applyProtection="0">
      <alignment vertical="center"/>
    </xf>
    <xf numFmtId="0" fontId="84" fillId="14" borderId="0" applyNumberFormat="0" applyBorder="0" applyAlignment="0" applyProtection="0">
      <alignment vertical="center"/>
    </xf>
    <xf numFmtId="0" fontId="84" fillId="14" borderId="0" applyNumberFormat="0" applyBorder="0" applyAlignment="0" applyProtection="0">
      <alignment vertical="center"/>
    </xf>
    <xf numFmtId="0" fontId="84" fillId="14" borderId="0" applyNumberFormat="0" applyBorder="0" applyAlignment="0" applyProtection="0">
      <alignment vertical="center"/>
    </xf>
    <xf numFmtId="0" fontId="84" fillId="14"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15" borderId="0" applyNumberFormat="0" applyBorder="0" applyAlignment="0" applyProtection="0">
      <alignment vertical="center"/>
    </xf>
    <xf numFmtId="0" fontId="102" fillId="15" borderId="0" applyNumberFormat="0" applyBorder="0" applyAlignment="0" applyProtection="0">
      <alignment vertical="center"/>
    </xf>
    <xf numFmtId="0" fontId="102" fillId="15" borderId="0" applyNumberFormat="0" applyBorder="0" applyAlignment="0" applyProtection="0">
      <alignment vertical="center"/>
    </xf>
    <xf numFmtId="0" fontId="102" fillId="15" borderId="0" applyNumberFormat="0" applyBorder="0" applyAlignment="0" applyProtection="0">
      <alignment vertical="center"/>
    </xf>
    <xf numFmtId="0" fontId="102" fillId="15" borderId="0" applyNumberFormat="0" applyBorder="0" applyAlignment="0" applyProtection="0">
      <alignment vertical="center"/>
    </xf>
    <xf numFmtId="0" fontId="102" fillId="15"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84" fillId="15" borderId="0" applyNumberFormat="0" applyBorder="0" applyAlignment="0" applyProtection="0">
      <alignment vertical="center"/>
    </xf>
    <xf numFmtId="0" fontId="84" fillId="15" borderId="0" applyNumberFormat="0" applyBorder="0" applyAlignment="0" applyProtection="0">
      <alignment vertical="center"/>
    </xf>
    <xf numFmtId="0" fontId="84" fillId="15" borderId="0" applyNumberFormat="0" applyBorder="0" applyAlignment="0" applyProtection="0">
      <alignment vertical="center"/>
    </xf>
    <xf numFmtId="0" fontId="84" fillId="15" borderId="0" applyNumberFormat="0" applyBorder="0" applyAlignment="0" applyProtection="0">
      <alignment vertical="center"/>
    </xf>
    <xf numFmtId="0" fontId="84" fillId="15" borderId="0" applyNumberFormat="0" applyBorder="0" applyAlignment="0" applyProtection="0">
      <alignment vertical="center"/>
    </xf>
    <xf numFmtId="0" fontId="84" fillId="15" borderId="0" applyNumberFormat="0" applyBorder="0" applyAlignment="0" applyProtection="0">
      <alignment vertical="center"/>
    </xf>
    <xf numFmtId="0" fontId="103" fillId="0" borderId="19" applyNumberFormat="0" applyFill="0" applyAlignment="0" applyProtection="0">
      <alignment vertical="center"/>
    </xf>
    <xf numFmtId="0" fontId="103" fillId="0" borderId="19" applyNumberFormat="0" applyFill="0" applyAlignment="0" applyProtection="0">
      <alignment vertical="center"/>
    </xf>
    <xf numFmtId="0" fontId="86" fillId="0" borderId="1" applyNumberFormat="0" applyFill="0" applyAlignment="0" applyProtection="0">
      <alignment vertical="center"/>
    </xf>
    <xf numFmtId="0" fontId="86" fillId="0" borderId="1" applyNumberFormat="0" applyFill="0" applyAlignment="0" applyProtection="0">
      <alignment vertical="center"/>
    </xf>
    <xf numFmtId="0" fontId="86" fillId="0" borderId="1" applyNumberFormat="0" applyFill="0" applyAlignment="0" applyProtection="0">
      <alignment vertical="center"/>
    </xf>
    <xf numFmtId="0" fontId="86" fillId="0" borderId="1" applyNumberFormat="0" applyFill="0" applyAlignment="0" applyProtection="0">
      <alignment vertical="center"/>
    </xf>
    <xf numFmtId="0" fontId="86" fillId="0" borderId="1" applyNumberFormat="0" applyFill="0" applyAlignment="0" applyProtection="0">
      <alignment vertical="center"/>
    </xf>
    <xf numFmtId="0" fontId="86" fillId="0" borderId="1" applyNumberFormat="0" applyFill="0" applyAlignment="0" applyProtection="0">
      <alignment vertical="center"/>
    </xf>
    <xf numFmtId="0" fontId="104" fillId="0" borderId="20" applyNumberFormat="0" applyFill="0" applyAlignment="0" applyProtection="0">
      <alignment vertical="center"/>
    </xf>
    <xf numFmtId="0" fontId="104" fillId="0" borderId="20" applyNumberFormat="0" applyFill="0" applyAlignment="0" applyProtection="0">
      <alignment vertical="center"/>
    </xf>
    <xf numFmtId="0" fontId="87" fillId="0" borderId="2" applyNumberFormat="0" applyFill="0" applyAlignment="0" applyProtection="0">
      <alignment vertical="center"/>
    </xf>
    <xf numFmtId="0" fontId="87" fillId="0" borderId="2" applyNumberFormat="0" applyFill="0" applyAlignment="0" applyProtection="0">
      <alignment vertical="center"/>
    </xf>
    <xf numFmtId="0" fontId="87" fillId="0" borderId="2" applyNumberFormat="0" applyFill="0" applyAlignment="0" applyProtection="0">
      <alignment vertical="center"/>
    </xf>
    <xf numFmtId="0" fontId="87" fillId="0" borderId="2" applyNumberFormat="0" applyFill="0" applyAlignment="0" applyProtection="0">
      <alignment vertical="center"/>
    </xf>
    <xf numFmtId="0" fontId="87" fillId="0" borderId="2" applyNumberFormat="0" applyFill="0" applyAlignment="0" applyProtection="0">
      <alignment vertical="center"/>
    </xf>
    <xf numFmtId="0" fontId="87" fillId="0" borderId="2" applyNumberFormat="0" applyFill="0" applyAlignment="0" applyProtection="0">
      <alignment vertical="center"/>
    </xf>
    <xf numFmtId="0" fontId="105" fillId="0" borderId="21" applyNumberFormat="0" applyFill="0" applyAlignment="0" applyProtection="0">
      <alignment vertical="center"/>
    </xf>
    <xf numFmtId="0" fontId="105" fillId="0" borderId="21" applyNumberFormat="0" applyFill="0" applyAlignment="0" applyProtection="0">
      <alignment vertical="center"/>
    </xf>
    <xf numFmtId="0" fontId="88" fillId="0" borderId="3" applyNumberFormat="0" applyFill="0" applyAlignment="0" applyProtection="0">
      <alignment vertical="center"/>
    </xf>
    <xf numFmtId="0" fontId="88" fillId="0" borderId="3" applyNumberFormat="0" applyFill="0" applyAlignment="0" applyProtection="0">
      <alignment vertical="center"/>
    </xf>
    <xf numFmtId="0" fontId="88" fillId="0" borderId="3" applyNumberFormat="0" applyFill="0" applyAlignment="0" applyProtection="0">
      <alignment vertical="center"/>
    </xf>
    <xf numFmtId="0" fontId="88" fillId="0" borderId="3" applyNumberFormat="0" applyFill="0" applyAlignment="0" applyProtection="0">
      <alignment vertical="center"/>
    </xf>
    <xf numFmtId="0" fontId="88" fillId="0" borderId="3" applyNumberFormat="0" applyFill="0" applyAlignment="0" applyProtection="0">
      <alignment vertical="center"/>
    </xf>
    <xf numFmtId="0" fontId="88" fillId="0" borderId="3" applyNumberFormat="0" applyFill="0" applyAlignment="0" applyProtection="0">
      <alignment vertical="center"/>
    </xf>
    <xf numFmtId="0" fontId="105" fillId="0" borderId="0" applyNumberFormat="0" applyFill="0" applyBorder="0" applyAlignment="0" applyProtection="0">
      <alignment vertical="center"/>
    </xf>
    <xf numFmtId="0" fontId="105"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106" fillId="0" borderId="0" applyNumberFormat="0" applyFill="0" applyBorder="0" applyAlignment="0" applyProtection="0">
      <alignment vertical="center"/>
    </xf>
    <xf numFmtId="0" fontId="106" fillId="0" borderId="0" applyNumberFormat="0" applyFill="0" applyBorder="0" applyAlignment="0" applyProtection="0">
      <alignment vertical="center"/>
    </xf>
    <xf numFmtId="0" fontId="85" fillId="0" borderId="0" applyNumberFormat="0" applyFill="0" applyBorder="0" applyAlignment="0" applyProtection="0">
      <alignment vertical="center"/>
    </xf>
    <xf numFmtId="0" fontId="85" fillId="0" borderId="0" applyNumberFormat="0" applyFill="0" applyBorder="0" applyAlignment="0" applyProtection="0">
      <alignment vertical="center"/>
    </xf>
    <xf numFmtId="0" fontId="85" fillId="0" borderId="0" applyNumberFormat="0" applyFill="0" applyBorder="0" applyAlignment="0" applyProtection="0">
      <alignment vertical="center"/>
    </xf>
    <xf numFmtId="0" fontId="85" fillId="0" borderId="0" applyNumberFormat="0" applyFill="0" applyBorder="0" applyAlignment="0" applyProtection="0">
      <alignment vertical="center"/>
    </xf>
    <xf numFmtId="0" fontId="85" fillId="0" borderId="0" applyNumberFormat="0" applyFill="0" applyBorder="0" applyAlignment="0" applyProtection="0">
      <alignment vertical="center"/>
    </xf>
    <xf numFmtId="0" fontId="85" fillId="0" borderId="0" applyNumberFormat="0" applyFill="0" applyBorder="0" applyAlignment="0" applyProtection="0">
      <alignment vertical="center"/>
    </xf>
    <xf numFmtId="0" fontId="107" fillId="60" borderId="0" applyNumberFormat="0" applyBorder="0" applyAlignment="0" applyProtection="0">
      <alignment vertical="center"/>
    </xf>
    <xf numFmtId="0" fontId="107" fillId="60" borderId="0" applyNumberFormat="0" applyBorder="0" applyAlignment="0" applyProtection="0">
      <alignment vertical="center"/>
    </xf>
    <xf numFmtId="0" fontId="89" fillId="3" borderId="0" applyNumberFormat="0" applyBorder="0" applyAlignment="0" applyProtection="0">
      <alignment vertical="center"/>
    </xf>
    <xf numFmtId="0" fontId="89" fillId="3" borderId="0" applyNumberFormat="0" applyBorder="0" applyAlignment="0" applyProtection="0">
      <alignment vertical="center"/>
    </xf>
    <xf numFmtId="0" fontId="89" fillId="3" borderId="0" applyNumberFormat="0" applyBorder="0" applyAlignment="0" applyProtection="0">
      <alignment vertical="center"/>
    </xf>
    <xf numFmtId="0" fontId="89" fillId="3" borderId="0" applyNumberFormat="0" applyBorder="0" applyAlignment="0" applyProtection="0">
      <alignment vertical="center"/>
    </xf>
    <xf numFmtId="0" fontId="89" fillId="3" borderId="0" applyNumberFormat="0" applyBorder="0" applyAlignment="0" applyProtection="0">
      <alignment vertical="center"/>
    </xf>
    <xf numFmtId="0" fontId="89" fillId="3" borderId="0" applyNumberFormat="0" applyBorder="0" applyAlignment="0" applyProtection="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101" fillId="0" borderId="0">
      <alignment vertical="center"/>
    </xf>
    <xf numFmtId="0" fontId="101" fillId="0" borderId="0">
      <alignment vertical="center"/>
    </xf>
    <xf numFmtId="0" fontId="82" fillId="0" borderId="0">
      <alignment vertical="center"/>
    </xf>
    <xf numFmtId="0" fontId="82" fillId="0" borderId="0">
      <alignment vertical="center"/>
    </xf>
    <xf numFmtId="0" fontId="82" fillId="0" borderId="0">
      <alignment vertical="center"/>
    </xf>
    <xf numFmtId="0" fontId="108" fillId="61" borderId="0" applyNumberFormat="0" applyBorder="0" applyAlignment="0" applyProtection="0">
      <alignment vertical="center"/>
    </xf>
    <xf numFmtId="0" fontId="108" fillId="61" borderId="0" applyNumberFormat="0" applyBorder="0" applyAlignment="0" applyProtection="0">
      <alignment vertical="center"/>
    </xf>
    <xf numFmtId="0" fontId="90" fillId="4" borderId="0" applyNumberFormat="0" applyBorder="0" applyAlignment="0" applyProtection="0">
      <alignment vertical="center"/>
    </xf>
    <xf numFmtId="0" fontId="90" fillId="4" borderId="0" applyNumberFormat="0" applyBorder="0" applyAlignment="0" applyProtection="0">
      <alignment vertical="center"/>
    </xf>
    <xf numFmtId="0" fontId="90" fillId="4" borderId="0" applyNumberFormat="0" applyBorder="0" applyAlignment="0" applyProtection="0">
      <alignment vertical="center"/>
    </xf>
    <xf numFmtId="0" fontId="90" fillId="4" borderId="0" applyNumberFormat="0" applyBorder="0" applyAlignment="0" applyProtection="0">
      <alignment vertical="center"/>
    </xf>
    <xf numFmtId="0" fontId="90" fillId="4" borderId="0" applyNumberFormat="0" applyBorder="0" applyAlignment="0" applyProtection="0">
      <alignment vertical="center"/>
    </xf>
    <xf numFmtId="0" fontId="90" fillId="4" borderId="0" applyNumberFormat="0" applyBorder="0" applyAlignment="0" applyProtection="0">
      <alignment vertical="center"/>
    </xf>
    <xf numFmtId="0" fontId="109" fillId="0" borderId="22" applyNumberFormat="0" applyFill="0" applyAlignment="0" applyProtection="0">
      <alignment vertical="center"/>
    </xf>
    <xf numFmtId="0" fontId="109" fillId="0" borderId="22" applyNumberFormat="0" applyFill="0" applyAlignment="0" applyProtection="0">
      <alignment vertical="center"/>
    </xf>
    <xf numFmtId="0" fontId="91" fillId="0" borderId="4" applyNumberFormat="0" applyFill="0" applyAlignment="0" applyProtection="0">
      <alignment vertical="center"/>
    </xf>
    <xf numFmtId="0" fontId="91" fillId="0" borderId="4" applyNumberFormat="0" applyFill="0" applyAlignment="0" applyProtection="0">
      <alignment vertical="center"/>
    </xf>
    <xf numFmtId="0" fontId="91" fillId="0" borderId="4" applyNumberFormat="0" applyFill="0" applyAlignment="0" applyProtection="0">
      <alignment vertical="center"/>
    </xf>
    <xf numFmtId="0" fontId="91" fillId="0" borderId="4" applyNumberFormat="0" applyFill="0" applyAlignment="0" applyProtection="0">
      <alignment vertical="center"/>
    </xf>
    <xf numFmtId="0" fontId="91" fillId="0" borderId="4" applyNumberFormat="0" applyFill="0" applyAlignment="0" applyProtection="0">
      <alignment vertical="center"/>
    </xf>
    <xf numFmtId="0" fontId="91" fillId="0" borderId="4" applyNumberFormat="0" applyFill="0" applyAlignment="0" applyProtection="0">
      <alignment vertical="center"/>
    </xf>
    <xf numFmtId="0" fontId="110" fillId="62" borderId="23" applyNumberFormat="0" applyAlignment="0" applyProtection="0">
      <alignment vertical="center"/>
    </xf>
    <xf numFmtId="0" fontId="110" fillId="62" borderId="23" applyNumberFormat="0" applyAlignment="0" applyProtection="0">
      <alignment vertical="center"/>
    </xf>
    <xf numFmtId="0" fontId="92" fillId="16" borderId="5" applyNumberFormat="0" applyAlignment="0" applyProtection="0">
      <alignment vertical="center"/>
    </xf>
    <xf numFmtId="0" fontId="92" fillId="16" borderId="5" applyNumberFormat="0" applyAlignment="0" applyProtection="0">
      <alignment vertical="center"/>
    </xf>
    <xf numFmtId="0" fontId="92" fillId="16" borderId="5" applyNumberFormat="0" applyAlignment="0" applyProtection="0">
      <alignment vertical="center"/>
    </xf>
    <xf numFmtId="0" fontId="92" fillId="16" borderId="5" applyNumberFormat="0" applyAlignment="0" applyProtection="0">
      <alignment vertical="center"/>
    </xf>
    <xf numFmtId="0" fontId="92" fillId="16" borderId="5" applyNumberFormat="0" applyAlignment="0" applyProtection="0">
      <alignment vertical="center"/>
    </xf>
    <xf numFmtId="0" fontId="92" fillId="16" borderId="5" applyNumberFormat="0" applyAlignment="0" applyProtection="0">
      <alignment vertical="center"/>
    </xf>
    <xf numFmtId="0" fontId="111" fillId="63" borderId="24" applyNumberFormat="0" applyAlignment="0" applyProtection="0">
      <alignment vertical="center"/>
    </xf>
    <xf numFmtId="0" fontId="111" fillId="63" borderId="24" applyNumberFormat="0" applyAlignment="0" applyProtection="0">
      <alignment vertical="center"/>
    </xf>
    <xf numFmtId="0" fontId="93" fillId="17" borderId="6" applyNumberFormat="0" applyAlignment="0" applyProtection="0">
      <alignment vertical="center"/>
    </xf>
    <xf numFmtId="0" fontId="93" fillId="17" borderId="6" applyNumberFormat="0" applyAlignment="0" applyProtection="0">
      <alignment vertical="center"/>
    </xf>
    <xf numFmtId="0" fontId="93" fillId="17" borderId="6" applyNumberFormat="0" applyAlignment="0" applyProtection="0">
      <alignment vertical="center"/>
    </xf>
    <xf numFmtId="0" fontId="93" fillId="17" borderId="6" applyNumberFormat="0" applyAlignment="0" applyProtection="0">
      <alignment vertical="center"/>
    </xf>
    <xf numFmtId="0" fontId="93" fillId="17" borderId="6" applyNumberFormat="0" applyAlignment="0" applyProtection="0">
      <alignment vertical="center"/>
    </xf>
    <xf numFmtId="0" fontId="93" fillId="17" borderId="6" applyNumberFormat="0" applyAlignment="0" applyProtection="0">
      <alignment vertical="center"/>
    </xf>
    <xf numFmtId="0" fontId="112" fillId="0" borderId="0" applyNumberFormat="0" applyFill="0" applyBorder="0" applyAlignment="0" applyProtection="0">
      <alignment vertical="center"/>
    </xf>
    <xf numFmtId="0" fontId="112"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113" fillId="0" borderId="0" applyNumberFormat="0" applyFill="0" applyBorder="0" applyAlignment="0" applyProtection="0">
      <alignment vertical="center"/>
    </xf>
    <xf numFmtId="0" fontId="113"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114" fillId="0" borderId="25" applyNumberFormat="0" applyFill="0" applyAlignment="0" applyProtection="0">
      <alignment vertical="center"/>
    </xf>
    <xf numFmtId="0" fontId="114" fillId="0" borderId="25" applyNumberFormat="0" applyFill="0" applyAlignment="0" applyProtection="0">
      <alignment vertical="center"/>
    </xf>
    <xf numFmtId="0" fontId="96" fillId="0" borderId="7" applyNumberFormat="0" applyFill="0" applyAlignment="0" applyProtection="0">
      <alignment vertical="center"/>
    </xf>
    <xf numFmtId="0" fontId="96" fillId="0" borderId="7" applyNumberFormat="0" applyFill="0" applyAlignment="0" applyProtection="0">
      <alignment vertical="center"/>
    </xf>
    <xf numFmtId="0" fontId="96" fillId="0" borderId="7" applyNumberFormat="0" applyFill="0" applyAlignment="0" applyProtection="0">
      <alignment vertical="center"/>
    </xf>
    <xf numFmtId="0" fontId="96" fillId="0" borderId="7" applyNumberFormat="0" applyFill="0" applyAlignment="0" applyProtection="0">
      <alignment vertical="center"/>
    </xf>
    <xf numFmtId="0" fontId="96" fillId="0" borderId="7" applyNumberFormat="0" applyFill="0" applyAlignment="0" applyProtection="0">
      <alignment vertical="center"/>
    </xf>
    <xf numFmtId="0" fontId="96" fillId="0" borderId="7" applyNumberFormat="0" applyFill="0" applyAlignment="0" applyProtection="0">
      <alignment vertical="center"/>
    </xf>
    <xf numFmtId="0" fontId="102" fillId="64" borderId="0" applyNumberFormat="0" applyBorder="0" applyAlignment="0" applyProtection="0">
      <alignment vertical="center"/>
    </xf>
    <xf numFmtId="0" fontId="102" fillId="64" borderId="0" applyNumberFormat="0" applyBorder="0" applyAlignment="0" applyProtection="0">
      <alignment vertical="center"/>
    </xf>
    <xf numFmtId="0" fontId="84" fillId="18" borderId="0" applyNumberFormat="0" applyBorder="0" applyAlignment="0" applyProtection="0">
      <alignment vertical="center"/>
    </xf>
    <xf numFmtId="0" fontId="84" fillId="18" borderId="0" applyNumberFormat="0" applyBorder="0" applyAlignment="0" applyProtection="0">
      <alignment vertical="center"/>
    </xf>
    <xf numFmtId="0" fontId="84" fillId="18" borderId="0" applyNumberFormat="0" applyBorder="0" applyAlignment="0" applyProtection="0">
      <alignment vertical="center"/>
    </xf>
    <xf numFmtId="0" fontId="84" fillId="18" borderId="0" applyNumberFormat="0" applyBorder="0" applyAlignment="0" applyProtection="0">
      <alignment vertical="center"/>
    </xf>
    <xf numFmtId="0" fontId="84" fillId="18" borderId="0" applyNumberFormat="0" applyBorder="0" applyAlignment="0" applyProtection="0">
      <alignment vertical="center"/>
    </xf>
    <xf numFmtId="0" fontId="84" fillId="18" borderId="0" applyNumberFormat="0" applyBorder="0" applyAlignment="0" applyProtection="0">
      <alignment vertical="center"/>
    </xf>
    <xf numFmtId="0" fontId="102" fillId="65" borderId="0" applyNumberFormat="0" applyBorder="0" applyAlignment="0" applyProtection="0">
      <alignment vertical="center"/>
    </xf>
    <xf numFmtId="0" fontId="102" fillId="65" borderId="0" applyNumberFormat="0" applyBorder="0" applyAlignment="0" applyProtection="0">
      <alignment vertical="center"/>
    </xf>
    <xf numFmtId="0" fontId="84" fillId="19" borderId="0" applyNumberFormat="0" applyBorder="0" applyAlignment="0" applyProtection="0">
      <alignment vertical="center"/>
    </xf>
    <xf numFmtId="0" fontId="84" fillId="19" borderId="0" applyNumberFormat="0" applyBorder="0" applyAlignment="0" applyProtection="0">
      <alignment vertical="center"/>
    </xf>
    <xf numFmtId="0" fontId="84" fillId="19" borderId="0" applyNumberFormat="0" applyBorder="0" applyAlignment="0" applyProtection="0">
      <alignment vertical="center"/>
    </xf>
    <xf numFmtId="0" fontId="84" fillId="19" borderId="0" applyNumberFormat="0" applyBorder="0" applyAlignment="0" applyProtection="0">
      <alignment vertical="center"/>
    </xf>
    <xf numFmtId="0" fontId="84" fillId="19" borderId="0" applyNumberFormat="0" applyBorder="0" applyAlignment="0" applyProtection="0">
      <alignment vertical="center"/>
    </xf>
    <xf numFmtId="0" fontId="84" fillId="19" borderId="0" applyNumberFormat="0" applyBorder="0" applyAlignment="0" applyProtection="0">
      <alignment vertical="center"/>
    </xf>
    <xf numFmtId="0" fontId="102" fillId="66" borderId="0" applyNumberFormat="0" applyBorder="0" applyAlignment="0" applyProtection="0">
      <alignment vertical="center"/>
    </xf>
    <xf numFmtId="0" fontId="102" fillId="66" borderId="0" applyNumberFormat="0" applyBorder="0" applyAlignment="0" applyProtection="0">
      <alignment vertical="center"/>
    </xf>
    <xf numFmtId="0" fontId="84" fillId="20" borderId="0" applyNumberFormat="0" applyBorder="0" applyAlignment="0" applyProtection="0">
      <alignment vertical="center"/>
    </xf>
    <xf numFmtId="0" fontId="84" fillId="20" borderId="0" applyNumberFormat="0" applyBorder="0" applyAlignment="0" applyProtection="0">
      <alignment vertical="center"/>
    </xf>
    <xf numFmtId="0" fontId="84" fillId="20" borderId="0" applyNumberFormat="0" applyBorder="0" applyAlignment="0" applyProtection="0">
      <alignment vertical="center"/>
    </xf>
    <xf numFmtId="0" fontId="84" fillId="20" borderId="0" applyNumberFormat="0" applyBorder="0" applyAlignment="0" applyProtection="0">
      <alignment vertical="center"/>
    </xf>
    <xf numFmtId="0" fontId="84" fillId="20" borderId="0" applyNumberFormat="0" applyBorder="0" applyAlignment="0" applyProtection="0">
      <alignment vertical="center"/>
    </xf>
    <xf numFmtId="0" fontId="84" fillId="20" borderId="0" applyNumberFormat="0" applyBorder="0" applyAlignment="0" applyProtection="0">
      <alignment vertical="center"/>
    </xf>
    <xf numFmtId="0" fontId="102" fillId="67" borderId="0" applyNumberFormat="0" applyBorder="0" applyAlignment="0" applyProtection="0">
      <alignment vertical="center"/>
    </xf>
    <xf numFmtId="0" fontId="102" fillId="67" borderId="0" applyNumberFormat="0" applyBorder="0" applyAlignment="0" applyProtection="0">
      <alignment vertical="center"/>
    </xf>
    <xf numFmtId="0" fontId="84" fillId="13" borderId="0" applyNumberFormat="0" applyBorder="0" applyAlignment="0" applyProtection="0">
      <alignment vertical="center"/>
    </xf>
    <xf numFmtId="0" fontId="84" fillId="13" borderId="0" applyNumberFormat="0" applyBorder="0" applyAlignment="0" applyProtection="0">
      <alignment vertical="center"/>
    </xf>
    <xf numFmtId="0" fontId="84" fillId="13" borderId="0" applyNumberFormat="0" applyBorder="0" applyAlignment="0" applyProtection="0">
      <alignment vertical="center"/>
    </xf>
    <xf numFmtId="0" fontId="84" fillId="13" borderId="0" applyNumberFormat="0" applyBorder="0" applyAlignment="0" applyProtection="0">
      <alignment vertical="center"/>
    </xf>
    <xf numFmtId="0" fontId="84" fillId="13" borderId="0" applyNumberFormat="0" applyBorder="0" applyAlignment="0" applyProtection="0">
      <alignment vertical="center"/>
    </xf>
    <xf numFmtId="0" fontId="84" fillId="13" borderId="0" applyNumberFormat="0" applyBorder="0" applyAlignment="0" applyProtection="0">
      <alignment vertical="center"/>
    </xf>
    <xf numFmtId="0" fontId="102" fillId="68" borderId="0" applyNumberFormat="0" applyBorder="0" applyAlignment="0" applyProtection="0">
      <alignment vertical="center"/>
    </xf>
    <xf numFmtId="0" fontId="102" fillId="68" borderId="0" applyNumberFormat="0" applyBorder="0" applyAlignment="0" applyProtection="0">
      <alignment vertical="center"/>
    </xf>
    <xf numFmtId="0" fontId="84" fillId="14" borderId="0" applyNumberFormat="0" applyBorder="0" applyAlignment="0" applyProtection="0">
      <alignment vertical="center"/>
    </xf>
    <xf numFmtId="0" fontId="84" fillId="14" borderId="0" applyNumberFormat="0" applyBorder="0" applyAlignment="0" applyProtection="0">
      <alignment vertical="center"/>
    </xf>
    <xf numFmtId="0" fontId="84" fillId="14" borderId="0" applyNumberFormat="0" applyBorder="0" applyAlignment="0" applyProtection="0">
      <alignment vertical="center"/>
    </xf>
    <xf numFmtId="0" fontId="84" fillId="14" borderId="0" applyNumberFormat="0" applyBorder="0" applyAlignment="0" applyProtection="0">
      <alignment vertical="center"/>
    </xf>
    <xf numFmtId="0" fontId="84" fillId="14" borderId="0" applyNumberFormat="0" applyBorder="0" applyAlignment="0" applyProtection="0">
      <alignment vertical="center"/>
    </xf>
    <xf numFmtId="0" fontId="84" fillId="14" borderId="0" applyNumberFormat="0" applyBorder="0" applyAlignment="0" applyProtection="0">
      <alignment vertical="center"/>
    </xf>
    <xf numFmtId="0" fontId="102" fillId="69" borderId="0" applyNumberFormat="0" applyBorder="0" applyAlignment="0" applyProtection="0">
      <alignment vertical="center"/>
    </xf>
    <xf numFmtId="0" fontId="102" fillId="69" borderId="0" applyNumberFormat="0" applyBorder="0" applyAlignment="0" applyProtection="0">
      <alignment vertical="center"/>
    </xf>
    <xf numFmtId="0" fontId="84" fillId="21" borderId="0" applyNumberFormat="0" applyBorder="0" applyAlignment="0" applyProtection="0">
      <alignment vertical="center"/>
    </xf>
    <xf numFmtId="0" fontId="84" fillId="21" borderId="0" applyNumberFormat="0" applyBorder="0" applyAlignment="0" applyProtection="0">
      <alignment vertical="center"/>
    </xf>
    <xf numFmtId="0" fontId="84" fillId="21" borderId="0" applyNumberFormat="0" applyBorder="0" applyAlignment="0" applyProtection="0">
      <alignment vertical="center"/>
    </xf>
    <xf numFmtId="0" fontId="84" fillId="21" borderId="0" applyNumberFormat="0" applyBorder="0" applyAlignment="0" applyProtection="0">
      <alignment vertical="center"/>
    </xf>
    <xf numFmtId="0" fontId="84" fillId="21" borderId="0" applyNumberFormat="0" applyBorder="0" applyAlignment="0" applyProtection="0">
      <alignment vertical="center"/>
    </xf>
    <xf numFmtId="0" fontId="84" fillId="21" borderId="0" applyNumberFormat="0" applyBorder="0" applyAlignment="0" applyProtection="0">
      <alignment vertical="center"/>
    </xf>
    <xf numFmtId="0" fontId="115" fillId="70" borderId="0" applyNumberFormat="0" applyBorder="0" applyAlignment="0" applyProtection="0">
      <alignment vertical="center"/>
    </xf>
    <xf numFmtId="0" fontId="115" fillId="70" borderId="0" applyNumberFormat="0" applyBorder="0" applyAlignment="0" applyProtection="0">
      <alignment vertical="center"/>
    </xf>
    <xf numFmtId="0" fontId="97" fillId="22" borderId="0" applyNumberFormat="0" applyBorder="0" applyAlignment="0" applyProtection="0">
      <alignment vertical="center"/>
    </xf>
    <xf numFmtId="0" fontId="97" fillId="22" borderId="0" applyNumberFormat="0" applyBorder="0" applyAlignment="0" applyProtection="0">
      <alignment vertical="center"/>
    </xf>
    <xf numFmtId="0" fontId="97" fillId="22" borderId="0" applyNumberFormat="0" applyBorder="0" applyAlignment="0" applyProtection="0">
      <alignment vertical="center"/>
    </xf>
    <xf numFmtId="0" fontId="97" fillId="22" borderId="0" applyNumberFormat="0" applyBorder="0" applyAlignment="0" applyProtection="0">
      <alignment vertical="center"/>
    </xf>
    <xf numFmtId="0" fontId="97" fillId="22" borderId="0" applyNumberFormat="0" applyBorder="0" applyAlignment="0" applyProtection="0">
      <alignment vertical="center"/>
    </xf>
    <xf numFmtId="0" fontId="97" fillId="22" borderId="0" applyNumberFormat="0" applyBorder="0" applyAlignment="0" applyProtection="0">
      <alignment vertical="center"/>
    </xf>
    <xf numFmtId="0" fontId="116" fillId="62" borderId="26" applyNumberFormat="0" applyAlignment="0" applyProtection="0">
      <alignment vertical="center"/>
    </xf>
    <xf numFmtId="0" fontId="116" fillId="62" borderId="26" applyNumberFormat="0" applyAlignment="0" applyProtection="0">
      <alignment vertical="center"/>
    </xf>
    <xf numFmtId="0" fontId="98" fillId="16" borderId="8" applyNumberFormat="0" applyAlignment="0" applyProtection="0">
      <alignment vertical="center"/>
    </xf>
    <xf numFmtId="0" fontId="98" fillId="16" borderId="8" applyNumberFormat="0" applyAlignment="0" applyProtection="0">
      <alignment vertical="center"/>
    </xf>
    <xf numFmtId="0" fontId="98" fillId="16" borderId="8" applyNumberFormat="0" applyAlignment="0" applyProtection="0">
      <alignment vertical="center"/>
    </xf>
    <xf numFmtId="0" fontId="98" fillId="16" borderId="8" applyNumberFormat="0" applyAlignment="0" applyProtection="0">
      <alignment vertical="center"/>
    </xf>
    <xf numFmtId="0" fontId="98" fillId="16" borderId="8" applyNumberFormat="0" applyAlignment="0" applyProtection="0">
      <alignment vertical="center"/>
    </xf>
    <xf numFmtId="0" fontId="98" fillId="16" borderId="8" applyNumberFormat="0" applyAlignment="0" applyProtection="0">
      <alignment vertical="center"/>
    </xf>
    <xf numFmtId="0" fontId="117" fillId="71" borderId="23" applyNumberFormat="0" applyAlignment="0" applyProtection="0">
      <alignment vertical="center"/>
    </xf>
    <xf numFmtId="0" fontId="117" fillId="71" borderId="23" applyNumberFormat="0" applyAlignment="0" applyProtection="0">
      <alignment vertical="center"/>
    </xf>
    <xf numFmtId="0" fontId="99" fillId="7" borderId="5" applyNumberFormat="0" applyAlignment="0" applyProtection="0">
      <alignment vertical="center"/>
    </xf>
    <xf numFmtId="0" fontId="99" fillId="7" borderId="5" applyNumberFormat="0" applyAlignment="0" applyProtection="0">
      <alignment vertical="center"/>
    </xf>
    <xf numFmtId="0" fontId="99" fillId="7" borderId="5" applyNumberFormat="0" applyAlignment="0" applyProtection="0">
      <alignment vertical="center"/>
    </xf>
    <xf numFmtId="0" fontId="99" fillId="7" borderId="5" applyNumberFormat="0" applyAlignment="0" applyProtection="0">
      <alignment vertical="center"/>
    </xf>
    <xf numFmtId="0" fontId="99" fillId="7" borderId="5" applyNumberFormat="0" applyAlignment="0" applyProtection="0">
      <alignment vertical="center"/>
    </xf>
    <xf numFmtId="0" fontId="99" fillId="7" borderId="5" applyNumberForma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23" borderId="9" applyNumberFormat="0" applyFont="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 borderId="0" applyNumberFormat="0" applyBorder="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2" borderId="27" applyNumberFormat="0" applyFont="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6" borderId="0" applyNumberFormat="0" applyBorder="0" applyAlignment="0" applyProtection="0">
      <alignment vertical="center"/>
    </xf>
    <xf numFmtId="0" fontId="101" fillId="46" borderId="0" applyNumberFormat="0" applyBorder="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5" borderId="0" applyNumberFormat="0" applyBorder="0" applyAlignment="0" applyProtection="0">
      <alignment vertical="center"/>
    </xf>
    <xf numFmtId="0" fontId="83" fillId="72" borderId="27" applyNumberFormat="0" applyFont="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72" borderId="27" applyNumberFormat="0" applyFont="0" applyAlignment="0" applyProtection="0">
      <alignment vertical="center"/>
    </xf>
    <xf numFmtId="0" fontId="83" fillId="5" borderId="0" applyNumberFormat="0" applyBorder="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72" borderId="27" applyNumberFormat="0" applyFont="0" applyAlignment="0" applyProtection="0">
      <alignment vertical="center"/>
    </xf>
    <xf numFmtId="0" fontId="83" fillId="5" borderId="0" applyNumberFormat="0" applyBorder="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5" borderId="0" applyNumberFormat="0" applyBorder="0" applyAlignment="0" applyProtection="0">
      <alignment vertical="center"/>
    </xf>
    <xf numFmtId="0" fontId="101" fillId="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72" borderId="27" applyNumberFormat="0" applyFont="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72" borderId="27" applyNumberFormat="0" applyFont="0" applyAlignment="0" applyProtection="0">
      <alignment vertical="center"/>
    </xf>
    <xf numFmtId="0" fontId="83" fillId="23" borderId="9" applyNumberFormat="0" applyFont="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23" borderId="9" applyNumberFormat="0" applyFont="0" applyAlignment="0" applyProtection="0">
      <alignment vertical="center"/>
    </xf>
    <xf numFmtId="0" fontId="83" fillId="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83" fillId="23" borderId="9" applyNumberFormat="0" applyFont="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 borderId="0" applyNumberFormat="0" applyBorder="0" applyAlignment="0" applyProtection="0">
      <alignment vertical="center"/>
    </xf>
    <xf numFmtId="0" fontId="101" fillId="4" borderId="0" applyNumberFormat="0" applyBorder="0" applyAlignment="0" applyProtection="0">
      <alignment vertical="center"/>
    </xf>
    <xf numFmtId="0" fontId="101" fillId="4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3" borderId="0" applyNumberFormat="0" applyBorder="0" applyAlignment="0" applyProtection="0">
      <alignment vertical="center"/>
    </xf>
    <xf numFmtId="0" fontId="83" fillId="23" borderId="9" applyNumberFormat="0" applyFont="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83" fillId="23" borderId="9" applyNumberFormat="0" applyFont="0" applyAlignment="0" applyProtection="0">
      <alignment vertical="center"/>
    </xf>
    <xf numFmtId="0" fontId="101" fillId="3" borderId="0" applyNumberFormat="0" applyBorder="0" applyAlignment="0" applyProtection="0">
      <alignment vertical="center"/>
    </xf>
    <xf numFmtId="0" fontId="101" fillId="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83" fillId="23" borderId="9" applyNumberFormat="0" applyFont="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 borderId="0" applyNumberFormat="0" applyBorder="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101" fillId="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101" fillId="3" borderId="0" applyNumberFormat="0" applyBorder="0" applyAlignment="0" applyProtection="0">
      <alignment vertical="center"/>
    </xf>
    <xf numFmtId="0" fontId="83" fillId="3" borderId="0" applyNumberFormat="0" applyBorder="0" applyAlignment="0" applyProtection="0">
      <alignment vertical="center"/>
    </xf>
    <xf numFmtId="0" fontId="101" fillId="4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101" fillId="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101" fillId="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101" fillId="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101" fillId="10" borderId="0" applyNumberFormat="0" applyBorder="0" applyAlignment="0" applyProtection="0">
      <alignment vertical="center"/>
    </xf>
    <xf numFmtId="0" fontId="102" fillId="15" borderId="0" applyNumberFormat="0" applyBorder="0" applyAlignment="0" applyProtection="0">
      <alignment vertical="center"/>
    </xf>
    <xf numFmtId="0" fontId="102" fillId="13" borderId="0" applyNumberFormat="0" applyBorder="0" applyAlignment="0" applyProtection="0">
      <alignment vertical="center"/>
    </xf>
    <xf numFmtId="0" fontId="102" fillId="1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10" borderId="0" applyNumberFormat="0" applyBorder="0" applyAlignment="0" applyProtection="0">
      <alignment vertical="center"/>
    </xf>
    <xf numFmtId="0" fontId="101" fillId="5"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101" fillId="72" borderId="27"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83" fillId="8" borderId="0" applyNumberFormat="0" applyBorder="0" applyAlignment="0" applyProtection="0">
      <alignment vertical="center"/>
    </xf>
    <xf numFmtId="0" fontId="102" fillId="13" borderId="0" applyNumberFormat="0" applyBorder="0" applyAlignment="0" applyProtection="0">
      <alignment vertical="center"/>
    </xf>
    <xf numFmtId="0" fontId="83" fillId="8" borderId="0" applyNumberFormat="0" applyBorder="0" applyAlignment="0" applyProtection="0">
      <alignment vertical="center"/>
    </xf>
    <xf numFmtId="0" fontId="102" fillId="10" borderId="0" applyNumberFormat="0" applyBorder="0" applyAlignment="0" applyProtection="0">
      <alignment vertical="center"/>
    </xf>
    <xf numFmtId="0" fontId="83" fillId="5"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8"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102" fillId="10" borderId="0" applyNumberFormat="0" applyBorder="0" applyAlignment="0" applyProtection="0">
      <alignment vertical="center"/>
    </xf>
    <xf numFmtId="0" fontId="102" fillId="56"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102" fillId="56" borderId="0" applyNumberFormat="0" applyBorder="0" applyAlignment="0" applyProtection="0">
      <alignment vertical="center"/>
    </xf>
    <xf numFmtId="0" fontId="102" fillId="10" borderId="0" applyNumberFormat="0" applyBorder="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102" fillId="13"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13" borderId="0" applyNumberFormat="0" applyBorder="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95" fillId="0" borderId="0" applyNumberFormat="0" applyFill="0" applyBorder="0" applyAlignment="0" applyProtection="0">
      <alignment vertical="center"/>
    </xf>
    <xf numFmtId="0" fontId="102" fillId="15" borderId="0" applyNumberFormat="0" applyBorder="0" applyAlignment="0" applyProtection="0">
      <alignment vertical="center"/>
    </xf>
    <xf numFmtId="0" fontId="83" fillId="72" borderId="27" applyNumberFormat="0" applyFont="0" applyAlignment="0" applyProtection="0">
      <alignment vertical="center"/>
    </xf>
    <xf numFmtId="0" fontId="102" fillId="59" borderId="0" applyNumberFormat="0" applyBorder="0" applyAlignment="0" applyProtection="0">
      <alignment vertical="center"/>
    </xf>
    <xf numFmtId="0" fontId="83" fillId="72" borderId="27" applyNumberFormat="0" applyFont="0" applyAlignment="0" applyProtection="0">
      <alignment vertical="center"/>
    </xf>
    <xf numFmtId="0" fontId="83" fillId="23" borderId="9" applyNumberFormat="0" applyFont="0" applyAlignment="0" applyProtection="0">
      <alignment vertical="center"/>
    </xf>
    <xf numFmtId="0" fontId="102" fillId="59" borderId="0" applyNumberFormat="0" applyBorder="0" applyAlignment="0" applyProtection="0">
      <alignment vertical="center"/>
    </xf>
    <xf numFmtId="0" fontId="102" fillId="15" borderId="0" applyNumberFormat="0" applyBorder="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99" fillId="7" borderId="5" applyNumberFormat="0" applyAlignment="0" applyProtection="0">
      <alignment vertical="center"/>
    </xf>
    <xf numFmtId="0" fontId="98" fillId="16" borderId="8" applyNumberFormat="0" applyAlignment="0" applyProtection="0">
      <alignment vertical="center"/>
    </xf>
    <xf numFmtId="0" fontId="116" fillId="62" borderId="26" applyNumberFormat="0" applyAlignment="0" applyProtection="0">
      <alignment vertical="center"/>
    </xf>
    <xf numFmtId="0" fontId="115" fillId="70" borderId="0" applyNumberFormat="0" applyBorder="0" applyAlignment="0" applyProtection="0">
      <alignment vertical="center"/>
    </xf>
    <xf numFmtId="0" fontId="84" fillId="21" borderId="0" applyNumberFormat="0" applyBorder="0" applyAlignment="0" applyProtection="0">
      <alignment vertical="center"/>
    </xf>
    <xf numFmtId="0" fontId="84" fillId="14" borderId="0" applyNumberFormat="0" applyBorder="0" applyAlignment="0" applyProtection="0">
      <alignment vertical="center"/>
    </xf>
    <xf numFmtId="0" fontId="84" fillId="13" borderId="0" applyNumberFormat="0" applyBorder="0" applyAlignment="0" applyProtection="0">
      <alignment vertical="center"/>
    </xf>
    <xf numFmtId="0" fontId="102" fillId="67" borderId="0" applyNumberFormat="0" applyBorder="0" applyAlignment="0" applyProtection="0">
      <alignment vertical="center"/>
    </xf>
    <xf numFmtId="0" fontId="84" fillId="20" borderId="0" applyNumberFormat="0" applyBorder="0" applyAlignment="0" applyProtection="0">
      <alignment vertical="center"/>
    </xf>
    <xf numFmtId="0" fontId="84" fillId="18" borderId="0" applyNumberFormat="0" applyBorder="0" applyAlignment="0" applyProtection="0">
      <alignment vertical="center"/>
    </xf>
    <xf numFmtId="0" fontId="84" fillId="19" borderId="0" applyNumberFormat="0" applyBorder="0" applyAlignment="0" applyProtection="0">
      <alignment vertical="center"/>
    </xf>
    <xf numFmtId="0" fontId="102" fillId="64" borderId="0" applyNumberFormat="0" applyBorder="0" applyAlignment="0" applyProtection="0">
      <alignment vertical="center"/>
    </xf>
    <xf numFmtId="0" fontId="96" fillId="0" borderId="7" applyNumberFormat="0" applyFill="0" applyAlignment="0" applyProtection="0">
      <alignment vertical="center"/>
    </xf>
    <xf numFmtId="0" fontId="101" fillId="0" borderId="0">
      <alignment vertical="center"/>
    </xf>
    <xf numFmtId="0" fontId="93" fillId="17" borderId="6" applyNumberFormat="0" applyAlignment="0" applyProtection="0">
      <alignment vertical="center"/>
    </xf>
    <xf numFmtId="0" fontId="94" fillId="0" borderId="0" applyNumberFormat="0" applyFill="0" applyBorder="0" applyAlignment="0" applyProtection="0">
      <alignment vertical="center"/>
    </xf>
    <xf numFmtId="0" fontId="112" fillId="0" borderId="0" applyNumberFormat="0" applyFill="0" applyBorder="0" applyAlignment="0" applyProtection="0">
      <alignment vertical="center"/>
    </xf>
    <xf numFmtId="0" fontId="91" fillId="0" borderId="4" applyNumberFormat="0" applyFill="0" applyAlignment="0" applyProtection="0">
      <alignment vertical="center"/>
    </xf>
    <xf numFmtId="0" fontId="92" fillId="16" borderId="5" applyNumberFormat="0" applyAlignment="0" applyProtection="0">
      <alignment vertical="center"/>
    </xf>
    <xf numFmtId="0" fontId="109" fillId="0" borderId="22" applyNumberFormat="0" applyFill="0" applyAlignment="0" applyProtection="0">
      <alignment vertical="center"/>
    </xf>
    <xf numFmtId="0" fontId="90" fillId="4" borderId="0" applyNumberFormat="0" applyBorder="0" applyAlignment="0" applyProtection="0">
      <alignment vertical="center"/>
    </xf>
    <xf numFmtId="0" fontId="104" fillId="0" borderId="20" applyNumberFormat="0" applyFill="0" applyAlignment="0" applyProtection="0">
      <alignment vertical="center"/>
    </xf>
    <xf numFmtId="0" fontId="89" fillId="3" borderId="0" applyNumberFormat="0" applyBorder="0" applyAlignment="0" applyProtection="0">
      <alignment vertical="center"/>
    </xf>
    <xf numFmtId="0" fontId="82" fillId="0" borderId="0">
      <alignment vertical="center"/>
    </xf>
    <xf numFmtId="0" fontId="82" fillId="0" borderId="0">
      <alignment vertical="center"/>
    </xf>
    <xf numFmtId="0" fontId="88" fillId="0" borderId="0" applyNumberFormat="0" applyFill="0" applyBorder="0" applyAlignment="0" applyProtection="0">
      <alignment vertical="center"/>
    </xf>
    <xf numFmtId="0" fontId="85" fillId="0" borderId="0" applyNumberFormat="0" applyFill="0" applyBorder="0" applyAlignment="0" applyProtection="0">
      <alignment vertical="center"/>
    </xf>
    <xf numFmtId="0" fontId="106" fillId="0" borderId="0" applyNumberFormat="0" applyFill="0" applyBorder="0" applyAlignment="0" applyProtection="0">
      <alignment vertical="center"/>
    </xf>
    <xf numFmtId="0" fontId="87" fillId="0" borderId="2" applyNumberFormat="0" applyFill="0" applyAlignment="0" applyProtection="0">
      <alignment vertical="center"/>
    </xf>
    <xf numFmtId="0" fontId="88" fillId="0" borderId="3" applyNumberFormat="0" applyFill="0" applyAlignment="0" applyProtection="0">
      <alignment vertical="center"/>
    </xf>
    <xf numFmtId="0" fontId="102" fillId="57" borderId="0" applyNumberFormat="0" applyBorder="0" applyAlignment="0" applyProtection="0">
      <alignment vertical="center"/>
    </xf>
    <xf numFmtId="0" fontId="84" fillId="15" borderId="0" applyNumberFormat="0" applyBorder="0" applyAlignment="0" applyProtection="0">
      <alignment vertical="center"/>
    </xf>
    <xf numFmtId="0" fontId="86" fillId="0" borderId="1" applyNumberFormat="0" applyFill="0" applyAlignment="0" applyProtection="0">
      <alignment vertical="center"/>
    </xf>
    <xf numFmtId="0" fontId="102" fillId="15"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84" fillId="13" borderId="0" applyNumberFormat="0" applyBorder="0" applyAlignment="0" applyProtection="0">
      <alignment vertical="center"/>
    </xf>
    <xf numFmtId="0" fontId="84" fillId="14" borderId="0" applyNumberFormat="0" applyBorder="0" applyAlignment="0" applyProtection="0">
      <alignment vertical="center"/>
    </xf>
    <xf numFmtId="0" fontId="84" fillId="9"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13" borderId="0" applyNumberFormat="0" applyBorder="0" applyAlignment="0" applyProtection="0">
      <alignment vertical="center"/>
    </xf>
    <xf numFmtId="0" fontId="102" fillId="56" borderId="0" applyNumberFormat="0" applyBorder="0" applyAlignment="0" applyProtection="0">
      <alignment vertical="center"/>
    </xf>
    <xf numFmtId="0" fontId="84" fillId="10"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10" borderId="0" applyNumberFormat="0" applyBorder="0" applyAlignment="0" applyProtection="0">
      <alignment vertical="center"/>
    </xf>
    <xf numFmtId="0" fontId="83" fillId="11" borderId="0" applyNumberFormat="0" applyBorder="0" applyAlignment="0" applyProtection="0">
      <alignment vertical="center"/>
    </xf>
    <xf numFmtId="0" fontId="84" fillId="12" borderId="0" applyNumberFormat="0" applyBorder="0" applyAlignment="0" applyProtection="0">
      <alignment vertical="center"/>
    </xf>
    <xf numFmtId="0" fontId="102" fillId="54"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8"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5"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5"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101" fillId="51" borderId="0" applyNumberFormat="0" applyBorder="0" applyAlignment="0" applyProtection="0">
      <alignment vertical="center"/>
    </xf>
    <xf numFmtId="0" fontId="83" fillId="10"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10" borderId="0" applyNumberFormat="0" applyBorder="0" applyAlignment="0" applyProtection="0">
      <alignment vertical="center"/>
    </xf>
    <xf numFmtId="0" fontId="83" fillId="5"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83" fillId="10" borderId="0" applyNumberFormat="0" applyBorder="0" applyAlignment="0" applyProtection="0">
      <alignment vertical="center"/>
    </xf>
    <xf numFmtId="0" fontId="101" fillId="10" borderId="0" applyNumberFormat="0" applyBorder="0" applyAlignment="0" applyProtection="0">
      <alignment vertical="center"/>
    </xf>
    <xf numFmtId="0" fontId="101" fillId="5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23" borderId="9" applyNumberFormat="0" applyFont="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23" borderId="9" applyNumberFormat="0" applyFont="0" applyAlignment="0" applyProtection="0">
      <alignment vertical="center"/>
    </xf>
    <xf numFmtId="0" fontId="83" fillId="8" borderId="0" applyNumberFormat="0" applyBorder="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7" borderId="0" applyNumberFormat="0" applyBorder="0" applyAlignment="0" applyProtection="0">
      <alignment vertical="center"/>
    </xf>
    <xf numFmtId="0" fontId="83" fillId="8"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101" fillId="72" borderId="27" applyNumberFormat="0" applyFont="0" applyAlignment="0" applyProtection="0">
      <alignment vertical="center"/>
    </xf>
    <xf numFmtId="0" fontId="101" fillId="72" borderId="27" applyNumberFormat="0" applyFont="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5" borderId="0" applyNumberFormat="0" applyBorder="0" applyAlignment="0" applyProtection="0">
      <alignment vertical="center"/>
    </xf>
    <xf numFmtId="0" fontId="101" fillId="45"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101" fillId="4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101" fillId="42" borderId="0" applyNumberFormat="0" applyBorder="0" applyAlignment="0" applyProtection="0">
      <alignment vertical="center"/>
    </xf>
    <xf numFmtId="0" fontId="101" fillId="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101" fillId="10" borderId="0" applyNumberFormat="0" applyBorder="0" applyAlignment="0" applyProtection="0">
      <alignment vertical="center"/>
    </xf>
    <xf numFmtId="0" fontId="101" fillId="10" borderId="0" applyNumberFormat="0" applyBorder="0" applyAlignment="0" applyProtection="0">
      <alignment vertical="center"/>
    </xf>
    <xf numFmtId="0" fontId="101" fillId="50" borderId="0" applyNumberFormat="0" applyBorder="0" applyAlignment="0" applyProtection="0">
      <alignment vertical="center"/>
    </xf>
    <xf numFmtId="0" fontId="101" fillId="42" borderId="0" applyNumberFormat="0" applyBorder="0" applyAlignment="0" applyProtection="0">
      <alignment vertical="center"/>
    </xf>
    <xf numFmtId="0" fontId="101" fillId="2"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2" borderId="0" applyNumberFormat="0" applyBorder="0" applyAlignment="0" applyProtection="0">
      <alignment vertical="center"/>
    </xf>
    <xf numFmtId="0" fontId="101" fillId="2" borderId="0" applyNumberFormat="0" applyBorder="0" applyAlignment="0" applyProtection="0">
      <alignment vertical="center"/>
    </xf>
    <xf numFmtId="0" fontId="101" fillId="43" borderId="0" applyNumberFormat="0" applyBorder="0" applyAlignment="0" applyProtection="0">
      <alignment vertical="center"/>
    </xf>
    <xf numFmtId="0" fontId="101" fillId="3" borderId="0" applyNumberFormat="0" applyBorder="0" applyAlignment="0" applyProtection="0">
      <alignment vertical="center"/>
    </xf>
    <xf numFmtId="0" fontId="101" fillId="44" borderId="0" applyNumberFormat="0" applyBorder="0" applyAlignment="0" applyProtection="0">
      <alignment vertical="center"/>
    </xf>
    <xf numFmtId="0" fontId="101" fillId="4" borderId="0" applyNumberFormat="0" applyBorder="0" applyAlignment="0" applyProtection="0">
      <alignment vertical="center"/>
    </xf>
    <xf numFmtId="0" fontId="101" fillId="45" borderId="0" applyNumberFormat="0" applyBorder="0" applyAlignment="0" applyProtection="0">
      <alignment vertical="center"/>
    </xf>
    <xf numFmtId="0" fontId="101" fillId="5" borderId="0" applyNumberFormat="0" applyBorder="0" applyAlignment="0" applyProtection="0">
      <alignment vertical="center"/>
    </xf>
    <xf numFmtId="0" fontId="101" fillId="50" borderId="0" applyNumberFormat="0" applyBorder="0" applyAlignment="0" applyProtection="0">
      <alignment vertical="center"/>
    </xf>
    <xf numFmtId="0" fontId="101" fillId="10" borderId="0" applyNumberFormat="0" applyBorder="0" applyAlignment="0" applyProtection="0">
      <alignment vertical="center"/>
    </xf>
    <xf numFmtId="0" fontId="101" fillId="3"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2" fillId="13" borderId="0" applyNumberFormat="0" applyBorder="0" applyAlignment="0" applyProtection="0">
      <alignment vertical="center"/>
    </xf>
    <xf numFmtId="0" fontId="102" fillId="56" borderId="0" applyNumberFormat="0" applyBorder="0" applyAlignment="0" applyProtection="0">
      <alignment vertical="center"/>
    </xf>
    <xf numFmtId="0" fontId="101" fillId="50" borderId="0" applyNumberFormat="0" applyBorder="0" applyAlignment="0" applyProtection="0">
      <alignment vertical="center"/>
    </xf>
    <xf numFmtId="0" fontId="83" fillId="23" borderId="9" applyNumberFormat="0" applyFont="0" applyAlignment="0" applyProtection="0">
      <alignment vertical="center"/>
    </xf>
    <xf numFmtId="0" fontId="83" fillId="5"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5" borderId="0" applyNumberFormat="0" applyBorder="0" applyAlignment="0" applyProtection="0">
      <alignment vertical="center"/>
    </xf>
    <xf numFmtId="0" fontId="102" fillId="56" borderId="0" applyNumberFormat="0" applyBorder="0" applyAlignment="0" applyProtection="0">
      <alignment vertical="center"/>
    </xf>
    <xf numFmtId="0" fontId="101" fillId="2" borderId="0" applyNumberFormat="0" applyBorder="0" applyAlignment="0" applyProtection="0">
      <alignment vertical="center"/>
    </xf>
    <xf numFmtId="0" fontId="102" fillId="10" borderId="0" applyNumberFormat="0" applyBorder="0" applyAlignment="0" applyProtection="0">
      <alignment vertical="center"/>
    </xf>
    <xf numFmtId="0" fontId="83" fillId="23" borderId="9" applyNumberFormat="0" applyFont="0" applyAlignment="0" applyProtection="0">
      <alignment vertical="center"/>
    </xf>
    <xf numFmtId="0" fontId="102" fillId="57" borderId="0" applyNumberFormat="0" applyBorder="0" applyAlignment="0" applyProtection="0">
      <alignment vertical="center"/>
    </xf>
    <xf numFmtId="0" fontId="102" fillId="13" borderId="0" applyNumberFormat="0" applyBorder="0" applyAlignment="0" applyProtection="0">
      <alignment vertical="center"/>
    </xf>
    <xf numFmtId="0" fontId="102" fillId="59" borderId="0" applyNumberFormat="0" applyBorder="0" applyAlignment="0" applyProtection="0">
      <alignment vertical="center"/>
    </xf>
    <xf numFmtId="0" fontId="102" fillId="15" borderId="0" applyNumberFormat="0" applyBorder="0" applyAlignment="0" applyProtection="0">
      <alignment vertical="center"/>
    </xf>
    <xf numFmtId="0" fontId="83" fillId="23" borderId="9" applyNumberFormat="0" applyFont="0" applyAlignment="0" applyProtection="0">
      <alignment vertical="center"/>
    </xf>
    <xf numFmtId="0" fontId="83" fillId="3"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7"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6"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2" borderId="27" applyNumberFormat="0" applyFont="0" applyAlignment="0" applyProtection="0">
      <alignment vertical="center"/>
    </xf>
    <xf numFmtId="0" fontId="83" fillId="7" borderId="0" applyNumberFormat="0" applyBorder="0" applyAlignment="0" applyProtection="0">
      <alignment vertical="center"/>
    </xf>
    <xf numFmtId="0" fontId="83" fillId="6"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101" fillId="4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5" borderId="0" applyNumberFormat="0" applyBorder="0" applyAlignment="0" applyProtection="0">
      <alignment vertical="center"/>
    </xf>
    <xf numFmtId="0" fontId="101" fillId="5" borderId="0" applyNumberFormat="0" applyBorder="0" applyAlignment="0" applyProtection="0">
      <alignment vertical="center"/>
    </xf>
    <xf numFmtId="0" fontId="101" fillId="4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4"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 borderId="0" applyNumberFormat="0" applyBorder="0" applyAlignment="0" applyProtection="0">
      <alignment vertical="center"/>
    </xf>
    <xf numFmtId="0" fontId="101" fillId="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3" borderId="0" applyNumberFormat="0" applyBorder="0" applyAlignment="0" applyProtection="0">
      <alignment vertical="center"/>
    </xf>
    <xf numFmtId="0" fontId="101" fillId="3" borderId="0" applyNumberFormat="0" applyBorder="0" applyAlignment="0" applyProtection="0">
      <alignment vertical="center"/>
    </xf>
    <xf numFmtId="0" fontId="101" fillId="4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8" borderId="0" applyNumberFormat="0" applyBorder="0" applyAlignment="0" applyProtection="0">
      <alignment vertical="center"/>
    </xf>
    <xf numFmtId="0" fontId="101" fillId="42" borderId="0" applyNumberFormat="0" applyBorder="0" applyAlignment="0" applyProtection="0">
      <alignment vertical="center"/>
    </xf>
    <xf numFmtId="0" fontId="101" fillId="2" borderId="0" applyNumberFormat="0" applyBorder="0" applyAlignment="0" applyProtection="0">
      <alignment vertical="center"/>
    </xf>
    <xf numFmtId="0" fontId="101" fillId="2" borderId="0" applyNumberFormat="0" applyBorder="0" applyAlignment="0" applyProtection="0">
      <alignment vertical="center"/>
    </xf>
    <xf numFmtId="0" fontId="101" fillId="42" borderId="0" applyNumberFormat="0" applyBorder="0" applyAlignment="0" applyProtection="0">
      <alignment vertical="center"/>
    </xf>
    <xf numFmtId="0" fontId="101" fillId="3" borderId="0" applyNumberFormat="0" applyBorder="0" applyAlignment="0" applyProtection="0">
      <alignment vertical="center"/>
    </xf>
    <xf numFmtId="0" fontId="101" fillId="43" borderId="0" applyNumberFormat="0" applyBorder="0" applyAlignment="0" applyProtection="0">
      <alignment vertical="center"/>
    </xf>
    <xf numFmtId="0" fontId="101" fillId="3" borderId="0" applyNumberFormat="0" applyBorder="0" applyAlignment="0" applyProtection="0">
      <alignment vertical="center"/>
    </xf>
    <xf numFmtId="0" fontId="101" fillId="3" borderId="0" applyNumberFormat="0" applyBorder="0" applyAlignment="0" applyProtection="0">
      <alignment vertical="center"/>
    </xf>
    <xf numFmtId="0" fontId="101" fillId="43" borderId="0" applyNumberFormat="0" applyBorder="0" applyAlignment="0" applyProtection="0">
      <alignment vertical="center"/>
    </xf>
    <xf numFmtId="0" fontId="101" fillId="44" borderId="0" applyNumberFormat="0" applyBorder="0" applyAlignment="0" applyProtection="0">
      <alignment vertical="center"/>
    </xf>
    <xf numFmtId="0" fontId="101" fillId="4" borderId="0" applyNumberFormat="0" applyBorder="0" applyAlignment="0" applyProtection="0">
      <alignment vertical="center"/>
    </xf>
    <xf numFmtId="0" fontId="101" fillId="4" borderId="0" applyNumberFormat="0" applyBorder="0" applyAlignment="0" applyProtection="0">
      <alignment vertical="center"/>
    </xf>
    <xf numFmtId="0" fontId="101" fillId="44" borderId="0" applyNumberFormat="0" applyBorder="0" applyAlignment="0" applyProtection="0">
      <alignment vertical="center"/>
    </xf>
    <xf numFmtId="0" fontId="101" fillId="45" borderId="0" applyNumberFormat="0" applyBorder="0" applyAlignment="0" applyProtection="0">
      <alignment vertical="center"/>
    </xf>
    <xf numFmtId="0" fontId="101" fillId="5" borderId="0" applyNumberFormat="0" applyBorder="0" applyAlignment="0" applyProtection="0">
      <alignment vertical="center"/>
    </xf>
    <xf numFmtId="0" fontId="101" fillId="5" borderId="0" applyNumberFormat="0" applyBorder="0" applyAlignment="0" applyProtection="0">
      <alignment vertical="center"/>
    </xf>
    <xf numFmtId="0" fontId="101" fillId="45" borderId="0" applyNumberFormat="0" applyBorder="0" applyAlignment="0" applyProtection="0">
      <alignment vertical="center"/>
    </xf>
    <xf numFmtId="0" fontId="101" fillId="50" borderId="0" applyNumberFormat="0" applyBorder="0" applyAlignment="0" applyProtection="0">
      <alignment vertical="center"/>
    </xf>
    <xf numFmtId="0" fontId="101" fillId="10" borderId="0" applyNumberFormat="0" applyBorder="0" applyAlignment="0" applyProtection="0">
      <alignment vertical="center"/>
    </xf>
    <xf numFmtId="0" fontId="101" fillId="10" borderId="0" applyNumberFormat="0" applyBorder="0" applyAlignment="0" applyProtection="0">
      <alignment vertical="center"/>
    </xf>
    <xf numFmtId="0" fontId="101" fillId="50" borderId="0" applyNumberFormat="0" applyBorder="0" applyAlignment="0" applyProtection="0">
      <alignment vertical="center"/>
    </xf>
    <xf numFmtId="0" fontId="83" fillId="8" borderId="0" applyNumberFormat="0" applyBorder="0" applyAlignment="0" applyProtection="0">
      <alignment vertical="center"/>
    </xf>
    <xf numFmtId="0" fontId="102" fillId="56"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56" borderId="0" applyNumberFormat="0" applyBorder="0" applyAlignment="0" applyProtection="0">
      <alignment vertical="center"/>
    </xf>
    <xf numFmtId="0" fontId="102" fillId="57" borderId="0" applyNumberFormat="0" applyBorder="0" applyAlignment="0" applyProtection="0">
      <alignment vertical="center"/>
    </xf>
    <xf numFmtId="0" fontId="102" fillId="13" borderId="0" applyNumberFormat="0" applyBorder="0" applyAlignment="0" applyProtection="0">
      <alignment vertical="center"/>
    </xf>
    <xf numFmtId="0" fontId="102" fillId="13" borderId="0" applyNumberFormat="0" applyBorder="0" applyAlignment="0" applyProtection="0">
      <alignment vertical="center"/>
    </xf>
    <xf numFmtId="0" fontId="102" fillId="57" borderId="0" applyNumberFormat="0" applyBorder="0" applyAlignment="0" applyProtection="0">
      <alignment vertical="center"/>
    </xf>
    <xf numFmtId="0" fontId="95" fillId="0" borderId="0" applyNumberFormat="0" applyFill="0" applyBorder="0" applyAlignment="0" applyProtection="0">
      <alignment vertical="center"/>
    </xf>
    <xf numFmtId="0" fontId="102" fillId="59" borderId="0" applyNumberFormat="0" applyBorder="0" applyAlignment="0" applyProtection="0">
      <alignment vertical="center"/>
    </xf>
    <xf numFmtId="0" fontId="102" fillId="15" borderId="0" applyNumberFormat="0" applyBorder="0" applyAlignment="0" applyProtection="0">
      <alignment vertical="center"/>
    </xf>
    <xf numFmtId="0" fontId="102" fillId="15" borderId="0" applyNumberFormat="0" applyBorder="0" applyAlignment="0" applyProtection="0">
      <alignment vertical="center"/>
    </xf>
    <xf numFmtId="0" fontId="102" fillId="59" borderId="0" applyNumberFormat="0" applyBorder="0" applyAlignment="0" applyProtection="0">
      <alignment vertical="center"/>
    </xf>
    <xf numFmtId="0" fontId="102" fillId="57" borderId="0" applyNumberFormat="0" applyBorder="0" applyAlignment="0" applyProtection="0">
      <alignment vertical="center"/>
    </xf>
    <xf numFmtId="0" fontId="102" fillId="55" borderId="0" applyNumberFormat="0" applyBorder="0" applyAlignment="0" applyProtection="0">
      <alignment vertical="center"/>
    </xf>
    <xf numFmtId="0" fontId="83" fillId="5" borderId="0" applyNumberFormat="0" applyBorder="0" applyAlignment="0" applyProtection="0">
      <alignment vertical="center"/>
    </xf>
    <xf numFmtId="0" fontId="83" fillId="10" borderId="0" applyNumberFormat="0" applyBorder="0" applyAlignment="0" applyProtection="0">
      <alignment vertical="center"/>
    </xf>
    <xf numFmtId="0" fontId="101" fillId="50" borderId="0" applyNumberFormat="0" applyBorder="0" applyAlignment="0" applyProtection="0">
      <alignment vertical="center"/>
    </xf>
    <xf numFmtId="0" fontId="83" fillId="10" borderId="0" applyNumberFormat="0" applyBorder="0" applyAlignment="0" applyProtection="0">
      <alignment vertical="center"/>
    </xf>
    <xf numFmtId="0" fontId="83" fillId="9" borderId="0" applyNumberFormat="0" applyBorder="0" applyAlignment="0" applyProtection="0">
      <alignment vertical="center"/>
    </xf>
    <xf numFmtId="0" fontId="83" fillId="8" borderId="0" applyNumberFormat="0" applyBorder="0" applyAlignment="0" applyProtection="0">
      <alignment vertical="center"/>
    </xf>
    <xf numFmtId="0" fontId="83" fillId="72" borderId="27" applyNumberFormat="0" applyFont="0" applyAlignment="0" applyProtection="0">
      <alignment vertical="center"/>
    </xf>
    <xf numFmtId="0" fontId="83" fillId="7" borderId="0" applyNumberFormat="0" applyBorder="0" applyAlignment="0" applyProtection="0">
      <alignment vertical="center"/>
    </xf>
    <xf numFmtId="0" fontId="83" fillId="4" borderId="0" applyNumberFormat="0" applyBorder="0" applyAlignment="0" applyProtection="0">
      <alignment vertical="center"/>
    </xf>
    <xf numFmtId="0" fontId="83" fillId="3"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8" borderId="0" applyNumberFormat="0" applyBorder="0" applyAlignment="0" applyProtection="0">
      <alignment vertical="center"/>
    </xf>
    <xf numFmtId="0" fontId="101" fillId="10" borderId="0" applyNumberFormat="0" applyBorder="0" applyAlignment="0" applyProtection="0">
      <alignment vertical="center"/>
    </xf>
    <xf numFmtId="0" fontId="101" fillId="4" borderId="0" applyNumberFormat="0" applyBorder="0" applyAlignment="0" applyProtection="0">
      <alignment vertical="center"/>
    </xf>
    <xf numFmtId="0" fontId="101" fillId="4" borderId="0" applyNumberFormat="0" applyBorder="0" applyAlignment="0" applyProtection="0">
      <alignment vertical="center"/>
    </xf>
    <xf numFmtId="0" fontId="101" fillId="44" borderId="0" applyNumberFormat="0" applyBorder="0" applyAlignment="0" applyProtection="0">
      <alignment vertical="center"/>
    </xf>
    <xf numFmtId="0" fontId="101" fillId="2" borderId="0" applyNumberFormat="0" applyBorder="0" applyAlignment="0" applyProtection="0">
      <alignment vertical="center"/>
    </xf>
    <xf numFmtId="0" fontId="101" fillId="42" borderId="0" applyNumberFormat="0" applyBorder="0" applyAlignment="0" applyProtection="0">
      <alignment vertical="center"/>
    </xf>
    <xf numFmtId="0" fontId="102" fillId="15" borderId="0" applyNumberFormat="0" applyBorder="0" applyAlignment="0" applyProtection="0">
      <alignment vertical="center"/>
    </xf>
    <xf numFmtId="0" fontId="102" fillId="13" borderId="0" applyNumberFormat="0" applyBorder="0" applyAlignment="0" applyProtection="0">
      <alignment vertical="center"/>
    </xf>
    <xf numFmtId="0" fontId="102" fillId="56" borderId="0" applyNumberFormat="0" applyBorder="0" applyAlignment="0" applyProtection="0">
      <alignment vertical="center"/>
    </xf>
    <xf numFmtId="0" fontId="101" fillId="10" borderId="0" applyNumberFormat="0" applyBorder="0" applyAlignment="0" applyProtection="0">
      <alignment vertical="center"/>
    </xf>
    <xf numFmtId="0" fontId="101" fillId="45" borderId="0" applyNumberFormat="0" applyBorder="0" applyAlignment="0" applyProtection="0">
      <alignment vertical="center"/>
    </xf>
    <xf numFmtId="0" fontId="101" fillId="72" borderId="27" applyNumberFormat="0" applyFont="0" applyAlignment="0" applyProtection="0">
      <alignment vertical="center"/>
    </xf>
    <xf numFmtId="0" fontId="83" fillId="23" borderId="9" applyNumberFormat="0" applyFont="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13" borderId="0" applyNumberFormat="0" applyBorder="0" applyAlignment="0" applyProtection="0">
      <alignment vertical="center"/>
    </xf>
    <xf numFmtId="0" fontId="102" fillId="56"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7" borderId="0" applyNumberFormat="0" applyBorder="0" applyAlignment="0" applyProtection="0">
      <alignment vertical="center"/>
    </xf>
    <xf numFmtId="0" fontId="83" fillId="5"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2" borderId="0" applyNumberFormat="0" applyBorder="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113" fillId="0" borderId="0" applyNumberFormat="0" applyFill="0" applyBorder="0" applyAlignment="0" applyProtection="0">
      <alignment vertical="center"/>
    </xf>
    <xf numFmtId="0" fontId="97" fillId="22" borderId="0" applyNumberFormat="0" applyBorder="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99" fillId="7" borderId="5" applyNumberFormat="0" applyAlignment="0" applyProtection="0">
      <alignment vertical="center"/>
    </xf>
    <xf numFmtId="0" fontId="98" fillId="16" borderId="8" applyNumberFormat="0" applyAlignment="0" applyProtection="0">
      <alignment vertical="center"/>
    </xf>
    <xf numFmtId="0" fontId="116" fillId="62" borderId="26" applyNumberFormat="0" applyAlignment="0" applyProtection="0">
      <alignment vertical="center"/>
    </xf>
    <xf numFmtId="0" fontId="115" fillId="70" borderId="0" applyNumberFormat="0" applyBorder="0" applyAlignment="0" applyProtection="0">
      <alignment vertical="center"/>
    </xf>
    <xf numFmtId="0" fontId="84" fillId="21" borderId="0" applyNumberFormat="0" applyBorder="0" applyAlignment="0" applyProtection="0">
      <alignment vertical="center"/>
    </xf>
    <xf numFmtId="0" fontId="84" fillId="14" borderId="0" applyNumberFormat="0" applyBorder="0" applyAlignment="0" applyProtection="0">
      <alignment vertical="center"/>
    </xf>
    <xf numFmtId="0" fontId="84" fillId="13" borderId="0" applyNumberFormat="0" applyBorder="0" applyAlignment="0" applyProtection="0">
      <alignment vertical="center"/>
    </xf>
    <xf numFmtId="0" fontId="102" fillId="67" borderId="0" applyNumberFormat="0" applyBorder="0" applyAlignment="0" applyProtection="0">
      <alignment vertical="center"/>
    </xf>
    <xf numFmtId="0" fontId="84" fillId="20" borderId="0" applyNumberFormat="0" applyBorder="0" applyAlignment="0" applyProtection="0">
      <alignment vertical="center"/>
    </xf>
    <xf numFmtId="0" fontId="84" fillId="18" borderId="0" applyNumberFormat="0" applyBorder="0" applyAlignment="0" applyProtection="0">
      <alignment vertical="center"/>
    </xf>
    <xf numFmtId="0" fontId="84" fillId="19" borderId="0" applyNumberFormat="0" applyBorder="0" applyAlignment="0" applyProtection="0">
      <alignment vertical="center"/>
    </xf>
    <xf numFmtId="0" fontId="102" fillId="64" borderId="0" applyNumberFormat="0" applyBorder="0" applyAlignment="0" applyProtection="0">
      <alignment vertical="center"/>
    </xf>
    <xf numFmtId="0" fontId="96" fillId="0" borderId="7" applyNumberFormat="0" applyFill="0" applyAlignment="0" applyProtection="0">
      <alignment vertical="center"/>
    </xf>
    <xf numFmtId="0" fontId="83" fillId="11" borderId="0" applyNumberFormat="0" applyBorder="0" applyAlignment="0" applyProtection="0">
      <alignment vertical="center"/>
    </xf>
    <xf numFmtId="0" fontId="82" fillId="0" borderId="0">
      <alignment vertical="center"/>
    </xf>
    <xf numFmtId="0" fontId="93" fillId="17" borderId="6" applyNumberFormat="0" applyAlignment="0" applyProtection="0">
      <alignment vertical="center"/>
    </xf>
    <xf numFmtId="0" fontId="94" fillId="0" borderId="0" applyNumberFormat="0" applyFill="0" applyBorder="0" applyAlignment="0" applyProtection="0">
      <alignment vertical="center"/>
    </xf>
    <xf numFmtId="0" fontId="91" fillId="0" borderId="4" applyNumberFormat="0" applyFill="0" applyAlignment="0" applyProtection="0">
      <alignment vertical="center"/>
    </xf>
    <xf numFmtId="0" fontId="92" fillId="16" borderId="5" applyNumberFormat="0" applyAlignment="0" applyProtection="0">
      <alignment vertical="center"/>
    </xf>
    <xf numFmtId="0" fontId="110" fillId="62" borderId="23" applyNumberFormat="0" applyAlignment="0" applyProtection="0">
      <alignment vertical="center"/>
    </xf>
    <xf numFmtId="0" fontId="90" fillId="4" borderId="0" applyNumberFormat="0" applyBorder="0" applyAlignment="0" applyProtection="0">
      <alignment vertical="center"/>
    </xf>
    <xf numFmtId="0" fontId="89" fillId="3" borderId="0" applyNumberFormat="0" applyBorder="0" applyAlignment="0" applyProtection="0">
      <alignment vertical="center"/>
    </xf>
    <xf numFmtId="0" fontId="82" fillId="0" borderId="0">
      <alignment vertical="center"/>
    </xf>
    <xf numFmtId="0" fontId="88" fillId="0" borderId="0" applyNumberFormat="0" applyFill="0" applyBorder="0" applyAlignment="0" applyProtection="0">
      <alignment vertical="center"/>
    </xf>
    <xf numFmtId="0" fontId="85" fillId="0" borderId="0" applyNumberFormat="0" applyFill="0" applyBorder="0" applyAlignment="0" applyProtection="0">
      <alignment vertical="center"/>
    </xf>
    <xf numFmtId="0" fontId="106" fillId="0" borderId="0" applyNumberFormat="0" applyFill="0" applyBorder="0" applyAlignment="0" applyProtection="0">
      <alignment vertical="center"/>
    </xf>
    <xf numFmtId="0" fontId="87" fillId="0" borderId="2" applyNumberFormat="0" applyFill="0" applyAlignment="0" applyProtection="0">
      <alignment vertical="center"/>
    </xf>
    <xf numFmtId="0" fontId="88" fillId="0" borderId="3" applyNumberFormat="0" applyFill="0" applyAlignment="0" applyProtection="0">
      <alignment vertical="center"/>
    </xf>
    <xf numFmtId="0" fontId="105" fillId="0" borderId="21" applyNumberFormat="0" applyFill="0" applyAlignment="0" applyProtection="0">
      <alignment vertical="center"/>
    </xf>
    <xf numFmtId="0" fontId="102" fillId="57" borderId="0" applyNumberFormat="0" applyBorder="0" applyAlignment="0" applyProtection="0">
      <alignment vertical="center"/>
    </xf>
    <xf numFmtId="0" fontId="102" fillId="59" borderId="0" applyNumberFormat="0" applyBorder="0" applyAlignment="0" applyProtection="0">
      <alignment vertical="center"/>
    </xf>
    <xf numFmtId="0" fontId="86" fillId="0" borderId="1" applyNumberFormat="0" applyFill="0" applyAlignment="0" applyProtection="0">
      <alignment vertical="center"/>
    </xf>
    <xf numFmtId="0" fontId="84" fillId="15" borderId="0" applyNumberFormat="0" applyBorder="0" applyAlignment="0" applyProtection="0">
      <alignment vertical="center"/>
    </xf>
    <xf numFmtId="0" fontId="102" fillId="15"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84" fillId="13" borderId="0" applyNumberFormat="0" applyBorder="0" applyAlignment="0" applyProtection="0">
      <alignment vertical="center"/>
    </xf>
    <xf numFmtId="0" fontId="84" fillId="14" borderId="0" applyNumberFormat="0" applyBorder="0" applyAlignment="0" applyProtection="0">
      <alignment vertical="center"/>
    </xf>
    <xf numFmtId="0" fontId="102" fillId="55"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13" borderId="0" applyNumberFormat="0" applyBorder="0" applyAlignment="0" applyProtection="0">
      <alignment vertical="center"/>
    </xf>
    <xf numFmtId="0" fontId="102" fillId="56" borderId="0" applyNumberFormat="0" applyBorder="0" applyAlignment="0" applyProtection="0">
      <alignment vertical="center"/>
    </xf>
    <xf numFmtId="0" fontId="84" fillId="10" borderId="0" applyNumberFormat="0" applyBorder="0" applyAlignment="0" applyProtection="0">
      <alignment vertical="center"/>
    </xf>
    <xf numFmtId="0" fontId="102" fillId="56" borderId="0" applyNumberFormat="0" applyBorder="0" applyAlignment="0" applyProtection="0">
      <alignment vertical="center"/>
    </xf>
    <xf numFmtId="0" fontId="84" fillId="9" borderId="0" applyNumberFormat="0" applyBorder="0" applyAlignment="0" applyProtection="0">
      <alignment vertical="center"/>
    </xf>
    <xf numFmtId="0" fontId="102" fillId="10" borderId="0" applyNumberFormat="0" applyBorder="0" applyAlignment="0" applyProtection="0">
      <alignment vertical="center"/>
    </xf>
    <xf numFmtId="0" fontId="102" fillId="56" borderId="0" applyNumberFormat="0" applyBorder="0" applyAlignment="0" applyProtection="0">
      <alignment vertical="center"/>
    </xf>
    <xf numFmtId="0" fontId="83" fillId="11" borderId="0" applyNumberFormat="0" applyBorder="0" applyAlignment="0" applyProtection="0">
      <alignment vertical="center"/>
    </xf>
    <xf numFmtId="0" fontId="84" fillId="12"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8"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5"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5"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101" fillId="51" borderId="0" applyNumberFormat="0" applyBorder="0" applyAlignment="0" applyProtection="0">
      <alignment vertical="center"/>
    </xf>
    <xf numFmtId="0" fontId="83" fillId="10"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10" borderId="0" applyNumberFormat="0" applyBorder="0" applyAlignment="0" applyProtection="0">
      <alignment vertical="center"/>
    </xf>
    <xf numFmtId="0" fontId="83" fillId="5"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83" fillId="10" borderId="0" applyNumberFormat="0" applyBorder="0" applyAlignment="0" applyProtection="0">
      <alignment vertical="center"/>
    </xf>
    <xf numFmtId="0" fontId="101"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7" borderId="0" applyNumberFormat="0" applyBorder="0" applyAlignment="0" applyProtection="0">
      <alignment vertical="center"/>
    </xf>
    <xf numFmtId="0" fontId="83" fillId="8"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5" borderId="0" applyNumberFormat="0" applyBorder="0" applyAlignment="0" applyProtection="0">
      <alignment vertical="center"/>
    </xf>
    <xf numFmtId="0" fontId="101" fillId="45"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101" fillId="4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101" fillId="42" borderId="0" applyNumberFormat="0" applyBorder="0" applyAlignment="0" applyProtection="0">
      <alignment vertical="center"/>
    </xf>
    <xf numFmtId="0" fontId="101" fillId="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101" fillId="45" borderId="0" applyNumberFormat="0" applyBorder="0" applyAlignment="0" applyProtection="0">
      <alignment vertical="center"/>
    </xf>
    <xf numFmtId="0" fontId="101" fillId="3" borderId="0" applyNumberFormat="0" applyBorder="0" applyAlignment="0" applyProtection="0">
      <alignment vertical="center"/>
    </xf>
    <xf numFmtId="0" fontId="101" fillId="43"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3" borderId="0" applyNumberFormat="0" applyBorder="0" applyAlignment="0" applyProtection="0">
      <alignment vertical="center"/>
    </xf>
    <xf numFmtId="0" fontId="102" fillId="59" borderId="0" applyNumberFormat="0" applyBorder="0" applyAlignment="0" applyProtection="0">
      <alignment vertical="center"/>
    </xf>
    <xf numFmtId="0" fontId="102" fillId="57" borderId="0" applyNumberFormat="0" applyBorder="0" applyAlignment="0" applyProtection="0">
      <alignment vertical="center"/>
    </xf>
    <xf numFmtId="0" fontId="101" fillId="10" borderId="0" applyNumberFormat="0" applyBorder="0" applyAlignment="0" applyProtection="0">
      <alignment vertical="center"/>
    </xf>
    <xf numFmtId="0" fontId="101" fillId="44" borderId="0" applyNumberFormat="0" applyBorder="0" applyAlignment="0" applyProtection="0">
      <alignment vertical="center"/>
    </xf>
    <xf numFmtId="0" fontId="83" fillId="72" borderId="27"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102" fillId="56" borderId="0" applyNumberFormat="0" applyBorder="0" applyAlignment="0" applyProtection="0">
      <alignment vertical="center"/>
    </xf>
    <xf numFmtId="0" fontId="83" fillId="5"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5"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6" borderId="0" applyNumberFormat="0" applyBorder="0" applyAlignment="0" applyProtection="0">
      <alignment vertical="center"/>
    </xf>
    <xf numFmtId="0" fontId="83" fillId="7"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5" borderId="0" applyNumberFormat="0" applyBorder="0" applyAlignment="0" applyProtection="0">
      <alignment vertical="center"/>
    </xf>
    <xf numFmtId="0" fontId="101" fillId="4" borderId="0" applyNumberFormat="0" applyBorder="0" applyAlignment="0" applyProtection="0">
      <alignment vertical="center"/>
    </xf>
    <xf numFmtId="0" fontId="101"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101" fillId="3" borderId="0" applyNumberFormat="0" applyBorder="0" applyAlignment="0" applyProtection="0">
      <alignment vertical="center"/>
    </xf>
    <xf numFmtId="0" fontId="101" fillId="3" borderId="0" applyNumberFormat="0" applyBorder="0" applyAlignment="0" applyProtection="0">
      <alignment vertical="center"/>
    </xf>
    <xf numFmtId="0" fontId="83" fillId="3" borderId="0" applyNumberFormat="0" applyBorder="0" applyAlignment="0" applyProtection="0">
      <alignment vertical="center"/>
    </xf>
    <xf numFmtId="0" fontId="83" fillId="2" borderId="0" applyNumberFormat="0" applyBorder="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113" fillId="0" borderId="0" applyNumberFormat="0" applyFill="0" applyBorder="0" applyAlignment="0" applyProtection="0">
      <alignment vertical="center"/>
    </xf>
    <xf numFmtId="0" fontId="97" fillId="22" borderId="0" applyNumberFormat="0" applyBorder="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99" fillId="7" borderId="5" applyNumberFormat="0" applyAlignment="0" applyProtection="0">
      <alignment vertical="center"/>
    </xf>
    <xf numFmtId="0" fontId="117" fillId="71" borderId="23" applyNumberFormat="0" applyAlignment="0" applyProtection="0">
      <alignment vertical="center"/>
    </xf>
    <xf numFmtId="0" fontId="98" fillId="16" borderId="8" applyNumberFormat="0" applyAlignment="0" applyProtection="0">
      <alignment vertical="center"/>
    </xf>
    <xf numFmtId="0" fontId="84" fillId="21" borderId="0" applyNumberFormat="0" applyBorder="0" applyAlignment="0" applyProtection="0">
      <alignment vertical="center"/>
    </xf>
    <xf numFmtId="0" fontId="84" fillId="14" borderId="0" applyNumberFormat="0" applyBorder="0" applyAlignment="0" applyProtection="0">
      <alignment vertical="center"/>
    </xf>
    <xf numFmtId="0" fontId="102" fillId="68" borderId="0" applyNumberFormat="0" applyBorder="0" applyAlignment="0" applyProtection="0">
      <alignment vertical="center"/>
    </xf>
    <xf numFmtId="0" fontId="84" fillId="13" borderId="0" applyNumberFormat="0" applyBorder="0" applyAlignment="0" applyProtection="0">
      <alignment vertical="center"/>
    </xf>
    <xf numFmtId="0" fontId="84" fillId="20" borderId="0" applyNumberFormat="0" applyBorder="0" applyAlignment="0" applyProtection="0">
      <alignment vertical="center"/>
    </xf>
    <xf numFmtId="0" fontId="84" fillId="18" borderId="0" applyNumberFormat="0" applyBorder="0" applyAlignment="0" applyProtection="0">
      <alignment vertical="center"/>
    </xf>
    <xf numFmtId="0" fontId="84" fillId="19" borderId="0" applyNumberFormat="0" applyBorder="0" applyAlignment="0" applyProtection="0">
      <alignment vertical="center"/>
    </xf>
    <xf numFmtId="0" fontId="102" fillId="65" borderId="0" applyNumberFormat="0" applyBorder="0" applyAlignment="0" applyProtection="0">
      <alignment vertical="center"/>
    </xf>
    <xf numFmtId="0" fontId="95" fillId="0" borderId="0" applyNumberFormat="0" applyFill="0" applyBorder="0" applyAlignment="0" applyProtection="0">
      <alignment vertical="center"/>
    </xf>
    <xf numFmtId="0" fontId="96" fillId="0" borderId="7" applyNumberFormat="0" applyFill="0" applyAlignment="0" applyProtection="0">
      <alignment vertical="center"/>
    </xf>
    <xf numFmtId="0" fontId="82" fillId="0" borderId="0">
      <alignment vertical="center"/>
    </xf>
    <xf numFmtId="0" fontId="82" fillId="0" borderId="0">
      <alignment vertical="center"/>
    </xf>
    <xf numFmtId="0" fontId="93" fillId="17" borderId="6" applyNumberFormat="0" applyAlignment="0" applyProtection="0">
      <alignment vertical="center"/>
    </xf>
    <xf numFmtId="0" fontId="94" fillId="0" borderId="0" applyNumberFormat="0" applyFill="0" applyBorder="0" applyAlignment="0" applyProtection="0">
      <alignment vertical="center"/>
    </xf>
    <xf numFmtId="0" fontId="91" fillId="0" borderId="4" applyNumberFormat="0" applyFill="0" applyAlignment="0" applyProtection="0">
      <alignment vertical="center"/>
    </xf>
    <xf numFmtId="0" fontId="92" fillId="16" borderId="5" applyNumberFormat="0" applyAlignment="0" applyProtection="0">
      <alignment vertical="center"/>
    </xf>
    <xf numFmtId="0" fontId="110" fillId="62" borderId="23" applyNumberFormat="0" applyAlignment="0" applyProtection="0">
      <alignment vertical="center"/>
    </xf>
    <xf numFmtId="0" fontId="82" fillId="0" borderId="0">
      <alignment vertical="center"/>
    </xf>
    <xf numFmtId="0" fontId="90" fillId="4" borderId="0" applyNumberFormat="0" applyBorder="0" applyAlignment="0" applyProtection="0">
      <alignment vertical="center"/>
    </xf>
    <xf numFmtId="0" fontId="86" fillId="0" borderId="1" applyNumberFormat="0" applyFill="0" applyAlignment="0" applyProtection="0">
      <alignment vertical="center"/>
    </xf>
    <xf numFmtId="0" fontId="107" fillId="60" borderId="0" applyNumberFormat="0" applyBorder="0" applyAlignment="0" applyProtection="0">
      <alignment vertical="center"/>
    </xf>
    <xf numFmtId="0" fontId="82" fillId="0" borderId="0">
      <alignment vertical="center"/>
    </xf>
    <xf numFmtId="0" fontId="89" fillId="3" borderId="0" applyNumberFormat="0" applyBorder="0" applyAlignment="0" applyProtection="0">
      <alignment vertical="center"/>
    </xf>
    <xf numFmtId="0" fontId="88" fillId="0" borderId="0" applyNumberFormat="0" applyFill="0" applyBorder="0" applyAlignment="0" applyProtection="0">
      <alignment vertical="center"/>
    </xf>
    <xf numFmtId="0" fontId="85" fillId="0" borderId="0" applyNumberFormat="0" applyFill="0" applyBorder="0" applyAlignment="0" applyProtection="0">
      <alignment vertical="center"/>
    </xf>
    <xf numFmtId="0" fontId="87" fillId="0" borderId="2" applyNumberFormat="0" applyFill="0" applyAlignment="0" applyProtection="0">
      <alignment vertical="center"/>
    </xf>
    <xf numFmtId="0" fontId="88" fillId="0" borderId="3" applyNumberFormat="0" applyFill="0" applyAlignment="0" applyProtection="0">
      <alignment vertical="center"/>
    </xf>
    <xf numFmtId="0" fontId="105" fillId="0" borderId="21" applyNumberFormat="0" applyFill="0" applyAlignment="0" applyProtection="0">
      <alignment vertical="center"/>
    </xf>
    <xf numFmtId="0" fontId="102" fillId="57" borderId="0" applyNumberFormat="0" applyBorder="0" applyAlignment="0" applyProtection="0">
      <alignment vertical="center"/>
    </xf>
    <xf numFmtId="0" fontId="102" fillId="59" borderId="0" applyNumberFormat="0" applyBorder="0" applyAlignment="0" applyProtection="0">
      <alignment vertical="center"/>
    </xf>
    <xf numFmtId="0" fontId="103" fillId="0" borderId="19" applyNumberFormat="0" applyFill="0" applyAlignment="0" applyProtection="0">
      <alignment vertical="center"/>
    </xf>
    <xf numFmtId="0" fontId="84" fillId="15"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15" borderId="0" applyNumberFormat="0" applyBorder="0" applyAlignment="0" applyProtection="0">
      <alignment vertical="center"/>
    </xf>
    <xf numFmtId="0" fontId="84" fillId="13" borderId="0" applyNumberFormat="0" applyBorder="0" applyAlignment="0" applyProtection="0">
      <alignment vertical="center"/>
    </xf>
    <xf numFmtId="0" fontId="84" fillId="14" borderId="0" applyNumberFormat="0" applyBorder="0" applyAlignment="0" applyProtection="0">
      <alignment vertical="center"/>
    </xf>
    <xf numFmtId="0" fontId="102" fillId="58"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13" borderId="0" applyNumberFormat="0" applyBorder="0" applyAlignment="0" applyProtection="0">
      <alignment vertical="center"/>
    </xf>
    <xf numFmtId="0" fontId="102" fillId="56" borderId="0" applyNumberFormat="0" applyBorder="0" applyAlignment="0" applyProtection="0">
      <alignment vertical="center"/>
    </xf>
    <xf numFmtId="0" fontId="84" fillId="10" borderId="0" applyNumberFormat="0" applyBorder="0" applyAlignment="0" applyProtection="0">
      <alignment vertical="center"/>
    </xf>
    <xf numFmtId="0" fontId="102" fillId="56" borderId="0" applyNumberFormat="0" applyBorder="0" applyAlignment="0" applyProtection="0">
      <alignment vertical="center"/>
    </xf>
    <xf numFmtId="0" fontId="84" fillId="9" borderId="0" applyNumberFormat="0" applyBorder="0" applyAlignment="0" applyProtection="0">
      <alignment vertical="center"/>
    </xf>
    <xf numFmtId="0" fontId="102" fillId="10" borderId="0" applyNumberFormat="0" applyBorder="0" applyAlignment="0" applyProtection="0">
      <alignment vertical="center"/>
    </xf>
    <xf numFmtId="0" fontId="102" fillId="56" borderId="0" applyNumberFormat="0" applyBorder="0" applyAlignment="0" applyProtection="0">
      <alignment vertical="center"/>
    </xf>
    <xf numFmtId="0" fontId="83" fillId="11" borderId="0" applyNumberFormat="0" applyBorder="0" applyAlignment="0" applyProtection="0">
      <alignment vertical="center"/>
    </xf>
    <xf numFmtId="0" fontId="84" fillId="12"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8"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5"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5" borderId="0" applyNumberFormat="0" applyBorder="0" applyAlignment="0" applyProtection="0">
      <alignment vertical="center"/>
    </xf>
    <xf numFmtId="0" fontId="83" fillId="8"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10"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10" borderId="0" applyNumberFormat="0" applyBorder="0" applyAlignment="0" applyProtection="0">
      <alignment vertical="center"/>
    </xf>
    <xf numFmtId="0" fontId="83" fillId="5"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101"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8" borderId="0" applyNumberFormat="0" applyBorder="0" applyAlignment="0" applyProtection="0">
      <alignment vertical="center"/>
    </xf>
    <xf numFmtId="0" fontId="101" fillId="4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101" fillId="48" borderId="0" applyNumberFormat="0" applyBorder="0" applyAlignment="0" applyProtection="0">
      <alignment vertical="center"/>
    </xf>
    <xf numFmtId="0" fontId="83" fillId="7" borderId="0" applyNumberFormat="0" applyBorder="0" applyAlignment="0" applyProtection="0">
      <alignment vertical="center"/>
    </xf>
    <xf numFmtId="0" fontId="83" fillId="8"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5" borderId="0" applyNumberFormat="0" applyBorder="0" applyAlignment="0" applyProtection="0">
      <alignment vertical="center"/>
    </xf>
    <xf numFmtId="0" fontId="101" fillId="45"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3" borderId="0" applyNumberFormat="0" applyBorder="0" applyAlignment="0" applyProtection="0">
      <alignment vertical="center"/>
    </xf>
    <xf numFmtId="0" fontId="101" fillId="4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8"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3" borderId="0" applyNumberFormat="0" applyBorder="0" applyAlignment="0" applyProtection="0">
      <alignment vertical="center"/>
    </xf>
    <xf numFmtId="0" fontId="101" fillId="42" borderId="0" applyNumberFormat="0" applyBorder="0" applyAlignment="0" applyProtection="0">
      <alignment vertical="center"/>
    </xf>
    <xf numFmtId="0" fontId="83" fillId="72" borderId="27" applyNumberFormat="0" applyFont="0" applyAlignment="0" applyProtection="0">
      <alignment vertical="center"/>
    </xf>
    <xf numFmtId="0" fontId="102" fillId="59" borderId="0" applyNumberFormat="0" applyBorder="0" applyAlignment="0" applyProtection="0">
      <alignment vertical="center"/>
    </xf>
    <xf numFmtId="0" fontId="101" fillId="50" borderId="0" applyNumberFormat="0" applyBorder="0" applyAlignment="0" applyProtection="0">
      <alignment vertical="center"/>
    </xf>
    <xf numFmtId="0" fontId="101" fillId="4" borderId="0" applyNumberFormat="0" applyBorder="0" applyAlignment="0" applyProtection="0">
      <alignment vertical="center"/>
    </xf>
    <xf numFmtId="0" fontId="101" fillId="3" borderId="0" applyNumberFormat="0" applyBorder="0" applyAlignment="0" applyProtection="0">
      <alignment vertical="center"/>
    </xf>
    <xf numFmtId="0" fontId="101" fillId="2" borderId="0" applyNumberFormat="0" applyBorder="0" applyAlignment="0" applyProtection="0">
      <alignment vertical="center"/>
    </xf>
    <xf numFmtId="0" fontId="102" fillId="59" borderId="0" applyNumberFormat="0" applyBorder="0" applyAlignment="0" applyProtection="0">
      <alignment vertical="center"/>
    </xf>
    <xf numFmtId="0" fontId="102" fillId="10" borderId="0" applyNumberFormat="0" applyBorder="0" applyAlignment="0" applyProtection="0">
      <alignment vertical="center"/>
    </xf>
    <xf numFmtId="0" fontId="101" fillId="10" borderId="0" applyNumberFormat="0" applyBorder="0" applyAlignment="0" applyProtection="0">
      <alignment vertical="center"/>
    </xf>
    <xf numFmtId="0" fontId="101" fillId="5" borderId="0" applyNumberFormat="0" applyBorder="0" applyAlignment="0" applyProtection="0">
      <alignment vertical="center"/>
    </xf>
    <xf numFmtId="0" fontId="101" fillId="44" borderId="0" applyNumberFormat="0" applyBorder="0" applyAlignment="0" applyProtection="0">
      <alignment vertical="center"/>
    </xf>
    <xf numFmtId="0" fontId="101" fillId="43" borderId="0" applyNumberFormat="0" applyBorder="0" applyAlignment="0" applyProtection="0">
      <alignment vertical="center"/>
    </xf>
    <xf numFmtId="0" fontId="101" fillId="42" borderId="0" applyNumberFormat="0" applyBorder="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102" fillId="10" borderId="0" applyNumberFormat="0" applyBorder="0" applyAlignment="0" applyProtection="0">
      <alignment vertical="center"/>
    </xf>
    <xf numFmtId="0" fontId="83" fillId="11"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10" borderId="0" applyNumberFormat="0" applyBorder="0" applyAlignment="0" applyProtection="0">
      <alignment vertical="center"/>
    </xf>
    <xf numFmtId="0" fontId="101" fillId="10" borderId="0" applyNumberFormat="0" applyBorder="0" applyAlignment="0" applyProtection="0">
      <alignment vertical="center"/>
    </xf>
    <xf numFmtId="0" fontId="101"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6"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97" fillId="22" borderId="0" applyNumberFormat="0" applyBorder="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99" fillId="7" borderId="5" applyNumberFormat="0" applyAlignment="0" applyProtection="0">
      <alignment vertical="center"/>
    </xf>
    <xf numFmtId="0" fontId="117" fillId="71" borderId="23" applyNumberFormat="0" applyAlignment="0" applyProtection="0">
      <alignment vertical="center"/>
    </xf>
    <xf numFmtId="0" fontId="98" fillId="16" borderId="8" applyNumberFormat="0" applyAlignment="0" applyProtection="0">
      <alignment vertical="center"/>
    </xf>
    <xf numFmtId="0" fontId="84" fillId="21" borderId="0" applyNumberFormat="0" applyBorder="0" applyAlignment="0" applyProtection="0">
      <alignment vertical="center"/>
    </xf>
    <xf numFmtId="0" fontId="84" fillId="14" borderId="0" applyNumberFormat="0" applyBorder="0" applyAlignment="0" applyProtection="0">
      <alignment vertical="center"/>
    </xf>
    <xf numFmtId="0" fontId="102" fillId="68" borderId="0" applyNumberFormat="0" applyBorder="0" applyAlignment="0" applyProtection="0">
      <alignment vertical="center"/>
    </xf>
    <xf numFmtId="0" fontId="84" fillId="13" borderId="0" applyNumberFormat="0" applyBorder="0" applyAlignment="0" applyProtection="0">
      <alignment vertical="center"/>
    </xf>
    <xf numFmtId="0" fontId="84" fillId="20" borderId="0" applyNumberFormat="0" applyBorder="0" applyAlignment="0" applyProtection="0">
      <alignment vertical="center"/>
    </xf>
    <xf numFmtId="0" fontId="84" fillId="18" borderId="0" applyNumberFormat="0" applyBorder="0" applyAlignment="0" applyProtection="0">
      <alignment vertical="center"/>
    </xf>
    <xf numFmtId="0" fontId="84" fillId="19" borderId="0" applyNumberFormat="0" applyBorder="0" applyAlignment="0" applyProtection="0">
      <alignment vertical="center"/>
    </xf>
    <xf numFmtId="0" fontId="102" fillId="65" borderId="0" applyNumberFormat="0" applyBorder="0" applyAlignment="0" applyProtection="0">
      <alignment vertical="center"/>
    </xf>
    <xf numFmtId="0" fontId="95" fillId="0" borderId="0" applyNumberFormat="0" applyFill="0" applyBorder="0" applyAlignment="0" applyProtection="0">
      <alignment vertical="center"/>
    </xf>
    <xf numFmtId="0" fontId="96" fillId="0" borderId="7" applyNumberFormat="0" applyFill="0" applyAlignment="0" applyProtection="0">
      <alignment vertical="center"/>
    </xf>
    <xf numFmtId="0" fontId="82" fillId="0" borderId="0">
      <alignment vertical="center"/>
    </xf>
    <xf numFmtId="0" fontId="82" fillId="0" borderId="0">
      <alignment vertical="center"/>
    </xf>
    <xf numFmtId="0" fontId="111" fillId="63" borderId="24" applyNumberFormat="0" applyAlignment="0" applyProtection="0">
      <alignment vertical="center"/>
    </xf>
    <xf numFmtId="0" fontId="94" fillId="0" borderId="0" applyNumberFormat="0" applyFill="0" applyBorder="0" applyAlignment="0" applyProtection="0">
      <alignment vertical="center"/>
    </xf>
    <xf numFmtId="0" fontId="93" fillId="17" borderId="6" applyNumberFormat="0" applyAlignment="0" applyProtection="0">
      <alignment vertical="center"/>
    </xf>
    <xf numFmtId="0" fontId="91" fillId="0" borderId="4" applyNumberFormat="0" applyFill="0" applyAlignment="0" applyProtection="0">
      <alignment vertical="center"/>
    </xf>
    <xf numFmtId="0" fontId="92" fillId="16" borderId="5" applyNumberFormat="0" applyAlignment="0" applyProtection="0">
      <alignment vertical="center"/>
    </xf>
    <xf numFmtId="0" fontId="82" fillId="0" borderId="0">
      <alignment vertical="center"/>
    </xf>
    <xf numFmtId="0" fontId="90" fillId="4" borderId="0" applyNumberFormat="0" applyBorder="0" applyAlignment="0" applyProtection="0">
      <alignment vertical="center"/>
    </xf>
    <xf numFmtId="0" fontId="108" fillId="61" borderId="0" applyNumberFormat="0" applyBorder="0" applyAlignment="0" applyProtection="0">
      <alignment vertical="center"/>
    </xf>
    <xf numFmtId="0" fontId="86" fillId="0" borderId="1" applyNumberFormat="0" applyFill="0" applyAlignment="0" applyProtection="0">
      <alignment vertical="center"/>
    </xf>
    <xf numFmtId="0" fontId="107" fillId="60" borderId="0" applyNumberFormat="0" applyBorder="0" applyAlignment="0" applyProtection="0">
      <alignment vertical="center"/>
    </xf>
    <xf numFmtId="0" fontId="82" fillId="0" borderId="0">
      <alignment vertical="center"/>
    </xf>
    <xf numFmtId="0" fontId="89" fillId="3" borderId="0" applyNumberFormat="0" applyBorder="0" applyAlignment="0" applyProtection="0">
      <alignment vertical="center"/>
    </xf>
    <xf numFmtId="0" fontId="105" fillId="0" borderId="0" applyNumberFormat="0" applyFill="0" applyBorder="0" applyAlignment="0" applyProtection="0">
      <alignment vertical="center"/>
    </xf>
    <xf numFmtId="0" fontId="85"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7" fillId="0" borderId="2" applyNumberFormat="0" applyFill="0" applyAlignment="0" applyProtection="0">
      <alignment vertical="center"/>
    </xf>
    <xf numFmtId="0" fontId="88" fillId="0" borderId="3" applyNumberFormat="0" applyFill="0" applyAlignment="0" applyProtection="0">
      <alignment vertical="center"/>
    </xf>
    <xf numFmtId="0" fontId="102" fillId="57" borderId="0" applyNumberFormat="0" applyBorder="0" applyAlignment="0" applyProtection="0">
      <alignment vertical="center"/>
    </xf>
    <xf numFmtId="0" fontId="102" fillId="59" borderId="0" applyNumberFormat="0" applyBorder="0" applyAlignment="0" applyProtection="0">
      <alignment vertical="center"/>
    </xf>
    <xf numFmtId="0" fontId="103" fillId="0" borderId="19" applyNumberFormat="0" applyFill="0" applyAlignment="0" applyProtection="0">
      <alignment vertical="center"/>
    </xf>
    <xf numFmtId="0" fontId="84" fillId="15"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15" borderId="0" applyNumberFormat="0" applyBorder="0" applyAlignment="0" applyProtection="0">
      <alignment vertical="center"/>
    </xf>
    <xf numFmtId="0" fontId="84" fillId="13" borderId="0" applyNumberFormat="0" applyBorder="0" applyAlignment="0" applyProtection="0">
      <alignment vertical="center"/>
    </xf>
    <xf numFmtId="0" fontId="84" fillId="14" borderId="0" applyNumberFormat="0" applyBorder="0" applyAlignment="0" applyProtection="0">
      <alignment vertical="center"/>
    </xf>
    <xf numFmtId="0" fontId="102" fillId="58"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13" borderId="0" applyNumberFormat="0" applyBorder="0" applyAlignment="0" applyProtection="0">
      <alignment vertical="center"/>
    </xf>
    <xf numFmtId="0" fontId="102" fillId="56" borderId="0" applyNumberFormat="0" applyBorder="0" applyAlignment="0" applyProtection="0">
      <alignment vertical="center"/>
    </xf>
    <xf numFmtId="0" fontId="84" fillId="10" borderId="0" applyNumberFormat="0" applyBorder="0" applyAlignment="0" applyProtection="0">
      <alignment vertical="center"/>
    </xf>
    <xf numFmtId="0" fontId="102" fillId="56" borderId="0" applyNumberFormat="0" applyBorder="0" applyAlignment="0" applyProtection="0">
      <alignment vertical="center"/>
    </xf>
    <xf numFmtId="0" fontId="84" fillId="9" borderId="0" applyNumberFormat="0" applyBorder="0" applyAlignment="0" applyProtection="0">
      <alignment vertical="center"/>
    </xf>
    <xf numFmtId="0" fontId="102" fillId="10" borderId="0" applyNumberFormat="0" applyBorder="0" applyAlignment="0" applyProtection="0">
      <alignment vertical="center"/>
    </xf>
    <xf numFmtId="0" fontId="102" fillId="56" borderId="0" applyNumberFormat="0" applyBorder="0" applyAlignment="0" applyProtection="0">
      <alignment vertical="center"/>
    </xf>
    <xf numFmtId="0" fontId="83" fillId="11" borderId="0" applyNumberFormat="0" applyBorder="0" applyAlignment="0" applyProtection="0">
      <alignment vertical="center"/>
    </xf>
    <xf numFmtId="0" fontId="84" fillId="12"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8"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101" fillId="52" borderId="0" applyNumberFormat="0" applyBorder="0" applyAlignment="0" applyProtection="0">
      <alignment vertical="center"/>
    </xf>
    <xf numFmtId="0" fontId="83" fillId="5"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5" borderId="0" applyNumberFormat="0" applyBorder="0" applyAlignment="0" applyProtection="0">
      <alignment vertical="center"/>
    </xf>
    <xf numFmtId="0" fontId="83" fillId="8"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10"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10" borderId="0" applyNumberFormat="0" applyBorder="0" applyAlignment="0" applyProtection="0">
      <alignment vertical="center"/>
    </xf>
    <xf numFmtId="0" fontId="83" fillId="5"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101" fillId="10" borderId="0" applyNumberFormat="0" applyBorder="0" applyAlignment="0" applyProtection="0">
      <alignment vertical="center"/>
    </xf>
    <xf numFmtId="0" fontId="83" fillId="1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83" fillId="10" borderId="0" applyNumberFormat="0" applyBorder="0" applyAlignment="0" applyProtection="0">
      <alignment vertical="center"/>
    </xf>
    <xf numFmtId="0" fontId="101" fillId="5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8" borderId="0" applyNumberFormat="0" applyBorder="0" applyAlignment="0" applyProtection="0">
      <alignment vertical="center"/>
    </xf>
    <xf numFmtId="0" fontId="101" fillId="4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101" fillId="48" borderId="0" applyNumberFormat="0" applyBorder="0" applyAlignment="0" applyProtection="0">
      <alignment vertical="center"/>
    </xf>
    <xf numFmtId="0" fontId="83" fillId="7"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101" fillId="4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101" fillId="4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45" borderId="0" applyNumberFormat="0" applyBorder="0" applyAlignment="0" applyProtection="0">
      <alignment vertical="center"/>
    </xf>
    <xf numFmtId="0" fontId="101" fillId="5" borderId="0" applyNumberFormat="0" applyBorder="0" applyAlignment="0" applyProtection="0">
      <alignment vertical="center"/>
    </xf>
    <xf numFmtId="0" fontId="101" fillId="5" borderId="0" applyNumberFormat="0" applyBorder="0" applyAlignment="0" applyProtection="0">
      <alignment vertical="center"/>
    </xf>
    <xf numFmtId="0" fontId="101" fillId="4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4"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101" fillId="44" borderId="0" applyNumberFormat="0" applyBorder="0" applyAlignment="0" applyProtection="0">
      <alignment vertical="center"/>
    </xf>
    <xf numFmtId="0" fontId="83" fillId="4" borderId="0" applyNumberFormat="0" applyBorder="0" applyAlignment="0" applyProtection="0">
      <alignment vertical="center"/>
    </xf>
    <xf numFmtId="0" fontId="101" fillId="44" borderId="0" applyNumberFormat="0" applyBorder="0" applyAlignment="0" applyProtection="0">
      <alignment vertical="center"/>
    </xf>
    <xf numFmtId="0" fontId="101" fillId="4" borderId="0" applyNumberFormat="0" applyBorder="0" applyAlignment="0" applyProtection="0">
      <alignment vertical="center"/>
    </xf>
    <xf numFmtId="0" fontId="101" fillId="4" borderId="0" applyNumberFormat="0" applyBorder="0" applyAlignment="0" applyProtection="0">
      <alignment vertical="center"/>
    </xf>
    <xf numFmtId="0" fontId="101" fillId="4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3" borderId="0" applyNumberFormat="0" applyBorder="0" applyAlignment="0" applyProtection="0">
      <alignment vertical="center"/>
    </xf>
    <xf numFmtId="0" fontId="101" fillId="3" borderId="0" applyNumberFormat="0" applyBorder="0" applyAlignment="0" applyProtection="0">
      <alignment vertical="center"/>
    </xf>
    <xf numFmtId="0" fontId="101" fillId="4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8" borderId="0" applyNumberFormat="0" applyBorder="0" applyAlignment="0" applyProtection="0">
      <alignment vertical="center"/>
    </xf>
    <xf numFmtId="0" fontId="101" fillId="42" borderId="0" applyNumberFormat="0" applyBorder="0" applyAlignment="0" applyProtection="0">
      <alignment vertical="center"/>
    </xf>
    <xf numFmtId="0" fontId="101" fillId="2" borderId="0" applyNumberFormat="0" applyBorder="0" applyAlignment="0" applyProtection="0">
      <alignment vertical="center"/>
    </xf>
    <xf numFmtId="0" fontId="101" fillId="42" borderId="0" applyNumberFormat="0" applyBorder="0" applyAlignment="0" applyProtection="0">
      <alignment vertical="center"/>
    </xf>
    <xf numFmtId="0" fontId="101" fillId="2" borderId="0" applyNumberFormat="0" applyBorder="0" applyAlignment="0" applyProtection="0">
      <alignment vertical="center"/>
    </xf>
    <xf numFmtId="0" fontId="101" fillId="42" borderId="0" applyNumberFormat="0" applyBorder="0" applyAlignment="0" applyProtection="0">
      <alignment vertical="center"/>
    </xf>
    <xf numFmtId="0" fontId="101" fillId="2" borderId="0" applyNumberFormat="0" applyBorder="0" applyAlignment="0" applyProtection="0">
      <alignment vertical="center"/>
    </xf>
    <xf numFmtId="0" fontId="101" fillId="4" borderId="0" applyNumberFormat="0" applyBorder="0" applyAlignment="0" applyProtection="0">
      <alignment vertical="center"/>
    </xf>
    <xf numFmtId="0" fontId="101" fillId="43" borderId="0" applyNumberFormat="0" applyBorder="0" applyAlignment="0" applyProtection="0">
      <alignment vertical="center"/>
    </xf>
    <xf numFmtId="0" fontId="101" fillId="43" borderId="0" applyNumberFormat="0" applyBorder="0" applyAlignment="0" applyProtection="0">
      <alignment vertical="center"/>
    </xf>
    <xf numFmtId="0" fontId="101" fillId="3" borderId="0" applyNumberFormat="0" applyBorder="0" applyAlignment="0" applyProtection="0">
      <alignment vertical="center"/>
    </xf>
    <xf numFmtId="0" fontId="101" fillId="43" borderId="0" applyNumberFormat="0" applyBorder="0" applyAlignment="0" applyProtection="0">
      <alignment vertical="center"/>
    </xf>
    <xf numFmtId="0" fontId="101" fillId="3" borderId="0" applyNumberFormat="0" applyBorder="0" applyAlignment="0" applyProtection="0">
      <alignment vertical="center"/>
    </xf>
    <xf numFmtId="0" fontId="101" fillId="43" borderId="0" applyNumberFormat="0" applyBorder="0" applyAlignment="0" applyProtection="0">
      <alignment vertical="center"/>
    </xf>
    <xf numFmtId="0" fontId="101" fillId="3" borderId="0" applyNumberFormat="0" applyBorder="0" applyAlignment="0" applyProtection="0">
      <alignment vertical="center"/>
    </xf>
    <xf numFmtId="0" fontId="101" fillId="44" borderId="0" applyNumberFormat="0" applyBorder="0" applyAlignment="0" applyProtection="0">
      <alignment vertical="center"/>
    </xf>
    <xf numFmtId="0" fontId="101" fillId="4" borderId="0" applyNumberFormat="0" applyBorder="0" applyAlignment="0" applyProtection="0">
      <alignment vertical="center"/>
    </xf>
    <xf numFmtId="0" fontId="101" fillId="44" borderId="0" applyNumberFormat="0" applyBorder="0" applyAlignment="0" applyProtection="0">
      <alignment vertical="center"/>
    </xf>
    <xf numFmtId="0" fontId="101" fillId="4" borderId="0" applyNumberFormat="0" applyBorder="0" applyAlignment="0" applyProtection="0">
      <alignment vertical="center"/>
    </xf>
    <xf numFmtId="0" fontId="101" fillId="44" borderId="0" applyNumberFormat="0" applyBorder="0" applyAlignment="0" applyProtection="0">
      <alignment vertical="center"/>
    </xf>
    <xf numFmtId="0" fontId="101" fillId="4" borderId="0" applyNumberFormat="0" applyBorder="0" applyAlignment="0" applyProtection="0">
      <alignment vertical="center"/>
    </xf>
    <xf numFmtId="0" fontId="101" fillId="43" borderId="0" applyNumberFormat="0" applyBorder="0" applyAlignment="0" applyProtection="0">
      <alignment vertical="center"/>
    </xf>
    <xf numFmtId="0" fontId="101" fillId="3" borderId="0" applyNumberFormat="0" applyBorder="0" applyAlignment="0" applyProtection="0">
      <alignment vertical="center"/>
    </xf>
    <xf numFmtId="0" fontId="101" fillId="42" borderId="0" applyNumberFormat="0" applyBorder="0" applyAlignment="0" applyProtection="0">
      <alignment vertical="center"/>
    </xf>
    <xf numFmtId="0" fontId="101" fillId="45" borderId="0" applyNumberFormat="0" applyBorder="0" applyAlignment="0" applyProtection="0">
      <alignment vertical="center"/>
    </xf>
    <xf numFmtId="0" fontId="101" fillId="5" borderId="0" applyNumberFormat="0" applyBorder="0" applyAlignment="0" applyProtection="0">
      <alignment vertical="center"/>
    </xf>
    <xf numFmtId="0" fontId="101" fillId="45" borderId="0" applyNumberFormat="0" applyBorder="0" applyAlignment="0" applyProtection="0">
      <alignment vertical="center"/>
    </xf>
    <xf numFmtId="0" fontId="101" fillId="5" borderId="0" applyNumberFormat="0" applyBorder="0" applyAlignment="0" applyProtection="0">
      <alignment vertical="center"/>
    </xf>
    <xf numFmtId="0" fontId="101" fillId="45" borderId="0" applyNumberFormat="0" applyBorder="0" applyAlignment="0" applyProtection="0">
      <alignment vertical="center"/>
    </xf>
    <xf numFmtId="0" fontId="101" fillId="5" borderId="0" applyNumberFormat="0" applyBorder="0" applyAlignment="0" applyProtection="0">
      <alignment vertical="center"/>
    </xf>
    <xf numFmtId="0" fontId="101" fillId="50" borderId="0" applyNumberFormat="0" applyBorder="0" applyAlignment="0" applyProtection="0">
      <alignment vertical="center"/>
    </xf>
    <xf numFmtId="0" fontId="102" fillId="56" borderId="0" applyNumberFormat="0" applyBorder="0" applyAlignment="0" applyProtection="0">
      <alignment vertical="center"/>
    </xf>
    <xf numFmtId="0" fontId="101" fillId="10" borderId="0" applyNumberFormat="0" applyBorder="0" applyAlignment="0" applyProtection="0">
      <alignment vertical="center"/>
    </xf>
    <xf numFmtId="0" fontId="101" fillId="50" borderId="0" applyNumberFormat="0" applyBorder="0" applyAlignment="0" applyProtection="0">
      <alignment vertical="center"/>
    </xf>
    <xf numFmtId="0" fontId="101" fillId="10" borderId="0" applyNumberFormat="0" applyBorder="0" applyAlignment="0" applyProtection="0">
      <alignment vertical="center"/>
    </xf>
    <xf numFmtId="0" fontId="101" fillId="50" borderId="0" applyNumberFormat="0" applyBorder="0" applyAlignment="0" applyProtection="0">
      <alignment vertical="center"/>
    </xf>
    <xf numFmtId="0" fontId="101" fillId="10" borderId="0" applyNumberFormat="0" applyBorder="0" applyAlignment="0" applyProtection="0">
      <alignment vertical="center"/>
    </xf>
    <xf numFmtId="0" fontId="101" fillId="45" borderId="0" applyNumberFormat="0" applyBorder="0" applyAlignment="0" applyProtection="0">
      <alignment vertical="center"/>
    </xf>
    <xf numFmtId="0" fontId="101" fillId="4" borderId="0" applyNumberFormat="0" applyBorder="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8"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7"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5"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102" fillId="56" borderId="0" applyNumberFormat="0" applyBorder="0" applyAlignment="0" applyProtection="0">
      <alignment vertical="center"/>
    </xf>
    <xf numFmtId="0" fontId="101"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102" fillId="10" borderId="0" applyNumberFormat="0" applyBorder="0" applyAlignment="0" applyProtection="0">
      <alignment vertical="center"/>
    </xf>
    <xf numFmtId="0" fontId="102" fillId="56" borderId="0" applyNumberFormat="0" applyBorder="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102" fillId="10" borderId="0" applyNumberFormat="0" applyBorder="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102" fillId="56" borderId="0" applyNumberFormat="0" applyBorder="0" applyAlignment="0" applyProtection="0">
      <alignment vertical="center"/>
    </xf>
    <xf numFmtId="0" fontId="102" fillId="10" borderId="0" applyNumberFormat="0" applyBorder="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102" fillId="57" borderId="0" applyNumberFormat="0" applyBorder="0" applyAlignment="0" applyProtection="0">
      <alignment vertical="center"/>
    </xf>
    <xf numFmtId="0" fontId="102" fillId="13" borderId="0" applyNumberFormat="0" applyBorder="0" applyAlignment="0" applyProtection="0">
      <alignment vertical="center"/>
    </xf>
    <xf numFmtId="0" fontId="102" fillId="57" borderId="0" applyNumberFormat="0" applyBorder="0" applyAlignment="0" applyProtection="0">
      <alignment vertical="center"/>
    </xf>
    <xf numFmtId="0" fontId="102" fillId="13" borderId="0" applyNumberFormat="0" applyBorder="0" applyAlignment="0" applyProtection="0">
      <alignment vertical="center"/>
    </xf>
    <xf numFmtId="0" fontId="83" fillId="72" borderId="27" applyNumberFormat="0" applyFont="0" applyAlignment="0" applyProtection="0">
      <alignment vertical="center"/>
    </xf>
    <xf numFmtId="0" fontId="102" fillId="57" borderId="0" applyNumberFormat="0" applyBorder="0" applyAlignment="0" applyProtection="0">
      <alignment vertical="center"/>
    </xf>
    <xf numFmtId="0" fontId="102" fillId="13" borderId="0" applyNumberFormat="0" applyBorder="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102" fillId="59" borderId="0" applyNumberFormat="0" applyBorder="0" applyAlignment="0" applyProtection="0">
      <alignment vertical="center"/>
    </xf>
    <xf numFmtId="0" fontId="83" fillId="72" borderId="27"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102" fillId="15" borderId="0" applyNumberFormat="0" applyBorder="0" applyAlignment="0" applyProtection="0">
      <alignment vertical="center"/>
    </xf>
    <xf numFmtId="0" fontId="102" fillId="59" borderId="0" applyNumberFormat="0" applyBorder="0" applyAlignment="0" applyProtection="0">
      <alignment vertical="center"/>
    </xf>
    <xf numFmtId="0" fontId="101" fillId="42" borderId="0" applyNumberFormat="0" applyBorder="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102" fillId="15" borderId="0" applyNumberFormat="0" applyBorder="0" applyAlignment="0" applyProtection="0">
      <alignment vertical="center"/>
    </xf>
    <xf numFmtId="0" fontId="83" fillId="23" borderId="9" applyNumberFormat="0" applyFont="0" applyAlignment="0" applyProtection="0">
      <alignment vertical="center"/>
    </xf>
    <xf numFmtId="0" fontId="99" fillId="7" borderId="5" applyNumberFormat="0" applyAlignment="0" applyProtection="0">
      <alignment vertical="center"/>
    </xf>
    <xf numFmtId="0" fontId="98" fillId="16" borderId="8" applyNumberFormat="0" applyAlignment="0" applyProtection="0">
      <alignment vertical="center"/>
    </xf>
    <xf numFmtId="0" fontId="97" fillId="22" borderId="0" applyNumberFormat="0" applyBorder="0" applyAlignment="0" applyProtection="0">
      <alignment vertical="center"/>
    </xf>
    <xf numFmtId="0" fontId="102" fillId="59" borderId="0" applyNumberFormat="0" applyBorder="0" applyAlignment="0" applyProtection="0">
      <alignment vertical="center"/>
    </xf>
    <xf numFmtId="0" fontId="102" fillId="15" borderId="0" applyNumberFormat="0" applyBorder="0" applyAlignment="0" applyProtection="0">
      <alignment vertical="center"/>
    </xf>
    <xf numFmtId="0" fontId="84" fillId="21" borderId="0" applyNumberFormat="0" applyBorder="0" applyAlignment="0" applyProtection="0">
      <alignment vertical="center"/>
    </xf>
    <xf numFmtId="0" fontId="102" fillId="69" borderId="0" applyNumberFormat="0" applyBorder="0" applyAlignment="0" applyProtection="0">
      <alignment vertical="center"/>
    </xf>
    <xf numFmtId="0" fontId="84" fillId="14" borderId="0" applyNumberFormat="0" applyBorder="0" applyAlignment="0" applyProtection="0">
      <alignment vertical="center"/>
    </xf>
    <xf numFmtId="0" fontId="84" fillId="13" borderId="0" applyNumberFormat="0" applyBorder="0" applyAlignment="0" applyProtection="0">
      <alignment vertical="center"/>
    </xf>
    <xf numFmtId="0" fontId="84" fillId="20" borderId="0" applyNumberFormat="0" applyBorder="0" applyAlignment="0" applyProtection="0">
      <alignment vertical="center"/>
    </xf>
    <xf numFmtId="0" fontId="102" fillId="66" borderId="0" applyNumberFormat="0" applyBorder="0" applyAlignment="0" applyProtection="0">
      <alignment vertical="center"/>
    </xf>
    <xf numFmtId="0" fontId="84" fillId="18" borderId="0" applyNumberFormat="0" applyBorder="0" applyAlignment="0" applyProtection="0">
      <alignment vertical="center"/>
    </xf>
    <xf numFmtId="0" fontId="84" fillId="19" borderId="0" applyNumberFormat="0" applyBorder="0" applyAlignment="0" applyProtection="0">
      <alignment vertical="center"/>
    </xf>
    <xf numFmtId="0" fontId="95" fillId="0" borderId="0" applyNumberFormat="0" applyFill="0" applyBorder="0" applyAlignment="0" applyProtection="0">
      <alignment vertical="center"/>
    </xf>
    <xf numFmtId="0" fontId="96" fillId="0" borderId="7" applyNumberFormat="0" applyFill="0" applyAlignment="0" applyProtection="0">
      <alignment vertical="center"/>
    </xf>
    <xf numFmtId="0" fontId="114" fillId="0" borderId="25" applyNumberFormat="0" applyFill="0" applyAlignment="0" applyProtection="0">
      <alignment vertical="center"/>
    </xf>
    <xf numFmtId="0" fontId="82" fillId="0" borderId="0">
      <alignment vertical="center"/>
    </xf>
    <xf numFmtId="0" fontId="111" fillId="63" borderId="24" applyNumberFormat="0" applyAlignment="0" applyProtection="0">
      <alignment vertical="center"/>
    </xf>
    <xf numFmtId="0" fontId="94" fillId="0" borderId="0" applyNumberFormat="0" applyFill="0" applyBorder="0" applyAlignment="0" applyProtection="0">
      <alignment vertical="center"/>
    </xf>
    <xf numFmtId="0" fontId="93" fillId="17" borderId="6" applyNumberFormat="0" applyAlignment="0" applyProtection="0">
      <alignment vertical="center"/>
    </xf>
    <xf numFmtId="0" fontId="91" fillId="0" borderId="4" applyNumberFormat="0" applyFill="0" applyAlignment="0" applyProtection="0">
      <alignment vertical="center"/>
    </xf>
    <xf numFmtId="0" fontId="92" fillId="16" borderId="5" applyNumberFormat="0" applyAlignment="0" applyProtection="0">
      <alignment vertical="center"/>
    </xf>
    <xf numFmtId="0" fontId="82" fillId="0" borderId="0">
      <alignment vertical="center"/>
    </xf>
    <xf numFmtId="0" fontId="90" fillId="4" borderId="0" applyNumberFormat="0" applyBorder="0" applyAlignment="0" applyProtection="0">
      <alignment vertical="center"/>
    </xf>
    <xf numFmtId="0" fontId="108" fillId="61" borderId="0" applyNumberFormat="0" applyBorder="0" applyAlignment="0" applyProtection="0">
      <alignment vertical="center"/>
    </xf>
    <xf numFmtId="0" fontId="86" fillId="0" borderId="1" applyNumberFormat="0" applyFill="0" applyAlignment="0" applyProtection="0">
      <alignment vertical="center"/>
    </xf>
    <xf numFmtId="0" fontId="82" fillId="0" borderId="0">
      <alignment vertical="center"/>
    </xf>
    <xf numFmtId="0" fontId="89" fillId="3" borderId="0" applyNumberFormat="0" applyBorder="0" applyAlignment="0" applyProtection="0">
      <alignment vertical="center"/>
    </xf>
    <xf numFmtId="0" fontId="105" fillId="0" borderId="0" applyNumberFormat="0" applyFill="0" applyBorder="0" applyAlignment="0" applyProtection="0">
      <alignment vertical="center"/>
    </xf>
    <xf numFmtId="0" fontId="85"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7" fillId="0" borderId="2" applyNumberFormat="0" applyFill="0" applyAlignment="0" applyProtection="0">
      <alignment vertical="center"/>
    </xf>
    <xf numFmtId="0" fontId="88" fillId="0" borderId="3" applyNumberFormat="0" applyFill="0" applyAlignment="0" applyProtection="0">
      <alignment vertical="center"/>
    </xf>
    <xf numFmtId="0" fontId="102" fillId="57" borderId="0" applyNumberFormat="0" applyBorder="0" applyAlignment="0" applyProtection="0">
      <alignment vertical="center"/>
    </xf>
    <xf numFmtId="0" fontId="102" fillId="59" borderId="0" applyNumberFormat="0" applyBorder="0" applyAlignment="0" applyProtection="0">
      <alignment vertical="center"/>
    </xf>
    <xf numFmtId="0" fontId="84" fillId="15"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15" borderId="0" applyNumberFormat="0" applyBorder="0" applyAlignment="0" applyProtection="0">
      <alignment vertical="center"/>
    </xf>
    <xf numFmtId="0" fontId="84" fillId="13" borderId="0" applyNumberFormat="0" applyBorder="0" applyAlignment="0" applyProtection="0">
      <alignment vertical="center"/>
    </xf>
    <xf numFmtId="0" fontId="84" fillId="14" borderId="0" applyNumberFormat="0" applyBorder="0" applyAlignment="0" applyProtection="0">
      <alignment vertical="center"/>
    </xf>
    <xf numFmtId="0" fontId="84" fillId="12" borderId="0" applyNumberFormat="0" applyBorder="0" applyAlignment="0" applyProtection="0">
      <alignment vertical="center"/>
    </xf>
    <xf numFmtId="0" fontId="102" fillId="57" borderId="0" applyNumberFormat="0" applyBorder="0" applyAlignment="0" applyProtection="0">
      <alignment vertical="center"/>
    </xf>
    <xf numFmtId="0" fontId="102" fillId="13" borderId="0" applyNumberFormat="0" applyBorder="0" applyAlignment="0" applyProtection="0">
      <alignment vertical="center"/>
    </xf>
    <xf numFmtId="0" fontId="102" fillId="56" borderId="0" applyNumberFormat="0" applyBorder="0" applyAlignment="0" applyProtection="0">
      <alignment vertical="center"/>
    </xf>
    <xf numFmtId="0" fontId="84" fillId="10" borderId="0" applyNumberFormat="0" applyBorder="0" applyAlignment="0" applyProtection="0">
      <alignment vertical="center"/>
    </xf>
    <xf numFmtId="0" fontId="102" fillId="56" borderId="0" applyNumberFormat="0" applyBorder="0" applyAlignment="0" applyProtection="0">
      <alignment vertical="center"/>
    </xf>
    <xf numFmtId="0" fontId="84" fillId="9" borderId="0" applyNumberFormat="0" applyBorder="0" applyAlignment="0" applyProtection="0">
      <alignment vertical="center"/>
    </xf>
    <xf numFmtId="0" fontId="102" fillId="10" borderId="0" applyNumberFormat="0" applyBorder="0" applyAlignment="0" applyProtection="0">
      <alignment vertical="center"/>
    </xf>
    <xf numFmtId="0" fontId="102" fillId="56" borderId="0" applyNumberFormat="0" applyBorder="0" applyAlignment="0" applyProtection="0">
      <alignment vertical="center"/>
    </xf>
    <xf numFmtId="0" fontId="83" fillId="11" borderId="0" applyNumberFormat="0" applyBorder="0" applyAlignment="0" applyProtection="0">
      <alignment vertical="center"/>
    </xf>
    <xf numFmtId="0" fontId="84" fillId="12"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101" fillId="53"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8" borderId="0" applyNumberFormat="0" applyBorder="0" applyAlignment="0" applyProtection="0">
      <alignment vertical="center"/>
    </xf>
    <xf numFmtId="0" fontId="83" fillId="11"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101" fillId="52" borderId="0" applyNumberFormat="0" applyBorder="0" applyAlignment="0" applyProtection="0">
      <alignment vertical="center"/>
    </xf>
    <xf numFmtId="0" fontId="83" fillId="5"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5" borderId="0" applyNumberFormat="0" applyBorder="0" applyAlignment="0" applyProtection="0">
      <alignment vertical="center"/>
    </xf>
    <xf numFmtId="0" fontId="83" fillId="8"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10"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10" borderId="0" applyNumberFormat="0" applyBorder="0" applyAlignment="0" applyProtection="0">
      <alignment vertical="center"/>
    </xf>
    <xf numFmtId="0" fontId="83" fillId="5"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101" fillId="1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8"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101" fillId="2" borderId="0" applyNumberFormat="0" applyBorder="0" applyAlignment="0" applyProtection="0">
      <alignment vertical="center"/>
    </xf>
    <xf numFmtId="0" fontId="83" fillId="7" borderId="0" applyNumberFormat="0" applyBorder="0" applyAlignment="0" applyProtection="0">
      <alignment vertical="center"/>
    </xf>
    <xf numFmtId="0" fontId="83" fillId="8" borderId="0" applyNumberFormat="0" applyBorder="0" applyAlignment="0" applyProtection="0">
      <alignment vertical="center"/>
    </xf>
    <xf numFmtId="0" fontId="83" fillId="5"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101" fillId="47" borderId="0" applyNumberFormat="0" applyBorder="0" applyAlignment="0" applyProtection="0">
      <alignment vertical="center"/>
    </xf>
    <xf numFmtId="0" fontId="83" fillId="72" borderId="27" applyNumberFormat="0" applyFont="0" applyAlignment="0" applyProtection="0">
      <alignment vertical="center"/>
    </xf>
    <xf numFmtId="0" fontId="83" fillId="7"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101" fillId="45" borderId="0" applyNumberFormat="0" applyBorder="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101" fillId="4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101" fillId="4" borderId="0" applyNumberFormat="0" applyBorder="0" applyAlignment="0" applyProtection="0">
      <alignment vertical="center"/>
    </xf>
    <xf numFmtId="0" fontId="101" fillId="44" borderId="0" applyNumberFormat="0" applyBorder="0" applyAlignment="0" applyProtection="0">
      <alignment vertical="center"/>
    </xf>
    <xf numFmtId="0" fontId="101" fillId="5" borderId="0" applyNumberFormat="0" applyBorder="0" applyAlignment="0" applyProtection="0">
      <alignment vertical="center"/>
    </xf>
    <xf numFmtId="0" fontId="101" fillId="45" borderId="0" applyNumberFormat="0" applyBorder="0" applyAlignment="0" applyProtection="0">
      <alignment vertical="center"/>
    </xf>
    <xf numFmtId="0" fontId="102" fillId="57" borderId="0" applyNumberFormat="0" applyBorder="0" applyAlignment="0" applyProtection="0">
      <alignment vertical="center"/>
    </xf>
    <xf numFmtId="0" fontId="102" fillId="10" borderId="0" applyNumberFormat="0" applyBorder="0" applyAlignment="0" applyProtection="0">
      <alignment vertical="center"/>
    </xf>
    <xf numFmtId="0" fontId="101" fillId="1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5" borderId="0" applyNumberFormat="0" applyBorder="0" applyAlignment="0" applyProtection="0">
      <alignment vertical="center"/>
    </xf>
    <xf numFmtId="0" fontId="101" fillId="44" borderId="0" applyNumberFormat="0" applyBorder="0" applyAlignment="0" applyProtection="0">
      <alignment vertical="center"/>
    </xf>
    <xf numFmtId="0" fontId="101" fillId="45" borderId="0" applyNumberFormat="0" applyBorder="0" applyAlignment="0" applyProtection="0">
      <alignment vertical="center"/>
    </xf>
    <xf numFmtId="0" fontId="83" fillId="23" borderId="9" applyNumberFormat="0" applyFont="0" applyAlignment="0" applyProtection="0">
      <alignment vertical="center"/>
    </xf>
    <xf numFmtId="0" fontId="102" fillId="15" borderId="0" applyNumberFormat="0" applyBorder="0" applyAlignment="0" applyProtection="0">
      <alignment vertical="center"/>
    </xf>
    <xf numFmtId="0" fontId="102" fillId="15" borderId="0" applyNumberFormat="0" applyBorder="0" applyAlignment="0" applyProtection="0">
      <alignment vertical="center"/>
    </xf>
    <xf numFmtId="0" fontId="83" fillId="11"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7" borderId="0" applyNumberFormat="0" applyBorder="0" applyAlignment="0" applyProtection="0">
      <alignment vertical="center"/>
    </xf>
    <xf numFmtId="0" fontId="83" fillId="5" borderId="0" applyNumberFormat="0" applyBorder="0" applyAlignment="0" applyProtection="0">
      <alignment vertical="center"/>
    </xf>
    <xf numFmtId="0" fontId="101" fillId="5" borderId="0" applyNumberFormat="0" applyBorder="0" applyAlignment="0" applyProtection="0">
      <alignment vertical="center"/>
    </xf>
    <xf numFmtId="0" fontId="101" fillId="5" borderId="0" applyNumberFormat="0" applyBorder="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2" fillId="10" borderId="0" applyNumberFormat="0" applyBorder="0" applyAlignment="0" applyProtection="0">
      <alignment vertical="center"/>
    </xf>
    <xf numFmtId="0" fontId="83" fillId="23" borderId="9" applyNumberFormat="0" applyFont="0" applyAlignment="0" applyProtection="0">
      <alignment vertical="center"/>
    </xf>
    <xf numFmtId="0" fontId="102" fillId="56" borderId="0" applyNumberFormat="0" applyBorder="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102" fillId="13" borderId="0" applyNumberFormat="0" applyBorder="0" applyAlignment="0" applyProtection="0">
      <alignment vertical="center"/>
    </xf>
    <xf numFmtId="0" fontId="102" fillId="57" borderId="0" applyNumberFormat="0" applyBorder="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97" fillId="22" borderId="0" applyNumberFormat="0" applyBorder="0" applyAlignment="0" applyProtection="0">
      <alignment vertical="center"/>
    </xf>
    <xf numFmtId="0" fontId="83" fillId="72" borderId="27" applyNumberFormat="0" applyFont="0" applyAlignment="0" applyProtection="0">
      <alignment vertical="center"/>
    </xf>
    <xf numFmtId="0" fontId="102" fillId="15" borderId="0" applyNumberFormat="0" applyBorder="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83" fillId="23" borderId="9" applyNumberFormat="0" applyFont="0" applyAlignment="0" applyProtection="0">
      <alignment vertical="center"/>
    </xf>
    <xf numFmtId="0" fontId="102" fillId="59" borderId="0" applyNumberFormat="0" applyBorder="0" applyAlignment="0" applyProtection="0">
      <alignment vertical="center"/>
    </xf>
    <xf numFmtId="0" fontId="83" fillId="23" borderId="9" applyNumberFormat="0" applyFont="0" applyAlignment="0" applyProtection="0">
      <alignment vertical="center"/>
    </xf>
    <xf numFmtId="0" fontId="99" fillId="7" borderId="5" applyNumberFormat="0" applyAlignment="0" applyProtection="0">
      <alignment vertical="center"/>
    </xf>
    <xf numFmtId="0" fontId="98" fillId="16" borderId="8" applyNumberFormat="0" applyAlignment="0" applyProtection="0">
      <alignment vertical="center"/>
    </xf>
    <xf numFmtId="0" fontId="97" fillId="22" borderId="0" applyNumberFormat="0" applyBorder="0" applyAlignment="0" applyProtection="0">
      <alignment vertical="center"/>
    </xf>
    <xf numFmtId="0" fontId="84" fillId="21" borderId="0" applyNumberFormat="0" applyBorder="0" applyAlignment="0" applyProtection="0">
      <alignment vertical="center"/>
    </xf>
    <xf numFmtId="0" fontId="102" fillId="69" borderId="0" applyNumberFormat="0" applyBorder="0" applyAlignment="0" applyProtection="0">
      <alignment vertical="center"/>
    </xf>
    <xf numFmtId="0" fontId="84" fillId="14" borderId="0" applyNumberFormat="0" applyBorder="0" applyAlignment="0" applyProtection="0">
      <alignment vertical="center"/>
    </xf>
    <xf numFmtId="0" fontId="84" fillId="13" borderId="0" applyNumberFormat="0" applyBorder="0" applyAlignment="0" applyProtection="0">
      <alignment vertical="center"/>
    </xf>
    <xf numFmtId="0" fontId="84" fillId="20" borderId="0" applyNumberFormat="0" applyBorder="0" applyAlignment="0" applyProtection="0">
      <alignment vertical="center"/>
    </xf>
    <xf numFmtId="0" fontId="102" fillId="66" borderId="0" applyNumberFormat="0" applyBorder="0" applyAlignment="0" applyProtection="0">
      <alignment vertical="center"/>
    </xf>
    <xf numFmtId="0" fontId="84" fillId="18" borderId="0" applyNumberFormat="0" applyBorder="0" applyAlignment="0" applyProtection="0">
      <alignment vertical="center"/>
    </xf>
    <xf numFmtId="0" fontId="84" fillId="19" borderId="0" applyNumberFormat="0" applyBorder="0" applyAlignment="0" applyProtection="0">
      <alignment vertical="center"/>
    </xf>
    <xf numFmtId="0" fontId="95" fillId="0" borderId="0" applyNumberFormat="0" applyFill="0" applyBorder="0" applyAlignment="0" applyProtection="0">
      <alignment vertical="center"/>
    </xf>
    <xf numFmtId="0" fontId="96" fillId="0" borderId="7" applyNumberFormat="0" applyFill="0" applyAlignment="0" applyProtection="0">
      <alignment vertical="center"/>
    </xf>
    <xf numFmtId="0" fontId="114" fillId="0" borderId="25" applyNumberFormat="0" applyFill="0" applyAlignment="0" applyProtection="0">
      <alignment vertical="center"/>
    </xf>
    <xf numFmtId="0" fontId="82" fillId="0" borderId="0">
      <alignment vertical="center"/>
    </xf>
    <xf numFmtId="0" fontId="94" fillId="0" borderId="0" applyNumberFormat="0" applyFill="0" applyBorder="0" applyAlignment="0" applyProtection="0">
      <alignment vertical="center"/>
    </xf>
    <xf numFmtId="0" fontId="112" fillId="0" borderId="0" applyNumberFormat="0" applyFill="0" applyBorder="0" applyAlignment="0" applyProtection="0">
      <alignment vertical="center"/>
    </xf>
    <xf numFmtId="0" fontId="93" fillId="17" borderId="6" applyNumberFormat="0" applyAlignment="0" applyProtection="0">
      <alignment vertical="center"/>
    </xf>
    <xf numFmtId="0" fontId="109" fillId="0" borderId="22" applyNumberFormat="0" applyFill="0" applyAlignment="0" applyProtection="0">
      <alignment vertical="center"/>
    </xf>
    <xf numFmtId="0" fontId="92" fillId="16" borderId="5" applyNumberFormat="0" applyAlignment="0" applyProtection="0">
      <alignment vertical="center"/>
    </xf>
    <xf numFmtId="0" fontId="91" fillId="0" borderId="4" applyNumberFormat="0" applyFill="0" applyAlignment="0" applyProtection="0">
      <alignment vertical="center"/>
    </xf>
    <xf numFmtId="0" fontId="101" fillId="0" borderId="0">
      <alignment vertical="center"/>
    </xf>
    <xf numFmtId="0" fontId="90" fillId="4" borderId="0" applyNumberFormat="0" applyBorder="0" applyAlignment="0" applyProtection="0">
      <alignment vertical="center"/>
    </xf>
    <xf numFmtId="0" fontId="82" fillId="0" borderId="0">
      <alignment vertical="center"/>
    </xf>
    <xf numFmtId="0" fontId="82" fillId="0" borderId="0">
      <alignment vertical="center"/>
    </xf>
    <xf numFmtId="0" fontId="89" fillId="3" borderId="0" applyNumberFormat="0" applyBorder="0" applyAlignment="0" applyProtection="0">
      <alignment vertical="center"/>
    </xf>
    <xf numFmtId="0" fontId="85"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104" fillId="0" borderId="20" applyNumberFormat="0" applyFill="0" applyAlignment="0" applyProtection="0">
      <alignment vertical="center"/>
    </xf>
    <xf numFmtId="0" fontId="88" fillId="0" borderId="3" applyNumberFormat="0" applyFill="0" applyAlignment="0" applyProtection="0">
      <alignment vertical="center"/>
    </xf>
    <xf numFmtId="0" fontId="87" fillId="0" borderId="2" applyNumberFormat="0" applyFill="0" applyAlignment="0" applyProtection="0">
      <alignment vertical="center"/>
    </xf>
    <xf numFmtId="0" fontId="86" fillId="0" borderId="1" applyNumberFormat="0" applyFill="0" applyAlignment="0" applyProtection="0">
      <alignment vertical="center"/>
    </xf>
    <xf numFmtId="0" fontId="102" fillId="59" borderId="0" applyNumberFormat="0" applyBorder="0" applyAlignment="0" applyProtection="0">
      <alignment vertical="center"/>
    </xf>
    <xf numFmtId="0" fontId="84" fillId="15" borderId="0" applyNumberFormat="0" applyBorder="0" applyAlignment="0" applyProtection="0">
      <alignment vertical="center"/>
    </xf>
    <xf numFmtId="0" fontId="102" fillId="59" borderId="0" applyNumberFormat="0" applyBorder="0" applyAlignment="0" applyProtection="0">
      <alignment vertical="center"/>
    </xf>
    <xf numFmtId="0" fontId="102" fillId="59" borderId="0" applyNumberFormat="0" applyBorder="0" applyAlignment="0" applyProtection="0">
      <alignment vertical="center"/>
    </xf>
    <xf numFmtId="0" fontId="102" fillId="15" borderId="0" applyNumberFormat="0" applyBorder="0" applyAlignment="0" applyProtection="0">
      <alignment vertical="center"/>
    </xf>
    <xf numFmtId="0" fontId="84" fillId="13" borderId="0" applyNumberFormat="0" applyBorder="0" applyAlignment="0" applyProtection="0">
      <alignment vertical="center"/>
    </xf>
    <xf numFmtId="0" fontId="84" fillId="14" borderId="0" applyNumberFormat="0" applyBorder="0" applyAlignment="0" applyProtection="0">
      <alignment vertical="center"/>
    </xf>
    <xf numFmtId="0" fontId="102" fillId="57" borderId="0" applyNumberFormat="0" applyBorder="0" applyAlignment="0" applyProtection="0">
      <alignment vertical="center"/>
    </xf>
    <xf numFmtId="0" fontId="102" fillId="57" borderId="0" applyNumberFormat="0" applyBorder="0" applyAlignment="0" applyProtection="0">
      <alignment vertical="center"/>
    </xf>
    <xf numFmtId="0" fontId="102" fillId="13" borderId="0" applyNumberFormat="0" applyBorder="0" applyAlignment="0" applyProtection="0">
      <alignment vertical="center"/>
    </xf>
    <xf numFmtId="0" fontId="102" fillId="56" borderId="0" applyNumberFormat="0" applyBorder="0" applyAlignment="0" applyProtection="0">
      <alignment vertical="center"/>
    </xf>
    <xf numFmtId="0" fontId="84" fillId="10" borderId="0" applyNumberFormat="0" applyBorder="0" applyAlignment="0" applyProtection="0">
      <alignment vertical="center"/>
    </xf>
    <xf numFmtId="0" fontId="102" fillId="56" borderId="0" applyNumberFormat="0" applyBorder="0" applyAlignment="0" applyProtection="0">
      <alignment vertical="center"/>
    </xf>
    <xf numFmtId="0" fontId="84" fillId="9" borderId="0" applyNumberFormat="0" applyBorder="0" applyAlignment="0" applyProtection="0">
      <alignment vertical="center"/>
    </xf>
    <xf numFmtId="0" fontId="102" fillId="10" borderId="0" applyNumberFormat="0" applyBorder="0" applyAlignment="0" applyProtection="0">
      <alignment vertical="center"/>
    </xf>
    <xf numFmtId="0" fontId="83" fillId="11" borderId="0" applyNumberFormat="0" applyBorder="0" applyAlignment="0" applyProtection="0">
      <alignment vertical="center"/>
    </xf>
    <xf numFmtId="0" fontId="102" fillId="54"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101" fillId="53"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11" borderId="0" applyNumberFormat="0" applyBorder="0" applyAlignment="0" applyProtection="0">
      <alignment vertical="center"/>
    </xf>
    <xf numFmtId="0" fontId="83" fillId="8" borderId="0" applyNumberFormat="0" applyBorder="0" applyAlignment="0" applyProtection="0">
      <alignment vertical="center"/>
    </xf>
    <xf numFmtId="0" fontId="83" fillId="11"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5" borderId="0" applyNumberFormat="0" applyBorder="0" applyAlignment="0" applyProtection="0">
      <alignment vertical="center"/>
    </xf>
    <xf numFmtId="0" fontId="83" fillId="8"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101" fillId="50" borderId="0" applyNumberFormat="0" applyBorder="0" applyAlignment="0" applyProtection="0">
      <alignment vertical="center"/>
    </xf>
    <xf numFmtId="0" fontId="101" fillId="50" borderId="0" applyNumberFormat="0" applyBorder="0" applyAlignment="0" applyProtection="0">
      <alignment vertical="center"/>
    </xf>
    <xf numFmtId="0" fontId="101" fillId="10" borderId="0" applyNumberFormat="0" applyBorder="0" applyAlignment="0" applyProtection="0">
      <alignment vertical="center"/>
    </xf>
    <xf numFmtId="0" fontId="101" fillId="5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10"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9"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8" borderId="0" applyNumberFormat="0" applyBorder="0" applyAlignment="0" applyProtection="0">
      <alignment vertical="center"/>
    </xf>
    <xf numFmtId="0" fontId="83" fillId="7" borderId="0" applyNumberFormat="0" applyBorder="0" applyAlignment="0" applyProtection="0">
      <alignment vertical="center"/>
    </xf>
    <xf numFmtId="0" fontId="83" fillId="8" borderId="0" applyNumberFormat="0" applyBorder="0" applyAlignment="0" applyProtection="0">
      <alignment vertical="center"/>
    </xf>
    <xf numFmtId="0" fontId="83" fillId="7" borderId="0" applyNumberFormat="0" applyBorder="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6" borderId="0" applyNumberFormat="0" applyBorder="0" applyAlignment="0" applyProtection="0">
      <alignment vertical="center"/>
    </xf>
    <xf numFmtId="0" fontId="83" fillId="5" borderId="0" applyNumberFormat="0" applyBorder="0" applyAlignment="0" applyProtection="0">
      <alignment vertical="center"/>
    </xf>
    <xf numFmtId="0" fontId="83" fillId="5" borderId="0" applyNumberFormat="0" applyBorder="0" applyAlignment="0" applyProtection="0">
      <alignment vertical="center"/>
    </xf>
    <xf numFmtId="0" fontId="101" fillId="45" borderId="0" applyNumberFormat="0" applyBorder="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4" borderId="0" applyNumberFormat="0" applyBorder="0" applyAlignment="0" applyProtection="0">
      <alignment vertical="center"/>
    </xf>
    <xf numFmtId="0" fontId="83" fillId="4"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101" fillId="4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3"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42" borderId="0" applyNumberFormat="0" applyBorder="0" applyAlignment="0" applyProtection="0">
      <alignment vertical="center"/>
    </xf>
    <xf numFmtId="0" fontId="101"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83" fillId="2" borderId="0" applyNumberFormat="0" applyBorder="0" applyAlignment="0" applyProtection="0">
      <alignment vertical="center"/>
    </xf>
    <xf numFmtId="0" fontId="101" fillId="42" borderId="0" applyNumberFormat="0" applyBorder="0" applyAlignment="0" applyProtection="0">
      <alignment vertical="center"/>
    </xf>
    <xf numFmtId="0" fontId="101" fillId="2" borderId="0" applyNumberFormat="0" applyBorder="0" applyAlignment="0" applyProtection="0">
      <alignment vertical="center"/>
    </xf>
    <xf numFmtId="0" fontId="101" fillId="43" borderId="0" applyNumberFormat="0" applyBorder="0" applyAlignment="0" applyProtection="0">
      <alignment vertical="center"/>
    </xf>
    <xf numFmtId="0" fontId="101" fillId="3" borderId="0" applyNumberFormat="0" applyBorder="0" applyAlignment="0" applyProtection="0">
      <alignment vertical="center"/>
    </xf>
    <xf numFmtId="0" fontId="101" fillId="44" borderId="0" applyNumberFormat="0" applyBorder="0" applyAlignment="0" applyProtection="0">
      <alignment vertical="center"/>
    </xf>
    <xf numFmtId="0" fontId="101" fillId="4" borderId="0" applyNumberFormat="0" applyBorder="0" applyAlignment="0" applyProtection="0">
      <alignment vertical="center"/>
    </xf>
    <xf numFmtId="0" fontId="101" fillId="45" borderId="0" applyNumberFormat="0" applyBorder="0" applyAlignment="0" applyProtection="0">
      <alignment vertical="center"/>
    </xf>
    <xf numFmtId="0" fontId="101" fillId="5" borderId="0" applyNumberFormat="0" applyBorder="0" applyAlignment="0" applyProtection="0">
      <alignment vertical="center"/>
    </xf>
    <xf numFmtId="0" fontId="101" fillId="50" borderId="0" applyNumberFormat="0" applyBorder="0" applyAlignment="0" applyProtection="0">
      <alignment vertical="center"/>
    </xf>
    <xf numFmtId="0" fontId="101" fillId="10" borderId="0" applyNumberFormat="0" applyBorder="0" applyAlignment="0" applyProtection="0">
      <alignment vertical="center"/>
    </xf>
    <xf numFmtId="0" fontId="102" fillId="56" borderId="0" applyNumberFormat="0" applyBorder="0" applyAlignment="0" applyProtection="0">
      <alignment vertical="center"/>
    </xf>
    <xf numFmtId="0" fontId="102" fillId="10" borderId="0" applyNumberFormat="0" applyBorder="0" applyAlignment="0" applyProtection="0">
      <alignment vertical="center"/>
    </xf>
    <xf numFmtId="0" fontId="102" fillId="57" borderId="0" applyNumberFormat="0" applyBorder="0" applyAlignment="0" applyProtection="0">
      <alignment vertical="center"/>
    </xf>
    <xf numFmtId="0" fontId="102" fillId="13" borderId="0" applyNumberFormat="0" applyBorder="0" applyAlignment="0" applyProtection="0">
      <alignment vertical="center"/>
    </xf>
    <xf numFmtId="0" fontId="102" fillId="59" borderId="0" applyNumberFormat="0" applyBorder="0" applyAlignment="0" applyProtection="0">
      <alignment vertical="center"/>
    </xf>
    <xf numFmtId="0" fontId="102" fillId="15" borderId="0" applyNumberFormat="0" applyBorder="0" applyAlignment="0" applyProtection="0">
      <alignment vertical="center"/>
    </xf>
    <xf numFmtId="0" fontId="83" fillId="7" borderId="0" applyNumberFormat="0" applyBorder="0" applyAlignment="0" applyProtection="0">
      <alignment vertical="center"/>
    </xf>
    <xf numFmtId="0" fontId="83" fillId="8" borderId="0" applyNumberFormat="0" applyBorder="0" applyAlignment="0" applyProtection="0">
      <alignment vertical="center"/>
    </xf>
    <xf numFmtId="0" fontId="83" fillId="72" borderId="27" applyNumberFormat="0" applyFont="0" applyAlignment="0" applyProtection="0">
      <alignment vertical="center"/>
    </xf>
    <xf numFmtId="0" fontId="83" fillId="4" borderId="0" applyNumberFormat="0" applyBorder="0" applyAlignment="0" applyProtection="0">
      <alignment vertical="center"/>
    </xf>
    <xf numFmtId="0" fontId="101" fillId="2" borderId="0" applyNumberFormat="0" applyBorder="0" applyAlignment="0" applyProtection="0">
      <alignment vertical="center"/>
    </xf>
    <xf numFmtId="0" fontId="101" fillId="42" borderId="0" applyNumberFormat="0" applyBorder="0" applyAlignment="0" applyProtection="0">
      <alignment vertical="center"/>
    </xf>
    <xf numFmtId="0" fontId="101" fillId="3" borderId="0" applyNumberFormat="0" applyBorder="0" applyAlignment="0" applyProtection="0">
      <alignment vertical="center"/>
    </xf>
    <xf numFmtId="0" fontId="101" fillId="43" borderId="0" applyNumberFormat="0" applyBorder="0" applyAlignment="0" applyProtection="0">
      <alignment vertical="center"/>
    </xf>
    <xf numFmtId="0" fontId="101" fillId="4" borderId="0" applyNumberFormat="0" applyBorder="0" applyAlignment="0" applyProtection="0">
      <alignment vertical="center"/>
    </xf>
    <xf numFmtId="0" fontId="101" fillId="44" borderId="0" applyNumberFormat="0" applyBorder="0" applyAlignment="0" applyProtection="0">
      <alignment vertical="center"/>
    </xf>
    <xf numFmtId="0" fontId="101" fillId="5" borderId="0" applyNumberFormat="0" applyBorder="0" applyAlignment="0" applyProtection="0">
      <alignment vertical="center"/>
    </xf>
    <xf numFmtId="0" fontId="101" fillId="45" borderId="0" applyNumberFormat="0" applyBorder="0" applyAlignment="0" applyProtection="0">
      <alignment vertical="center"/>
    </xf>
    <xf numFmtId="0" fontId="101" fillId="10" borderId="0" applyNumberFormat="0" applyBorder="0" applyAlignment="0" applyProtection="0">
      <alignment vertical="center"/>
    </xf>
    <xf numFmtId="0" fontId="101" fillId="50" borderId="0" applyNumberFormat="0" applyBorder="0" applyAlignment="0" applyProtection="0">
      <alignment vertical="center"/>
    </xf>
    <xf numFmtId="0" fontId="83" fillId="11" borderId="0" applyNumberFormat="0" applyBorder="0" applyAlignment="0" applyProtection="0">
      <alignment vertical="center"/>
    </xf>
    <xf numFmtId="0" fontId="102" fillId="10" borderId="0" applyNumberFormat="0" applyBorder="0" applyAlignment="0" applyProtection="0">
      <alignment vertical="center"/>
    </xf>
    <xf numFmtId="0" fontId="102" fillId="56" borderId="0" applyNumberFormat="0" applyBorder="0" applyAlignment="0" applyProtection="0">
      <alignment vertical="center"/>
    </xf>
    <xf numFmtId="0" fontId="102" fillId="13" borderId="0" applyNumberFormat="0" applyBorder="0" applyAlignment="0" applyProtection="0">
      <alignment vertical="center"/>
    </xf>
    <xf numFmtId="0" fontId="102" fillId="57" borderId="0" applyNumberFormat="0" applyBorder="0" applyAlignment="0" applyProtection="0">
      <alignment vertical="center"/>
    </xf>
    <xf numFmtId="0" fontId="102" fillId="15" borderId="0" applyNumberFormat="0" applyBorder="0" applyAlignment="0" applyProtection="0">
      <alignment vertical="center"/>
    </xf>
    <xf numFmtId="0" fontId="102" fillId="59" borderId="0" applyNumberFormat="0" applyBorder="0" applyAlignment="0" applyProtection="0">
      <alignment vertical="center"/>
    </xf>
    <xf numFmtId="0" fontId="83" fillId="8" borderId="0" applyNumberFormat="0" applyBorder="0" applyAlignment="0" applyProtection="0">
      <alignment vertical="center"/>
    </xf>
    <xf numFmtId="0" fontId="101" fillId="72" borderId="27" applyNumberFormat="0" applyFont="0" applyAlignment="0" applyProtection="0">
      <alignment vertical="center"/>
    </xf>
    <xf numFmtId="0" fontId="101" fillId="42" borderId="0" applyNumberFormat="0" applyBorder="0" applyAlignment="0" applyProtection="0">
      <alignment vertical="center"/>
    </xf>
    <xf numFmtId="0" fontId="101" fillId="2" borderId="0" applyNumberFormat="0" applyBorder="0" applyAlignment="0" applyProtection="0">
      <alignment vertical="center"/>
    </xf>
    <xf numFmtId="0" fontId="101" fillId="42" borderId="0" applyNumberFormat="0" applyBorder="0" applyAlignment="0" applyProtection="0">
      <alignment vertical="center"/>
    </xf>
    <xf numFmtId="0" fontId="101" fillId="43" borderId="0" applyNumberFormat="0" applyBorder="0" applyAlignment="0" applyProtection="0">
      <alignment vertical="center"/>
    </xf>
    <xf numFmtId="0" fontId="101" fillId="3" borderId="0" applyNumberFormat="0" applyBorder="0" applyAlignment="0" applyProtection="0">
      <alignment vertical="center"/>
    </xf>
    <xf numFmtId="0" fontId="101" fillId="43" borderId="0" applyNumberFormat="0" applyBorder="0" applyAlignment="0" applyProtection="0">
      <alignment vertical="center"/>
    </xf>
    <xf numFmtId="0" fontId="101" fillId="44" borderId="0" applyNumberFormat="0" applyBorder="0" applyAlignment="0" applyProtection="0">
      <alignment vertical="center"/>
    </xf>
    <xf numFmtId="0" fontId="101" fillId="4" borderId="0" applyNumberFormat="0" applyBorder="0" applyAlignment="0" applyProtection="0">
      <alignment vertical="center"/>
    </xf>
    <xf numFmtId="0" fontId="101" fillId="44" borderId="0" applyNumberFormat="0" applyBorder="0" applyAlignment="0" applyProtection="0">
      <alignment vertical="center"/>
    </xf>
    <xf numFmtId="0" fontId="101" fillId="45" borderId="0" applyNumberFormat="0" applyBorder="0" applyAlignment="0" applyProtection="0">
      <alignment vertical="center"/>
    </xf>
    <xf numFmtId="0" fontId="101" fillId="5" borderId="0" applyNumberFormat="0" applyBorder="0" applyAlignment="0" applyProtection="0">
      <alignment vertical="center"/>
    </xf>
    <xf numFmtId="0" fontId="101" fillId="45" borderId="0" applyNumberFormat="0" applyBorder="0" applyAlignment="0" applyProtection="0">
      <alignment vertical="center"/>
    </xf>
    <xf numFmtId="0" fontId="101" fillId="50" borderId="0" applyNumberFormat="0" applyBorder="0" applyAlignment="0" applyProtection="0">
      <alignment vertical="center"/>
    </xf>
    <xf numFmtId="0" fontId="101" fillId="10" borderId="0" applyNumberFormat="0" applyBorder="0" applyAlignment="0" applyProtection="0">
      <alignment vertical="center"/>
    </xf>
    <xf numFmtId="0" fontId="101" fillId="50" borderId="0" applyNumberFormat="0" applyBorder="0" applyAlignment="0" applyProtection="0">
      <alignment vertical="center"/>
    </xf>
    <xf numFmtId="0" fontId="102" fillId="56" borderId="0" applyNumberFormat="0" applyBorder="0" applyAlignment="0" applyProtection="0">
      <alignment vertical="center"/>
    </xf>
    <xf numFmtId="0" fontId="102" fillId="10" borderId="0" applyNumberFormat="0" applyBorder="0" applyAlignment="0" applyProtection="0">
      <alignment vertical="center"/>
    </xf>
    <xf numFmtId="0" fontId="102" fillId="56" borderId="0" applyNumberFormat="0" applyBorder="0" applyAlignment="0" applyProtection="0">
      <alignment vertical="center"/>
    </xf>
    <xf numFmtId="0" fontId="102" fillId="57" borderId="0" applyNumberFormat="0" applyBorder="0" applyAlignment="0" applyProtection="0">
      <alignment vertical="center"/>
    </xf>
    <xf numFmtId="0" fontId="102" fillId="13" borderId="0" applyNumberFormat="0" applyBorder="0" applyAlignment="0" applyProtection="0">
      <alignment vertical="center"/>
    </xf>
    <xf numFmtId="0" fontId="102" fillId="57" borderId="0" applyNumberFormat="0" applyBorder="0" applyAlignment="0" applyProtection="0">
      <alignment vertical="center"/>
    </xf>
    <xf numFmtId="0" fontId="102" fillId="59" borderId="0" applyNumberFormat="0" applyBorder="0" applyAlignment="0" applyProtection="0">
      <alignment vertical="center"/>
    </xf>
    <xf numFmtId="0" fontId="102" fillId="15" borderId="0" applyNumberFormat="0" applyBorder="0" applyAlignment="0" applyProtection="0">
      <alignment vertical="center"/>
    </xf>
    <xf numFmtId="0" fontId="102" fillId="59" borderId="0" applyNumberFormat="0" applyBorder="0" applyAlignment="0" applyProtection="0">
      <alignment vertical="center"/>
    </xf>
    <xf numFmtId="0" fontId="102" fillId="56" borderId="0" applyNumberFormat="0" applyBorder="0" applyAlignment="0" applyProtection="0">
      <alignment vertical="center"/>
    </xf>
    <xf numFmtId="0" fontId="102" fillId="10" borderId="0" applyNumberFormat="0" applyBorder="0" applyAlignment="0" applyProtection="0">
      <alignment vertical="center"/>
    </xf>
    <xf numFmtId="0" fontId="102" fillId="56" borderId="0" applyNumberFormat="0" applyBorder="0" applyAlignment="0" applyProtection="0">
      <alignment vertical="center"/>
    </xf>
    <xf numFmtId="0" fontId="102" fillId="10" borderId="0" applyNumberFormat="0" applyBorder="0" applyAlignment="0" applyProtection="0">
      <alignment vertical="center"/>
    </xf>
    <xf numFmtId="0" fontId="102" fillId="56" borderId="0" applyNumberFormat="0" applyBorder="0" applyAlignment="0" applyProtection="0">
      <alignment vertical="center"/>
    </xf>
    <xf numFmtId="0" fontId="102" fillId="10" borderId="0" applyNumberFormat="0" applyBorder="0" applyAlignment="0" applyProtection="0">
      <alignment vertical="center"/>
    </xf>
    <xf numFmtId="0" fontId="102" fillId="57" borderId="0" applyNumberFormat="0" applyBorder="0" applyAlignment="0" applyProtection="0">
      <alignment vertical="center"/>
    </xf>
    <xf numFmtId="0" fontId="102" fillId="13" borderId="0" applyNumberFormat="0" applyBorder="0" applyAlignment="0" applyProtection="0">
      <alignment vertical="center"/>
    </xf>
    <xf numFmtId="0" fontId="102" fillId="57" borderId="0" applyNumberFormat="0" applyBorder="0" applyAlignment="0" applyProtection="0">
      <alignment vertical="center"/>
    </xf>
    <xf numFmtId="0" fontId="102" fillId="13" borderId="0" applyNumberFormat="0" applyBorder="0" applyAlignment="0" applyProtection="0">
      <alignment vertical="center"/>
    </xf>
    <xf numFmtId="0" fontId="102" fillId="57" borderId="0" applyNumberFormat="0" applyBorder="0" applyAlignment="0" applyProtection="0">
      <alignment vertical="center"/>
    </xf>
    <xf numFmtId="0" fontId="102" fillId="13" borderId="0" applyNumberFormat="0" applyBorder="0" applyAlignment="0" applyProtection="0">
      <alignment vertical="center"/>
    </xf>
    <xf numFmtId="0" fontId="102" fillId="59" borderId="0" applyNumberFormat="0" applyBorder="0" applyAlignment="0" applyProtection="0">
      <alignment vertical="center"/>
    </xf>
    <xf numFmtId="0" fontId="102" fillId="15" borderId="0" applyNumberFormat="0" applyBorder="0" applyAlignment="0" applyProtection="0">
      <alignment vertical="center"/>
    </xf>
    <xf numFmtId="0" fontId="102" fillId="59" borderId="0" applyNumberFormat="0" applyBorder="0" applyAlignment="0" applyProtection="0">
      <alignment vertical="center"/>
    </xf>
    <xf numFmtId="0" fontId="101" fillId="42" borderId="0" applyNumberFormat="0" applyBorder="0" applyAlignment="0" applyProtection="0">
      <alignment vertical="center"/>
    </xf>
    <xf numFmtId="0" fontId="102" fillId="15" borderId="0" applyNumberFormat="0" applyBorder="0" applyAlignment="0" applyProtection="0">
      <alignment vertical="center"/>
    </xf>
    <xf numFmtId="0" fontId="102" fillId="59" borderId="0" applyNumberFormat="0" applyBorder="0" applyAlignment="0" applyProtection="0">
      <alignment vertical="center"/>
    </xf>
    <xf numFmtId="0" fontId="102" fillId="15" borderId="0" applyNumberFormat="0" applyBorder="0" applyAlignment="0" applyProtection="0">
      <alignment vertical="center"/>
    </xf>
    <xf numFmtId="0" fontId="101" fillId="2" borderId="0" applyNumberFormat="0" applyBorder="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101" fillId="4" borderId="0" applyNumberFormat="0" applyBorder="0" applyAlignment="0" applyProtection="0">
      <alignment vertical="center"/>
    </xf>
    <xf numFmtId="0" fontId="101" fillId="44" borderId="0" applyNumberFormat="0" applyBorder="0" applyAlignment="0" applyProtection="0">
      <alignment vertical="center"/>
    </xf>
    <xf numFmtId="0" fontId="101" fillId="5" borderId="0" applyNumberFormat="0" applyBorder="0" applyAlignment="0" applyProtection="0">
      <alignment vertical="center"/>
    </xf>
    <xf numFmtId="0" fontId="101" fillId="45" borderId="0" applyNumberFormat="0" applyBorder="0" applyAlignment="0" applyProtection="0">
      <alignment vertical="center"/>
    </xf>
    <xf numFmtId="0" fontId="101" fillId="10" borderId="0" applyNumberFormat="0" applyBorder="0" applyAlignment="0" applyProtection="0">
      <alignment vertical="center"/>
    </xf>
    <xf numFmtId="0" fontId="101" fillId="50" borderId="0" applyNumberFormat="0" applyBorder="0" applyAlignment="0" applyProtection="0">
      <alignment vertical="center"/>
    </xf>
    <xf numFmtId="0" fontId="102" fillId="10" borderId="0" applyNumberFormat="0" applyBorder="0" applyAlignment="0" applyProtection="0">
      <alignment vertical="center"/>
    </xf>
    <xf numFmtId="0" fontId="102" fillId="56" borderId="0" applyNumberFormat="0" applyBorder="0" applyAlignment="0" applyProtection="0">
      <alignment vertical="center"/>
    </xf>
    <xf numFmtId="0" fontId="102" fillId="13" borderId="0" applyNumberFormat="0" applyBorder="0" applyAlignment="0" applyProtection="0">
      <alignment vertical="center"/>
    </xf>
    <xf numFmtId="0" fontId="102" fillId="57" borderId="0" applyNumberFormat="0" applyBorder="0" applyAlignment="0" applyProtection="0">
      <alignment vertical="center"/>
    </xf>
    <xf numFmtId="0" fontId="102" fillId="15" borderId="0" applyNumberFormat="0" applyBorder="0" applyAlignment="0" applyProtection="0">
      <alignment vertical="center"/>
    </xf>
    <xf numFmtId="0" fontId="102" fillId="59" borderId="0" applyNumberFormat="0" applyBorder="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83" fillId="72" borderId="27" applyNumberFormat="0" applyFont="0" applyAlignment="0" applyProtection="0">
      <alignment vertical="center"/>
    </xf>
    <xf numFmtId="0" fontId="101" fillId="42" borderId="0" applyNumberFormat="0" applyBorder="0" applyAlignment="0" applyProtection="0">
      <alignment vertical="center"/>
    </xf>
    <xf numFmtId="0" fontId="101" fillId="2" borderId="0" applyNumberFormat="0" applyBorder="0" applyAlignment="0" applyProtection="0">
      <alignment vertical="center"/>
    </xf>
    <xf numFmtId="0" fontId="101" fillId="43" borderId="0" applyNumberFormat="0" applyBorder="0" applyAlignment="0" applyProtection="0">
      <alignment vertical="center"/>
    </xf>
    <xf numFmtId="0" fontId="101" fillId="3" borderId="0" applyNumberFormat="0" applyBorder="0" applyAlignment="0" applyProtection="0">
      <alignment vertical="center"/>
    </xf>
    <xf numFmtId="0" fontId="101" fillId="44" borderId="0" applyNumberFormat="0" applyBorder="0" applyAlignment="0" applyProtection="0">
      <alignment vertical="center"/>
    </xf>
    <xf numFmtId="0" fontId="101" fillId="4" borderId="0" applyNumberFormat="0" applyBorder="0" applyAlignment="0" applyProtection="0">
      <alignment vertical="center"/>
    </xf>
    <xf numFmtId="0" fontId="101" fillId="45" borderId="0" applyNumberFormat="0" applyBorder="0" applyAlignment="0" applyProtection="0">
      <alignment vertical="center"/>
    </xf>
    <xf numFmtId="0" fontId="101" fillId="5" borderId="0" applyNumberFormat="0" applyBorder="0" applyAlignment="0" applyProtection="0">
      <alignment vertical="center"/>
    </xf>
    <xf numFmtId="0" fontId="101" fillId="50" borderId="0" applyNumberFormat="0" applyBorder="0" applyAlignment="0" applyProtection="0">
      <alignment vertical="center"/>
    </xf>
    <xf numFmtId="0" fontId="101" fillId="10" borderId="0" applyNumberFormat="0" applyBorder="0" applyAlignment="0" applyProtection="0">
      <alignment vertical="center"/>
    </xf>
    <xf numFmtId="0" fontId="102" fillId="56" borderId="0" applyNumberFormat="0" applyBorder="0" applyAlignment="0" applyProtection="0">
      <alignment vertical="center"/>
    </xf>
    <xf numFmtId="0" fontId="102" fillId="10" borderId="0" applyNumberFormat="0" applyBorder="0" applyAlignment="0" applyProtection="0">
      <alignment vertical="center"/>
    </xf>
    <xf numFmtId="0" fontId="102" fillId="57" borderId="0" applyNumberFormat="0" applyBorder="0" applyAlignment="0" applyProtection="0">
      <alignment vertical="center"/>
    </xf>
    <xf numFmtId="0" fontId="102" fillId="13" borderId="0" applyNumberFormat="0" applyBorder="0" applyAlignment="0" applyProtection="0">
      <alignment vertical="center"/>
    </xf>
    <xf numFmtId="0" fontId="102" fillId="59" borderId="0" applyNumberFormat="0" applyBorder="0" applyAlignment="0" applyProtection="0">
      <alignment vertical="center"/>
    </xf>
    <xf numFmtId="0" fontId="102" fillId="15" borderId="0" applyNumberFormat="0" applyBorder="0" applyAlignment="0" applyProtection="0">
      <alignment vertical="center"/>
    </xf>
    <xf numFmtId="0" fontId="83" fillId="72" borderId="27" applyNumberFormat="0" applyFont="0" applyAlignment="0" applyProtection="0">
      <alignment vertical="center"/>
    </xf>
    <xf numFmtId="0" fontId="101" fillId="2" borderId="0" applyNumberFormat="0" applyBorder="0" applyAlignment="0" applyProtection="0">
      <alignment vertical="center"/>
    </xf>
    <xf numFmtId="0" fontId="101" fillId="42" borderId="0" applyNumberFormat="0" applyBorder="0" applyAlignment="0" applyProtection="0">
      <alignment vertical="center"/>
    </xf>
    <xf numFmtId="0" fontId="101" fillId="3" borderId="0" applyNumberFormat="0" applyBorder="0" applyAlignment="0" applyProtection="0">
      <alignment vertical="center"/>
    </xf>
    <xf numFmtId="0" fontId="101" fillId="43" borderId="0" applyNumberFormat="0" applyBorder="0" applyAlignment="0" applyProtection="0">
      <alignment vertical="center"/>
    </xf>
    <xf numFmtId="0" fontId="101" fillId="4" borderId="0" applyNumberFormat="0" applyBorder="0" applyAlignment="0" applyProtection="0">
      <alignment vertical="center"/>
    </xf>
    <xf numFmtId="0" fontId="101" fillId="44" borderId="0" applyNumberFormat="0" applyBorder="0" applyAlignment="0" applyProtection="0">
      <alignment vertical="center"/>
    </xf>
    <xf numFmtId="0" fontId="101" fillId="5" borderId="0" applyNumberFormat="0" applyBorder="0" applyAlignment="0" applyProtection="0">
      <alignment vertical="center"/>
    </xf>
    <xf numFmtId="0" fontId="101" fillId="45" borderId="0" applyNumberFormat="0" applyBorder="0" applyAlignment="0" applyProtection="0">
      <alignment vertical="center"/>
    </xf>
    <xf numFmtId="0" fontId="101" fillId="10" borderId="0" applyNumberFormat="0" applyBorder="0" applyAlignment="0" applyProtection="0">
      <alignment vertical="center"/>
    </xf>
    <xf numFmtId="0" fontId="101" fillId="50" borderId="0" applyNumberFormat="0" applyBorder="0" applyAlignment="0" applyProtection="0">
      <alignment vertical="center"/>
    </xf>
    <xf numFmtId="0" fontId="102" fillId="10" borderId="0" applyNumberFormat="0" applyBorder="0" applyAlignment="0" applyProtection="0">
      <alignment vertical="center"/>
    </xf>
    <xf numFmtId="0" fontId="102" fillId="56" borderId="0" applyNumberFormat="0" applyBorder="0" applyAlignment="0" applyProtection="0">
      <alignment vertical="center"/>
    </xf>
    <xf numFmtId="0" fontId="102" fillId="13" borderId="0" applyNumberFormat="0" applyBorder="0" applyAlignment="0" applyProtection="0">
      <alignment vertical="center"/>
    </xf>
    <xf numFmtId="0" fontId="102" fillId="57" borderId="0" applyNumberFormat="0" applyBorder="0" applyAlignment="0" applyProtection="0">
      <alignment vertical="center"/>
    </xf>
    <xf numFmtId="0" fontId="102" fillId="15" borderId="0" applyNumberFormat="0" applyBorder="0" applyAlignment="0" applyProtection="0">
      <alignment vertical="center"/>
    </xf>
    <xf numFmtId="0" fontId="102" fillId="59" borderId="0" applyNumberFormat="0" applyBorder="0" applyAlignment="0" applyProtection="0">
      <alignment vertical="center"/>
    </xf>
    <xf numFmtId="0" fontId="101" fillId="72" borderId="27" applyNumberFormat="0" applyFont="0" applyAlignment="0" applyProtection="0">
      <alignment vertical="center"/>
    </xf>
    <xf numFmtId="0" fontId="101" fillId="42" borderId="0" applyNumberFormat="0" applyBorder="0" applyAlignment="0" applyProtection="0">
      <alignment vertical="center"/>
    </xf>
    <xf numFmtId="0" fontId="101" fillId="2" borderId="0" applyNumberFormat="0" applyBorder="0" applyAlignment="0" applyProtection="0">
      <alignment vertical="center"/>
    </xf>
    <xf numFmtId="0" fontId="101" fillId="42" borderId="0" applyNumberFormat="0" applyBorder="0" applyAlignment="0" applyProtection="0">
      <alignment vertical="center"/>
    </xf>
    <xf numFmtId="0" fontId="101" fillId="43" borderId="0" applyNumberFormat="0" applyBorder="0" applyAlignment="0" applyProtection="0">
      <alignment vertical="center"/>
    </xf>
    <xf numFmtId="0" fontId="101" fillId="3" borderId="0" applyNumberFormat="0" applyBorder="0" applyAlignment="0" applyProtection="0">
      <alignment vertical="center"/>
    </xf>
    <xf numFmtId="0" fontId="101" fillId="43" borderId="0" applyNumberFormat="0" applyBorder="0" applyAlignment="0" applyProtection="0">
      <alignment vertical="center"/>
    </xf>
    <xf numFmtId="0" fontId="101" fillId="44" borderId="0" applyNumberFormat="0" applyBorder="0" applyAlignment="0" applyProtection="0">
      <alignment vertical="center"/>
    </xf>
    <xf numFmtId="0" fontId="101" fillId="4" borderId="0" applyNumberFormat="0" applyBorder="0" applyAlignment="0" applyProtection="0">
      <alignment vertical="center"/>
    </xf>
    <xf numFmtId="0" fontId="101" fillId="44" borderId="0" applyNumberFormat="0" applyBorder="0" applyAlignment="0" applyProtection="0">
      <alignment vertical="center"/>
    </xf>
    <xf numFmtId="0" fontId="101" fillId="45" borderId="0" applyNumberFormat="0" applyBorder="0" applyAlignment="0" applyProtection="0">
      <alignment vertical="center"/>
    </xf>
    <xf numFmtId="0" fontId="101" fillId="5" borderId="0" applyNumberFormat="0" applyBorder="0" applyAlignment="0" applyProtection="0">
      <alignment vertical="center"/>
    </xf>
    <xf numFmtId="0" fontId="101" fillId="45" borderId="0" applyNumberFormat="0" applyBorder="0" applyAlignment="0" applyProtection="0">
      <alignment vertical="center"/>
    </xf>
    <xf numFmtId="0" fontId="101" fillId="50" borderId="0" applyNumberFormat="0" applyBorder="0" applyAlignment="0" applyProtection="0">
      <alignment vertical="center"/>
    </xf>
    <xf numFmtId="0" fontId="101" fillId="10" borderId="0" applyNumberFormat="0" applyBorder="0" applyAlignment="0" applyProtection="0">
      <alignment vertical="center"/>
    </xf>
    <xf numFmtId="0" fontId="101" fillId="50" borderId="0" applyNumberFormat="0" applyBorder="0" applyAlignment="0" applyProtection="0">
      <alignment vertical="center"/>
    </xf>
    <xf numFmtId="0" fontId="102" fillId="56" borderId="0" applyNumberFormat="0" applyBorder="0" applyAlignment="0" applyProtection="0">
      <alignment vertical="center"/>
    </xf>
    <xf numFmtId="0" fontId="102" fillId="10" borderId="0" applyNumberFormat="0" applyBorder="0" applyAlignment="0" applyProtection="0">
      <alignment vertical="center"/>
    </xf>
    <xf numFmtId="0" fontId="102" fillId="56" borderId="0" applyNumberFormat="0" applyBorder="0" applyAlignment="0" applyProtection="0">
      <alignment vertical="center"/>
    </xf>
    <xf numFmtId="0" fontId="102" fillId="57" borderId="0" applyNumberFormat="0" applyBorder="0" applyAlignment="0" applyProtection="0">
      <alignment vertical="center"/>
    </xf>
    <xf numFmtId="0" fontId="102" fillId="13" borderId="0" applyNumberFormat="0" applyBorder="0" applyAlignment="0" applyProtection="0">
      <alignment vertical="center"/>
    </xf>
    <xf numFmtId="0" fontId="102" fillId="57" borderId="0" applyNumberFormat="0" applyBorder="0" applyAlignment="0" applyProtection="0">
      <alignment vertical="center"/>
    </xf>
    <xf numFmtId="0" fontId="102" fillId="59" borderId="0" applyNumberFormat="0" applyBorder="0" applyAlignment="0" applyProtection="0">
      <alignment vertical="center"/>
    </xf>
    <xf numFmtId="0" fontId="102" fillId="15" borderId="0" applyNumberFormat="0" applyBorder="0" applyAlignment="0" applyProtection="0">
      <alignment vertical="center"/>
    </xf>
    <xf numFmtId="0" fontId="102" fillId="59" borderId="0" applyNumberFormat="0" applyBorder="0" applyAlignment="0" applyProtection="0">
      <alignment vertical="center"/>
    </xf>
    <xf numFmtId="0" fontId="121" fillId="0" borderId="0" applyNumberFormat="0" applyFill="0" applyBorder="0" applyAlignment="0" applyProtection="0">
      <alignment vertical="top"/>
      <protection locked="0"/>
    </xf>
  </cellStyleXfs>
  <cellXfs count="400">
    <xf numFmtId="0" fontId="0" fillId="0" borderId="0" xfId="0">
      <alignment vertical="center"/>
    </xf>
    <xf numFmtId="0" fontId="22" fillId="0" borderId="10" xfId="0" applyFont="1" applyBorder="1" applyAlignment="1">
      <alignment horizontal="justify" vertical="top" wrapText="1"/>
    </xf>
    <xf numFmtId="0" fontId="22" fillId="0" borderId="11" xfId="0" applyFont="1" applyBorder="1" applyAlignment="1">
      <alignment horizontal="justify" vertical="top" wrapText="1"/>
    </xf>
    <xf numFmtId="0" fontId="22" fillId="0" borderId="12" xfId="0" applyFont="1" applyBorder="1" applyAlignment="1">
      <alignment horizontal="justify" vertical="top" wrapText="1"/>
    </xf>
    <xf numFmtId="0" fontId="22" fillId="0" borderId="13" xfId="0" applyFont="1" applyBorder="1" applyAlignment="1">
      <alignment horizontal="justify" vertical="top" wrapText="1"/>
    </xf>
    <xf numFmtId="0" fontId="22" fillId="0" borderId="0" xfId="0" applyFont="1">
      <alignment vertical="center"/>
    </xf>
    <xf numFmtId="0" fontId="24" fillId="0" borderId="0" xfId="0" applyFont="1" applyAlignment="1">
      <alignment horizontal="center" vertical="center"/>
    </xf>
    <xf numFmtId="0" fontId="24" fillId="0" borderId="0" xfId="0" applyFont="1" applyAlignment="1">
      <alignment horizontal="center" vertical="center" wrapText="1"/>
    </xf>
    <xf numFmtId="0" fontId="28" fillId="24" borderId="0" xfId="0" applyFont="1" applyFill="1" applyAlignment="1" applyProtection="1">
      <alignment horizontal="center" vertical="center"/>
    </xf>
    <xf numFmtId="0" fontId="28" fillId="24" borderId="0" xfId="0" applyFont="1" applyFill="1" applyAlignment="1" applyProtection="1">
      <alignment vertical="center" wrapText="1"/>
    </xf>
    <xf numFmtId="0" fontId="28" fillId="25" borderId="0" xfId="0" applyFont="1" applyFill="1" applyAlignment="1" applyProtection="1">
      <alignment horizontal="center" vertical="center"/>
    </xf>
    <xf numFmtId="0" fontId="28" fillId="25" borderId="0" xfId="0" applyFont="1" applyFill="1" applyAlignment="1" applyProtection="1">
      <alignment vertical="center" wrapText="1"/>
    </xf>
    <xf numFmtId="0" fontId="28" fillId="26" borderId="0" xfId="0" applyFont="1" applyFill="1" applyAlignment="1" applyProtection="1">
      <alignment horizontal="center" vertical="center"/>
    </xf>
    <xf numFmtId="0" fontId="28" fillId="26" borderId="0" xfId="0" applyFont="1" applyFill="1" applyAlignment="1" applyProtection="1">
      <alignment vertical="center" wrapText="1"/>
    </xf>
    <xf numFmtId="0" fontId="0" fillId="0" borderId="0" xfId="0" applyProtection="1">
      <alignment vertical="center"/>
    </xf>
    <xf numFmtId="0" fontId="24" fillId="0" borderId="0" xfId="0" applyFont="1" applyAlignment="1">
      <alignment horizontal="left" vertical="center" wrapText="1"/>
    </xf>
    <xf numFmtId="0" fontId="24" fillId="0" borderId="0" xfId="0" applyFont="1" applyAlignment="1">
      <alignment vertical="center" wrapText="1"/>
    </xf>
    <xf numFmtId="0" fontId="0" fillId="0" borderId="0" xfId="0" applyAlignment="1">
      <alignment horizontal="center" vertical="center"/>
    </xf>
    <xf numFmtId="0" fontId="50" fillId="0" borderId="0" xfId="0" applyFont="1" applyAlignment="1">
      <alignment horizontal="center" vertical="center"/>
    </xf>
    <xf numFmtId="0" fontId="50" fillId="0" borderId="0" xfId="0" applyFont="1" applyAlignment="1">
      <alignment horizontal="left" vertical="center" wrapText="1"/>
    </xf>
    <xf numFmtId="0" fontId="50" fillId="0" borderId="0" xfId="0" applyFont="1" applyAlignment="1">
      <alignment horizontal="center" vertical="center" wrapText="1"/>
    </xf>
    <xf numFmtId="0" fontId="51" fillId="0" borderId="0" xfId="0" applyFont="1" applyAlignment="1">
      <alignment horizontal="justify" vertical="center"/>
    </xf>
    <xf numFmtId="0" fontId="50" fillId="0" borderId="0" xfId="0" applyFont="1">
      <alignment vertical="center"/>
    </xf>
    <xf numFmtId="0" fontId="29" fillId="28" borderId="14" xfId="0" applyFont="1" applyFill="1" applyBorder="1" applyAlignment="1">
      <alignment vertical="center" wrapText="1"/>
    </xf>
    <xf numFmtId="0" fontId="29" fillId="29" borderId="14" xfId="0" applyFont="1" applyFill="1" applyBorder="1" applyAlignment="1">
      <alignment horizontal="center" vertical="center" wrapText="1"/>
    </xf>
    <xf numFmtId="0" fontId="29" fillId="30" borderId="14" xfId="0" applyFont="1" applyFill="1" applyBorder="1" applyAlignment="1">
      <alignment vertical="center" wrapText="1"/>
    </xf>
    <xf numFmtId="0" fontId="29" fillId="25" borderId="14" xfId="0" applyFont="1" applyFill="1" applyBorder="1" applyAlignment="1">
      <alignment vertical="center" wrapText="1"/>
    </xf>
    <xf numFmtId="0" fontId="30" fillId="31" borderId="14" xfId="0" applyFont="1" applyFill="1" applyBorder="1" applyAlignment="1">
      <alignment horizontal="left" vertical="center" wrapText="1"/>
    </xf>
    <xf numFmtId="0" fontId="29" fillId="32" borderId="14" xfId="0" applyFont="1" applyFill="1" applyBorder="1" applyAlignment="1">
      <alignment horizontal="right" vertical="center" wrapText="1"/>
    </xf>
    <xf numFmtId="0" fontId="29" fillId="28" borderId="14" xfId="0" applyFont="1" applyFill="1" applyBorder="1" applyAlignment="1">
      <alignment horizontal="center" vertical="center" wrapText="1"/>
    </xf>
    <xf numFmtId="0" fontId="29" fillId="33" borderId="14" xfId="0" applyFont="1" applyFill="1" applyBorder="1" applyAlignment="1">
      <alignment horizontal="center" vertical="center" wrapText="1"/>
    </xf>
    <xf numFmtId="0" fontId="29" fillId="34" borderId="14" xfId="0" applyFont="1" applyFill="1" applyBorder="1" applyAlignment="1">
      <alignment vertical="center" wrapText="1"/>
    </xf>
    <xf numFmtId="0" fontId="29" fillId="35" borderId="14" xfId="0" applyFont="1" applyFill="1" applyBorder="1" applyAlignment="1">
      <alignment vertical="center" wrapText="1"/>
    </xf>
    <xf numFmtId="0" fontId="29" fillId="31" borderId="14" xfId="0" applyFont="1" applyFill="1" applyBorder="1" applyAlignment="1">
      <alignment horizontal="center" vertical="center" wrapText="1"/>
    </xf>
    <xf numFmtId="0" fontId="29" fillId="36" borderId="14" xfId="0" applyFont="1" applyFill="1" applyBorder="1" applyAlignment="1">
      <alignment horizontal="center" vertical="center" wrapText="1"/>
    </xf>
    <xf numFmtId="0" fontId="29" fillId="32" borderId="14" xfId="0" applyFont="1" applyFill="1" applyBorder="1" applyAlignment="1">
      <alignment horizontal="center" vertical="center" wrapText="1"/>
    </xf>
    <xf numFmtId="0" fontId="29" fillId="26" borderId="14" xfId="0" applyFont="1" applyFill="1" applyBorder="1" applyAlignment="1">
      <alignment horizontal="center" vertical="center" wrapText="1"/>
    </xf>
    <xf numFmtId="0" fontId="29" fillId="37" borderId="14" xfId="0" applyFont="1" applyFill="1" applyBorder="1" applyAlignment="1">
      <alignment horizontal="center" vertical="center" wrapText="1"/>
    </xf>
    <xf numFmtId="0" fontId="29" fillId="27" borderId="14" xfId="0" applyFont="1" applyFill="1" applyBorder="1" applyAlignment="1">
      <alignment horizontal="center" vertical="center" wrapText="1"/>
    </xf>
    <xf numFmtId="0" fontId="29" fillId="38" borderId="0" xfId="0" applyFont="1" applyFill="1" applyAlignment="1">
      <alignment horizontal="center" vertical="center" wrapText="1"/>
    </xf>
    <xf numFmtId="0" fontId="29" fillId="37" borderId="0" xfId="0" applyFont="1" applyFill="1" applyBorder="1" applyAlignment="1">
      <alignment horizontal="center" vertical="center" wrapText="1"/>
    </xf>
    <xf numFmtId="0" fontId="31" fillId="0" borderId="0" xfId="0" applyFont="1" applyAlignment="1">
      <alignment vertical="center" wrapText="1"/>
    </xf>
    <xf numFmtId="0" fontId="29" fillId="31" borderId="14" xfId="0" applyFont="1" applyFill="1" applyBorder="1" applyAlignment="1">
      <alignment horizontal="center" vertical="center"/>
    </xf>
    <xf numFmtId="0" fontId="29" fillId="39" borderId="14" xfId="0" applyFont="1" applyFill="1" applyBorder="1" applyAlignment="1">
      <alignment horizontal="center" vertical="center"/>
    </xf>
    <xf numFmtId="0" fontId="29" fillId="30" borderId="14" xfId="0" applyFont="1" applyFill="1" applyBorder="1" applyAlignment="1">
      <alignment horizontal="center" vertical="center" wrapText="1"/>
    </xf>
    <xf numFmtId="0" fontId="29" fillId="30" borderId="14" xfId="0" applyFont="1" applyFill="1" applyBorder="1">
      <alignment vertical="center"/>
    </xf>
    <xf numFmtId="0" fontId="30" fillId="30" borderId="14" xfId="0" applyFont="1" applyFill="1" applyBorder="1" applyAlignment="1">
      <alignment vertical="center" wrapText="1"/>
    </xf>
    <xf numFmtId="0" fontId="29" fillId="30" borderId="14" xfId="0" applyFont="1" applyFill="1" applyBorder="1" applyAlignment="1">
      <alignment horizontal="right" vertical="center" wrapText="1"/>
    </xf>
    <xf numFmtId="0" fontId="29" fillId="30" borderId="14" xfId="0" applyFont="1" applyFill="1" applyBorder="1" applyAlignment="1">
      <alignment horizontal="center" vertical="center"/>
    </xf>
    <xf numFmtId="0" fontId="31" fillId="0" borderId="0" xfId="0" applyFont="1">
      <alignment vertical="center"/>
    </xf>
    <xf numFmtId="0" fontId="29" fillId="27" borderId="14" xfId="0" applyFont="1" applyFill="1" applyBorder="1" applyAlignment="1">
      <alignment vertical="center" wrapText="1"/>
    </xf>
    <xf numFmtId="0" fontId="29" fillId="27" borderId="14" xfId="0" applyFont="1" applyFill="1" applyBorder="1">
      <alignment vertical="center"/>
    </xf>
    <xf numFmtId="0" fontId="29" fillId="27" borderId="14" xfId="0" applyFont="1" applyFill="1" applyBorder="1" applyAlignment="1">
      <alignment horizontal="right" vertical="center" wrapText="1"/>
    </xf>
    <xf numFmtId="0" fontId="29" fillId="27" borderId="14" xfId="0" applyFont="1" applyFill="1" applyBorder="1" applyAlignment="1">
      <alignment horizontal="center" vertical="center"/>
    </xf>
    <xf numFmtId="0" fontId="30" fillId="27" borderId="14" xfId="0" applyFont="1" applyFill="1" applyBorder="1" applyAlignment="1">
      <alignment horizontal="left" vertical="center" wrapText="1"/>
    </xf>
    <xf numFmtId="0" fontId="29" fillId="40" borderId="14" xfId="0" applyFont="1" applyFill="1" applyBorder="1" applyAlignment="1">
      <alignment horizontal="center" vertical="center" wrapText="1"/>
    </xf>
    <xf numFmtId="0" fontId="29" fillId="40" borderId="14" xfId="0" applyFont="1" applyFill="1" applyBorder="1" applyAlignment="1">
      <alignment vertical="center" wrapText="1"/>
    </xf>
    <xf numFmtId="0" fontId="29" fillId="40" borderId="14" xfId="0" applyFont="1" applyFill="1" applyBorder="1">
      <alignment vertical="center"/>
    </xf>
    <xf numFmtId="0" fontId="30" fillId="40" borderId="14" xfId="0" applyFont="1" applyFill="1" applyBorder="1" applyAlignment="1">
      <alignment vertical="center" wrapText="1"/>
    </xf>
    <xf numFmtId="0" fontId="29" fillId="40" borderId="14" xfId="0" applyFont="1" applyFill="1" applyBorder="1" applyAlignment="1">
      <alignment horizontal="right" vertical="center" wrapText="1"/>
    </xf>
    <xf numFmtId="0" fontId="29" fillId="40" borderId="14" xfId="0" applyFont="1" applyFill="1" applyBorder="1" applyAlignment="1">
      <alignment horizontal="center" vertical="center"/>
    </xf>
    <xf numFmtId="0" fontId="29" fillId="29" borderId="14" xfId="0" applyFont="1" applyFill="1" applyBorder="1" applyAlignment="1">
      <alignment vertical="center" wrapText="1"/>
    </xf>
    <xf numFmtId="0" fontId="29" fillId="29" borderId="14" xfId="0" applyFont="1" applyFill="1" applyBorder="1">
      <alignment vertical="center"/>
    </xf>
    <xf numFmtId="0" fontId="30" fillId="29" borderId="14" xfId="0" applyFont="1" applyFill="1" applyBorder="1" applyAlignment="1">
      <alignment vertical="center" wrapText="1"/>
    </xf>
    <xf numFmtId="0" fontId="29" fillId="29" borderId="14" xfId="0" applyFont="1" applyFill="1" applyBorder="1" applyAlignment="1">
      <alignment horizontal="right" vertical="center" wrapText="1"/>
    </xf>
    <xf numFmtId="0" fontId="29" fillId="29" borderId="14" xfId="0" applyFont="1" applyFill="1" applyBorder="1" applyAlignment="1">
      <alignment horizontal="center" vertical="center"/>
    </xf>
    <xf numFmtId="0" fontId="30" fillId="30" borderId="14" xfId="0" applyFont="1" applyFill="1" applyBorder="1" applyAlignment="1">
      <alignment horizontal="left" vertical="center" wrapText="1"/>
    </xf>
    <xf numFmtId="0" fontId="29" fillId="30" borderId="14" xfId="0" quotePrefix="1" applyFont="1" applyFill="1" applyBorder="1" applyAlignment="1">
      <alignment horizontal="center" vertical="center" wrapText="1"/>
    </xf>
    <xf numFmtId="0" fontId="32" fillId="27" borderId="14" xfId="1528" applyFont="1" applyFill="1" applyBorder="1" applyAlignment="1" applyProtection="1">
      <alignment vertical="center"/>
    </xf>
    <xf numFmtId="0" fontId="30" fillId="27" borderId="14" xfId="0" applyFont="1" applyFill="1" applyBorder="1" applyAlignment="1">
      <alignment vertical="center" wrapText="1"/>
    </xf>
    <xf numFmtId="0" fontId="29" fillId="27" borderId="14" xfId="0" quotePrefix="1" applyFont="1" applyFill="1" applyBorder="1" applyAlignment="1">
      <alignment horizontal="center" vertical="center"/>
    </xf>
    <xf numFmtId="0" fontId="32" fillId="40" borderId="14" xfId="1528" applyFont="1" applyFill="1" applyBorder="1" applyAlignment="1" applyProtection="1">
      <alignment vertical="center"/>
    </xf>
    <xf numFmtId="0" fontId="30" fillId="27" borderId="14" xfId="0" quotePrefix="1" applyFont="1" applyFill="1" applyBorder="1" applyAlignment="1">
      <alignment vertical="center" wrapText="1"/>
    </xf>
    <xf numFmtId="0" fontId="29" fillId="27" borderId="14" xfId="0" applyNumberFormat="1" applyFont="1" applyFill="1" applyBorder="1" applyAlignment="1">
      <alignment horizontal="right" vertical="center" wrapText="1"/>
    </xf>
    <xf numFmtId="0" fontId="31" fillId="0" borderId="16" xfId="0" applyFont="1" applyFill="1" applyBorder="1">
      <alignment vertical="center"/>
    </xf>
    <xf numFmtId="0" fontId="29" fillId="30" borderId="14" xfId="0" quotePrefix="1" applyFont="1" applyFill="1" applyBorder="1" applyAlignment="1">
      <alignment horizontal="center" vertical="center"/>
    </xf>
    <xf numFmtId="0" fontId="31" fillId="0" borderId="17" xfId="0" applyFont="1" applyFill="1" applyBorder="1">
      <alignment vertical="center"/>
    </xf>
    <xf numFmtId="0" fontId="30" fillId="30" borderId="14" xfId="0" applyFont="1" applyFill="1" applyBorder="1" applyAlignment="1">
      <alignment horizontal="center" vertical="center" wrapText="1"/>
    </xf>
    <xf numFmtId="0" fontId="30" fillId="30" borderId="14" xfId="0" applyFont="1" applyFill="1" applyBorder="1" applyAlignment="1">
      <alignment vertical="justify" wrapText="1"/>
    </xf>
    <xf numFmtId="49" fontId="29" fillId="27" borderId="14" xfId="0" applyNumberFormat="1" applyFont="1" applyFill="1" applyBorder="1" applyAlignment="1">
      <alignment horizontal="center" vertical="center" wrapText="1"/>
    </xf>
    <xf numFmtId="49" fontId="30" fillId="27" borderId="14" xfId="0" applyNumberFormat="1" applyFont="1" applyFill="1" applyBorder="1" applyAlignment="1">
      <alignment vertical="center" wrapText="1"/>
    </xf>
    <xf numFmtId="49" fontId="30" fillId="30" borderId="14" xfId="0" applyNumberFormat="1" applyFont="1" applyFill="1" applyBorder="1" applyAlignment="1">
      <alignment vertical="center" wrapText="1"/>
    </xf>
    <xf numFmtId="49" fontId="29" fillId="30" borderId="14" xfId="0" applyNumberFormat="1" applyFont="1" applyFill="1" applyBorder="1" applyAlignment="1">
      <alignment horizontal="center" vertical="center" wrapText="1"/>
    </xf>
    <xf numFmtId="49" fontId="29" fillId="30" borderId="14" xfId="0" applyNumberFormat="1" applyFont="1" applyFill="1" applyBorder="1" applyAlignment="1">
      <alignment horizontal="center" vertical="center"/>
    </xf>
    <xf numFmtId="0" fontId="29" fillId="28" borderId="14" xfId="0" applyFont="1" applyFill="1" applyBorder="1">
      <alignment vertical="center"/>
    </xf>
    <xf numFmtId="0" fontId="29" fillId="0" borderId="0" xfId="0" applyFont="1">
      <alignment vertical="center"/>
    </xf>
    <xf numFmtId="0" fontId="29" fillId="25" borderId="0" xfId="0" applyFont="1" applyFill="1" applyAlignment="1">
      <alignment vertical="center" wrapText="1"/>
    </xf>
    <xf numFmtId="0" fontId="30" fillId="0" borderId="0" xfId="0" applyFont="1" applyAlignment="1">
      <alignment horizontal="left" vertical="center" wrapText="1"/>
    </xf>
    <xf numFmtId="0" fontId="29" fillId="0" borderId="0" xfId="0" applyFont="1" applyAlignment="1">
      <alignment horizontal="right" vertical="center" wrapText="1"/>
    </xf>
    <xf numFmtId="0" fontId="29" fillId="0" borderId="0" xfId="0" applyFont="1" applyAlignment="1">
      <alignment horizontal="center" vertical="center"/>
    </xf>
    <xf numFmtId="0" fontId="29" fillId="0" borderId="0" xfId="0" applyFont="1" applyAlignment="1">
      <alignment horizontal="center" vertical="center" wrapText="1"/>
    </xf>
    <xf numFmtId="0" fontId="29" fillId="37" borderId="0" xfId="0" applyFont="1" applyFill="1" applyAlignment="1">
      <alignment horizontal="center" vertical="center" wrapText="1"/>
    </xf>
    <xf numFmtId="0" fontId="29" fillId="27" borderId="17" xfId="0" applyFont="1" applyFill="1" applyBorder="1" applyAlignment="1">
      <alignment horizontal="center" vertical="center"/>
    </xf>
    <xf numFmtId="0" fontId="24" fillId="30" borderId="14" xfId="0" applyFont="1" applyFill="1" applyBorder="1" applyAlignment="1">
      <alignment vertical="center" wrapText="1"/>
    </xf>
    <xf numFmtId="0" fontId="52" fillId="30" borderId="14" xfId="0" applyFont="1" applyFill="1" applyBorder="1" applyAlignment="1">
      <alignment horizontal="right" vertical="center" wrapText="1"/>
    </xf>
    <xf numFmtId="0" fontId="33" fillId="0" borderId="0" xfId="0" applyFont="1" applyAlignment="1">
      <alignment horizontal="center" vertical="center" wrapText="1"/>
    </xf>
    <xf numFmtId="0" fontId="33" fillId="0" borderId="0" xfId="0" applyFont="1" applyAlignment="1">
      <alignment horizontal="left" vertical="center" wrapText="1"/>
    </xf>
    <xf numFmtId="0" fontId="24" fillId="40" borderId="14" xfId="0" applyFont="1" applyFill="1" applyBorder="1">
      <alignment vertical="center"/>
    </xf>
    <xf numFmtId="0" fontId="34" fillId="30" borderId="14" xfId="0" applyFont="1" applyFill="1" applyBorder="1" applyAlignment="1">
      <alignment vertical="center" wrapText="1"/>
    </xf>
    <xf numFmtId="0" fontId="24" fillId="30" borderId="14" xfId="0" applyFont="1" applyFill="1" applyBorder="1">
      <alignment vertical="center"/>
    </xf>
    <xf numFmtId="0" fontId="20" fillId="30" borderId="14" xfId="0" applyFont="1" applyFill="1" applyBorder="1" applyAlignment="1">
      <alignment horizontal="left" vertical="center" wrapText="1"/>
    </xf>
    <xf numFmtId="0" fontId="20" fillId="30" borderId="14" xfId="0" applyFont="1" applyFill="1" applyBorder="1" applyAlignment="1">
      <alignment vertical="center" wrapText="1"/>
    </xf>
    <xf numFmtId="0" fontId="24" fillId="30" borderId="14" xfId="0" applyFont="1" applyFill="1" applyBorder="1" applyAlignment="1">
      <alignment horizontal="center" vertical="center" wrapText="1"/>
    </xf>
    <xf numFmtId="0" fontId="24" fillId="31" borderId="14" xfId="0" applyFont="1" applyFill="1" applyBorder="1" applyAlignment="1">
      <alignment horizontal="center" vertical="center"/>
    </xf>
    <xf numFmtId="0" fontId="24" fillId="39" borderId="14" xfId="0" applyFont="1" applyFill="1" applyBorder="1" applyAlignment="1">
      <alignment horizontal="center" vertical="center"/>
    </xf>
    <xf numFmtId="0" fontId="20" fillId="30" borderId="14" xfId="0" applyFont="1" applyFill="1" applyBorder="1" applyAlignment="1">
      <alignment horizontal="center" vertical="center" wrapText="1"/>
    </xf>
    <xf numFmtId="0" fontId="24" fillId="30" borderId="14" xfId="0" applyFont="1" applyFill="1" applyBorder="1" applyAlignment="1">
      <alignment horizontal="right" vertical="center" wrapText="1"/>
    </xf>
    <xf numFmtId="0" fontId="20" fillId="27" borderId="14" xfId="0" applyFont="1" applyFill="1" applyBorder="1" applyAlignment="1">
      <alignment vertical="center" wrapText="1"/>
    </xf>
    <xf numFmtId="0" fontId="52" fillId="30" borderId="14" xfId="0" applyFont="1" applyFill="1" applyBorder="1" applyAlignment="1">
      <alignment horizontal="center" vertical="center"/>
    </xf>
    <xf numFmtId="0" fontId="37" fillId="30" borderId="14" xfId="0" applyFont="1" applyFill="1" applyBorder="1">
      <alignment vertical="center"/>
    </xf>
    <xf numFmtId="0" fontId="36" fillId="30" borderId="14" xfId="0" applyFont="1" applyFill="1" applyBorder="1" applyAlignment="1">
      <alignment vertical="top" wrapText="1"/>
    </xf>
    <xf numFmtId="0" fontId="52" fillId="0" borderId="0" xfId="0" applyFont="1" applyAlignment="1">
      <alignment horizontal="left" vertical="center" wrapText="1"/>
    </xf>
    <xf numFmtId="0" fontId="38" fillId="27" borderId="14" xfId="0" applyFont="1" applyFill="1" applyBorder="1">
      <alignment vertical="center"/>
    </xf>
    <xf numFmtId="0" fontId="40" fillId="40" borderId="14" xfId="0" applyFont="1" applyFill="1" applyBorder="1" applyAlignment="1">
      <alignment horizontal="right" vertical="center" wrapText="1"/>
    </xf>
    <xf numFmtId="0" fontId="40" fillId="40" borderId="14" xfId="0" applyFont="1" applyFill="1" applyBorder="1" applyAlignment="1">
      <alignment horizontal="center" vertical="center"/>
    </xf>
    <xf numFmtId="0" fontId="40" fillId="31" borderId="14" xfId="0" applyFont="1" applyFill="1" applyBorder="1" applyAlignment="1">
      <alignment horizontal="center" vertical="center"/>
    </xf>
    <xf numFmtId="0" fontId="40" fillId="39" borderId="14" xfId="0" applyFont="1" applyFill="1" applyBorder="1" applyAlignment="1">
      <alignment horizontal="center" vertical="center"/>
    </xf>
    <xf numFmtId="0" fontId="40" fillId="27" borderId="14" xfId="0" applyFont="1" applyFill="1" applyBorder="1" applyAlignment="1">
      <alignment horizontal="center" vertical="center"/>
    </xf>
    <xf numFmtId="0" fontId="41" fillId="0" borderId="0" xfId="0" applyFont="1">
      <alignment vertical="center"/>
    </xf>
    <xf numFmtId="0" fontId="40" fillId="30" borderId="14" xfId="0" applyFont="1" applyFill="1" applyBorder="1" applyAlignment="1">
      <alignment horizontal="center" vertical="center" wrapText="1"/>
    </xf>
    <xf numFmtId="0" fontId="40" fillId="30" borderId="14" xfId="0" applyFont="1" applyFill="1" applyBorder="1" applyAlignment="1">
      <alignment vertical="center" wrapText="1"/>
    </xf>
    <xf numFmtId="0" fontId="40" fillId="30" borderId="14" xfId="0" applyFont="1" applyFill="1" applyBorder="1">
      <alignment vertical="center"/>
    </xf>
    <xf numFmtId="0" fontId="39" fillId="30" borderId="14" xfId="0" applyFont="1" applyFill="1" applyBorder="1" applyAlignment="1">
      <alignment vertical="center" wrapText="1"/>
    </xf>
    <xf numFmtId="0" fontId="40" fillId="30" borderId="14" xfId="0" applyFont="1" applyFill="1" applyBorder="1" applyAlignment="1">
      <alignment horizontal="right" vertical="center" wrapText="1"/>
    </xf>
    <xf numFmtId="0" fontId="40" fillId="30" borderId="14" xfId="0" applyFont="1" applyFill="1" applyBorder="1" applyAlignment="1">
      <alignment horizontal="center" vertical="center"/>
    </xf>
    <xf numFmtId="0" fontId="42" fillId="0" borderId="0" xfId="0" applyFont="1" applyAlignment="1">
      <alignment horizontal="center" vertical="center" wrapText="1"/>
    </xf>
    <xf numFmtId="0" fontId="42" fillId="0" borderId="0" xfId="0" applyFont="1" applyAlignment="1">
      <alignment horizontal="left" vertical="center" wrapText="1"/>
    </xf>
    <xf numFmtId="0" fontId="42" fillId="0" borderId="0" xfId="0" applyFont="1" applyAlignment="1">
      <alignment horizontal="center" vertical="center"/>
    </xf>
    <xf numFmtId="0" fontId="44" fillId="30" borderId="14" xfId="0" applyFont="1" applyFill="1" applyBorder="1" applyAlignment="1">
      <alignment horizontal="left" vertical="center" wrapText="1"/>
    </xf>
    <xf numFmtId="0" fontId="53" fillId="30" borderId="14" xfId="0" applyFont="1" applyFill="1" applyBorder="1" applyAlignment="1">
      <alignment horizontal="left" vertical="center" wrapText="1"/>
    </xf>
    <xf numFmtId="0" fontId="52" fillId="31" borderId="14" xfId="0" applyFont="1" applyFill="1" applyBorder="1" applyAlignment="1">
      <alignment horizontal="center" vertical="center"/>
    </xf>
    <xf numFmtId="0" fontId="52" fillId="39" borderId="14" xfId="0" applyFont="1" applyFill="1" applyBorder="1" applyAlignment="1">
      <alignment horizontal="center" vertical="center"/>
    </xf>
    <xf numFmtId="0" fontId="53" fillId="30" borderId="14" xfId="0" applyFont="1" applyFill="1" applyBorder="1" applyAlignment="1">
      <alignment horizontal="center" vertical="center" wrapText="1"/>
    </xf>
    <xf numFmtId="0" fontId="54" fillId="0" borderId="0" xfId="0" applyFont="1">
      <alignment vertical="center"/>
    </xf>
    <xf numFmtId="0" fontId="52" fillId="27" borderId="14" xfId="0" applyFont="1" applyFill="1" applyBorder="1" applyAlignment="1">
      <alignment horizontal="right" vertical="center" wrapText="1"/>
    </xf>
    <xf numFmtId="0" fontId="45" fillId="27" borderId="14" xfId="0" applyFont="1" applyFill="1" applyBorder="1" applyAlignment="1">
      <alignment horizontal="center" vertical="center" wrapText="1"/>
    </xf>
    <xf numFmtId="0" fontId="52" fillId="40" borderId="14" xfId="0" applyFont="1" applyFill="1" applyBorder="1" applyAlignment="1">
      <alignment horizontal="right" vertical="center" wrapText="1"/>
    </xf>
    <xf numFmtId="0" fontId="52" fillId="29" borderId="14" xfId="0" applyFont="1" applyFill="1" applyBorder="1" applyAlignment="1">
      <alignment horizontal="right" vertical="center" wrapText="1"/>
    </xf>
    <xf numFmtId="0" fontId="47" fillId="30" borderId="14" xfId="0" applyFont="1" applyFill="1" applyBorder="1" applyAlignment="1">
      <alignment horizontal="right" vertical="center" wrapText="1"/>
    </xf>
    <xf numFmtId="0" fontId="46" fillId="30" borderId="14" xfId="0" applyFont="1" applyFill="1" applyBorder="1" applyAlignment="1">
      <alignment horizontal="right" vertical="center" wrapText="1"/>
    </xf>
    <xf numFmtId="0" fontId="52" fillId="30" borderId="14" xfId="0" applyFont="1" applyFill="1" applyBorder="1" applyAlignment="1">
      <alignment vertical="center" wrapText="1"/>
    </xf>
    <xf numFmtId="0" fontId="46" fillId="30" borderId="14" xfId="0" applyFont="1" applyFill="1" applyBorder="1" applyAlignment="1">
      <alignment horizontal="center" vertical="center"/>
    </xf>
    <xf numFmtId="0" fontId="48" fillId="30" borderId="14" xfId="0" applyFont="1" applyFill="1" applyBorder="1" applyAlignment="1">
      <alignment vertical="center" wrapText="1"/>
    </xf>
    <xf numFmtId="0" fontId="46" fillId="27" borderId="14" xfId="0" applyFont="1" applyFill="1" applyBorder="1" applyAlignment="1">
      <alignment horizontal="center" vertical="center" wrapText="1"/>
    </xf>
    <xf numFmtId="0" fontId="46" fillId="27" borderId="14" xfId="0" applyFont="1" applyFill="1" applyBorder="1" applyAlignment="1">
      <alignment vertical="center" wrapText="1"/>
    </xf>
    <xf numFmtId="0" fontId="48" fillId="27" borderId="14" xfId="0" applyFont="1" applyFill="1" applyBorder="1" applyAlignment="1">
      <alignment vertical="center" wrapText="1"/>
    </xf>
    <xf numFmtId="0" fontId="46" fillId="27" borderId="14" xfId="0" applyFont="1" applyFill="1" applyBorder="1" applyAlignment="1">
      <alignment horizontal="right" vertical="center" wrapText="1"/>
    </xf>
    <xf numFmtId="0" fontId="46" fillId="27" borderId="14" xfId="0" applyFont="1" applyFill="1" applyBorder="1" applyAlignment="1">
      <alignment horizontal="center" vertical="center"/>
    </xf>
    <xf numFmtId="0" fontId="46" fillId="27" borderId="14" xfId="0" applyFont="1" applyFill="1" applyBorder="1">
      <alignment vertical="center"/>
    </xf>
    <xf numFmtId="49" fontId="48" fillId="27" borderId="14" xfId="0" applyNumberFormat="1" applyFont="1" applyFill="1" applyBorder="1" applyAlignment="1">
      <alignment vertical="center" wrapText="1"/>
    </xf>
    <xf numFmtId="0" fontId="24" fillId="27" borderId="14" xfId="0" applyFont="1" applyFill="1" applyBorder="1">
      <alignment vertical="center"/>
    </xf>
    <xf numFmtId="0" fontId="24" fillId="30" borderId="14" xfId="0" applyFont="1" applyFill="1" applyBorder="1" applyAlignment="1">
      <alignment horizontal="center" vertical="center"/>
    </xf>
    <xf numFmtId="0" fontId="56" fillId="30" borderId="14" xfId="0" applyFont="1" applyFill="1" applyBorder="1" applyAlignment="1">
      <alignment horizontal="center" vertical="center"/>
    </xf>
    <xf numFmtId="0" fontId="56" fillId="30" borderId="14" xfId="0" applyFont="1" applyFill="1" applyBorder="1" applyAlignment="1">
      <alignment horizontal="right" vertical="center" wrapText="1"/>
    </xf>
    <xf numFmtId="0" fontId="24" fillId="27" borderId="14" xfId="0" applyFont="1" applyFill="1" applyBorder="1" applyAlignment="1">
      <alignment vertical="center" wrapText="1"/>
    </xf>
    <xf numFmtId="49" fontId="20" fillId="27" borderId="14" xfId="0" applyNumberFormat="1" applyFont="1" applyFill="1" applyBorder="1" applyAlignment="1">
      <alignment vertical="center" wrapText="1"/>
    </xf>
    <xf numFmtId="0" fontId="24" fillId="27" borderId="14" xfId="0" applyFont="1" applyFill="1" applyBorder="1" applyAlignment="1">
      <alignment horizontal="right" vertical="center" wrapText="1"/>
    </xf>
    <xf numFmtId="0" fontId="24" fillId="27" borderId="14" xfId="0" applyFont="1" applyFill="1" applyBorder="1" applyAlignment="1">
      <alignment horizontal="center" vertical="center"/>
    </xf>
    <xf numFmtId="49" fontId="24" fillId="27" borderId="14" xfId="0" applyNumberFormat="1" applyFont="1" applyFill="1" applyBorder="1" applyAlignment="1">
      <alignment horizontal="center" vertical="center" wrapText="1"/>
    </xf>
    <xf numFmtId="0" fontId="24" fillId="27" borderId="14" xfId="0" applyFont="1" applyFill="1" applyBorder="1" applyAlignment="1">
      <alignment horizontal="center" vertical="center" wrapText="1"/>
    </xf>
    <xf numFmtId="0" fontId="56" fillId="29" borderId="14" xfId="0" applyFont="1" applyFill="1" applyBorder="1" applyAlignment="1">
      <alignment horizontal="right" vertical="center" wrapText="1"/>
    </xf>
    <xf numFmtId="0" fontId="55" fillId="30" borderId="14" xfId="0" applyFont="1" applyFill="1" applyBorder="1" applyAlignment="1">
      <alignment horizontal="center" vertical="center" wrapText="1"/>
    </xf>
    <xf numFmtId="0" fontId="56" fillId="31" borderId="14" xfId="0" applyFont="1" applyFill="1" applyBorder="1" applyAlignment="1">
      <alignment horizontal="center" vertical="center"/>
    </xf>
    <xf numFmtId="0" fontId="56" fillId="39" borderId="14" xfId="0" applyFont="1" applyFill="1" applyBorder="1" applyAlignment="1">
      <alignment horizontal="center" vertical="center"/>
    </xf>
    <xf numFmtId="0" fontId="57" fillId="0" borderId="0" xfId="0" applyFont="1">
      <alignment vertical="center"/>
    </xf>
    <xf numFmtId="0" fontId="56" fillId="27" borderId="14" xfId="0" applyFont="1" applyFill="1" applyBorder="1" applyAlignment="1">
      <alignment horizontal="right" vertical="center" wrapText="1"/>
    </xf>
    <xf numFmtId="0" fontId="58" fillId="30" borderId="14" xfId="0" applyFont="1" applyFill="1" applyBorder="1" applyAlignment="1">
      <alignment horizontal="right" vertical="center" wrapText="1"/>
    </xf>
    <xf numFmtId="0" fontId="29" fillId="41" borderId="14" xfId="0" applyFont="1" applyFill="1" applyBorder="1" applyAlignment="1">
      <alignment horizontal="center" vertical="center" wrapText="1"/>
    </xf>
    <xf numFmtId="0" fontId="24" fillId="41" borderId="14" xfId="0" applyFont="1" applyFill="1" applyBorder="1" applyAlignment="1">
      <alignment vertical="center" wrapText="1"/>
    </xf>
    <xf numFmtId="0" fontId="29" fillId="41" borderId="14" xfId="0" applyFont="1" applyFill="1" applyBorder="1" applyAlignment="1">
      <alignment vertical="center" wrapText="1"/>
    </xf>
    <xf numFmtId="0" fontId="20" fillId="41" borderId="14" xfId="0" applyFont="1" applyFill="1" applyBorder="1" applyAlignment="1">
      <alignment horizontal="left" vertical="center" wrapText="1"/>
    </xf>
    <xf numFmtId="0" fontId="29" fillId="41" borderId="14" xfId="0" applyFont="1" applyFill="1" applyBorder="1" applyAlignment="1">
      <alignment horizontal="right" vertical="center" wrapText="1"/>
    </xf>
    <xf numFmtId="0" fontId="29" fillId="41" borderId="14" xfId="0" applyFont="1" applyFill="1" applyBorder="1" applyAlignment="1">
      <alignment horizontal="center" vertical="center"/>
    </xf>
    <xf numFmtId="0" fontId="29" fillId="24" borderId="14" xfId="0" applyFont="1" applyFill="1" applyBorder="1" applyAlignment="1">
      <alignment horizontal="center" vertical="center"/>
    </xf>
    <xf numFmtId="0" fontId="52" fillId="73" borderId="14" xfId="0" applyFont="1" applyFill="1" applyBorder="1" applyAlignment="1">
      <alignment horizontal="right" vertical="center" wrapText="1"/>
    </xf>
    <xf numFmtId="0" fontId="29" fillId="73" borderId="14" xfId="0" applyFont="1" applyFill="1" applyBorder="1" applyAlignment="1">
      <alignment horizontal="right" vertical="center" wrapText="1"/>
    </xf>
    <xf numFmtId="0" fontId="47" fillId="73" borderId="14" xfId="0" applyFont="1" applyFill="1" applyBorder="1" applyAlignment="1">
      <alignment horizontal="right" vertical="center" wrapText="1"/>
    </xf>
    <xf numFmtId="0" fontId="24" fillId="75" borderId="14" xfId="0" applyFont="1" applyFill="1" applyBorder="1" applyAlignment="1">
      <alignment horizontal="right" vertical="center" wrapText="1"/>
    </xf>
    <xf numFmtId="0" fontId="24" fillId="74" borderId="14" xfId="0" applyFont="1" applyFill="1" applyBorder="1" applyAlignment="1">
      <alignment vertical="center" wrapText="1"/>
    </xf>
    <xf numFmtId="0" fontId="24" fillId="74" borderId="14" xfId="0" applyFont="1" applyFill="1" applyBorder="1">
      <alignment vertical="center"/>
    </xf>
    <xf numFmtId="0" fontId="20" fillId="74" borderId="14" xfId="0" applyFont="1" applyFill="1" applyBorder="1" applyAlignment="1">
      <alignment vertical="center" wrapText="1"/>
    </xf>
    <xf numFmtId="0" fontId="20" fillId="74" borderId="14" xfId="0" applyFont="1" applyFill="1" applyBorder="1" applyAlignment="1">
      <alignment horizontal="center" vertical="center" wrapText="1"/>
    </xf>
    <xf numFmtId="0" fontId="24" fillId="74" borderId="14" xfId="0" applyFont="1" applyFill="1" applyBorder="1" applyAlignment="1">
      <alignment horizontal="center" vertical="center" wrapText="1"/>
    </xf>
    <xf numFmtId="0" fontId="52" fillId="75" borderId="14" xfId="0" applyFont="1" applyFill="1" applyBorder="1" applyAlignment="1">
      <alignment horizontal="right" vertical="center" wrapText="1"/>
    </xf>
    <xf numFmtId="0" fontId="52" fillId="76" borderId="14" xfId="0" applyFont="1" applyFill="1" applyBorder="1" applyAlignment="1">
      <alignment horizontal="right" vertical="center" wrapText="1"/>
    </xf>
    <xf numFmtId="0" fontId="56" fillId="75" borderId="14" xfId="0" applyFont="1" applyFill="1" applyBorder="1" applyAlignment="1">
      <alignment horizontal="right" vertical="center" wrapText="1"/>
    </xf>
    <xf numFmtId="0" fontId="78" fillId="74" borderId="14" xfId="0" applyFont="1" applyFill="1" applyBorder="1" applyAlignment="1">
      <alignment vertical="center" wrapText="1"/>
    </xf>
    <xf numFmtId="0" fontId="24" fillId="74" borderId="14" xfId="0" applyFont="1" applyFill="1" applyBorder="1" applyAlignment="1">
      <alignment horizontal="center" vertical="center"/>
    </xf>
    <xf numFmtId="0" fontId="24" fillId="74" borderId="14" xfId="0" applyFont="1" applyFill="1" applyBorder="1" applyAlignment="1">
      <alignment vertical="center" wrapText="1"/>
    </xf>
    <xf numFmtId="0" fontId="24" fillId="74" borderId="14" xfId="0" applyFont="1" applyFill="1" applyBorder="1">
      <alignment vertical="center"/>
    </xf>
    <xf numFmtId="0" fontId="24" fillId="74" borderId="14" xfId="0" applyFont="1" applyFill="1" applyBorder="1" applyAlignment="1">
      <alignment horizontal="right" vertical="center" wrapText="1"/>
    </xf>
    <xf numFmtId="0" fontId="24" fillId="74" borderId="14" xfId="0" applyFont="1" applyFill="1" applyBorder="1" applyAlignment="1">
      <alignment horizontal="center" vertical="center" wrapText="1"/>
    </xf>
    <xf numFmtId="0" fontId="77" fillId="74" borderId="14" xfId="0" applyFont="1" applyFill="1" applyBorder="1" applyAlignment="1">
      <alignment horizontal="center" vertical="center"/>
    </xf>
    <xf numFmtId="49" fontId="24" fillId="74" borderId="14" xfId="0" applyNumberFormat="1" applyFont="1" applyFill="1" applyBorder="1" applyAlignment="1">
      <alignment horizontal="center" vertical="center"/>
    </xf>
    <xf numFmtId="0" fontId="24" fillId="74" borderId="14" xfId="0" applyFont="1" applyFill="1" applyBorder="1" applyAlignment="1">
      <alignment vertical="center" wrapText="1"/>
    </xf>
    <xf numFmtId="0" fontId="24" fillId="74" borderId="14" xfId="0" applyFont="1" applyFill="1" applyBorder="1" applyAlignment="1">
      <alignment horizontal="center" vertical="center" wrapText="1"/>
    </xf>
    <xf numFmtId="0" fontId="20" fillId="74" borderId="14" xfId="0" applyFont="1" applyFill="1" applyBorder="1" applyAlignment="1">
      <alignment horizontal="center" vertical="center" wrapText="1"/>
    </xf>
    <xf numFmtId="0" fontId="24" fillId="74" borderId="14" xfId="0" applyFont="1" applyFill="1" applyBorder="1">
      <alignment vertical="center"/>
    </xf>
    <xf numFmtId="0" fontId="20" fillId="74" borderId="14" xfId="0" applyFont="1" applyFill="1" applyBorder="1" applyAlignment="1">
      <alignment vertical="center" wrapText="1"/>
    </xf>
    <xf numFmtId="0" fontId="79" fillId="27" borderId="14" xfId="1825" applyFont="1" applyFill="1" applyBorder="1" applyAlignment="1">
      <alignment horizontal="center" vertical="center" wrapText="1"/>
    </xf>
    <xf numFmtId="0" fontId="79" fillId="27" borderId="14" xfId="1825" applyFont="1" applyFill="1" applyBorder="1" applyAlignment="1">
      <alignment vertical="center" wrapText="1"/>
    </xf>
    <xf numFmtId="0" fontId="79" fillId="27" borderId="14" xfId="1825" applyFont="1" applyFill="1" applyBorder="1" applyAlignment="1">
      <alignment horizontal="right" vertical="center" wrapText="1"/>
    </xf>
    <xf numFmtId="0" fontId="79" fillId="27" borderId="14" xfId="1825" applyFont="1" applyFill="1" applyBorder="1" applyAlignment="1">
      <alignment horizontal="center" vertical="center"/>
    </xf>
    <xf numFmtId="0" fontId="80" fillId="27" borderId="14" xfId="1825" applyFont="1" applyFill="1" applyBorder="1" applyAlignment="1">
      <alignment horizontal="left" vertical="center" wrapText="1"/>
    </xf>
    <xf numFmtId="0" fontId="79" fillId="30" borderId="14" xfId="13509" applyFont="1" applyFill="1" applyBorder="1" applyAlignment="1">
      <alignment vertical="center" wrapText="1"/>
    </xf>
    <xf numFmtId="0" fontId="79" fillId="30" borderId="14" xfId="13509" applyFont="1" applyFill="1" applyBorder="1" applyAlignment="1">
      <alignment horizontal="center" vertical="center" wrapText="1"/>
    </xf>
    <xf numFmtId="0" fontId="79" fillId="30" borderId="14" xfId="13509" applyFont="1" applyFill="1" applyBorder="1">
      <alignment vertical="center"/>
    </xf>
    <xf numFmtId="0" fontId="80" fillId="30" borderId="14" xfId="13509" applyFont="1" applyFill="1" applyBorder="1" applyAlignment="1">
      <alignment vertical="center" wrapText="1"/>
    </xf>
    <xf numFmtId="0" fontId="79" fillId="30" borderId="14" xfId="13509" applyFont="1" applyFill="1" applyBorder="1" applyAlignment="1">
      <alignment horizontal="right" vertical="center" wrapText="1"/>
    </xf>
    <xf numFmtId="0" fontId="79" fillId="30" borderId="14" xfId="13509" applyFont="1" applyFill="1" applyBorder="1" applyAlignment="1">
      <alignment horizontal="center" vertical="center"/>
    </xf>
    <xf numFmtId="20" fontId="80" fillId="30" borderId="14" xfId="13509" applyNumberFormat="1" applyFont="1" applyFill="1" applyBorder="1" applyAlignment="1">
      <alignment vertical="center" wrapText="1"/>
    </xf>
    <xf numFmtId="0" fontId="79" fillId="30" borderId="14" xfId="7384" applyFont="1" applyFill="1" applyBorder="1" applyAlignment="1">
      <alignment vertical="center" wrapText="1"/>
    </xf>
    <xf numFmtId="0" fontId="79" fillId="27" borderId="14" xfId="7384" applyFont="1" applyFill="1" applyBorder="1" applyAlignment="1">
      <alignment horizontal="center" vertical="center" wrapText="1"/>
    </xf>
    <xf numFmtId="0" fontId="79" fillId="30" borderId="14" xfId="7384" applyFont="1" applyFill="1" applyBorder="1" applyAlignment="1">
      <alignment horizontal="center" vertical="center" wrapText="1"/>
    </xf>
    <xf numFmtId="0" fontId="79" fillId="30" borderId="14" xfId="7384" applyFont="1" applyFill="1" applyBorder="1">
      <alignment vertical="center"/>
    </xf>
    <xf numFmtId="0" fontId="80" fillId="30" borderId="14" xfId="7384" applyFont="1" applyFill="1" applyBorder="1" applyAlignment="1">
      <alignment vertical="center" wrapText="1"/>
    </xf>
    <xf numFmtId="0" fontId="79" fillId="30" borderId="14" xfId="7384" applyFont="1" applyFill="1" applyBorder="1" applyAlignment="1">
      <alignment horizontal="right" vertical="center" wrapText="1"/>
    </xf>
    <xf numFmtId="0" fontId="79" fillId="30" borderId="14" xfId="7384" applyFont="1" applyFill="1" applyBorder="1" applyAlignment="1">
      <alignment horizontal="center" vertical="center"/>
    </xf>
    <xf numFmtId="0" fontId="79" fillId="27" borderId="14" xfId="7384" applyFont="1" applyFill="1" applyBorder="1" applyAlignment="1">
      <alignment vertical="center" wrapText="1"/>
    </xf>
    <xf numFmtId="0" fontId="79" fillId="27" borderId="14" xfId="7384" applyFont="1" applyFill="1" applyBorder="1">
      <alignment vertical="center"/>
    </xf>
    <xf numFmtId="0" fontId="79" fillId="27" borderId="14" xfId="7384" applyFont="1" applyFill="1" applyBorder="1" applyAlignment="1">
      <alignment horizontal="right" vertical="center" wrapText="1"/>
    </xf>
    <xf numFmtId="0" fontId="79" fillId="27" borderId="14" xfId="7384" applyFont="1" applyFill="1" applyBorder="1" applyAlignment="1">
      <alignment horizontal="center" vertical="center"/>
    </xf>
    <xf numFmtId="0" fontId="80" fillId="27" borderId="14" xfId="7384" applyFont="1" applyFill="1" applyBorder="1" applyAlignment="1">
      <alignment horizontal="left" vertical="center" wrapText="1"/>
    </xf>
    <xf numFmtId="0" fontId="80" fillId="27" borderId="14" xfId="7384" applyFont="1" applyFill="1" applyBorder="1" applyAlignment="1">
      <alignment vertical="center" wrapText="1"/>
    </xf>
    <xf numFmtId="0" fontId="100" fillId="27" borderId="14" xfId="7384" applyFont="1" applyFill="1" applyBorder="1" applyAlignment="1">
      <alignment horizontal="right" vertical="center" wrapText="1"/>
    </xf>
    <xf numFmtId="0" fontId="79" fillId="27" borderId="14" xfId="17397" applyFont="1" applyFill="1" applyBorder="1" applyAlignment="1">
      <alignment horizontal="center" vertical="center" wrapText="1"/>
    </xf>
    <xf numFmtId="0" fontId="79" fillId="27" borderId="14" xfId="17397" applyFont="1" applyFill="1" applyBorder="1" applyAlignment="1">
      <alignment vertical="center" wrapText="1"/>
    </xf>
    <xf numFmtId="0" fontId="79" fillId="27" borderId="14" xfId="17397" applyFont="1" applyFill="1" applyBorder="1">
      <alignment vertical="center"/>
    </xf>
    <xf numFmtId="0" fontId="79" fillId="27" borderId="14" xfId="17397" applyFont="1" applyFill="1" applyBorder="1" applyAlignment="1">
      <alignment horizontal="right" vertical="center" wrapText="1"/>
    </xf>
    <xf numFmtId="0" fontId="79" fillId="27" borderId="14" xfId="17397" applyFont="1" applyFill="1" applyBorder="1" applyAlignment="1">
      <alignment horizontal="center" vertical="center"/>
    </xf>
    <xf numFmtId="0" fontId="80" fillId="27" borderId="14" xfId="17397" applyFont="1" applyFill="1" applyBorder="1" applyAlignment="1">
      <alignment horizontal="left" vertical="center" wrapText="1"/>
    </xf>
    <xf numFmtId="0" fontId="79" fillId="30" borderId="14" xfId="0" applyFont="1" applyFill="1" applyBorder="1">
      <alignment vertical="center"/>
    </xf>
    <xf numFmtId="0" fontId="118" fillId="27" borderId="14" xfId="0" applyFont="1" applyFill="1" applyBorder="1" applyAlignment="1">
      <alignment horizontal="right" vertical="center" wrapText="1"/>
    </xf>
    <xf numFmtId="0" fontId="79" fillId="27" borderId="14" xfId="17426" applyFont="1" applyFill="1" applyBorder="1" applyAlignment="1">
      <alignment horizontal="center" vertical="center" wrapText="1"/>
    </xf>
    <xf numFmtId="0" fontId="79" fillId="27" borderId="14" xfId="17426" applyFont="1" applyFill="1" applyBorder="1">
      <alignment vertical="center"/>
    </xf>
    <xf numFmtId="0" fontId="79" fillId="27" borderId="14" xfId="17426" applyFont="1" applyFill="1" applyBorder="1" applyAlignment="1">
      <alignment horizontal="right" vertical="center" wrapText="1"/>
    </xf>
    <xf numFmtId="0" fontId="79" fillId="27" borderId="14" xfId="17426" applyFont="1" applyFill="1" applyBorder="1" applyAlignment="1">
      <alignment horizontal="center" vertical="center"/>
    </xf>
    <xf numFmtId="0" fontId="80" fillId="27" borderId="14" xfId="17426" applyFont="1" applyFill="1" applyBorder="1" applyAlignment="1">
      <alignment horizontal="left" vertical="center" wrapText="1"/>
    </xf>
    <xf numFmtId="0" fontId="119" fillId="27" borderId="14" xfId="17426" applyFont="1" applyFill="1" applyBorder="1" applyAlignment="1">
      <alignment vertical="center" wrapText="1"/>
    </xf>
    <xf numFmtId="0" fontId="79" fillId="27" borderId="14" xfId="17512" applyFont="1" applyFill="1" applyBorder="1" applyAlignment="1">
      <alignment horizontal="center" vertical="center" wrapText="1"/>
    </xf>
    <xf numFmtId="0" fontId="79" fillId="27" borderId="14" xfId="17512" applyFont="1" applyFill="1" applyBorder="1">
      <alignment vertical="center"/>
    </xf>
    <xf numFmtId="0" fontId="79" fillId="27" borderId="14" xfId="17512" applyFont="1" applyFill="1" applyBorder="1" applyAlignment="1">
      <alignment horizontal="right" vertical="center" wrapText="1"/>
    </xf>
    <xf numFmtId="0" fontId="79" fillId="27" borderId="14" xfId="17512" applyFont="1" applyFill="1" applyBorder="1" applyAlignment="1">
      <alignment horizontal="center" vertical="center"/>
    </xf>
    <xf numFmtId="0" fontId="80" fillId="27" borderId="14" xfId="17512" applyFont="1" applyFill="1" applyBorder="1" applyAlignment="1">
      <alignment horizontal="left" vertical="center" wrapText="1"/>
    </xf>
    <xf numFmtId="0" fontId="119" fillId="27" borderId="14" xfId="17512" applyFont="1" applyFill="1" applyBorder="1" applyAlignment="1">
      <alignment vertical="center" wrapText="1"/>
    </xf>
    <xf numFmtId="0" fontId="79" fillId="27" borderId="14" xfId="17598" applyFont="1" applyFill="1" applyBorder="1" applyAlignment="1">
      <alignment horizontal="center" vertical="center" wrapText="1"/>
    </xf>
    <xf numFmtId="0" fontId="79" fillId="27" borderId="14" xfId="17598" applyFont="1" applyFill="1" applyBorder="1" applyAlignment="1">
      <alignment vertical="center" wrapText="1"/>
    </xf>
    <xf numFmtId="0" fontId="79" fillId="27" borderId="14" xfId="17598" applyFont="1" applyFill="1" applyBorder="1">
      <alignment vertical="center"/>
    </xf>
    <xf numFmtId="0" fontId="79" fillId="27" borderId="14" xfId="17598" applyFont="1" applyFill="1" applyBorder="1" applyAlignment="1">
      <alignment horizontal="right" vertical="center" wrapText="1"/>
    </xf>
    <xf numFmtId="0" fontId="79" fillId="27" borderId="14" xfId="17598" applyFont="1" applyFill="1" applyBorder="1" applyAlignment="1">
      <alignment horizontal="center" vertical="center"/>
    </xf>
    <xf numFmtId="0" fontId="80" fillId="27" borderId="14" xfId="17598" applyFont="1" applyFill="1" applyBorder="1" applyAlignment="1">
      <alignment horizontal="left" vertical="center" wrapText="1"/>
    </xf>
    <xf numFmtId="0" fontId="79" fillId="27" borderId="14" xfId="17684" applyFont="1" applyFill="1" applyBorder="1" applyAlignment="1">
      <alignment horizontal="center" vertical="center" wrapText="1"/>
    </xf>
    <xf numFmtId="0" fontId="79" fillId="27" borderId="14" xfId="17684" applyFont="1" applyFill="1" applyBorder="1" applyAlignment="1">
      <alignment vertical="center" wrapText="1"/>
    </xf>
    <xf numFmtId="0" fontId="79" fillId="27" borderId="14" xfId="17684" applyFont="1" applyFill="1" applyBorder="1">
      <alignment vertical="center"/>
    </xf>
    <xf numFmtId="0" fontId="79" fillId="27" borderId="14" xfId="17684" applyFont="1" applyFill="1" applyBorder="1" applyAlignment="1">
      <alignment horizontal="right" vertical="center" wrapText="1"/>
    </xf>
    <xf numFmtId="0" fontId="79" fillId="27" borderId="14" xfId="17684" applyFont="1" applyFill="1" applyBorder="1" applyAlignment="1">
      <alignment horizontal="center" vertical="center"/>
    </xf>
    <xf numFmtId="0" fontId="80" fillId="27" borderId="14" xfId="17684" applyFont="1" applyFill="1" applyBorder="1" applyAlignment="1">
      <alignment horizontal="left" vertical="center" wrapText="1"/>
    </xf>
    <xf numFmtId="0" fontId="79" fillId="30" borderId="14" xfId="17770" applyFont="1" applyFill="1" applyBorder="1" applyAlignment="1">
      <alignment vertical="center" wrapText="1"/>
    </xf>
    <xf numFmtId="0" fontId="79" fillId="30" borderId="14" xfId="17770" applyFont="1" applyFill="1" applyBorder="1">
      <alignment vertical="center"/>
    </xf>
    <xf numFmtId="0" fontId="80" fillId="30" borderId="14" xfId="17770" applyFont="1" applyFill="1" applyBorder="1" applyAlignment="1">
      <alignment vertical="center" wrapText="1"/>
    </xf>
    <xf numFmtId="0" fontId="79" fillId="30" borderId="14" xfId="17770" applyFont="1" applyFill="1" applyBorder="1" applyAlignment="1">
      <alignment horizontal="right" vertical="center" wrapText="1"/>
    </xf>
    <xf numFmtId="0" fontId="80" fillId="30" borderId="14" xfId="17770" applyFont="1" applyFill="1" applyBorder="1" applyAlignment="1">
      <alignment horizontal="center" vertical="center" wrapText="1"/>
    </xf>
    <xf numFmtId="0" fontId="79" fillId="27" borderId="14" xfId="0" applyFont="1" applyFill="1" applyBorder="1">
      <alignment vertical="center"/>
    </xf>
    <xf numFmtId="0" fontId="79" fillId="27" borderId="14" xfId="1825" applyFont="1" applyFill="1" applyBorder="1" applyAlignment="1">
      <alignment horizontal="center" vertical="center"/>
    </xf>
    <xf numFmtId="0" fontId="79" fillId="30" borderId="14" xfId="1825" applyFont="1" applyFill="1" applyBorder="1" applyAlignment="1">
      <alignment vertical="center" wrapText="1"/>
    </xf>
    <xf numFmtId="0" fontId="79" fillId="30" borderId="14" xfId="1825" applyFont="1" applyFill="1" applyBorder="1" applyAlignment="1">
      <alignment horizontal="center" vertical="center" wrapText="1"/>
    </xf>
    <xf numFmtId="0" fontId="79" fillId="30" borderId="14" xfId="1825" applyFont="1" applyFill="1" applyBorder="1">
      <alignment vertical="center"/>
    </xf>
    <xf numFmtId="0" fontId="80" fillId="30" borderId="14" xfId="1825" applyFont="1" applyFill="1" applyBorder="1" applyAlignment="1">
      <alignment vertical="center" wrapText="1"/>
    </xf>
    <xf numFmtId="0" fontId="79" fillId="30" borderId="14" xfId="1825" applyFont="1" applyFill="1" applyBorder="1" applyAlignment="1">
      <alignment horizontal="right" vertical="center" wrapText="1"/>
    </xf>
    <xf numFmtId="0" fontId="79" fillId="30" borderId="14" xfId="1825" applyFont="1" applyFill="1" applyBorder="1" applyAlignment="1">
      <alignment horizontal="center" vertical="center"/>
    </xf>
    <xf numFmtId="0" fontId="119" fillId="77" borderId="14" xfId="7384" applyFont="1" applyFill="1" applyBorder="1" applyAlignment="1">
      <alignment horizontal="right" vertical="center" wrapText="1"/>
    </xf>
    <xf numFmtId="0" fontId="119" fillId="27" borderId="14" xfId="7384" applyFont="1" applyFill="1" applyBorder="1" applyAlignment="1">
      <alignment vertical="center" wrapText="1"/>
    </xf>
    <xf numFmtId="0" fontId="119" fillId="27" borderId="14" xfId="7384" applyFont="1" applyFill="1" applyBorder="1">
      <alignment vertical="center"/>
    </xf>
    <xf numFmtId="0" fontId="120" fillId="27" borderId="14" xfId="7384" applyFont="1" applyFill="1" applyBorder="1" applyAlignment="1">
      <alignment vertical="center" wrapText="1"/>
    </xf>
    <xf numFmtId="0" fontId="119" fillId="27" borderId="14" xfId="7384" applyFont="1" applyFill="1" applyBorder="1" applyAlignment="1">
      <alignment horizontal="right" vertical="center" wrapText="1"/>
    </xf>
    <xf numFmtId="0" fontId="119" fillId="27" borderId="14" xfId="7384" applyFont="1" applyFill="1" applyBorder="1" applyAlignment="1">
      <alignment horizontal="center" vertical="center"/>
    </xf>
    <xf numFmtId="0" fontId="119" fillId="27" borderId="14" xfId="7384" applyFont="1" applyFill="1" applyBorder="1" applyAlignment="1">
      <alignment horizontal="center" vertical="center" wrapText="1"/>
    </xf>
    <xf numFmtId="0" fontId="119" fillId="27" borderId="14" xfId="0" applyFont="1" applyFill="1" applyBorder="1" applyAlignment="1">
      <alignment horizontal="right" vertical="center" wrapText="1"/>
    </xf>
    <xf numFmtId="49" fontId="118" fillId="73" borderId="14" xfId="0" applyNumberFormat="1" applyFont="1" applyFill="1" applyBorder="1" applyAlignment="1">
      <alignment horizontal="right" vertical="center" wrapText="1"/>
    </xf>
    <xf numFmtId="0" fontId="119" fillId="73" borderId="14" xfId="7384" applyFont="1" applyFill="1" applyBorder="1" applyAlignment="1">
      <alignment horizontal="right" vertical="center" wrapText="1"/>
    </xf>
    <xf numFmtId="0" fontId="118" fillId="30" borderId="14" xfId="1825" applyFont="1" applyFill="1" applyBorder="1" applyAlignment="1">
      <alignment horizontal="right" vertical="center" wrapText="1"/>
    </xf>
    <xf numFmtId="0" fontId="79" fillId="30" borderId="14" xfId="1825" applyFont="1" applyFill="1" applyBorder="1" applyAlignment="1">
      <alignment vertical="center" wrapText="1"/>
    </xf>
    <xf numFmtId="0" fontId="79" fillId="30" borderId="14" xfId="1825" applyFont="1" applyFill="1" applyBorder="1" applyAlignment="1">
      <alignment horizontal="center" vertical="center" wrapText="1"/>
    </xf>
    <xf numFmtId="0" fontId="79" fillId="30" borderId="14" xfId="1825" applyFont="1" applyFill="1" applyBorder="1">
      <alignment vertical="center"/>
    </xf>
    <xf numFmtId="0" fontId="80" fillId="30" borderId="14" xfId="1825" applyFont="1" applyFill="1" applyBorder="1" applyAlignment="1">
      <alignment vertical="center" wrapText="1"/>
    </xf>
    <xf numFmtId="0" fontId="79" fillId="30" borderId="14" xfId="1825" applyFont="1" applyFill="1" applyBorder="1" applyAlignment="1">
      <alignment horizontal="center" vertical="center"/>
    </xf>
    <xf numFmtId="0" fontId="118" fillId="30" borderId="14" xfId="1825" applyFont="1" applyFill="1" applyBorder="1" applyAlignment="1">
      <alignment horizontal="center" vertical="center"/>
    </xf>
    <xf numFmtId="0" fontId="79" fillId="27" borderId="14" xfId="17512" applyFont="1" applyFill="1" applyBorder="1" applyAlignment="1">
      <alignment horizontal="center" vertical="center" wrapText="1"/>
    </xf>
    <xf numFmtId="0" fontId="79" fillId="27" borderId="14" xfId="17512" applyFont="1" applyFill="1" applyBorder="1" applyAlignment="1">
      <alignment vertical="center" wrapText="1"/>
    </xf>
    <xf numFmtId="0" fontId="79" fillId="27" borderId="14" xfId="17512" applyFont="1" applyFill="1" applyBorder="1">
      <alignment vertical="center"/>
    </xf>
    <xf numFmtId="0" fontId="79" fillId="27" borderId="14" xfId="17512" applyFont="1" applyFill="1" applyBorder="1" applyAlignment="1">
      <alignment horizontal="right" vertical="center" wrapText="1"/>
    </xf>
    <xf numFmtId="0" fontId="79" fillId="27" borderId="14" xfId="17512" applyFont="1" applyFill="1" applyBorder="1" applyAlignment="1">
      <alignment horizontal="center" vertical="center"/>
    </xf>
    <xf numFmtId="0" fontId="80" fillId="27" borderId="14" xfId="17512" applyFont="1" applyFill="1" applyBorder="1" applyAlignment="1">
      <alignment vertical="center" wrapText="1"/>
    </xf>
    <xf numFmtId="0" fontId="80" fillId="27" borderId="14" xfId="17512" applyFont="1" applyFill="1" applyBorder="1" applyAlignment="1">
      <alignment horizontal="left" vertical="center" wrapText="1"/>
    </xf>
    <xf numFmtId="0" fontId="120" fillId="27" borderId="14" xfId="7384" applyFont="1" applyFill="1" applyBorder="1" applyAlignment="1">
      <alignment horizontal="left" vertical="center" wrapText="1"/>
    </xf>
    <xf numFmtId="0" fontId="79" fillId="30" borderId="14" xfId="17512" applyFont="1" applyFill="1" applyBorder="1" applyAlignment="1">
      <alignment vertical="center" wrapText="1"/>
    </xf>
    <xf numFmtId="0" fontId="79" fillId="30" borderId="14" xfId="17512" applyFont="1" applyFill="1" applyBorder="1" applyAlignment="1">
      <alignment horizontal="center" vertical="center" wrapText="1"/>
    </xf>
    <xf numFmtId="0" fontId="79" fillId="30" borderId="14" xfId="17512" applyFont="1" applyFill="1" applyBorder="1">
      <alignment vertical="center"/>
    </xf>
    <xf numFmtId="0" fontId="80" fillId="30" borderId="14" xfId="17512" applyFont="1" applyFill="1" applyBorder="1" applyAlignment="1">
      <alignment vertical="center" wrapText="1"/>
    </xf>
    <xf numFmtId="0" fontId="79" fillId="30" borderId="14" xfId="17512" applyFont="1" applyFill="1" applyBorder="1" applyAlignment="1">
      <alignment horizontal="center" vertical="center"/>
    </xf>
    <xf numFmtId="0" fontId="118" fillId="30" borderId="14" xfId="17512" applyFont="1" applyFill="1" applyBorder="1" applyAlignment="1">
      <alignment horizontal="right" vertical="center" wrapText="1"/>
    </xf>
    <xf numFmtId="0" fontId="118" fillId="30" borderId="14" xfId="17512" applyFont="1" applyFill="1" applyBorder="1" applyAlignment="1">
      <alignment horizontal="center" vertical="center"/>
    </xf>
    <xf numFmtId="0" fontId="79" fillId="30" borderId="14" xfId="17512" applyFont="1" applyFill="1" applyBorder="1" applyAlignment="1">
      <alignment vertical="center" wrapText="1"/>
    </xf>
    <xf numFmtId="0" fontId="79" fillId="30" borderId="14" xfId="17512" applyFont="1" applyFill="1" applyBorder="1" applyAlignment="1">
      <alignment horizontal="center" vertical="center" wrapText="1"/>
    </xf>
    <xf numFmtId="0" fontId="79" fillId="30" borderId="14" xfId="17512" applyFont="1" applyFill="1" applyBorder="1">
      <alignment vertical="center"/>
    </xf>
    <xf numFmtId="0" fontId="80" fillId="30" borderId="14" xfId="17512" applyFont="1" applyFill="1" applyBorder="1" applyAlignment="1">
      <alignment vertical="center" wrapText="1"/>
    </xf>
    <xf numFmtId="0" fontId="79" fillId="30" borderId="14" xfId="17512" applyFont="1" applyFill="1" applyBorder="1" applyAlignment="1">
      <alignment horizontal="right" vertical="center" wrapText="1"/>
    </xf>
    <xf numFmtId="0" fontId="79" fillId="30" borderId="14" xfId="17512" applyFont="1" applyFill="1" applyBorder="1" applyAlignment="1">
      <alignment horizontal="center" vertical="center"/>
    </xf>
    <xf numFmtId="49" fontId="79" fillId="30" borderId="14" xfId="17512" applyNumberFormat="1" applyFont="1" applyFill="1" applyBorder="1" applyAlignment="1">
      <alignment horizontal="center" vertical="center"/>
    </xf>
    <xf numFmtId="0" fontId="118" fillId="30" borderId="14" xfId="17512" applyFont="1" applyFill="1" applyBorder="1" applyAlignment="1">
      <alignment horizontal="right" vertical="center" wrapText="1"/>
    </xf>
    <xf numFmtId="0" fontId="119" fillId="30" borderId="14" xfId="17512" applyFont="1" applyFill="1" applyBorder="1" applyAlignment="1">
      <alignment horizontal="right" vertical="center" wrapText="1"/>
    </xf>
    <xf numFmtId="0" fontId="119" fillId="77" borderId="14" xfId="17512" applyFont="1" applyFill="1" applyBorder="1" applyAlignment="1">
      <alignment horizontal="right" vertical="center" wrapText="1"/>
    </xf>
    <xf numFmtId="0" fontId="79" fillId="27" borderId="14" xfId="0" applyFont="1" applyFill="1" applyBorder="1" applyAlignment="1">
      <alignment vertical="center" wrapText="1"/>
    </xf>
    <xf numFmtId="0" fontId="79" fillId="27" borderId="14" xfId="0" applyFont="1" applyFill="1" applyBorder="1" applyAlignment="1">
      <alignment horizontal="center" vertical="center"/>
    </xf>
    <xf numFmtId="0" fontId="80" fillId="27" borderId="14" xfId="0" applyFont="1" applyFill="1" applyBorder="1" applyAlignment="1">
      <alignment vertical="center" wrapText="1"/>
    </xf>
    <xf numFmtId="0" fontId="79" fillId="40" borderId="14" xfId="0" applyFont="1" applyFill="1" applyBorder="1" applyAlignment="1">
      <alignment vertical="center" wrapText="1"/>
    </xf>
    <xf numFmtId="0" fontId="20" fillId="40" borderId="14" xfId="0" applyFont="1" applyFill="1" applyBorder="1" applyAlignment="1">
      <alignment vertical="center" wrapText="1"/>
    </xf>
    <xf numFmtId="0" fontId="79" fillId="30" borderId="14" xfId="0" applyFont="1" applyFill="1" applyBorder="1" applyAlignment="1">
      <alignment vertical="center" wrapText="1"/>
    </xf>
    <xf numFmtId="0" fontId="119" fillId="31" borderId="14" xfId="0" applyFont="1" applyFill="1" applyBorder="1" applyAlignment="1">
      <alignment horizontal="center" vertical="center"/>
    </xf>
    <xf numFmtId="0" fontId="119" fillId="39" borderId="14" xfId="0" applyFont="1" applyFill="1" applyBorder="1" applyAlignment="1">
      <alignment horizontal="center" vertical="center"/>
    </xf>
    <xf numFmtId="0" fontId="119" fillId="30" borderId="14" xfId="0" applyFont="1" applyFill="1" applyBorder="1" applyAlignment="1">
      <alignment horizontal="center" vertical="center" wrapText="1"/>
    </xf>
    <xf numFmtId="0" fontId="119" fillId="30" borderId="14" xfId="0" applyFont="1" applyFill="1" applyBorder="1" applyAlignment="1">
      <alignment vertical="center" wrapText="1"/>
    </xf>
    <xf numFmtId="0" fontId="119" fillId="30" borderId="14" xfId="0" applyFont="1" applyFill="1" applyBorder="1">
      <alignment vertical="center"/>
    </xf>
    <xf numFmtId="0" fontId="120" fillId="30" borderId="14" xfId="0" applyFont="1" applyFill="1" applyBorder="1" applyAlignment="1">
      <alignment vertical="center" wrapText="1"/>
    </xf>
    <xf numFmtId="0" fontId="119" fillId="30" borderId="14" xfId="0" applyFont="1" applyFill="1" applyBorder="1" applyAlignment="1">
      <alignment horizontal="right" vertical="center" wrapText="1"/>
    </xf>
    <xf numFmtId="0" fontId="119" fillId="30" borderId="14" xfId="0" applyFont="1" applyFill="1" applyBorder="1" applyAlignment="1">
      <alignment horizontal="center" vertical="center"/>
    </xf>
    <xf numFmtId="0" fontId="119" fillId="30" borderId="15" xfId="0" applyFont="1" applyFill="1" applyBorder="1" applyAlignment="1">
      <alignment horizontal="center" vertical="center"/>
    </xf>
    <xf numFmtId="0" fontId="125" fillId="0" borderId="0" xfId="0" applyFont="1">
      <alignment vertical="center"/>
    </xf>
    <xf numFmtId="0" fontId="119" fillId="27" borderId="14" xfId="0" applyFont="1" applyFill="1" applyBorder="1" applyAlignment="1">
      <alignment horizontal="center" vertical="center" wrapText="1"/>
    </xf>
    <xf numFmtId="0" fontId="119" fillId="27" borderId="14" xfId="0" applyFont="1" applyFill="1" applyBorder="1" applyAlignment="1">
      <alignment vertical="center" wrapText="1"/>
    </xf>
    <xf numFmtId="0" fontId="119" fillId="27" borderId="14" xfId="0" applyFont="1" applyFill="1" applyBorder="1">
      <alignment vertical="center"/>
    </xf>
    <xf numFmtId="0" fontId="119" fillId="27" borderId="14" xfId="0" applyFont="1" applyFill="1" applyBorder="1" applyAlignment="1">
      <alignment horizontal="center" vertical="center"/>
    </xf>
    <xf numFmtId="0" fontId="120" fillId="27" borderId="14" xfId="0" applyFont="1" applyFill="1" applyBorder="1" applyAlignment="1">
      <alignment horizontal="left" vertical="center" wrapText="1"/>
    </xf>
    <xf numFmtId="0" fontId="119" fillId="40" borderId="14" xfId="0" applyFont="1" applyFill="1" applyBorder="1" applyAlignment="1">
      <alignment horizontal="center" vertical="center" wrapText="1"/>
    </xf>
    <xf numFmtId="0" fontId="119" fillId="40" borderId="14" xfId="0" applyFont="1" applyFill="1" applyBorder="1" applyAlignment="1">
      <alignment vertical="center" wrapText="1"/>
    </xf>
    <xf numFmtId="0" fontId="119" fillId="40" borderId="14" xfId="0" applyFont="1" applyFill="1" applyBorder="1">
      <alignment vertical="center"/>
    </xf>
    <xf numFmtId="0" fontId="120" fillId="40" borderId="14" xfId="0" applyFont="1" applyFill="1" applyBorder="1" applyAlignment="1">
      <alignment vertical="center" wrapText="1"/>
    </xf>
    <xf numFmtId="0" fontId="119" fillId="40" borderId="14" xfId="0" applyFont="1" applyFill="1" applyBorder="1" applyAlignment="1">
      <alignment horizontal="right" vertical="center" wrapText="1"/>
    </xf>
    <xf numFmtId="0" fontId="119" fillId="40" borderId="14" xfId="0" applyFont="1" applyFill="1" applyBorder="1" applyAlignment="1">
      <alignment horizontal="center" vertical="center"/>
    </xf>
    <xf numFmtId="0" fontId="119" fillId="29" borderId="14" xfId="0" applyFont="1" applyFill="1" applyBorder="1" applyAlignment="1">
      <alignment horizontal="center" vertical="center" wrapText="1"/>
    </xf>
    <xf numFmtId="0" fontId="119" fillId="29" borderId="14" xfId="0" applyFont="1" applyFill="1" applyBorder="1" applyAlignment="1">
      <alignment vertical="center" wrapText="1"/>
    </xf>
    <xf numFmtId="0" fontId="119" fillId="29" borderId="14" xfId="0" applyFont="1" applyFill="1" applyBorder="1">
      <alignment vertical="center"/>
    </xf>
    <xf numFmtId="0" fontId="120" fillId="29" borderId="14" xfId="0" applyFont="1" applyFill="1" applyBorder="1" applyAlignment="1">
      <alignment vertical="center" wrapText="1"/>
    </xf>
    <xf numFmtId="0" fontId="119" fillId="29" borderId="14" xfId="0" applyFont="1" applyFill="1" applyBorder="1" applyAlignment="1">
      <alignment horizontal="right" vertical="center" wrapText="1"/>
    </xf>
    <xf numFmtId="0" fontId="119" fillId="29" borderId="14" xfId="0" applyFont="1" applyFill="1" applyBorder="1" applyAlignment="1">
      <alignment horizontal="center" vertical="center"/>
    </xf>
    <xf numFmtId="0" fontId="119" fillId="29" borderId="14" xfId="0" quotePrefix="1" applyFont="1" applyFill="1" applyBorder="1" applyAlignment="1">
      <alignment horizontal="center" vertical="center"/>
    </xf>
    <xf numFmtId="0" fontId="119" fillId="29" borderId="14" xfId="0" quotePrefix="1" applyFont="1" applyFill="1" applyBorder="1" applyAlignment="1">
      <alignment horizontal="center" vertical="center" wrapText="1"/>
    </xf>
    <xf numFmtId="0" fontId="120" fillId="29" borderId="14" xfId="0" quotePrefix="1" applyFont="1" applyFill="1" applyBorder="1" applyAlignment="1">
      <alignment vertical="center" wrapText="1"/>
    </xf>
    <xf numFmtId="0" fontId="119" fillId="29" borderId="14" xfId="17512" applyFont="1" applyFill="1" applyBorder="1" applyAlignment="1">
      <alignment horizontal="center" vertical="center" wrapText="1"/>
    </xf>
    <xf numFmtId="0" fontId="119" fillId="29" borderId="14" xfId="17512" applyFont="1" applyFill="1" applyBorder="1" applyAlignment="1">
      <alignment vertical="center" wrapText="1"/>
    </xf>
    <xf numFmtId="0" fontId="119" fillId="29" borderId="14" xfId="17512" applyFont="1" applyFill="1" applyBorder="1">
      <alignment vertical="center"/>
    </xf>
    <xf numFmtId="0" fontId="120" fillId="29" borderId="14" xfId="17512" applyFont="1" applyFill="1" applyBorder="1" applyAlignment="1">
      <alignment vertical="center" wrapText="1"/>
    </xf>
    <xf numFmtId="0" fontId="119" fillId="29" borderId="14" xfId="17512" applyFont="1" applyFill="1" applyBorder="1" applyAlignment="1">
      <alignment horizontal="right" vertical="center" wrapText="1"/>
    </xf>
    <xf numFmtId="0" fontId="119" fillId="29" borderId="14" xfId="17512" applyFont="1" applyFill="1" applyBorder="1" applyAlignment="1">
      <alignment horizontal="center" vertical="center"/>
    </xf>
    <xf numFmtId="0" fontId="120" fillId="30" borderId="14" xfId="0" applyFont="1" applyFill="1" applyBorder="1" applyAlignment="1">
      <alignment horizontal="left" vertical="center" wrapText="1"/>
    </xf>
    <xf numFmtId="0" fontId="119" fillId="30" borderId="14" xfId="0" quotePrefix="1" applyFont="1" applyFill="1" applyBorder="1" applyAlignment="1">
      <alignment horizontal="center" vertical="center" wrapText="1"/>
    </xf>
    <xf numFmtId="10" fontId="120" fillId="30" borderId="14" xfId="0" applyNumberFormat="1" applyFont="1" applyFill="1" applyBorder="1" applyAlignment="1">
      <alignment horizontal="left" vertical="center" wrapText="1"/>
    </xf>
    <xf numFmtId="0" fontId="127" fillId="27" borderId="14" xfId="1528" applyFont="1" applyFill="1" applyBorder="1" applyAlignment="1" applyProtection="1">
      <alignment vertical="center"/>
    </xf>
    <xf numFmtId="0" fontId="120" fillId="27" borderId="14" xfId="0" applyFont="1" applyFill="1" applyBorder="1" applyAlignment="1">
      <alignment vertical="center" wrapText="1"/>
    </xf>
    <xf numFmtId="0" fontId="119" fillId="27" borderId="14" xfId="0" quotePrefix="1" applyFont="1" applyFill="1" applyBorder="1" applyAlignment="1">
      <alignment horizontal="center" vertical="center"/>
    </xf>
    <xf numFmtId="0" fontId="119" fillId="27" borderId="14" xfId="0" quotePrefix="1" applyFont="1" applyFill="1" applyBorder="1" applyAlignment="1">
      <alignment horizontal="center" vertical="center" wrapText="1"/>
    </xf>
    <xf numFmtId="0" fontId="120" fillId="27" borderId="14" xfId="1528" applyFont="1" applyFill="1" applyBorder="1" applyAlignment="1" applyProtection="1">
      <alignment vertical="center"/>
    </xf>
    <xf numFmtId="0" fontId="127" fillId="40" borderId="14" xfId="1528" applyFont="1" applyFill="1" applyBorder="1" applyAlignment="1" applyProtection="1">
      <alignment vertical="center"/>
    </xf>
    <xf numFmtId="0" fontId="120" fillId="40" borderId="14" xfId="0" quotePrefix="1" applyFont="1" applyFill="1" applyBorder="1" applyAlignment="1">
      <alignment vertical="center" wrapText="1"/>
    </xf>
    <xf numFmtId="0" fontId="120" fillId="27" borderId="14" xfId="0" quotePrefix="1" applyFont="1" applyFill="1" applyBorder="1" applyAlignment="1">
      <alignment vertical="center" wrapText="1"/>
    </xf>
    <xf numFmtId="0" fontId="119" fillId="27" borderId="14" xfId="0" quotePrefix="1" applyFont="1" applyFill="1" applyBorder="1" applyAlignment="1">
      <alignment horizontal="right" vertical="center" wrapText="1"/>
    </xf>
    <xf numFmtId="0" fontId="119" fillId="30" borderId="14" xfId="17512" applyFont="1" applyFill="1" applyBorder="1" applyAlignment="1">
      <alignment horizontal="center" vertical="center" wrapText="1"/>
    </xf>
    <xf numFmtId="0" fontId="119" fillId="30" borderId="14" xfId="17512" applyFont="1" applyFill="1" applyBorder="1" applyAlignment="1">
      <alignment vertical="center" wrapText="1"/>
    </xf>
    <xf numFmtId="0" fontId="119" fillId="30" borderId="14" xfId="17512" applyFont="1" applyFill="1" applyBorder="1">
      <alignment vertical="center"/>
    </xf>
    <xf numFmtId="0" fontId="120" fillId="30" borderId="14" xfId="17512" applyFont="1" applyFill="1" applyBorder="1" applyAlignment="1">
      <alignment vertical="center" wrapText="1"/>
    </xf>
    <xf numFmtId="0" fontId="119" fillId="30" borderId="14" xfId="17512" applyFont="1" applyFill="1" applyBorder="1" applyAlignment="1">
      <alignment horizontal="center" vertical="center"/>
    </xf>
    <xf numFmtId="49" fontId="119" fillId="27" borderId="14" xfId="0" applyNumberFormat="1" applyFont="1" applyFill="1" applyBorder="1" applyAlignment="1">
      <alignment horizontal="center" vertical="center" wrapText="1"/>
    </xf>
    <xf numFmtId="49" fontId="120" fillId="27" borderId="14" xfId="0" applyNumberFormat="1" applyFont="1" applyFill="1" applyBorder="1" applyAlignment="1">
      <alignment vertical="center" wrapText="1"/>
    </xf>
    <xf numFmtId="0" fontId="29" fillId="78" borderId="14" xfId="0" applyFont="1" applyFill="1" applyBorder="1" applyAlignment="1">
      <alignment horizontal="center" vertical="center"/>
    </xf>
    <xf numFmtId="0" fontId="79" fillId="78" borderId="14" xfId="7384" applyFont="1" applyFill="1" applyBorder="1" applyAlignment="1">
      <alignment horizontal="center" vertical="center" wrapText="1"/>
    </xf>
    <xf numFmtId="0" fontId="79" fillId="78" borderId="14" xfId="7384" applyFont="1" applyFill="1" applyBorder="1" applyAlignment="1">
      <alignment vertical="center" wrapText="1"/>
    </xf>
    <xf numFmtId="0" fontId="79" fillId="78" borderId="14" xfId="7384" applyFont="1" applyFill="1" applyBorder="1">
      <alignment vertical="center"/>
    </xf>
    <xf numFmtId="0" fontId="80" fillId="78" borderId="14" xfId="7384" applyFont="1" applyFill="1" applyBorder="1" applyAlignment="1">
      <alignment vertical="center" wrapText="1"/>
    </xf>
    <xf numFmtId="0" fontId="79" fillId="78" borderId="14" xfId="7384" applyFont="1" applyFill="1" applyBorder="1" applyAlignment="1">
      <alignment horizontal="right" vertical="center" wrapText="1"/>
    </xf>
    <xf numFmtId="0" fontId="79" fillId="78" borderId="14" xfId="7384" applyFont="1" applyFill="1" applyBorder="1" applyAlignment="1">
      <alignment horizontal="center" vertical="center"/>
    </xf>
    <xf numFmtId="0" fontId="31" fillId="78" borderId="0" xfId="0" applyFont="1" applyFill="1">
      <alignment vertical="center"/>
    </xf>
    <xf numFmtId="0" fontId="79" fillId="30" borderId="14" xfId="0" applyFont="1" applyFill="1" applyBorder="1" applyAlignment="1">
      <alignment horizontal="right" vertical="center" wrapText="1"/>
    </xf>
    <xf numFmtId="0" fontId="79" fillId="31" borderId="14" xfId="0" applyFont="1" applyFill="1" applyBorder="1" applyAlignment="1">
      <alignment horizontal="center" vertical="center"/>
    </xf>
    <xf numFmtId="0" fontId="79" fillId="39" borderId="14" xfId="0" applyFont="1" applyFill="1" applyBorder="1" applyAlignment="1">
      <alignment horizontal="center" vertical="center"/>
    </xf>
    <xf numFmtId="0" fontId="79" fillId="27" borderId="14" xfId="0" applyFont="1" applyFill="1" applyBorder="1" applyAlignment="1">
      <alignment horizontal="center" vertical="center" wrapText="1"/>
    </xf>
    <xf numFmtId="0" fontId="80" fillId="27" borderId="14" xfId="0" quotePrefix="1" applyFont="1" applyFill="1" applyBorder="1" applyAlignment="1">
      <alignment vertical="center" wrapText="1"/>
    </xf>
    <xf numFmtId="0" fontId="79" fillId="27" borderId="14" xfId="0" applyFont="1" applyFill="1" applyBorder="1" applyAlignment="1">
      <alignment horizontal="right" vertical="center" wrapText="1"/>
    </xf>
    <xf numFmtId="0" fontId="82" fillId="0" borderId="0" xfId="0" applyFont="1">
      <alignment vertical="center"/>
    </xf>
    <xf numFmtId="0" fontId="128" fillId="31" borderId="14" xfId="0" applyFont="1" applyFill="1" applyBorder="1" applyAlignment="1">
      <alignment horizontal="center" vertical="center"/>
    </xf>
    <xf numFmtId="0" fontId="128" fillId="39" borderId="14" xfId="0" applyFont="1" applyFill="1" applyBorder="1" applyAlignment="1">
      <alignment horizontal="center" vertical="center"/>
    </xf>
    <xf numFmtId="0" fontId="128" fillId="27" borderId="14" xfId="0" applyFont="1" applyFill="1" applyBorder="1" applyAlignment="1">
      <alignment horizontal="center" vertical="center" wrapText="1"/>
    </xf>
    <xf numFmtId="0" fontId="128" fillId="27" borderId="14" xfId="0" applyFont="1" applyFill="1" applyBorder="1" applyAlignment="1">
      <alignment vertical="center" wrapText="1"/>
    </xf>
    <xf numFmtId="0" fontId="128" fillId="27" borderId="14" xfId="0" applyFont="1" applyFill="1" applyBorder="1">
      <alignment vertical="center"/>
    </xf>
    <xf numFmtId="0" fontId="129" fillId="27" borderId="14" xfId="0" applyFont="1" applyFill="1" applyBorder="1" applyAlignment="1">
      <alignment vertical="center" wrapText="1"/>
    </xf>
    <xf numFmtId="0" fontId="128" fillId="27" borderId="14" xfId="0" applyFont="1" applyFill="1" applyBorder="1" applyAlignment="1">
      <alignment horizontal="right" vertical="center" wrapText="1"/>
    </xf>
    <xf numFmtId="0" fontId="128" fillId="27" borderId="14" xfId="0" applyFont="1" applyFill="1" applyBorder="1" applyAlignment="1">
      <alignment horizontal="center" vertical="center"/>
    </xf>
    <xf numFmtId="0" fontId="130" fillId="0" borderId="0" xfId="0" applyFont="1">
      <alignment vertical="center"/>
    </xf>
    <xf numFmtId="0" fontId="131" fillId="30" borderId="14" xfId="0" applyFont="1" applyFill="1" applyBorder="1" applyAlignment="1">
      <alignment vertical="center" wrapText="1"/>
    </xf>
    <xf numFmtId="0" fontId="120" fillId="27" borderId="18" xfId="0" applyFont="1" applyFill="1" applyBorder="1" applyAlignment="1">
      <alignment horizontal="left" vertical="center" wrapText="1"/>
    </xf>
    <xf numFmtId="0" fontId="120" fillId="0" borderId="15" xfId="0" applyFont="1" applyBorder="1" applyAlignment="1">
      <alignment horizontal="left" vertical="center" wrapText="1"/>
    </xf>
  </cellXfs>
  <cellStyles count="33626">
    <cellStyle name="20% - 强调文字颜色 1" xfId="1" builtinId="30" customBuiltin="1"/>
    <cellStyle name="20% - 强调文字颜色 1 10" xfId="2"/>
    <cellStyle name="20% - 强调文字颜色 1 10 10" xfId="13511"/>
    <cellStyle name="20% - 强调文字颜色 1 10 11" xfId="11709"/>
    <cellStyle name="20% - 强调文字颜色 1 10 12" xfId="17857"/>
    <cellStyle name="20% - 强调文字颜色 1 10 13" xfId="22466"/>
    <cellStyle name="20% - 强调文字颜色 1 10 14" xfId="20247"/>
    <cellStyle name="20% - 强调文字颜色 1 10 15" xfId="29719"/>
    <cellStyle name="20% - 强调文字颜色 1 10 16" xfId="32080"/>
    <cellStyle name="20% - 强调文字颜色 1 10 2" xfId="3"/>
    <cellStyle name="20% - 强调文字颜色 1 10 2 10" xfId="29720"/>
    <cellStyle name="20% - 强调文字颜色 1 10 2 11" xfId="32030"/>
    <cellStyle name="20% - 强调文字颜色 1 10 2 2" xfId="1828"/>
    <cellStyle name="20% - 强调文字颜色 1 10 2 3" xfId="5493"/>
    <cellStyle name="20% - 强调文字颜色 1 10 2 4" xfId="11712"/>
    <cellStyle name="20% - 强调文字颜色 1 10 2 5" xfId="13512"/>
    <cellStyle name="20% - 强调文字颜色 1 10 2 6" xfId="11708"/>
    <cellStyle name="20% - 强调文字颜色 1 10 2 7" xfId="17858"/>
    <cellStyle name="20% - 强调文字颜色 1 10 2 8" xfId="21893"/>
    <cellStyle name="20% - 强调文字颜色 1 10 2 9" xfId="20114"/>
    <cellStyle name="20% - 强调文字颜色 1 10 3" xfId="4"/>
    <cellStyle name="20% - 强调文字颜色 1 10 3 10" xfId="29721"/>
    <cellStyle name="20% - 强调文字颜色 1 10 3 11" xfId="32533"/>
    <cellStyle name="20% - 强调文字颜色 1 10 3 2" xfId="1829"/>
    <cellStyle name="20% - 强调文字颜色 1 10 3 3" xfId="5470"/>
    <cellStyle name="20% - 强调文字颜色 1 10 3 4" xfId="11713"/>
    <cellStyle name="20% - 强调文字颜色 1 10 3 5" xfId="13513"/>
    <cellStyle name="20% - 强调文字颜色 1 10 3 6" xfId="10893"/>
    <cellStyle name="20% - 强调文字颜色 1 10 3 7" xfId="17859"/>
    <cellStyle name="20% - 强调文字颜色 1 10 3 8" xfId="22905"/>
    <cellStyle name="20% - 强调文字颜色 1 10 3 9" xfId="21543"/>
    <cellStyle name="20% - 强调文字颜色 1 10 4" xfId="5"/>
    <cellStyle name="20% - 强调文字颜色 1 10 4 10" xfId="29722"/>
    <cellStyle name="20% - 强调文字颜色 1 10 4 11" xfId="32306"/>
    <cellStyle name="20% - 强调文字颜色 1 10 4 2" xfId="1830"/>
    <cellStyle name="20% - 强调文字颜色 1 10 4 3" xfId="5450"/>
    <cellStyle name="20% - 强调文字颜色 1 10 4 4" xfId="11714"/>
    <cellStyle name="20% - 强调文字颜色 1 10 4 5" xfId="13514"/>
    <cellStyle name="20% - 强调文字颜色 1 10 4 6" xfId="11707"/>
    <cellStyle name="20% - 强调文字颜色 1 10 4 7" xfId="17860"/>
    <cellStyle name="20% - 强调文字颜色 1 10 4 8" xfId="22688"/>
    <cellStyle name="20% - 强调文字颜色 1 10 4 9" xfId="20254"/>
    <cellStyle name="20% - 强调文字颜色 1 10 5" xfId="6"/>
    <cellStyle name="20% - 强调文字颜色 1 10 5 2" xfId="5433"/>
    <cellStyle name="20% - 强调文字颜色 1 10 5 3" xfId="11715"/>
    <cellStyle name="20% - 强调文字颜色 1 10 5 4" xfId="10892"/>
    <cellStyle name="20% - 强调文字颜色 1 10 5 5" xfId="17861"/>
    <cellStyle name="20% - 强调文字颜色 1 10 5 6" xfId="23452"/>
    <cellStyle name="20% - 强调文字颜色 1 10 5 7" xfId="20891"/>
    <cellStyle name="20% - 强调文字颜色 1 10 5 8" xfId="31448"/>
    <cellStyle name="20% - 强调文字颜色 1 10 5 9" xfId="32592"/>
    <cellStyle name="20% - 强调文字颜色 1 10 6" xfId="1827"/>
    <cellStyle name="20% - 强调文字颜色 1 10 7" xfId="5516"/>
    <cellStyle name="20% - 强调文字颜色 1 10 8" xfId="10896"/>
    <cellStyle name="20% - 强调文字颜色 1 10 9" xfId="11711"/>
    <cellStyle name="20% - 强调文字颜色 1 11" xfId="7"/>
    <cellStyle name="20% - 强调文字颜色 1 11 10" xfId="13515"/>
    <cellStyle name="20% - 强调文字颜色 1 11 11" xfId="11706"/>
    <cellStyle name="20% - 强调文字颜色 1 11 12" xfId="17862"/>
    <cellStyle name="20% - 强调文字颜色 1 11 13" xfId="22904"/>
    <cellStyle name="20% - 强调文字颜色 1 11 14" xfId="20251"/>
    <cellStyle name="20% - 强调文字颜色 1 11 15" xfId="29723"/>
    <cellStyle name="20% - 强调文字颜色 1 11 16" xfId="33445"/>
    <cellStyle name="20% - 强调文字颜色 1 11 2" xfId="8"/>
    <cellStyle name="20% - 强调文字颜色 1 11 2 10" xfId="29724"/>
    <cellStyle name="20% - 强调文字颜色 1 11 2 11" xfId="33208"/>
    <cellStyle name="20% - 强调文字颜色 1 11 2 2" xfId="1832"/>
    <cellStyle name="20% - 强调文字颜色 1 11 2 3" xfId="5398"/>
    <cellStyle name="20% - 强调文字颜色 1 11 2 4" xfId="11717"/>
    <cellStyle name="20% - 强调文字颜色 1 11 2 5" xfId="13516"/>
    <cellStyle name="20% - 强调文字颜色 1 11 2 6" xfId="10891"/>
    <cellStyle name="20% - 强调文字颜色 1 11 2 7" xfId="17863"/>
    <cellStyle name="20% - 强调文字颜色 1 11 2 8" xfId="22687"/>
    <cellStyle name="20% - 强调文字颜色 1 11 2 9" xfId="21542"/>
    <cellStyle name="20% - 强调文字颜色 1 11 3" xfId="9"/>
    <cellStyle name="20% - 强调文字颜色 1 11 3 10" xfId="29725"/>
    <cellStyle name="20% - 强调文字颜色 1 11 3 11" xfId="32916"/>
    <cellStyle name="20% - 强调文字颜色 1 11 3 2" xfId="1833"/>
    <cellStyle name="20% - 强调文字颜色 1 11 3 3" xfId="5362"/>
    <cellStyle name="20% - 强调文字颜色 1 11 3 4" xfId="11718"/>
    <cellStyle name="20% - 强调文字颜色 1 11 3 5" xfId="13517"/>
    <cellStyle name="20% - 强调文字颜色 1 11 3 6" xfId="10887"/>
    <cellStyle name="20% - 强调文字颜色 1 11 3 7" xfId="17864"/>
    <cellStyle name="20% - 强调文字颜色 1 11 3 8" xfId="22469"/>
    <cellStyle name="20% - 强调文字颜色 1 11 3 9" xfId="20255"/>
    <cellStyle name="20% - 强调文字颜色 1 11 4" xfId="10"/>
    <cellStyle name="20% - 强调文字颜色 1 11 4 10" xfId="29726"/>
    <cellStyle name="20% - 强调文字颜色 1 11 4 11" xfId="32532"/>
    <cellStyle name="20% - 强调文字颜色 1 11 4 2" xfId="1834"/>
    <cellStyle name="20% - 强调文字颜色 1 11 4 3" xfId="5351"/>
    <cellStyle name="20% - 强调文字颜色 1 11 4 4" xfId="11719"/>
    <cellStyle name="20% - 强调文字颜色 1 11 4 5" xfId="13518"/>
    <cellStyle name="20% - 强调文字颜色 1 11 4 6" xfId="8047"/>
    <cellStyle name="20% - 强调文字颜色 1 11 4 7" xfId="17865"/>
    <cellStyle name="20% - 强调文字颜色 1 11 4 8" xfId="23451"/>
    <cellStyle name="20% - 强调文字颜色 1 11 4 9" xfId="21347"/>
    <cellStyle name="20% - 强调文字颜色 1 11 5" xfId="11"/>
    <cellStyle name="20% - 强调文字颜色 1 11 5 2" xfId="5334"/>
    <cellStyle name="20% - 强调文字颜色 1 11 5 3" xfId="11720"/>
    <cellStyle name="20% - 强调文字颜色 1 11 5 4" xfId="11704"/>
    <cellStyle name="20% - 强调文字颜色 1 11 5 5" xfId="17866"/>
    <cellStyle name="20% - 强调文字颜色 1 11 5 6" xfId="22903"/>
    <cellStyle name="20% - 强调文字颜色 1 11 5 7" xfId="20890"/>
    <cellStyle name="20% - 强调文字颜色 1 11 5 8" xfId="31449"/>
    <cellStyle name="20% - 强调文字颜色 1 11 5 9" xfId="32978"/>
    <cellStyle name="20% - 强调文字颜色 1 11 6" xfId="1831"/>
    <cellStyle name="20% - 强调文字颜色 1 11 6 2" xfId="23608"/>
    <cellStyle name="20% - 强调文字颜色 1 11 6 3" xfId="26193"/>
    <cellStyle name="20% - 强调文字颜色 1 11 7" xfId="5415"/>
    <cellStyle name="20% - 强调文字颜色 1 11 7 2" xfId="23660"/>
    <cellStyle name="20% - 强调文字颜色 1 11 7 3" xfId="26245"/>
    <cellStyle name="20% - 强调文字颜色 1 11 8" xfId="10897"/>
    <cellStyle name="20% - 强调文字颜色 1 11 8 2" xfId="23722"/>
    <cellStyle name="20% - 强调文字颜色 1 11 8 3" xfId="26307"/>
    <cellStyle name="20% - 强调文字颜色 1 11 9" xfId="11716"/>
    <cellStyle name="20% - 强调文字颜色 1 12" xfId="12"/>
    <cellStyle name="20% - 强调文字颜色 1 12 10" xfId="13519"/>
    <cellStyle name="20% - 强调文字颜色 1 12 11" xfId="11703"/>
    <cellStyle name="20% - 强调文字颜色 1 12 12" xfId="17867"/>
    <cellStyle name="20% - 强调文字颜色 1 12 13" xfId="22686"/>
    <cellStyle name="20% - 强调文字颜色 1 12 14" xfId="20250"/>
    <cellStyle name="20% - 强调文字颜色 1 12 15" xfId="29727"/>
    <cellStyle name="20% - 强调文字颜色 1 12 16" xfId="32305"/>
    <cellStyle name="20% - 强调文字颜色 1 12 2" xfId="13"/>
    <cellStyle name="20% - 强调文字颜色 1 12 2 10" xfId="29728"/>
    <cellStyle name="20% - 强调文字颜色 1 12 2 11" xfId="31846"/>
    <cellStyle name="20% - 强调文字颜色 1 12 2 2" xfId="1836"/>
    <cellStyle name="20% - 强调文字颜色 1 12 2 3" xfId="5302"/>
    <cellStyle name="20% - 强调文字颜色 1 12 2 4" xfId="11722"/>
    <cellStyle name="20% - 强调文字颜色 1 12 2 5" xfId="13520"/>
    <cellStyle name="20% - 强调文字颜色 1 12 2 6" xfId="10890"/>
    <cellStyle name="20% - 强调文字颜色 1 12 2 7" xfId="17868"/>
    <cellStyle name="20% - 强调文字颜色 1 12 2 8" xfId="22468"/>
    <cellStyle name="20% - 强调文字颜色 1 12 2 9" xfId="20117"/>
    <cellStyle name="20% - 强调文字颜色 1 12 3" xfId="14"/>
    <cellStyle name="20% - 强调文字颜色 1 12 3 10" xfId="29729"/>
    <cellStyle name="20% - 强调文字颜色 1 12 3 11" xfId="33444"/>
    <cellStyle name="20% - 强调文字颜色 1 12 3 2" xfId="1837"/>
    <cellStyle name="20% - 强调文字颜色 1 12 3 3" xfId="5274"/>
    <cellStyle name="20% - 强调文字颜色 1 12 3 4" xfId="11723"/>
    <cellStyle name="20% - 强调文字颜色 1 12 3 5" xfId="13521"/>
    <cellStyle name="20% - 强调文字颜色 1 12 3 6" xfId="11702"/>
    <cellStyle name="20% - 强调文字颜色 1 12 3 7" xfId="17869"/>
    <cellStyle name="20% - 强调文字颜色 1 12 3 8" xfId="23450"/>
    <cellStyle name="20% - 强调文字颜色 1 12 3 9" xfId="21541"/>
    <cellStyle name="20% - 强调文字颜色 1 12 4" xfId="15"/>
    <cellStyle name="20% - 强调文字颜色 1 12 4 10" xfId="29730"/>
    <cellStyle name="20% - 强调文字颜色 1 12 4 11" xfId="33207"/>
    <cellStyle name="20% - 强调文字颜色 1 12 4 2" xfId="1838"/>
    <cellStyle name="20% - 强调文字颜色 1 12 4 3" xfId="5259"/>
    <cellStyle name="20% - 强调文字颜色 1 12 4 4" xfId="11724"/>
    <cellStyle name="20% - 强调文字颜色 1 12 4 5" xfId="13522"/>
    <cellStyle name="20% - 强调文字颜色 1 12 4 6" xfId="10889"/>
    <cellStyle name="20% - 强调文字颜色 1 12 4 7" xfId="17870"/>
    <cellStyle name="20% - 强调文字颜色 1 12 4 8" xfId="22902"/>
    <cellStyle name="20% - 强调文字颜色 1 12 4 9" xfId="20359"/>
    <cellStyle name="20% - 强调文字颜色 1 12 5" xfId="16"/>
    <cellStyle name="20% - 强调文字颜色 1 12 5 2" xfId="5234"/>
    <cellStyle name="20% - 强调文字颜色 1 12 5 3" xfId="11725"/>
    <cellStyle name="20% - 强调文字颜色 1 12 5 4" xfId="11701"/>
    <cellStyle name="20% - 强调文字颜色 1 12 5 5" xfId="17871"/>
    <cellStyle name="20% - 强调文字颜色 1 12 5 6" xfId="22685"/>
    <cellStyle name="20% - 强调文字颜色 1 12 5 7" xfId="21346"/>
    <cellStyle name="20% - 强调文字颜色 1 12 5 8" xfId="31450"/>
    <cellStyle name="20% - 强调文字颜色 1 12 5 9" xfId="31640"/>
    <cellStyle name="20% - 强调文字颜色 1 12 6" xfId="1835"/>
    <cellStyle name="20% - 强调文字颜色 1 12 6 2" xfId="23609"/>
    <cellStyle name="20% - 强调文字颜色 1 12 6 3" xfId="26194"/>
    <cellStyle name="20% - 强调文字颜色 1 12 7" xfId="5317"/>
    <cellStyle name="20% - 强调文字颜色 1 12 7 2" xfId="23661"/>
    <cellStyle name="20% - 强调文字颜色 1 12 7 3" xfId="26246"/>
    <cellStyle name="20% - 强调文字颜色 1 12 8" xfId="10898"/>
    <cellStyle name="20% - 强调文字颜色 1 12 8 2" xfId="23723"/>
    <cellStyle name="20% - 强调文字颜色 1 12 8 3" xfId="26308"/>
    <cellStyle name="20% - 强调文字颜色 1 12 9" xfId="11721"/>
    <cellStyle name="20% - 强调文字颜色 1 13" xfId="17"/>
    <cellStyle name="20% - 强调文字颜色 1 13 10" xfId="10888"/>
    <cellStyle name="20% - 强调文字颜色 1 13 11" xfId="17872"/>
    <cellStyle name="20% - 强调文字颜色 1 13 12" xfId="22467"/>
    <cellStyle name="20% - 强调文字颜色 1 13 13" xfId="20889"/>
    <cellStyle name="20% - 强调文字颜色 1 13 14" xfId="29731"/>
    <cellStyle name="20% - 强调文字颜色 1 13 15" xfId="32915"/>
    <cellStyle name="20% - 强调文字颜色 1 13 2" xfId="18"/>
    <cellStyle name="20% - 强调文字颜色 1 13 2 10" xfId="29732"/>
    <cellStyle name="20% - 强调文字颜色 1 13 2 11" xfId="32531"/>
    <cellStyle name="20% - 强调文字颜色 1 13 2 2" xfId="1840"/>
    <cellStyle name="20% - 强调文字颜色 1 13 2 3" xfId="4717"/>
    <cellStyle name="20% - 强调文字颜色 1 13 2 4" xfId="11727"/>
    <cellStyle name="20% - 强调文字颜色 1 13 2 5" xfId="13524"/>
    <cellStyle name="20% - 强调文字颜色 1 13 2 6" xfId="11697"/>
    <cellStyle name="20% - 强调文字颜色 1 13 2 7" xfId="17873"/>
    <cellStyle name="20% - 强调文字颜色 1 13 2 8" xfId="23449"/>
    <cellStyle name="20% - 强调文字颜色 1 13 2 9" xfId="20249"/>
    <cellStyle name="20% - 强调文字颜色 1 13 3" xfId="19"/>
    <cellStyle name="20% - 强调文字颜色 1 13 3 10" xfId="29733"/>
    <cellStyle name="20% - 强调文字颜色 1 13 3 11" xfId="32304"/>
    <cellStyle name="20% - 强调文字颜色 1 13 3 2" xfId="1841"/>
    <cellStyle name="20% - 强调文字颜色 1 13 3 3" xfId="4694"/>
    <cellStyle name="20% - 强调文字颜色 1 13 3 4" xfId="11728"/>
    <cellStyle name="20% - 强调文字颜色 1 13 3 5" xfId="13525"/>
    <cellStyle name="20% - 强调文字颜色 1 13 3 6" xfId="10884"/>
    <cellStyle name="20% - 强调文字颜色 1 13 3 7" xfId="17874"/>
    <cellStyle name="20% - 强调文字颜色 1 13 3 8" xfId="22897"/>
    <cellStyle name="20% - 强调文字颜色 1 13 3 9" xfId="20116"/>
    <cellStyle name="20% - 强调文字颜色 1 13 4" xfId="20"/>
    <cellStyle name="20% - 强调文字颜色 1 13 4 10" xfId="29734"/>
    <cellStyle name="20% - 强调文字颜色 1 13 4 11" xfId="31845"/>
    <cellStyle name="20% - 强调文字颜色 1 13 4 2" xfId="1842"/>
    <cellStyle name="20% - 强调文字颜色 1 13 4 3" xfId="4671"/>
    <cellStyle name="20% - 强调文字颜色 1 13 4 4" xfId="11729"/>
    <cellStyle name="20% - 强调文字颜色 1 13 4 5" xfId="13526"/>
    <cellStyle name="20% - 强调文字颜色 1 13 4 6" xfId="11699"/>
    <cellStyle name="20% - 强调文字颜色 1 13 4 7" xfId="17875"/>
    <cellStyle name="20% - 强调文字颜色 1 13 4 8" xfId="22679"/>
    <cellStyle name="20% - 强调文字颜色 1 13 4 9" xfId="21540"/>
    <cellStyle name="20% - 强调文字颜色 1 13 5" xfId="21"/>
    <cellStyle name="20% - 强调文字颜色 1 13 5 2" xfId="4648"/>
    <cellStyle name="20% - 强调文字颜色 1 13 5 3" xfId="11730"/>
    <cellStyle name="20% - 强调文字颜色 1 13 5 4" xfId="10886"/>
    <cellStyle name="20% - 强调文字颜色 1 13 5 5" xfId="17876"/>
    <cellStyle name="20% - 强调文字颜色 1 13 5 6" xfId="22462"/>
    <cellStyle name="20% - 强调文字颜色 1 13 5 7" xfId="20722"/>
    <cellStyle name="20% - 强调文字颜色 1 13 5 8" xfId="31451"/>
    <cellStyle name="20% - 强调文字颜色 1 13 5 9" xfId="32344"/>
    <cellStyle name="20% - 强调文字颜色 1 13 6" xfId="1839"/>
    <cellStyle name="20% - 强调文字颜色 1 13 6 2" xfId="23662"/>
    <cellStyle name="20% - 强调文字颜色 1 13 6 3" xfId="26247"/>
    <cellStyle name="20% - 强调文字颜色 1 13 7" xfId="4747"/>
    <cellStyle name="20% - 强调文字颜色 1 13 7 2" xfId="23724"/>
    <cellStyle name="20% - 强调文字颜色 1 13 7 3" xfId="26309"/>
    <cellStyle name="20% - 强调文字颜色 1 13 8" xfId="11726"/>
    <cellStyle name="20% - 强调文字颜色 1 13 8 2" xfId="23834"/>
    <cellStyle name="20% - 强调文字颜色 1 13 8 3" xfId="26419"/>
    <cellStyle name="20% - 强调文字颜色 1 13 9" xfId="13523"/>
    <cellStyle name="20% - 强调文字颜色 1 14" xfId="22"/>
    <cellStyle name="20% - 强调文字颜色 1 14 10" xfId="11698"/>
    <cellStyle name="20% - 强调文字颜色 1 14 11" xfId="17877"/>
    <cellStyle name="20% - 强调文字颜色 1 14 12" xfId="21892"/>
    <cellStyle name="20% - 强调文字颜色 1 14 13" xfId="21345"/>
    <cellStyle name="20% - 强调文字颜色 1 14 14" xfId="29735"/>
    <cellStyle name="20% - 强调文字颜色 1 14 15" xfId="33443"/>
    <cellStyle name="20% - 强调文字颜色 1 14 2" xfId="23"/>
    <cellStyle name="20% - 强调文字颜色 1 14 2 10" xfId="29736"/>
    <cellStyle name="20% - 强调文字颜色 1 14 2 11" xfId="33206"/>
    <cellStyle name="20% - 强调文字颜色 1 14 2 2" xfId="1844"/>
    <cellStyle name="20% - 强调文字颜色 1 14 2 3" xfId="4506"/>
    <cellStyle name="20% - 强调文字颜色 1 14 2 4" xfId="11732"/>
    <cellStyle name="20% - 强调文字颜色 1 14 2 5" xfId="13528"/>
    <cellStyle name="20% - 强调文字颜色 1 14 2 6" xfId="10885"/>
    <cellStyle name="20% - 强调文字颜色 1 14 2 7" xfId="17878"/>
    <cellStyle name="20% - 强调文字颜色 1 14 2 8" xfId="22901"/>
    <cellStyle name="20% - 强调文字颜色 1 14 2 9" xfId="20888"/>
    <cellStyle name="20% - 强调文字颜色 1 14 3" xfId="24"/>
    <cellStyle name="20% - 强调文字颜色 1 14 3 10" xfId="29737"/>
    <cellStyle name="20% - 强调文字颜色 1 14 3 11" xfId="32914"/>
    <cellStyle name="20% - 强调文字颜色 1 14 3 2" xfId="1845"/>
    <cellStyle name="20% - 强调文字颜色 1 14 3 3" xfId="4476"/>
    <cellStyle name="20% - 强调文字颜色 1 14 3 4" xfId="11733"/>
    <cellStyle name="20% - 强调文字颜色 1 14 3 5" xfId="13529"/>
    <cellStyle name="20% - 强调文字颜色 1 14 3 6" xfId="11691"/>
    <cellStyle name="20% - 强调文字颜色 1 14 3 7" xfId="17879"/>
    <cellStyle name="20% - 强调文字颜色 1 14 3 8" xfId="22683"/>
    <cellStyle name="20% - 强调文字颜色 1 14 3 9" xfId="20248"/>
    <cellStyle name="20% - 强调文字颜色 1 14 4" xfId="25"/>
    <cellStyle name="20% - 强调文字颜色 1 14 4 10" xfId="29738"/>
    <cellStyle name="20% - 强调文字颜色 1 14 4 11" xfId="32530"/>
    <cellStyle name="20% - 强调文字颜色 1 14 4 2" xfId="1846"/>
    <cellStyle name="20% - 强调文字颜色 1 14 4 3" xfId="4453"/>
    <cellStyle name="20% - 强调文字颜色 1 14 4 4" xfId="11734"/>
    <cellStyle name="20% - 强调文字颜色 1 14 4 5" xfId="13530"/>
    <cellStyle name="20% - 强调文字颜色 1 14 4 6" xfId="10878"/>
    <cellStyle name="20% - 强调文字颜色 1 14 4 7" xfId="17880"/>
    <cellStyle name="20% - 强调文字颜色 1 14 4 8" xfId="23448"/>
    <cellStyle name="20% - 强调文字颜色 1 14 4 9" xfId="20115"/>
    <cellStyle name="20% - 强调文字颜色 1 14 5" xfId="26"/>
    <cellStyle name="20% - 强调文字颜色 1 14 5 2" xfId="4430"/>
    <cellStyle name="20% - 强调文字颜色 1 14 5 3" xfId="11735"/>
    <cellStyle name="20% - 强调文字颜色 1 14 5 4" xfId="11696"/>
    <cellStyle name="20% - 强调文字颜色 1 14 5 5" xfId="17881"/>
    <cellStyle name="20% - 强调文字颜色 1 14 5 6" xfId="22900"/>
    <cellStyle name="20% - 强调文字颜色 1 14 5 7" xfId="21539"/>
    <cellStyle name="20% - 强调文字颜色 1 14 5 8" xfId="31452"/>
    <cellStyle name="20% - 强调文字颜色 1 14 5 9" xfId="32977"/>
    <cellStyle name="20% - 强调文字颜色 1 14 6" xfId="1843"/>
    <cellStyle name="20% - 强调文字颜色 1 14 6 2" xfId="23663"/>
    <cellStyle name="20% - 强调文字颜色 1 14 6 3" xfId="26248"/>
    <cellStyle name="20% - 强调文字颜色 1 14 7" xfId="4627"/>
    <cellStyle name="20% - 强调文字颜色 1 14 7 2" xfId="23725"/>
    <cellStyle name="20% - 强调文字颜色 1 14 7 3" xfId="26310"/>
    <cellStyle name="20% - 强调文字颜色 1 14 8" xfId="11731"/>
    <cellStyle name="20% - 强调文字颜色 1 14 8 2" xfId="23835"/>
    <cellStyle name="20% - 强调文字颜色 1 14 8 3" xfId="26420"/>
    <cellStyle name="20% - 强调文字颜色 1 14 9" xfId="13527"/>
    <cellStyle name="20% - 强调文字颜色 1 15" xfId="27"/>
    <cellStyle name="20% - 强调文字颜色 1 15 10" xfId="17882"/>
    <cellStyle name="20% - 强调文字颜色 1 15 11" xfId="22682"/>
    <cellStyle name="20% - 强调文字颜色 1 15 12" xfId="20360"/>
    <cellStyle name="20% - 强调文字颜色 1 15 13" xfId="29739"/>
    <cellStyle name="20% - 强调文字颜色 1 15 14" xfId="32303"/>
    <cellStyle name="20% - 强调文字颜色 1 15 2" xfId="28"/>
    <cellStyle name="20% - 强调文字颜色 1 15 2 10" xfId="29740"/>
    <cellStyle name="20% - 强调文字颜色 1 15 2 11" xfId="31844"/>
    <cellStyle name="20% - 强调文字颜色 1 15 2 2" xfId="1848"/>
    <cellStyle name="20% - 强调文字颜色 1 15 2 3" xfId="4386"/>
    <cellStyle name="20% - 强调文字颜色 1 15 2 4" xfId="11737"/>
    <cellStyle name="20% - 强调文字颜色 1 15 2 5" xfId="13532"/>
    <cellStyle name="20% - 强调文字颜色 1 15 2 6" xfId="11695"/>
    <cellStyle name="20% - 强调文字颜色 1 15 2 7" xfId="17883"/>
    <cellStyle name="20% - 强调文字颜色 1 15 2 8" xfId="22465"/>
    <cellStyle name="20% - 强调文字颜色 1 15 2 9" xfId="21344"/>
    <cellStyle name="20% - 强调文字颜色 1 15 3" xfId="29"/>
    <cellStyle name="20% - 强调文字颜色 1 15 3 10" xfId="29741"/>
    <cellStyle name="20% - 强调文字颜色 1 15 3 11" xfId="33442"/>
    <cellStyle name="20% - 强调文字颜色 1 15 3 2" xfId="1849"/>
    <cellStyle name="20% - 强调文字颜色 1 15 3 3" xfId="4265"/>
    <cellStyle name="20% - 强调文字颜色 1 15 3 4" xfId="11738"/>
    <cellStyle name="20% - 强调文字颜色 1 15 3 5" xfId="13533"/>
    <cellStyle name="20% - 强调文字颜色 1 15 3 6" xfId="10882"/>
    <cellStyle name="20% - 强调文字颜色 1 15 3 7" xfId="17884"/>
    <cellStyle name="20% - 强调文字颜色 1 15 3 8" xfId="23447"/>
    <cellStyle name="20% - 强调文字颜色 1 15 3 9" xfId="20883"/>
    <cellStyle name="20% - 强调文字颜色 1 15 4" xfId="30"/>
    <cellStyle name="20% - 强调文字颜色 1 15 4 2" xfId="4235"/>
    <cellStyle name="20% - 强调文字颜色 1 15 4 3" xfId="11739"/>
    <cellStyle name="20% - 强调文字颜色 1 15 4 4" xfId="11694"/>
    <cellStyle name="20% - 强调文字颜色 1 15 4 5" xfId="17885"/>
    <cellStyle name="20% - 强调文字颜色 1 15 4 6" xfId="22899"/>
    <cellStyle name="20% - 强调文字颜色 1 15 4 7" xfId="20757"/>
    <cellStyle name="20% - 强调文字颜色 1 15 4 8" xfId="31453"/>
    <cellStyle name="20% - 强调文字颜色 1 15 4 9" xfId="31639"/>
    <cellStyle name="20% - 强调文字颜色 1 15 5" xfId="1847"/>
    <cellStyle name="20% - 强调文字颜色 1 15 6" xfId="4407"/>
    <cellStyle name="20% - 强调文字颜色 1 15 7" xfId="11736"/>
    <cellStyle name="20% - 强调文字颜色 1 15 8" xfId="13531"/>
    <cellStyle name="20% - 强调文字颜色 1 15 9" xfId="10883"/>
    <cellStyle name="20% - 强调文字颜色 1 16" xfId="31"/>
    <cellStyle name="20% - 强调文字颜色 1 16 10" xfId="17886"/>
    <cellStyle name="20% - 强调文字颜色 1 16 11" xfId="22681"/>
    <cellStyle name="20% - 强调文字颜色 1 16 12" xfId="20242"/>
    <cellStyle name="20% - 强调文字颜色 1 16 13" xfId="29742"/>
    <cellStyle name="20% - 强调文字颜色 1 16 14" xfId="33205"/>
    <cellStyle name="20% - 强调文字颜色 1 16 2" xfId="32"/>
    <cellStyle name="20% - 强调文字颜色 1 16 2 10" xfId="29743"/>
    <cellStyle name="20% - 强调文字颜色 1 16 2 11" xfId="32913"/>
    <cellStyle name="20% - 强调文字颜色 1 16 2 2" xfId="1851"/>
    <cellStyle name="20% - 强调文字颜色 1 16 2 3" xfId="4189"/>
    <cellStyle name="20% - 强调文字颜色 1 16 2 4" xfId="11741"/>
    <cellStyle name="20% - 强调文字颜色 1 16 2 5" xfId="13535"/>
    <cellStyle name="20% - 强调文字颜色 1 16 2 6" xfId="11693"/>
    <cellStyle name="20% - 强调文字颜色 1 16 2 7" xfId="17887"/>
    <cellStyle name="20% - 强调文字颜色 1 16 2 8" xfId="22464"/>
    <cellStyle name="20% - 强调文字颜色 1 16 2 9" xfId="20110"/>
    <cellStyle name="20% - 强调文字颜色 1 16 3" xfId="33"/>
    <cellStyle name="20% - 强调文字颜色 1 16 3 10" xfId="29744"/>
    <cellStyle name="20% - 强调文字颜色 1 16 3 11" xfId="32529"/>
    <cellStyle name="20% - 强调文字颜色 1 16 3 2" xfId="1852"/>
    <cellStyle name="20% - 强调文字颜色 1 16 3 3" xfId="4166"/>
    <cellStyle name="20% - 强调文字颜色 1 16 3 4" xfId="11742"/>
    <cellStyle name="20% - 强调文字颜色 1 16 3 5" xfId="13536"/>
    <cellStyle name="20% - 强调文字颜色 1 16 3 6" xfId="10880"/>
    <cellStyle name="20% - 强调文字颜色 1 16 3 7" xfId="17888"/>
    <cellStyle name="20% - 强调文字颜色 1 16 3 8" xfId="23446"/>
    <cellStyle name="20% - 强调文字颜色 1 16 3 9" xfId="21538"/>
    <cellStyle name="20% - 强调文字颜色 1 16 4" xfId="34"/>
    <cellStyle name="20% - 强调文字颜色 1 16 4 2" xfId="4145"/>
    <cellStyle name="20% - 强调文字颜色 1 16 4 3" xfId="11743"/>
    <cellStyle name="20% - 强调文字颜色 1 16 4 4" xfId="11692"/>
    <cellStyle name="20% - 强调文字颜色 1 16 4 5" xfId="17889"/>
    <cellStyle name="20% - 强调文字颜色 1 16 4 6" xfId="22898"/>
    <cellStyle name="20% - 强调文字颜色 1 16 4 7" xfId="20723"/>
    <cellStyle name="20% - 强调文字颜色 1 16 4 8" xfId="31454"/>
    <cellStyle name="20% - 强调文字颜色 1 16 4 9" xfId="32591"/>
    <cellStyle name="20% - 强调文字颜色 1 16 5" xfId="1850"/>
    <cellStyle name="20% - 强调文字颜色 1 16 6" xfId="4212"/>
    <cellStyle name="20% - 强调文字颜色 1 16 7" xfId="11740"/>
    <cellStyle name="20% - 强调文字颜色 1 16 8" xfId="13534"/>
    <cellStyle name="20% - 强调文字颜色 1 16 9" xfId="10881"/>
    <cellStyle name="20% - 强调文字颜色 1 17" xfId="35"/>
    <cellStyle name="20% - 强调文字颜色 1 17 10" xfId="22680"/>
    <cellStyle name="20% - 强调文字颜色 1 17 11" xfId="20887"/>
    <cellStyle name="20% - 强调文字颜色 1 17 12" xfId="29745"/>
    <cellStyle name="20% - 强调文字颜色 1 17 13" xfId="32302"/>
    <cellStyle name="20% - 强调文字颜色 1 17 2" xfId="36"/>
    <cellStyle name="20% - 强调文字颜色 1 17 2 2" xfId="3994"/>
    <cellStyle name="20% - 强调文字颜色 1 17 2 3" xfId="11745"/>
    <cellStyle name="20% - 强调文字颜色 1 17 2 4" xfId="11684"/>
    <cellStyle name="20% - 强调文字颜色 1 17 2 5" xfId="17891"/>
    <cellStyle name="20% - 强调文字颜色 1 17 2 6" xfId="22463"/>
    <cellStyle name="20% - 强调文字颜色 1 17 2 7" xfId="20246"/>
    <cellStyle name="20% - 强调文字颜色 1 17 2 8" xfId="31455"/>
    <cellStyle name="20% - 强调文字颜色 1 17 2 9" xfId="31638"/>
    <cellStyle name="20% - 强调文字颜色 1 17 3" xfId="37"/>
    <cellStyle name="20% - 强调文字颜色 1 17 3 2" xfId="3971"/>
    <cellStyle name="20% - 强调文字颜色 1 17 3 3" xfId="11746"/>
    <cellStyle name="20% - 强调文字颜色 1 17 3 4" xfId="10871"/>
    <cellStyle name="20% - 强调文字颜色 1 17 3 5" xfId="17892"/>
    <cellStyle name="20% - 强调文字颜色 1 17 3 6" xfId="23445"/>
    <cellStyle name="20% - 强调文字颜色 1 17 3 7" xfId="21537"/>
    <cellStyle name="20% - 强调文字颜色 1 17 3 8" xfId="31456"/>
    <cellStyle name="20% - 强调文字颜色 1 17 3 9" xfId="32976"/>
    <cellStyle name="20% - 强调文字颜色 1 17 4" xfId="1853"/>
    <cellStyle name="20% - 强调文字颜色 1 17 5" xfId="4024"/>
    <cellStyle name="20% - 强调文字颜色 1 17 6" xfId="11744"/>
    <cellStyle name="20% - 强调文字颜色 1 17 7" xfId="13537"/>
    <cellStyle name="20% - 强调文字颜色 1 17 8" xfId="10879"/>
    <cellStyle name="20% - 强调文字颜色 1 17 9" xfId="17890"/>
    <cellStyle name="20% - 强调文字颜色 1 18" xfId="38"/>
    <cellStyle name="20% - 强调文字颜色 1 18 10" xfId="29746"/>
    <cellStyle name="20% - 强调文字颜色 1 18 11" xfId="32079"/>
    <cellStyle name="20% - 强调文字颜色 1 18 2" xfId="39"/>
    <cellStyle name="20% - 强调文字颜色 1 18 2 2" xfId="8053"/>
    <cellStyle name="20% - 强调文字颜色 1 18 2 3" xfId="7382"/>
    <cellStyle name="20% - 强调文字颜色 1 18 2 4" xfId="17894"/>
    <cellStyle name="20% - 强调文字颜色 1 18 2 5" xfId="21927"/>
    <cellStyle name="20% - 强调文字颜色 1 18 2 6" xfId="21343"/>
    <cellStyle name="20% - 强调文字颜色 1 18 2 7" xfId="31457"/>
    <cellStyle name="20% - 强调文字颜色 1 18 2 8" xfId="32590"/>
    <cellStyle name="20% - 强调文字颜色 1 18 3" xfId="1854"/>
    <cellStyle name="20% - 强调文字颜色 1 18 4" xfId="3948"/>
    <cellStyle name="20% - 强调文字颜色 1 18 5" xfId="13538"/>
    <cellStyle name="20% - 强调文字颜色 1 18 6" xfId="11690"/>
    <cellStyle name="20% - 强调文字颜色 1 18 7" xfId="17893"/>
    <cellStyle name="20% - 强调文字颜色 1 18 8" xfId="23442"/>
    <cellStyle name="20% - 强调文字颜色 1 18 9" xfId="20358"/>
    <cellStyle name="20% - 强调文字颜色 1 19" xfId="40"/>
    <cellStyle name="20% - 强调文字颜色 1 19 10" xfId="1856"/>
    <cellStyle name="20% - 强调文字颜色 1 19 10 2" xfId="8054"/>
    <cellStyle name="20% - 强调文字颜色 1 19 10 3" xfId="13540"/>
    <cellStyle name="20% - 强调文字颜色 1 19 10 4" xfId="23929"/>
    <cellStyle name="20% - 强调文字颜色 1 19 10 5" xfId="27165"/>
    <cellStyle name="20% - 强调文字颜色 1 19 11" xfId="1857"/>
    <cellStyle name="20% - 强调文字颜色 1 19 11 2" xfId="8055"/>
    <cellStyle name="20% - 强调文字颜色 1 19 11 3" xfId="13541"/>
    <cellStyle name="20% - 强调文字颜色 1 19 11 4" xfId="23930"/>
    <cellStyle name="20% - 强调文字颜色 1 19 11 5" xfId="27166"/>
    <cellStyle name="20% - 强调文字颜色 1 19 12" xfId="1858"/>
    <cellStyle name="20% - 强调文字颜色 1 19 12 2" xfId="8056"/>
    <cellStyle name="20% - 强调文字颜色 1 19 12 3" xfId="13542"/>
    <cellStyle name="20% - 强调文字颜色 1 19 12 4" xfId="23931"/>
    <cellStyle name="20% - 强调文字颜色 1 19 12 5" xfId="27167"/>
    <cellStyle name="20% - 强调文字颜色 1 19 13" xfId="1859"/>
    <cellStyle name="20% - 强调文字颜色 1 19 13 2" xfId="8057"/>
    <cellStyle name="20% - 强调文字颜色 1 19 13 3" xfId="13543"/>
    <cellStyle name="20% - 强调文字颜色 1 19 13 4" xfId="23932"/>
    <cellStyle name="20% - 强调文字颜色 1 19 13 5" xfId="27168"/>
    <cellStyle name="20% - 强调文字颜色 1 19 14" xfId="1860"/>
    <cellStyle name="20% - 强调文字颜色 1 19 14 2" xfId="8058"/>
    <cellStyle name="20% - 强调文字颜色 1 19 14 3" xfId="13544"/>
    <cellStyle name="20% - 强调文字颜色 1 19 14 4" xfId="23933"/>
    <cellStyle name="20% - 强调文字颜色 1 19 14 5" xfId="27169"/>
    <cellStyle name="20% - 强调文字颜色 1 19 15" xfId="1861"/>
    <cellStyle name="20% - 强调文字颜色 1 19 15 2" xfId="8059"/>
    <cellStyle name="20% - 强调文字颜色 1 19 15 3" xfId="13545"/>
    <cellStyle name="20% - 强调文字颜色 1 19 15 4" xfId="23934"/>
    <cellStyle name="20% - 强调文字颜色 1 19 15 5" xfId="27170"/>
    <cellStyle name="20% - 强调文字颜色 1 19 16" xfId="1862"/>
    <cellStyle name="20% - 强调文字颜色 1 19 16 2" xfId="8060"/>
    <cellStyle name="20% - 强调文字颜色 1 19 16 3" xfId="13546"/>
    <cellStyle name="20% - 强调文字颜色 1 19 16 4" xfId="23935"/>
    <cellStyle name="20% - 强调文字颜色 1 19 16 5" xfId="27171"/>
    <cellStyle name="20% - 强调文字颜色 1 19 17" xfId="1863"/>
    <cellStyle name="20% - 强调文字颜色 1 19 17 2" xfId="8061"/>
    <cellStyle name="20% - 强调文字颜色 1 19 17 3" xfId="13547"/>
    <cellStyle name="20% - 强调文字颜色 1 19 17 4" xfId="23936"/>
    <cellStyle name="20% - 强调文字颜色 1 19 17 5" xfId="27172"/>
    <cellStyle name="20% - 强调文字颜色 1 19 18" xfId="1864"/>
    <cellStyle name="20% - 强调文字颜色 1 19 18 2" xfId="8062"/>
    <cellStyle name="20% - 强调文字颜色 1 19 18 3" xfId="13548"/>
    <cellStyle name="20% - 强调文字颜色 1 19 18 4" xfId="23937"/>
    <cellStyle name="20% - 强调文字颜色 1 19 18 5" xfId="27173"/>
    <cellStyle name="20% - 强调文字颜色 1 19 19" xfId="1865"/>
    <cellStyle name="20% - 强调文字颜色 1 19 19 2" xfId="8063"/>
    <cellStyle name="20% - 强调文字颜色 1 19 19 3" xfId="13549"/>
    <cellStyle name="20% - 强调文字颜色 1 19 19 4" xfId="23938"/>
    <cellStyle name="20% - 强调文字颜色 1 19 19 5" xfId="27174"/>
    <cellStyle name="20% - 强调文字颜色 1 19 2" xfId="41"/>
    <cellStyle name="20% - 强调文字颜色 1 19 2 10" xfId="29748"/>
    <cellStyle name="20% - 强调文字颜色 1 19 2 11" xfId="32912"/>
    <cellStyle name="20% - 强调文字颜色 1 19 2 2" xfId="1866"/>
    <cellStyle name="20% - 强调文字颜色 1 19 2 3" xfId="3883"/>
    <cellStyle name="20% - 强调文字颜色 1 19 2 4" xfId="11748"/>
    <cellStyle name="20% - 强调文字颜色 1 19 2 5" xfId="13550"/>
    <cellStyle name="20% - 强调文字颜色 1 19 2 6" xfId="11689"/>
    <cellStyle name="20% - 强调文字颜色 1 19 2 7" xfId="17896"/>
    <cellStyle name="20% - 强调文字颜色 1 19 2 8" xfId="22676"/>
    <cellStyle name="20% - 强调文字颜色 1 19 2 9" xfId="20245"/>
    <cellStyle name="20% - 强调文字颜色 1 19 20" xfId="1867"/>
    <cellStyle name="20% - 强调文字颜色 1 19 20 2" xfId="8064"/>
    <cellStyle name="20% - 强调文字颜色 1 19 20 3" xfId="13551"/>
    <cellStyle name="20% - 强调文字颜色 1 19 20 4" xfId="23939"/>
    <cellStyle name="20% - 强调文字颜色 1 19 20 5" xfId="27175"/>
    <cellStyle name="20% - 强调文字颜色 1 19 21" xfId="1868"/>
    <cellStyle name="20% - 强调文字颜色 1 19 21 2" xfId="8065"/>
    <cellStyle name="20% - 强调文字颜色 1 19 21 3" xfId="13552"/>
    <cellStyle name="20% - 强调文字颜色 1 19 21 4" xfId="23940"/>
    <cellStyle name="20% - 强调文字颜色 1 19 21 5" xfId="27176"/>
    <cellStyle name="20% - 强调文字颜色 1 19 22" xfId="1869"/>
    <cellStyle name="20% - 强调文字颜色 1 19 22 2" xfId="8066"/>
    <cellStyle name="20% - 强调文字颜色 1 19 22 3" xfId="13553"/>
    <cellStyle name="20% - 强调文字颜色 1 19 22 4" xfId="23941"/>
    <cellStyle name="20% - 强调文字颜色 1 19 22 5" xfId="27177"/>
    <cellStyle name="20% - 强调文字颜色 1 19 23" xfId="1870"/>
    <cellStyle name="20% - 强调文字颜色 1 19 23 2" xfId="8067"/>
    <cellStyle name="20% - 强调文字颜色 1 19 23 3" xfId="13554"/>
    <cellStyle name="20% - 强调文字颜色 1 19 23 4" xfId="23942"/>
    <cellStyle name="20% - 强调文字颜色 1 19 23 5" xfId="27178"/>
    <cellStyle name="20% - 强调文字颜色 1 19 24" xfId="3925"/>
    <cellStyle name="20% - 强调文字颜色 1 19 25" xfId="10899"/>
    <cellStyle name="20% - 强调文字颜色 1 19 26" xfId="11747"/>
    <cellStyle name="20% - 强调文字颜色 1 19 27" xfId="13539"/>
    <cellStyle name="20% - 强调文字颜色 1 19 28" xfId="10877"/>
    <cellStyle name="20% - 强调文字颜色 1 19 29" xfId="17895"/>
    <cellStyle name="20% - 强调文字颜色 1 19 3" xfId="1855"/>
    <cellStyle name="20% - 强调文字颜色 1 19 3 2" xfId="8068"/>
    <cellStyle name="20% - 强调文字颜色 1 19 3 3" xfId="13555"/>
    <cellStyle name="20% - 强调文字颜色 1 19 3 4" xfId="23943"/>
    <cellStyle name="20% - 强调文字颜色 1 19 3 5" xfId="27164"/>
    <cellStyle name="20% - 强调文字颜色 1 19 30" xfId="22894"/>
    <cellStyle name="20% - 强调文字颜色 1 19 31" xfId="20886"/>
    <cellStyle name="20% - 强调文字颜色 1 19 32" xfId="29747"/>
    <cellStyle name="20% - 强调文字颜色 1 19 33" xfId="32029"/>
    <cellStyle name="20% - 强调文字颜色 1 19 4" xfId="1872"/>
    <cellStyle name="20% - 强调文字颜色 1 19 4 2" xfId="8069"/>
    <cellStyle name="20% - 强调文字颜色 1 19 4 3" xfId="13556"/>
    <cellStyle name="20% - 强调文字颜色 1 19 4 4" xfId="23944"/>
    <cellStyle name="20% - 强调文字颜色 1 19 4 5" xfId="27179"/>
    <cellStyle name="20% - 强调文字颜色 1 19 5" xfId="1873"/>
    <cellStyle name="20% - 强调文字颜色 1 19 5 2" xfId="8070"/>
    <cellStyle name="20% - 强调文字颜色 1 19 5 3" xfId="13557"/>
    <cellStyle name="20% - 强调文字颜色 1 19 5 4" xfId="23945"/>
    <cellStyle name="20% - 强调文字颜色 1 19 5 5" xfId="27180"/>
    <cellStyle name="20% - 强调文字颜色 1 19 6" xfId="1874"/>
    <cellStyle name="20% - 强调文字颜色 1 19 6 2" xfId="8071"/>
    <cellStyle name="20% - 强调文字颜色 1 19 6 3" xfId="13558"/>
    <cellStyle name="20% - 强调文字颜色 1 19 6 4" xfId="23946"/>
    <cellStyle name="20% - 强调文字颜色 1 19 6 5" xfId="27181"/>
    <cellStyle name="20% - 强调文字颜色 1 19 7" xfId="1875"/>
    <cellStyle name="20% - 强调文字颜色 1 19 7 2" xfId="8072"/>
    <cellStyle name="20% - 强调文字颜色 1 19 7 3" xfId="13559"/>
    <cellStyle name="20% - 强调文字颜色 1 19 7 4" xfId="23947"/>
    <cellStyle name="20% - 强调文字颜色 1 19 7 5" xfId="27182"/>
    <cellStyle name="20% - 强调文字颜色 1 19 8" xfId="1876"/>
    <cellStyle name="20% - 强调文字颜色 1 19 8 2" xfId="8073"/>
    <cellStyle name="20% - 强调文字颜色 1 19 8 3" xfId="13560"/>
    <cellStyle name="20% - 强调文字颜色 1 19 8 4" xfId="23948"/>
    <cellStyle name="20% - 强调文字颜色 1 19 8 5" xfId="27183"/>
    <cellStyle name="20% - 强调文字颜色 1 19 9" xfId="1877"/>
    <cellStyle name="20% - 强调文字颜色 1 19 9 2" xfId="8074"/>
    <cellStyle name="20% - 强调文字颜色 1 19 9 3" xfId="13561"/>
    <cellStyle name="20% - 强调文字颜色 1 19 9 4" xfId="23949"/>
    <cellStyle name="20% - 强调文字颜色 1 19 9 5" xfId="27184"/>
    <cellStyle name="20% - 强调文字颜色 1 2" xfId="42"/>
    <cellStyle name="20% - 强调文字颜色 1 2 10" xfId="43"/>
    <cellStyle name="20% - 强调文字颜色 1 2 10 10" xfId="29749"/>
    <cellStyle name="20% - 强调文字颜色 1 2 10 11" xfId="33439"/>
    <cellStyle name="20% - 强调文字颜色 1 2 10 2" xfId="1879"/>
    <cellStyle name="20% - 强调文字颜色 1 2 10 3" xfId="3732"/>
    <cellStyle name="20% - 强调文字颜色 1 2 10 4" xfId="11750"/>
    <cellStyle name="20% - 强调文字颜色 1 2 10 5" xfId="13563"/>
    <cellStyle name="20% - 强调文字颜色 1 2 10 6" xfId="11688"/>
    <cellStyle name="20% - 强调文字颜色 1 2 10 7" xfId="17898"/>
    <cellStyle name="20% - 强调文字颜色 1 2 10 8" xfId="23444"/>
    <cellStyle name="20% - 强调文字颜色 1 2 10 9" xfId="21536"/>
    <cellStyle name="20% - 强调文字颜色 1 2 11" xfId="44"/>
    <cellStyle name="20% - 强调文字颜色 1 2 11 10" xfId="29750"/>
    <cellStyle name="20% - 强调文字颜色 1 2 11 11" xfId="33202"/>
    <cellStyle name="20% - 强调文字颜色 1 2 11 2" xfId="1880"/>
    <cellStyle name="20% - 强调文字颜色 1 2 11 3" xfId="3709"/>
    <cellStyle name="20% - 强调文字颜色 1 2 11 4" xfId="11751"/>
    <cellStyle name="20% - 强调文字颜色 1 2 11 5" xfId="13564"/>
    <cellStyle name="20% - 强调文字颜色 1 2 11 6" xfId="10875"/>
    <cellStyle name="20% - 强调文字颜色 1 2 11 7" xfId="17899"/>
    <cellStyle name="20% - 强调文字颜色 1 2 11 8" xfId="22896"/>
    <cellStyle name="20% - 强调文字颜色 1 2 11 9" xfId="20721"/>
    <cellStyle name="20% - 强调文字颜色 1 2 12" xfId="45"/>
    <cellStyle name="20% - 强调文字颜色 1 2 12 10" xfId="29751"/>
    <cellStyle name="20% - 强调文字颜色 1 2 12 11" xfId="32909"/>
    <cellStyle name="20% - 强调文字颜色 1 2 12 2" xfId="1881"/>
    <cellStyle name="20% - 强调文字颜色 1 2 12 3" xfId="3686"/>
    <cellStyle name="20% - 强调文字颜色 1 2 12 4" xfId="11752"/>
    <cellStyle name="20% - 强调文字颜色 1 2 12 5" xfId="13565"/>
    <cellStyle name="20% - 强调文字颜色 1 2 12 6" xfId="11687"/>
    <cellStyle name="20% - 强调文字颜色 1 2 12 7" xfId="17900"/>
    <cellStyle name="20% - 强调文字颜色 1 2 12 8" xfId="22678"/>
    <cellStyle name="20% - 强调文字颜色 1 2 12 9" xfId="21342"/>
    <cellStyle name="20% - 强调文字颜色 1 2 13" xfId="46"/>
    <cellStyle name="20% - 强调文字颜色 1 2 13 10" xfId="29752"/>
    <cellStyle name="20% - 强调文字颜色 1 2 13 11" xfId="32526"/>
    <cellStyle name="20% - 强调文字颜色 1 2 13 2" xfId="1882"/>
    <cellStyle name="20% - 强调文字颜色 1 2 13 3" xfId="3663"/>
    <cellStyle name="20% - 强调文字颜色 1 2 13 4" xfId="11753"/>
    <cellStyle name="20% - 强调文字颜色 1 2 13 5" xfId="13566"/>
    <cellStyle name="20% - 强调文字颜色 1 2 13 6" xfId="10874"/>
    <cellStyle name="20% - 强调文字颜色 1 2 13 7" xfId="17901"/>
    <cellStyle name="20% - 强调文字颜色 1 2 13 8" xfId="22461"/>
    <cellStyle name="20% - 强调文字颜色 1 2 13 9" xfId="20885"/>
    <cellStyle name="20% - 强调文字颜色 1 2 14" xfId="47"/>
    <cellStyle name="20% - 强调文字颜色 1 2 14 10" xfId="23443"/>
    <cellStyle name="20% - 强调文字颜色 1 2 14 10 2" xfId="29494"/>
    <cellStyle name="20% - 强调文字颜色 1 2 14 11" xfId="20244"/>
    <cellStyle name="20% - 强调文字颜色 1 2 14 11 2" xfId="29692"/>
    <cellStyle name="20% - 强调文字颜色 1 2 14 12" xfId="29753"/>
    <cellStyle name="20% - 强调文字颜色 1 2 14 13" xfId="32299"/>
    <cellStyle name="20% - 强调文字颜色 1 2 14 2" xfId="48"/>
    <cellStyle name="20% - 强调文字颜色 1 2 14 2 2" xfId="3521"/>
    <cellStyle name="20% - 强调文字颜色 1 2 14 2 2 2" xfId="23545"/>
    <cellStyle name="20% - 强调文字颜色 1 2 14 2 2 3" xfId="26130"/>
    <cellStyle name="20% - 强调文字颜色 1 2 14 2 2 4" xfId="23544"/>
    <cellStyle name="20% - 强调文字颜色 1 2 14 2 3" xfId="11755"/>
    <cellStyle name="20% - 强调文字颜色 1 2 14 2 4" xfId="10873"/>
    <cellStyle name="20% - 强调文字颜色 1 2 14 2 4 2" xfId="26515"/>
    <cellStyle name="20% - 强调文字颜色 1 2 14 2 4 2 2" xfId="27030"/>
    <cellStyle name="20% - 强调文字颜色 1 2 14 2 4 3" xfId="26129"/>
    <cellStyle name="20% - 强调文字颜色 1 2 14 2 5" xfId="17903"/>
    <cellStyle name="20% - 强调文字颜色 1 2 14 2 6" xfId="22895"/>
    <cellStyle name="20% - 强调文字颜色 1 2 14 2 6 2" xfId="29588"/>
    <cellStyle name="20% - 强调文字颜色 1 2 14 2 7" xfId="20112"/>
    <cellStyle name="20% - 强调文字颜色 1 2 14 2 7 2" xfId="29707"/>
    <cellStyle name="20% - 强调文字颜色 1 2 14 2 8" xfId="31459"/>
    <cellStyle name="20% - 强调文字颜色 1 2 14 2 9" xfId="33239"/>
    <cellStyle name="20% - 强调文字颜色 1 2 14 3" xfId="1883"/>
    <cellStyle name="20% - 强调文字颜色 1 2 14 4" xfId="3642"/>
    <cellStyle name="20% - 强调文字颜色 1 2 14 4 2" xfId="8076"/>
    <cellStyle name="20% - 强调文字颜色 1 2 14 4 2 2" xfId="29414"/>
    <cellStyle name="20% - 强调文字颜色 1 2 14 4 2 3" xfId="28260"/>
    <cellStyle name="20% - 强调文字颜色 1 2 14 4 3" xfId="7380"/>
    <cellStyle name="20% - 强调文字颜色 1 2 14 4 4" xfId="21895"/>
    <cellStyle name="20% - 强调文字颜色 1 2 14 4 5" xfId="22920"/>
    <cellStyle name="20% - 强调文字颜色 1 2 14 4 6" xfId="29645"/>
    <cellStyle name="20% - 强调文字颜色 1 2 14 4 7" xfId="32033"/>
    <cellStyle name="20% - 强调文字颜色 1 2 14 4 8" xfId="30550"/>
    <cellStyle name="20% - 强调文字颜色 1 2 14 5" xfId="10901"/>
    <cellStyle name="20% - 强调文字颜色 1 2 14 6" xfId="11754"/>
    <cellStyle name="20% - 强调文字颜色 1 2 14 7" xfId="13567"/>
    <cellStyle name="20% - 强调文字颜色 1 2 14 8" xfId="11686"/>
    <cellStyle name="20% - 强调文字颜色 1 2 14 8 2" xfId="26514"/>
    <cellStyle name="20% - 强调文字颜色 1 2 14 8 3" xfId="23951"/>
    <cellStyle name="20% - 强调文字颜色 1 2 14 9" xfId="17902"/>
    <cellStyle name="20% - 强调文字颜色 1 2 14 9 2" xfId="29474"/>
    <cellStyle name="20% - 强调文字颜色 1 2 14 9 2 2" xfId="33152"/>
    <cellStyle name="20% - 强调文字颜色 1 2 14 9 3" xfId="33528"/>
    <cellStyle name="20% - 强调文字颜色 1 2 14 9 4" xfId="26642"/>
    <cellStyle name="20% - 强调文字颜色 1 2 15" xfId="49"/>
    <cellStyle name="20% - 强调文字颜色 1 2 15 10" xfId="29754"/>
    <cellStyle name="20% - 强调文字颜色 1 2 15 11" xfId="31839"/>
    <cellStyle name="20% - 强调文字颜色 1 2 15 2" xfId="1884"/>
    <cellStyle name="20% - 强调文字颜色 1 2 15 3" xfId="3491"/>
    <cellStyle name="20% - 强调文字颜色 1 2 15 4" xfId="11756"/>
    <cellStyle name="20% - 强调文字颜色 1 2 15 5" xfId="13568"/>
    <cellStyle name="20% - 强调文字颜色 1 2 15 6" xfId="11685"/>
    <cellStyle name="20% - 强调文字颜色 1 2 15 7" xfId="17904"/>
    <cellStyle name="20% - 强调文字颜色 1 2 15 8" xfId="22677"/>
    <cellStyle name="20% - 强调文字颜色 1 2 15 9" xfId="21535"/>
    <cellStyle name="20% - 强调文字颜色 1 2 16" xfId="50"/>
    <cellStyle name="20% - 强调文字颜色 1 2 16 10" xfId="29755"/>
    <cellStyle name="20% - 强调文字颜色 1 2 16 11" xfId="33441"/>
    <cellStyle name="20% - 强调文字颜色 1 2 16 2" xfId="1885"/>
    <cellStyle name="20% - 强调文字颜色 1 2 16 3" xfId="3468"/>
    <cellStyle name="20% - 强调文字颜色 1 2 16 4" xfId="11757"/>
    <cellStyle name="20% - 强调文字颜色 1 2 16 5" xfId="13569"/>
    <cellStyle name="20% - 强调文字颜色 1 2 16 6" xfId="10872"/>
    <cellStyle name="20% - 强调文字颜色 1 2 16 7" xfId="17905"/>
    <cellStyle name="20% - 强调文字颜色 1 2 16 8" xfId="22460"/>
    <cellStyle name="20% - 强调文字颜色 1 2 16 9" xfId="20256"/>
    <cellStyle name="20% - 强调文字颜色 1 2 17" xfId="51"/>
    <cellStyle name="20% - 强调文字颜色 1 2 17 10" xfId="29756"/>
    <cellStyle name="20% - 强调文字颜色 1 2 17 11" xfId="33204"/>
    <cellStyle name="20% - 强调文字颜色 1 2 17 2" xfId="1886"/>
    <cellStyle name="20% - 强调文字颜色 1 2 17 3" xfId="3445"/>
    <cellStyle name="20% - 强调文字颜色 1 2 17 4" xfId="11758"/>
    <cellStyle name="20% - 强调文字颜色 1 2 17 5" xfId="13570"/>
    <cellStyle name="20% - 强调文字颜色 1 2 17 6" xfId="8046"/>
    <cellStyle name="20% - 强调文字颜色 1 2 17 7" xfId="17906"/>
    <cellStyle name="20% - 强调文字颜色 1 2 17 8" xfId="22888"/>
    <cellStyle name="20% - 强调文字颜色 1 2 17 9" xfId="21341"/>
    <cellStyle name="20% - 强调文字颜色 1 2 18" xfId="52"/>
    <cellStyle name="20% - 强调文字颜色 1 2 18 10" xfId="29757"/>
    <cellStyle name="20% - 强调文字颜色 1 2 18 11" xfId="32911"/>
    <cellStyle name="20% - 强调文字颜色 1 2 18 2" xfId="1887"/>
    <cellStyle name="20% - 强调文字颜色 1 2 18 3" xfId="3422"/>
    <cellStyle name="20% - 强调文字颜色 1 2 18 4" xfId="11759"/>
    <cellStyle name="20% - 强调文字颜色 1 2 18 5" xfId="13571"/>
    <cellStyle name="20% - 强调文字颜色 1 2 18 6" xfId="8045"/>
    <cellStyle name="20% - 强调文字颜色 1 2 18 7" xfId="17907"/>
    <cellStyle name="20% - 强调文字颜色 1 2 18 8" xfId="22670"/>
    <cellStyle name="20% - 强调文字颜色 1 2 18 9" xfId="20884"/>
    <cellStyle name="20% - 强调文字颜色 1 2 19" xfId="1878"/>
    <cellStyle name="20% - 强调文字颜色 1 2 19 2" xfId="23543"/>
    <cellStyle name="20% - 强调文字颜色 1 2 19 2 2" xfId="23610"/>
    <cellStyle name="20% - 强调文字颜色 1 2 19 2 2 2" xfId="29587"/>
    <cellStyle name="20% - 强调文字颜色 1 2 19 2 2 2 2" xfId="29630"/>
    <cellStyle name="20% - 强调文字颜色 1 2 19 2 3" xfId="26195"/>
    <cellStyle name="20% - 强调文字颜色 1 2 19 2 4" xfId="31850"/>
    <cellStyle name="20% - 强调文字颜色 1 2 19 2 5" xfId="32551"/>
    <cellStyle name="20% - 强调文字颜色 1 2 19 3" xfId="26128"/>
    <cellStyle name="20% - 强调文字颜色 1 2 19 3 2" xfId="26956"/>
    <cellStyle name="20% - 强调文字颜色 1 2 19 3 2 2" xfId="27029"/>
    <cellStyle name="20% - 强调文字颜色 1 2 19 3 2 2 2" xfId="33446"/>
    <cellStyle name="20% - 强调文字颜色 1 2 19 3 2 2 2 2" xfId="33466"/>
    <cellStyle name="20% - 强调文字颜色 1 2 19 3 2 3" xfId="33584"/>
    <cellStyle name="20% - 强调文字颜色 1 2 19 3 3" xfId="29676"/>
    <cellStyle name="20% - 强调文字颜色 1 2 19 3 3 2" xfId="33567"/>
    <cellStyle name="20% - 强调文字颜色 1 2 19 4" xfId="27185"/>
    <cellStyle name="20% - 强调文字颜色 1 2 19 4 2" xfId="31458"/>
    <cellStyle name="20% - 强调文字颜色 1 2 19 5" xfId="31889"/>
    <cellStyle name="20% - 强调文字颜色 1 2 2" xfId="53"/>
    <cellStyle name="20% - 强调文字颜色 1 2 2 10" xfId="10902"/>
    <cellStyle name="20% - 强调文字颜色 1 2 2 10 2" xfId="23727"/>
    <cellStyle name="20% - 强调文字颜色 1 2 2 10 2 2" xfId="27006"/>
    <cellStyle name="20% - 强调文字颜色 1 2 2 10 2 2 2" xfId="27105"/>
    <cellStyle name="20% - 强调文字颜色 1 2 2 10 3" xfId="26312"/>
    <cellStyle name="20% - 强调文字颜色 1 2 2 10 4" xfId="23528"/>
    <cellStyle name="20% - 强调文字颜色 1 2 2 11" xfId="11760"/>
    <cellStyle name="20% - 强调文字颜色 1 2 2 12" xfId="13572"/>
    <cellStyle name="20% - 强调文字颜色 1 2 2 13" xfId="8044"/>
    <cellStyle name="20% - 强调文字颜色 1 2 2 13 2" xfId="29412"/>
    <cellStyle name="20% - 强调文字颜色 1 2 2 13 2 2" xfId="32919"/>
    <cellStyle name="20% - 强调文字颜色 1 2 2 13 3" xfId="32086"/>
    <cellStyle name="20% - 强调文字颜色 1 2 2 13 4" xfId="23952"/>
    <cellStyle name="20% - 强调文字颜色 1 2 2 14" xfId="17908"/>
    <cellStyle name="20% - 强调文字颜色 1 2 2 15" xfId="22453"/>
    <cellStyle name="20% - 强调文字颜色 1 2 2 15 2" xfId="29495"/>
    <cellStyle name="20% - 强调文字颜色 1 2 2 16" xfId="20243"/>
    <cellStyle name="20% - 强调文字颜色 1 2 2 16 2" xfId="29682"/>
    <cellStyle name="20% - 强调文字颜色 1 2 2 17" xfId="29758"/>
    <cellStyle name="20% - 强调文字颜色 1 2 2 18" xfId="32528"/>
    <cellStyle name="20% - 强调文字颜色 1 2 2 2" xfId="54"/>
    <cellStyle name="20% - 强调文字颜色 1 2 2 2 10" xfId="23441"/>
    <cellStyle name="20% - 强调文字颜色 1 2 2 2 10 2" xfId="29496"/>
    <cellStyle name="20% - 强调文字颜色 1 2 2 2 11" xfId="20111"/>
    <cellStyle name="20% - 强调文字颜色 1 2 2 2 11 2" xfId="29629"/>
    <cellStyle name="20% - 强调文字颜色 1 2 2 2 12" xfId="29759"/>
    <cellStyle name="20% - 强调文字颜色 1 2 2 2 13" xfId="32301"/>
    <cellStyle name="20% - 强调文字颜色 1 2 2 2 2" xfId="55"/>
    <cellStyle name="20% - 强调文字颜色 1 2 2 2 2 2" xfId="3250"/>
    <cellStyle name="20% - 强调文字颜色 1 2 2 2 2 3" xfId="11762"/>
    <cellStyle name="20% - 强调文字颜色 1 2 2 2 2 3 2" xfId="23836"/>
    <cellStyle name="20% - 强调文字颜色 1 2 2 2 2 3 3" xfId="26421"/>
    <cellStyle name="20% - 强调文字颜色 1 2 2 2 2 3 4" xfId="23547"/>
    <cellStyle name="20% - 强调文字颜色 1 2 2 2 2 4" xfId="8042"/>
    <cellStyle name="20% - 强调文字颜色 1 2 2 2 2 4 2" xfId="26516"/>
    <cellStyle name="20% - 强调文字颜色 1 2 2 2 2 4 2 2" xfId="27032"/>
    <cellStyle name="20% - 强调文字颜色 1 2 2 2 2 4 3" xfId="26132"/>
    <cellStyle name="20% - 强调文字颜色 1 2 2 2 2 5" xfId="17910"/>
    <cellStyle name="20% - 强调文字颜色 1 2 2 2 2 6" xfId="22893"/>
    <cellStyle name="20% - 强调文字颜色 1 2 2 2 2 6 2" xfId="29590"/>
    <cellStyle name="20% - 强调文字颜色 1 2 2 2 2 6 2 2" xfId="33010"/>
    <cellStyle name="20% - 强调文字颜色 1 2 2 2 2 6 3" xfId="33524"/>
    <cellStyle name="20% - 强调文字颜色 1 2 2 2 2 7" xfId="21534"/>
    <cellStyle name="20% - 强调文字颜色 1 2 2 2 2 7 2" xfId="29611"/>
    <cellStyle name="20% - 强调文字颜色 1 2 2 2 2 8" xfId="31461"/>
    <cellStyle name="20% - 强调文字颜色 1 2 2 2 2 9" xfId="32975"/>
    <cellStyle name="20% - 强调文字颜色 1 2 2 2 3" xfId="1889"/>
    <cellStyle name="20% - 强调文字颜色 1 2 2 2 3 2" xfId="23612"/>
    <cellStyle name="20% - 强调文字颜色 1 2 2 2 3 2 2" xfId="26517"/>
    <cellStyle name="20% - 强调文字颜色 1 2 2 2 3 2 2 2" xfId="27072"/>
    <cellStyle name="20% - 强调文字颜色 1 2 2 2 3 3" xfId="26197"/>
    <cellStyle name="20% - 强调文字颜色 1 2 2 2 4" xfId="3280"/>
    <cellStyle name="20% - 强调文字颜色 1 2 2 2 4 2" xfId="8078"/>
    <cellStyle name="20% - 强调文字颜色 1 2 2 2 4 2 2" xfId="26518"/>
    <cellStyle name="20% - 强调文字颜色 1 2 2 2 4 2 2 2" xfId="27082"/>
    <cellStyle name="20% - 强调文字颜色 1 2 2 2 4 2 2 2 2" xfId="32921"/>
    <cellStyle name="20% - 强调文字颜色 1 2 2 2 4 2 2 2 2 2" xfId="33487"/>
    <cellStyle name="20% - 强调文字颜色 1 2 2 2 4 2 2 3" xfId="33603"/>
    <cellStyle name="20% - 强调文字颜色 1 2 2 2 4 2 3" xfId="29416"/>
    <cellStyle name="20% - 强调文字颜色 1 2 2 2 4 2 3 2" xfId="31855"/>
    <cellStyle name="20% - 强调文字颜色 1 2 2 2 4 3" xfId="7378"/>
    <cellStyle name="20% - 强调文字颜色 1 2 2 2 4 3 2" xfId="28052"/>
    <cellStyle name="20% - 强调文字颜色 1 2 2 2 4 3 2 2" xfId="29385"/>
    <cellStyle name="20% - 强调文字颜色 1 2 2 2 4 4" xfId="21897"/>
    <cellStyle name="20% - 强调文字颜色 1 2 2 2 4 5" xfId="22919"/>
    <cellStyle name="20% - 强调文字颜色 1 2 2 2 4 6" xfId="29700"/>
    <cellStyle name="20% - 强调文字颜色 1 2 2 2 4 7" xfId="32035"/>
    <cellStyle name="20% - 强调文字颜色 1 2 2 2 4 8" xfId="31865"/>
    <cellStyle name="20% - 强调文字颜色 1 2 2 2 5" xfId="10903"/>
    <cellStyle name="20% - 强调文字颜色 1 2 2 2 5 2" xfId="23728"/>
    <cellStyle name="20% - 强调文字颜色 1 2 2 2 5 2 2" xfId="27005"/>
    <cellStyle name="20% - 强调文字颜色 1 2 2 2 5 2 2 2" xfId="27106"/>
    <cellStyle name="20% - 强调文字颜色 1 2 2 2 5 3" xfId="26313"/>
    <cellStyle name="20% - 强调文字颜色 1 2 2 2 5 4" xfId="23527"/>
    <cellStyle name="20% - 强调文字颜色 1 2 2 2 6" xfId="11761"/>
    <cellStyle name="20% - 强调文字颜色 1 2 2 2 7" xfId="13573"/>
    <cellStyle name="20% - 强调文字颜色 1 2 2 2 8" xfId="8043"/>
    <cellStyle name="20% - 强调文字颜色 1 2 2 2 8 2" xfId="29411"/>
    <cellStyle name="20% - 强调文字颜色 1 2 2 2 8 2 2" xfId="32920"/>
    <cellStyle name="20% - 强调文字颜色 1 2 2 2 8 3" xfId="32940"/>
    <cellStyle name="20% - 强调文字颜色 1 2 2 2 8 4" xfId="23953"/>
    <cellStyle name="20% - 强调文字颜色 1 2 2 2 9" xfId="17909"/>
    <cellStyle name="20% - 强调文字颜色 1 2 2 3" xfId="56"/>
    <cellStyle name="20% - 强调文字颜色 1 2 2 3 10" xfId="29760"/>
    <cellStyle name="20% - 强调文字颜色 1 2 2 3 11" xfId="31841"/>
    <cellStyle name="20% - 强调文字颜色 1 2 2 3 2" xfId="1890"/>
    <cellStyle name="20% - 强调文字颜色 1 2 2 3 3" xfId="3227"/>
    <cellStyle name="20% - 强调文字颜色 1 2 2 3 4" xfId="11763"/>
    <cellStyle name="20% - 强调文字颜色 1 2 2 3 5" xfId="13574"/>
    <cellStyle name="20% - 强调文字颜色 1 2 2 3 6" xfId="8041"/>
    <cellStyle name="20% - 强调文字颜色 1 2 2 3 7" xfId="17911"/>
    <cellStyle name="20% - 强调文字颜色 1 2 2 3 8" xfId="22675"/>
    <cellStyle name="20% - 强调文字颜色 1 2 2 3 9" xfId="20257"/>
    <cellStyle name="20% - 强调文字颜色 1 2 2 4" xfId="57"/>
    <cellStyle name="20% - 强调文字颜色 1 2 2 4 10" xfId="29761"/>
    <cellStyle name="20% - 强调文字颜色 1 2 2 4 11" xfId="33440"/>
    <cellStyle name="20% - 强调文字颜色 1 2 2 4 2" xfId="1891"/>
    <cellStyle name="20% - 强调文字颜色 1 2 2 4 3" xfId="3204"/>
    <cellStyle name="20% - 强调文字颜色 1 2 2 4 4" xfId="11764"/>
    <cellStyle name="20% - 强调文字颜色 1 2 2 4 5" xfId="13575"/>
    <cellStyle name="20% - 强调文字颜色 1 2 2 4 6" xfId="11677"/>
    <cellStyle name="20% - 强调文字颜色 1 2 2 4 7" xfId="17912"/>
    <cellStyle name="20% - 强调文字颜色 1 2 2 4 8" xfId="22458"/>
    <cellStyle name="20% - 强调文字颜色 1 2 2 4 9" xfId="21340"/>
    <cellStyle name="20% - 强调文字颜色 1 2 2 5" xfId="58"/>
    <cellStyle name="20% - 强调文字颜色 1 2 2 5 10" xfId="29762"/>
    <cellStyle name="20% - 强调文字颜色 1 2 2 5 11" xfId="33203"/>
    <cellStyle name="20% - 强调文字颜色 1 2 2 5 2" xfId="1892"/>
    <cellStyle name="20% - 强调文字颜色 1 2 2 5 3" xfId="3181"/>
    <cellStyle name="20% - 强调文字颜色 1 2 2 5 4" xfId="11765"/>
    <cellStyle name="20% - 强调文字颜色 1 2 2 5 5" xfId="13576"/>
    <cellStyle name="20% - 强调文字颜色 1 2 2 5 6" xfId="10858"/>
    <cellStyle name="20% - 强调文字颜色 1 2 2 5 7" xfId="17913"/>
    <cellStyle name="20% - 强调文字颜色 1 2 2 5 8" xfId="23440"/>
    <cellStyle name="20% - 强调文字颜色 1 2 2 5 9" xfId="21531"/>
    <cellStyle name="20% - 强调文字颜色 1 2 2 6" xfId="59"/>
    <cellStyle name="20% - 强调文字颜色 1 2 2 6 10" xfId="29763"/>
    <cellStyle name="20% - 强调文字颜色 1 2 2 6 11" xfId="32910"/>
    <cellStyle name="20% - 强调文字颜色 1 2 2 6 2" xfId="1893"/>
    <cellStyle name="20% - 强调文字颜色 1 2 2 6 3" xfId="3160"/>
    <cellStyle name="20% - 强调文字颜色 1 2 2 6 4" xfId="11766"/>
    <cellStyle name="20% - 强调文字颜色 1 2 2 6 5" xfId="13577"/>
    <cellStyle name="20% - 强调文字颜色 1 2 2 6 6" xfId="11683"/>
    <cellStyle name="20% - 强调文字颜色 1 2 2 6 7" xfId="17914"/>
    <cellStyle name="20% - 强调文字颜色 1 2 2 6 8" xfId="22892"/>
    <cellStyle name="20% - 强调文字颜色 1 2 2 6 9" xfId="20260"/>
    <cellStyle name="20% - 强调文字颜色 1 2 2 7" xfId="60"/>
    <cellStyle name="20% - 强调文字颜色 1 2 2 7 10" xfId="29764"/>
    <cellStyle name="20% - 强调文字颜色 1 2 2 7 11" xfId="32527"/>
    <cellStyle name="20% - 强调文字颜色 1 2 2 7 2" xfId="1894"/>
    <cellStyle name="20% - 强调文字颜色 1 2 2 7 3" xfId="3039"/>
    <cellStyle name="20% - 强调文字颜色 1 2 2 7 4" xfId="11767"/>
    <cellStyle name="20% - 强调文字颜色 1 2 2 7 5" xfId="13578"/>
    <cellStyle name="20% - 强调文字颜色 1 2 2 7 6" xfId="10864"/>
    <cellStyle name="20% - 强调文字颜色 1 2 2 7 7" xfId="17915"/>
    <cellStyle name="20% - 强调文字颜色 1 2 2 7 8" xfId="22674"/>
    <cellStyle name="20% - 强调文字颜色 1 2 2 7 9" xfId="21337"/>
    <cellStyle name="20% - 强调文字颜色 1 2 2 8" xfId="1888"/>
    <cellStyle name="20% - 强调文字颜色 1 2 2 8 2" xfId="23546"/>
    <cellStyle name="20% - 强调文字颜色 1 2 2 8 2 2" xfId="23611"/>
    <cellStyle name="20% - 强调文字颜色 1 2 2 8 2 2 2" xfId="29589"/>
    <cellStyle name="20% - 强调文字颜色 1 2 2 8 2 2 2 2" xfId="29631"/>
    <cellStyle name="20% - 强调文字颜色 1 2 2 8 2 3" xfId="26196"/>
    <cellStyle name="20% - 强调文字颜色 1 2 2 8 2 4" xfId="31851"/>
    <cellStyle name="20% - 强调文字颜色 1 2 2 8 2 5" xfId="30730"/>
    <cellStyle name="20% - 强调文字颜色 1 2 2 8 3" xfId="26131"/>
    <cellStyle name="20% - 强调文字颜色 1 2 2 8 3 2" xfId="26957"/>
    <cellStyle name="20% - 强调文字颜色 1 2 2 8 3 2 2" xfId="27031"/>
    <cellStyle name="20% - 强调文字颜色 1 2 2 8 3 2 2 2" xfId="33447"/>
    <cellStyle name="20% - 强调文字颜色 1 2 2 8 3 2 2 2 2" xfId="33467"/>
    <cellStyle name="20% - 强调文字颜色 1 2 2 8 3 2 3" xfId="33585"/>
    <cellStyle name="20% - 强调文字颜色 1 2 2 8 3 3" xfId="29675"/>
    <cellStyle name="20% - 强调文字颜色 1 2 2 8 3 3 2" xfId="33568"/>
    <cellStyle name="20% - 强调文字颜色 1 2 2 8 4" xfId="27186"/>
    <cellStyle name="20% - 强调文字颜色 1 2 2 8 4 2" xfId="31460"/>
    <cellStyle name="20% - 强调文字颜色 1 2 2 8 5" xfId="33238"/>
    <cellStyle name="20% - 强调文字颜色 1 2 2 9" xfId="3401"/>
    <cellStyle name="20% - 强调文字颜色 1 2 2 9 2" xfId="8077"/>
    <cellStyle name="20% - 强调文字颜色 1 2 2 9 2 2" xfId="26519"/>
    <cellStyle name="20% - 强调文字颜色 1 2 2 9 2 2 2" xfId="27081"/>
    <cellStyle name="20% - 强调文字颜色 1 2 2 9 2 2 2 2" xfId="32922"/>
    <cellStyle name="20% - 强调文字颜色 1 2 2 9 2 2 2 2 2" xfId="33486"/>
    <cellStyle name="20% - 强调文字颜色 1 2 2 9 2 2 3" xfId="33602"/>
    <cellStyle name="20% - 强调文字颜色 1 2 2 9 2 3" xfId="29415"/>
    <cellStyle name="20% - 强调文字颜色 1 2 2 9 2 3 2" xfId="32538"/>
    <cellStyle name="20% - 强调文字颜色 1 2 2 9 3" xfId="7379"/>
    <cellStyle name="20% - 强调文字颜色 1 2 2 9 3 2" xfId="28106"/>
    <cellStyle name="20% - 强调文字颜色 1 2 2 9 3 2 2" xfId="29386"/>
    <cellStyle name="20% - 强调文字颜色 1 2 2 9 4" xfId="21896"/>
    <cellStyle name="20% - 强调文字颜色 1 2 2 9 5" xfId="21552"/>
    <cellStyle name="20% - 强调文字颜色 1 2 2 9 6" xfId="29518"/>
    <cellStyle name="20% - 强调文字颜色 1 2 2 9 7" xfId="32034"/>
    <cellStyle name="20% - 强调文字颜色 1 2 2 9 8" xfId="32544"/>
    <cellStyle name="20% - 强调文字颜色 1 2 20" xfId="3762"/>
    <cellStyle name="20% - 强调文字颜色 1 2 20 2" xfId="8075"/>
    <cellStyle name="20% - 强调文字颜色 1 2 20 2 2" xfId="26520"/>
    <cellStyle name="20% - 强调文字颜色 1 2 20 2 2 2" xfId="27080"/>
    <cellStyle name="20% - 强调文字颜色 1 2 20 2 2 2 2" xfId="32923"/>
    <cellStyle name="20% - 强调文字颜色 1 2 20 2 2 2 2 2" xfId="33485"/>
    <cellStyle name="20% - 强调文字颜色 1 2 20 2 2 3" xfId="33601"/>
    <cellStyle name="20% - 强调文字颜色 1 2 20 2 3" xfId="29413"/>
    <cellStyle name="20% - 强调文字颜色 1 2 20 2 3 2" xfId="31854"/>
    <cellStyle name="20% - 强调文字颜色 1 2 20 3" xfId="7381"/>
    <cellStyle name="20% - 强调文字颜色 1 2 20 3 2" xfId="28361"/>
    <cellStyle name="20% - 强调文字颜色 1 2 20 3 2 2" xfId="29387"/>
    <cellStyle name="20% - 强调文字颜色 1 2 20 4" xfId="21894"/>
    <cellStyle name="20% - 强调文字颜色 1 2 20 5" xfId="21926"/>
    <cellStyle name="20% - 强调文字颜色 1 2 20 6" xfId="29701"/>
    <cellStyle name="20% - 强调文字颜色 1 2 20 7" xfId="32032"/>
    <cellStyle name="20% - 强调文字颜色 1 2 20 8" xfId="31866"/>
    <cellStyle name="20% - 强调文字颜色 1 2 21" xfId="10900"/>
    <cellStyle name="20% - 强调文字颜色 1 2 21 2" xfId="23726"/>
    <cellStyle name="20% - 强调文字颜色 1 2 21 2 2" xfId="27007"/>
    <cellStyle name="20% - 强调文字颜色 1 2 21 2 2 2" xfId="27104"/>
    <cellStyle name="20% - 强调文字颜色 1 2 21 3" xfId="26311"/>
    <cellStyle name="20% - 强调文字颜色 1 2 21 4" xfId="23529"/>
    <cellStyle name="20% - 强调文字颜色 1 2 22" xfId="11749"/>
    <cellStyle name="20% - 强调文字颜色 1 2 23" xfId="13562"/>
    <cellStyle name="20% - 强调文字颜色 1 2 24" xfId="10876"/>
    <cellStyle name="20% - 强调文字颜色 1 2 24 2" xfId="29453"/>
    <cellStyle name="20% - 强调文字颜色 1 2 24 2 2" xfId="32918"/>
    <cellStyle name="20% - 强调文字颜色 1 2 24 3" xfId="32087"/>
    <cellStyle name="20% - 强调文字颜色 1 2 24 4" xfId="23950"/>
    <cellStyle name="20% - 强调文字颜色 1 2 25" xfId="17428"/>
    <cellStyle name="20% - 强调文字颜色 1 2 25 2" xfId="26643"/>
    <cellStyle name="20% - 强调文字颜色 1 2 26" xfId="17514"/>
    <cellStyle name="20% - 强调文字颜色 1 2 26 2" xfId="29493"/>
    <cellStyle name="20% - 强调文字颜色 1 2 26 3" xfId="27137"/>
    <cellStyle name="20% - 强调文字颜色 1 2 27" xfId="17600"/>
    <cellStyle name="20% - 强调文字颜色 1 2 28" xfId="17686"/>
    <cellStyle name="20% - 强调文字颜色 1 2 29" xfId="17772"/>
    <cellStyle name="20% - 强调文字颜色 1 2 3" xfId="61"/>
    <cellStyle name="20% - 强调文字颜色 1 2 3 10" xfId="29765"/>
    <cellStyle name="20% - 强调文字颜色 1 2 3 11" xfId="32300"/>
    <cellStyle name="20% - 强调文字颜色 1 2 3 2" xfId="1895"/>
    <cellStyle name="20% - 强调文字颜色 1 2 3 3" xfId="3009"/>
    <cellStyle name="20% - 强调文字颜色 1 2 3 4" xfId="11768"/>
    <cellStyle name="20% - 强调文字颜色 1 2 3 5" xfId="13579"/>
    <cellStyle name="20% - 强调文字颜色 1 2 3 6" xfId="11682"/>
    <cellStyle name="20% - 强调文字颜色 1 2 3 7" xfId="17916"/>
    <cellStyle name="20% - 强调文字颜色 1 2 3 8" xfId="22457"/>
    <cellStyle name="20% - 强调文字颜色 1 2 3 9" xfId="20880"/>
    <cellStyle name="20% - 强调文字颜色 1 2 30" xfId="17897"/>
    <cellStyle name="20% - 强调文字颜色 1 2 31" xfId="22459"/>
    <cellStyle name="20% - 强调文字颜色 1 2 32" xfId="20113"/>
    <cellStyle name="20% - 强调文字颜色 1 2 4" xfId="62"/>
    <cellStyle name="20% - 强调文字颜色 1 2 4 10" xfId="29766"/>
    <cellStyle name="20% - 强调文字颜色 1 2 4 11" xfId="31840"/>
    <cellStyle name="20% - 强调文字颜色 1 2 4 2" xfId="1896"/>
    <cellStyle name="20% - 强调文字颜色 1 2 4 3" xfId="2986"/>
    <cellStyle name="20% - 强调文字颜色 1 2 4 4" xfId="11769"/>
    <cellStyle name="20% - 强调文字颜色 1 2 4 5" xfId="13580"/>
    <cellStyle name="20% - 强调文字颜色 1 2 4 6" xfId="10863"/>
    <cellStyle name="20% - 强调文字颜色 1 2 4 7" xfId="17917"/>
    <cellStyle name="20% - 强调文字颜色 1 2 4 8" xfId="23439"/>
    <cellStyle name="20% - 强调文字颜色 1 2 4 9" xfId="20239"/>
    <cellStyle name="20% - 强调文字颜色 1 2 5" xfId="63"/>
    <cellStyle name="20% - 强调文字颜色 1 2 5 10" xfId="29767"/>
    <cellStyle name="20% - 强调文字颜色 1 2 5 11" xfId="32525"/>
    <cellStyle name="20% - 强调文字颜色 1 2 5 2" xfId="1897"/>
    <cellStyle name="20% - 强调文字颜色 1 2 5 3" xfId="2963"/>
    <cellStyle name="20% - 强调文字颜色 1 2 5 4" xfId="11770"/>
    <cellStyle name="20% - 强调文字颜色 1 2 5 5" xfId="13581"/>
    <cellStyle name="20% - 强调文字颜色 1 2 5 6" xfId="11681"/>
    <cellStyle name="20% - 强调文字颜色 1 2 5 7" xfId="17918"/>
    <cellStyle name="20% - 强调文字颜色 1 2 5 8" xfId="22891"/>
    <cellStyle name="20% - 强调文字颜色 1 2 5 9" xfId="20107"/>
    <cellStyle name="20% - 强调文字颜色 1 2 6" xfId="64"/>
    <cellStyle name="20% - 强调文字颜色 1 2 6 10" xfId="29768"/>
    <cellStyle name="20% - 强调文字颜色 1 2 6 11" xfId="32298"/>
    <cellStyle name="20% - 强调文字颜色 1 2 6 2" xfId="1898"/>
    <cellStyle name="20% - 强调文字颜色 1 2 6 3" xfId="2940"/>
    <cellStyle name="20% - 强调文字颜色 1 2 6 4" xfId="11771"/>
    <cellStyle name="20% - 强调文字颜色 1 2 6 5" xfId="13582"/>
    <cellStyle name="20% - 强调文字颜色 1 2 6 6" xfId="10862"/>
    <cellStyle name="20% - 强调文字颜色 1 2 6 7" xfId="17919"/>
    <cellStyle name="20% - 强调文字颜色 1 2 6 8" xfId="22673"/>
    <cellStyle name="20% - 强调文字颜色 1 2 6 9" xfId="21533"/>
    <cellStyle name="20% - 强调文字颜色 1 2 7" xfId="65"/>
    <cellStyle name="20% - 强调文字颜色 1 2 7 10" xfId="29769"/>
    <cellStyle name="20% - 强调文字颜色 1 2 7 11" xfId="31838"/>
    <cellStyle name="20% - 强调文字颜色 1 2 7 2" xfId="1899"/>
    <cellStyle name="20% - 强调文字颜色 1 2 7 3" xfId="2919"/>
    <cellStyle name="20% - 强调文字颜色 1 2 7 4" xfId="11772"/>
    <cellStyle name="20% - 强调文字颜色 1 2 7 5" xfId="13583"/>
    <cellStyle name="20% - 强调文字颜色 1 2 7 6" xfId="11680"/>
    <cellStyle name="20% - 强调文字颜色 1 2 7 7" xfId="17920"/>
    <cellStyle name="20% - 强调文字颜色 1 2 7 8" xfId="22456"/>
    <cellStyle name="20% - 强调文字颜色 1 2 7 9" xfId="20258"/>
    <cellStyle name="20% - 强调文字颜色 1 2 8" xfId="66"/>
    <cellStyle name="20% - 强调文字颜色 1 2 8 10" xfId="29770"/>
    <cellStyle name="20% - 强调文字颜色 1 2 8 11" xfId="33438"/>
    <cellStyle name="20% - 强调文字颜色 1 2 8 2" xfId="1900"/>
    <cellStyle name="20% - 强调文字颜色 1 2 8 3" xfId="2798"/>
    <cellStyle name="20% - 强调文字颜色 1 2 8 4" xfId="11773"/>
    <cellStyle name="20% - 强调文字颜色 1 2 8 5" xfId="13584"/>
    <cellStyle name="20% - 强调文字颜色 1 2 8 6" xfId="10861"/>
    <cellStyle name="20% - 强调文字颜色 1 2 8 7" xfId="17921"/>
    <cellStyle name="20% - 强调文字颜色 1 2 8 8" xfId="23438"/>
    <cellStyle name="20% - 强调文字颜色 1 2 8 9" xfId="21339"/>
    <cellStyle name="20% - 强调文字颜色 1 2 9" xfId="67"/>
    <cellStyle name="20% - 强调文字颜色 1 2 9 10" xfId="29771"/>
    <cellStyle name="20% - 强调文字颜色 1 2 9 11" xfId="33201"/>
    <cellStyle name="20% - 强调文字颜色 1 2 9 2" xfId="1901"/>
    <cellStyle name="20% - 强调文字颜色 1 2 9 3" xfId="2768"/>
    <cellStyle name="20% - 强调文字颜色 1 2 9 4" xfId="11774"/>
    <cellStyle name="20% - 强调文字颜色 1 2 9 5" xfId="13585"/>
    <cellStyle name="20% - 强调文字颜色 1 2 9 6" xfId="11679"/>
    <cellStyle name="20% - 强调文字颜色 1 2 9 7" xfId="17922"/>
    <cellStyle name="20% - 强调文字颜色 1 2 9 8" xfId="22890"/>
    <cellStyle name="20% - 强调文字颜色 1 2 9 9" xfId="20882"/>
    <cellStyle name="20% - 强调文字颜色 1 20" xfId="68"/>
    <cellStyle name="20% - 强调文字颜色 1 20 10" xfId="1903"/>
    <cellStyle name="20% - 强调文字颜色 1 20 10 2" xfId="8079"/>
    <cellStyle name="20% - 强调文字颜色 1 20 10 3" xfId="13587"/>
    <cellStyle name="20% - 强调文字颜色 1 20 10 4" xfId="23954"/>
    <cellStyle name="20% - 强调文字颜色 1 20 10 5" xfId="27188"/>
    <cellStyle name="20% - 强调文字颜色 1 20 11" xfId="1904"/>
    <cellStyle name="20% - 强调文字颜色 1 20 11 2" xfId="8080"/>
    <cellStyle name="20% - 强调文字颜色 1 20 11 3" xfId="13588"/>
    <cellStyle name="20% - 强调文字颜色 1 20 11 4" xfId="23955"/>
    <cellStyle name="20% - 强调文字颜色 1 20 11 5" xfId="27189"/>
    <cellStyle name="20% - 强调文字颜色 1 20 12" xfId="1905"/>
    <cellStyle name="20% - 强调文字颜色 1 20 12 2" xfId="8081"/>
    <cellStyle name="20% - 强调文字颜色 1 20 12 3" xfId="13589"/>
    <cellStyle name="20% - 强调文字颜色 1 20 12 4" xfId="23956"/>
    <cellStyle name="20% - 强调文字颜色 1 20 12 5" xfId="27190"/>
    <cellStyle name="20% - 强调文字颜色 1 20 13" xfId="1906"/>
    <cellStyle name="20% - 强调文字颜色 1 20 13 2" xfId="8082"/>
    <cellStyle name="20% - 强调文字颜色 1 20 13 3" xfId="13590"/>
    <cellStyle name="20% - 强调文字颜色 1 20 13 4" xfId="23957"/>
    <cellStyle name="20% - 强调文字颜色 1 20 13 5" xfId="27191"/>
    <cellStyle name="20% - 强调文字颜色 1 20 14" xfId="1907"/>
    <cellStyle name="20% - 强调文字颜色 1 20 14 2" xfId="8083"/>
    <cellStyle name="20% - 强调文字颜色 1 20 14 3" xfId="13591"/>
    <cellStyle name="20% - 强调文字颜色 1 20 14 4" xfId="23958"/>
    <cellStyle name="20% - 强调文字颜色 1 20 14 5" xfId="27192"/>
    <cellStyle name="20% - 强调文字颜色 1 20 15" xfId="1908"/>
    <cellStyle name="20% - 强调文字颜色 1 20 15 2" xfId="8084"/>
    <cellStyle name="20% - 强调文字颜色 1 20 15 3" xfId="13592"/>
    <cellStyle name="20% - 强调文字颜色 1 20 15 4" xfId="23959"/>
    <cellStyle name="20% - 强调文字颜色 1 20 15 5" xfId="27193"/>
    <cellStyle name="20% - 强调文字颜色 1 20 16" xfId="1909"/>
    <cellStyle name="20% - 强调文字颜色 1 20 16 2" xfId="8085"/>
    <cellStyle name="20% - 强调文字颜色 1 20 16 3" xfId="13593"/>
    <cellStyle name="20% - 强调文字颜色 1 20 16 4" xfId="23960"/>
    <cellStyle name="20% - 强调文字颜色 1 20 16 5" xfId="27194"/>
    <cellStyle name="20% - 强调文字颜色 1 20 17" xfId="1910"/>
    <cellStyle name="20% - 强调文字颜色 1 20 17 2" xfId="8086"/>
    <cellStyle name="20% - 强调文字颜色 1 20 17 3" xfId="13594"/>
    <cellStyle name="20% - 强调文字颜色 1 20 17 4" xfId="23961"/>
    <cellStyle name="20% - 强调文字颜色 1 20 17 5" xfId="27195"/>
    <cellStyle name="20% - 强调文字颜色 1 20 18" xfId="1911"/>
    <cellStyle name="20% - 强调文字颜色 1 20 18 2" xfId="8087"/>
    <cellStyle name="20% - 强调文字颜色 1 20 18 3" xfId="13595"/>
    <cellStyle name="20% - 强调文字颜色 1 20 18 4" xfId="23962"/>
    <cellStyle name="20% - 强调文字颜色 1 20 18 5" xfId="27196"/>
    <cellStyle name="20% - 强调文字颜色 1 20 19" xfId="1912"/>
    <cellStyle name="20% - 强调文字颜色 1 20 19 2" xfId="8088"/>
    <cellStyle name="20% - 强调文字颜色 1 20 19 3" xfId="13596"/>
    <cellStyle name="20% - 强调文字颜色 1 20 19 4" xfId="23963"/>
    <cellStyle name="20% - 强调文字颜色 1 20 19 5" xfId="27197"/>
    <cellStyle name="20% - 强调文字颜色 1 20 2" xfId="1902"/>
    <cellStyle name="20% - 强调文字颜色 1 20 2 2" xfId="8089"/>
    <cellStyle name="20% - 强调文字颜色 1 20 2 3" xfId="13597"/>
    <cellStyle name="20% - 强调文字颜色 1 20 2 4" xfId="23964"/>
    <cellStyle name="20% - 强调文字颜色 1 20 2 5" xfId="27187"/>
    <cellStyle name="20% - 强调文字颜色 1 20 20" xfId="1914"/>
    <cellStyle name="20% - 强调文字颜色 1 20 20 2" xfId="8090"/>
    <cellStyle name="20% - 强调文字颜色 1 20 20 3" xfId="13598"/>
    <cellStyle name="20% - 强调文字颜色 1 20 20 4" xfId="23965"/>
    <cellStyle name="20% - 强调文字颜色 1 20 20 5" xfId="27198"/>
    <cellStyle name="20% - 强调文字颜色 1 20 21" xfId="1915"/>
    <cellStyle name="20% - 强调文字颜色 1 20 21 2" xfId="8091"/>
    <cellStyle name="20% - 强调文字颜色 1 20 21 3" xfId="13599"/>
    <cellStyle name="20% - 强调文字颜色 1 20 21 4" xfId="23966"/>
    <cellStyle name="20% - 强调文字颜色 1 20 21 5" xfId="27199"/>
    <cellStyle name="20% - 强调文字颜色 1 20 22" xfId="1916"/>
    <cellStyle name="20% - 强调文字颜色 1 20 22 2" xfId="8092"/>
    <cellStyle name="20% - 强调文字颜色 1 20 22 3" xfId="13600"/>
    <cellStyle name="20% - 强调文字颜色 1 20 22 4" xfId="23967"/>
    <cellStyle name="20% - 强调文字颜色 1 20 22 5" xfId="27200"/>
    <cellStyle name="20% - 强调文字颜色 1 20 23" xfId="1917"/>
    <cellStyle name="20% - 强调文字颜色 1 20 23 2" xfId="8093"/>
    <cellStyle name="20% - 强调文字颜色 1 20 23 3" xfId="13601"/>
    <cellStyle name="20% - 强调文字颜色 1 20 23 4" xfId="23968"/>
    <cellStyle name="20% - 强调文字颜色 1 20 23 5" xfId="27201"/>
    <cellStyle name="20% - 强调文字颜色 1 20 24" xfId="2745"/>
    <cellStyle name="20% - 强调文字颜色 1 20 25" xfId="10904"/>
    <cellStyle name="20% - 强调文字颜色 1 20 26" xfId="11775"/>
    <cellStyle name="20% - 强调文字颜色 1 20 27" xfId="13586"/>
    <cellStyle name="20% - 强调文字颜色 1 20 28" xfId="10860"/>
    <cellStyle name="20% - 强调文字颜色 1 20 29" xfId="17923"/>
    <cellStyle name="20% - 强调文字颜色 1 20 3" xfId="1918"/>
    <cellStyle name="20% - 强调文字颜色 1 20 3 2" xfId="8094"/>
    <cellStyle name="20% - 强调文字颜色 1 20 3 3" xfId="13602"/>
    <cellStyle name="20% - 强调文字颜色 1 20 3 4" xfId="23969"/>
    <cellStyle name="20% - 强调文字颜色 1 20 3 5" xfId="27202"/>
    <cellStyle name="20% - 强调文字颜色 1 20 30" xfId="22672"/>
    <cellStyle name="20% - 强调文字颜色 1 20 31" xfId="20241"/>
    <cellStyle name="20% - 强调文字颜色 1 20 32" xfId="29772"/>
    <cellStyle name="20% - 强调文字颜色 1 20 33" xfId="32908"/>
    <cellStyle name="20% - 强调文字颜色 1 20 4" xfId="1919"/>
    <cellStyle name="20% - 强调文字颜色 1 20 4 2" xfId="8095"/>
    <cellStyle name="20% - 强调文字颜色 1 20 4 3" xfId="13603"/>
    <cellStyle name="20% - 强调文字颜色 1 20 4 4" xfId="23970"/>
    <cellStyle name="20% - 强调文字颜色 1 20 4 5" xfId="27203"/>
    <cellStyle name="20% - 强调文字颜色 1 20 5" xfId="1920"/>
    <cellStyle name="20% - 强调文字颜色 1 20 5 2" xfId="8096"/>
    <cellStyle name="20% - 强调文字颜色 1 20 5 3" xfId="13604"/>
    <cellStyle name="20% - 强调文字颜色 1 20 5 4" xfId="23971"/>
    <cellStyle name="20% - 强调文字颜色 1 20 5 5" xfId="27204"/>
    <cellStyle name="20% - 强调文字颜色 1 20 6" xfId="1921"/>
    <cellStyle name="20% - 强调文字颜色 1 20 6 2" xfId="8097"/>
    <cellStyle name="20% - 强调文字颜色 1 20 6 3" xfId="13605"/>
    <cellStyle name="20% - 强调文字颜色 1 20 6 4" xfId="23972"/>
    <cellStyle name="20% - 强调文字颜色 1 20 6 5" xfId="27205"/>
    <cellStyle name="20% - 强调文字颜色 1 20 7" xfId="1922"/>
    <cellStyle name="20% - 强调文字颜色 1 20 7 2" xfId="8098"/>
    <cellStyle name="20% - 强调文字颜色 1 20 7 3" xfId="13606"/>
    <cellStyle name="20% - 强调文字颜色 1 20 7 4" xfId="23973"/>
    <cellStyle name="20% - 强调文字颜色 1 20 7 5" xfId="27206"/>
    <cellStyle name="20% - 强调文字颜色 1 20 8" xfId="1923"/>
    <cellStyle name="20% - 强调文字颜色 1 20 8 2" xfId="8099"/>
    <cellStyle name="20% - 强调文字颜色 1 20 8 3" xfId="13607"/>
    <cellStyle name="20% - 强调文字颜色 1 20 8 4" xfId="23974"/>
    <cellStyle name="20% - 强调文字颜色 1 20 8 5" xfId="27207"/>
    <cellStyle name="20% - 强调文字颜色 1 20 9" xfId="1924"/>
    <cellStyle name="20% - 强调文字颜色 1 20 9 2" xfId="8100"/>
    <cellStyle name="20% - 强调文字颜色 1 20 9 3" xfId="13608"/>
    <cellStyle name="20% - 强调文字颜色 1 20 9 4" xfId="23975"/>
    <cellStyle name="20% - 强调文字颜色 1 20 9 5" xfId="27208"/>
    <cellStyle name="20% - 强调文字颜色 1 21" xfId="69"/>
    <cellStyle name="20% - 强调文字颜色 1 21 10" xfId="1926"/>
    <cellStyle name="20% - 强调文字颜色 1 21 10 2" xfId="8101"/>
    <cellStyle name="20% - 强调文字颜色 1 21 10 3" xfId="13610"/>
    <cellStyle name="20% - 强调文字颜色 1 21 10 4" xfId="23976"/>
    <cellStyle name="20% - 强调文字颜色 1 21 10 5" xfId="27210"/>
    <cellStyle name="20% - 强调文字颜色 1 21 11" xfId="1927"/>
    <cellStyle name="20% - 强调文字颜色 1 21 11 2" xfId="8102"/>
    <cellStyle name="20% - 强调文字颜色 1 21 11 3" xfId="13611"/>
    <cellStyle name="20% - 强调文字颜色 1 21 11 4" xfId="23977"/>
    <cellStyle name="20% - 强调文字颜色 1 21 11 5" xfId="27211"/>
    <cellStyle name="20% - 强调文字颜色 1 21 12" xfId="1928"/>
    <cellStyle name="20% - 强调文字颜色 1 21 12 2" xfId="8103"/>
    <cellStyle name="20% - 强调文字颜色 1 21 12 3" xfId="13612"/>
    <cellStyle name="20% - 强调文字颜色 1 21 12 4" xfId="23978"/>
    <cellStyle name="20% - 强调文字颜色 1 21 12 5" xfId="27212"/>
    <cellStyle name="20% - 强调文字颜色 1 21 13" xfId="1929"/>
    <cellStyle name="20% - 强调文字颜色 1 21 13 2" xfId="8104"/>
    <cellStyle name="20% - 强调文字颜色 1 21 13 3" xfId="13613"/>
    <cellStyle name="20% - 强调文字颜色 1 21 13 4" xfId="23979"/>
    <cellStyle name="20% - 强调文字颜色 1 21 13 5" xfId="27213"/>
    <cellStyle name="20% - 强调文字颜色 1 21 14" xfId="1930"/>
    <cellStyle name="20% - 强调文字颜色 1 21 14 2" xfId="8105"/>
    <cellStyle name="20% - 强调文字颜色 1 21 14 3" xfId="13614"/>
    <cellStyle name="20% - 强调文字颜色 1 21 14 4" xfId="23980"/>
    <cellStyle name="20% - 强调文字颜色 1 21 14 5" xfId="27214"/>
    <cellStyle name="20% - 强调文字颜色 1 21 15" xfId="1931"/>
    <cellStyle name="20% - 强调文字颜色 1 21 15 2" xfId="8106"/>
    <cellStyle name="20% - 强调文字颜色 1 21 15 3" xfId="13615"/>
    <cellStyle name="20% - 强调文字颜色 1 21 15 4" xfId="23981"/>
    <cellStyle name="20% - 强调文字颜色 1 21 15 5" xfId="27215"/>
    <cellStyle name="20% - 强调文字颜色 1 21 16" xfId="1932"/>
    <cellStyle name="20% - 强调文字颜色 1 21 16 2" xfId="8107"/>
    <cellStyle name="20% - 强调文字颜色 1 21 16 3" xfId="13616"/>
    <cellStyle name="20% - 强调文字颜色 1 21 16 4" xfId="23982"/>
    <cellStyle name="20% - 强调文字颜色 1 21 16 5" xfId="27216"/>
    <cellStyle name="20% - 强调文字颜色 1 21 17" xfId="1933"/>
    <cellStyle name="20% - 强调文字颜色 1 21 17 2" xfId="8108"/>
    <cellStyle name="20% - 强调文字颜色 1 21 17 3" xfId="13617"/>
    <cellStyle name="20% - 强调文字颜色 1 21 17 4" xfId="23983"/>
    <cellStyle name="20% - 强调文字颜色 1 21 17 5" xfId="27217"/>
    <cellStyle name="20% - 强调文字颜色 1 21 18" xfId="1934"/>
    <cellStyle name="20% - 强调文字颜色 1 21 18 2" xfId="8109"/>
    <cellStyle name="20% - 强调文字颜色 1 21 18 3" xfId="13618"/>
    <cellStyle name="20% - 强调文字颜色 1 21 18 4" xfId="23984"/>
    <cellStyle name="20% - 强调文字颜色 1 21 18 5" xfId="27218"/>
    <cellStyle name="20% - 强调文字颜色 1 21 19" xfId="1935"/>
    <cellStyle name="20% - 强调文字颜色 1 21 19 2" xfId="8110"/>
    <cellStyle name="20% - 强调文字颜色 1 21 19 3" xfId="13619"/>
    <cellStyle name="20% - 强调文字颜色 1 21 19 4" xfId="23985"/>
    <cellStyle name="20% - 强调文字颜色 1 21 19 5" xfId="27219"/>
    <cellStyle name="20% - 强调文字颜色 1 21 2" xfId="1925"/>
    <cellStyle name="20% - 强调文字颜色 1 21 2 2" xfId="8111"/>
    <cellStyle name="20% - 强调文字颜色 1 21 2 3" xfId="13620"/>
    <cellStyle name="20% - 强调文字颜色 1 21 2 4" xfId="23986"/>
    <cellStyle name="20% - 强调文字颜色 1 21 2 5" xfId="27209"/>
    <cellStyle name="20% - 强调文字颜色 1 21 20" xfId="1937"/>
    <cellStyle name="20% - 强调文字颜色 1 21 20 2" xfId="8112"/>
    <cellStyle name="20% - 强调文字颜色 1 21 20 3" xfId="13621"/>
    <cellStyle name="20% - 强调文字颜色 1 21 20 4" xfId="23987"/>
    <cellStyle name="20% - 强调文字颜色 1 21 20 5" xfId="27220"/>
    <cellStyle name="20% - 强调文字颜色 1 21 21" xfId="1938"/>
    <cellStyle name="20% - 强调文字颜色 1 21 21 2" xfId="8113"/>
    <cellStyle name="20% - 强调文字颜色 1 21 21 3" xfId="13622"/>
    <cellStyle name="20% - 强调文字颜色 1 21 21 4" xfId="23988"/>
    <cellStyle name="20% - 强调文字颜色 1 21 21 5" xfId="27221"/>
    <cellStyle name="20% - 强调文字颜色 1 21 22" xfId="1939"/>
    <cellStyle name="20% - 强调文字颜色 1 21 22 2" xfId="8114"/>
    <cellStyle name="20% - 强调文字颜色 1 21 22 3" xfId="13623"/>
    <cellStyle name="20% - 强调文字颜色 1 21 22 4" xfId="23989"/>
    <cellStyle name="20% - 强调文字颜色 1 21 22 5" xfId="27222"/>
    <cellStyle name="20% - 强调文字颜色 1 21 23" xfId="1940"/>
    <cellStyle name="20% - 强调文字颜色 1 21 23 2" xfId="8115"/>
    <cellStyle name="20% - 强调文字颜色 1 21 23 3" xfId="13624"/>
    <cellStyle name="20% - 强调文字颜色 1 21 23 4" xfId="23990"/>
    <cellStyle name="20% - 强调文字颜色 1 21 23 5" xfId="27223"/>
    <cellStyle name="20% - 强调文字颜色 1 21 24" xfId="2722"/>
    <cellStyle name="20% - 强调文字颜色 1 21 25" xfId="10905"/>
    <cellStyle name="20% - 强调文字颜色 1 21 26" xfId="11776"/>
    <cellStyle name="20% - 强调文字颜色 1 21 27" xfId="13609"/>
    <cellStyle name="20% - 强调文字颜色 1 21 28" xfId="11678"/>
    <cellStyle name="20% - 强调文字颜色 1 21 29" xfId="17924"/>
    <cellStyle name="20% - 强调文字颜色 1 21 3" xfId="1941"/>
    <cellStyle name="20% - 强调文字颜色 1 21 3 2" xfId="8116"/>
    <cellStyle name="20% - 强调文字颜色 1 21 3 3" xfId="13625"/>
    <cellStyle name="20% - 强调文字颜色 1 21 3 4" xfId="23991"/>
    <cellStyle name="20% - 强调文字颜色 1 21 3 5" xfId="27224"/>
    <cellStyle name="20% - 强调文字颜色 1 21 30" xfId="22455"/>
    <cellStyle name="20% - 强调文字颜色 1 21 31" xfId="20109"/>
    <cellStyle name="20% - 强调文字颜色 1 21 32" xfId="29773"/>
    <cellStyle name="20% - 强调文字颜色 1 21 33" xfId="33200"/>
    <cellStyle name="20% - 强调文字颜色 1 21 4" xfId="1942"/>
    <cellStyle name="20% - 强调文字颜色 1 21 4 2" xfId="8117"/>
    <cellStyle name="20% - 强调文字颜色 1 21 4 3" xfId="13626"/>
    <cellStyle name="20% - 强调文字颜色 1 21 4 4" xfId="23992"/>
    <cellStyle name="20% - 强调文字颜色 1 21 4 5" xfId="27225"/>
    <cellStyle name="20% - 强调文字颜色 1 21 5" xfId="1943"/>
    <cellStyle name="20% - 强调文字颜色 1 21 5 2" xfId="8118"/>
    <cellStyle name="20% - 强调文字颜色 1 21 5 3" xfId="13627"/>
    <cellStyle name="20% - 强调文字颜色 1 21 5 4" xfId="23993"/>
    <cellStyle name="20% - 强调文字颜色 1 21 5 5" xfId="27226"/>
    <cellStyle name="20% - 强调文字颜色 1 21 6" xfId="1944"/>
    <cellStyle name="20% - 强调文字颜色 1 21 6 2" xfId="8119"/>
    <cellStyle name="20% - 强调文字颜色 1 21 6 3" xfId="13628"/>
    <cellStyle name="20% - 强调文字颜色 1 21 6 4" xfId="23994"/>
    <cellStyle name="20% - 强调文字颜色 1 21 6 5" xfId="27227"/>
    <cellStyle name="20% - 强调文字颜色 1 21 7" xfId="1945"/>
    <cellStyle name="20% - 强调文字颜色 1 21 7 2" xfId="8120"/>
    <cellStyle name="20% - 强调文字颜色 1 21 7 3" xfId="13629"/>
    <cellStyle name="20% - 强调文字颜色 1 21 7 4" xfId="23995"/>
    <cellStyle name="20% - 强调文字颜色 1 21 7 5" xfId="27228"/>
    <cellStyle name="20% - 强调文字颜色 1 21 8" xfId="1946"/>
    <cellStyle name="20% - 强调文字颜色 1 21 8 2" xfId="8121"/>
    <cellStyle name="20% - 强调文字颜色 1 21 8 3" xfId="13630"/>
    <cellStyle name="20% - 强调文字颜色 1 21 8 4" xfId="23996"/>
    <cellStyle name="20% - 强调文字颜色 1 21 8 5" xfId="27229"/>
    <cellStyle name="20% - 强调文字颜色 1 21 9" xfId="1947"/>
    <cellStyle name="20% - 强调文字颜色 1 21 9 2" xfId="8122"/>
    <cellStyle name="20% - 强调文字颜色 1 21 9 3" xfId="13631"/>
    <cellStyle name="20% - 强调文字颜色 1 21 9 4" xfId="23997"/>
    <cellStyle name="20% - 强调文字颜色 1 21 9 5" xfId="27230"/>
    <cellStyle name="20% - 强调文字颜色 1 22" xfId="70"/>
    <cellStyle name="20% - 强调文字颜色 1 22 10" xfId="1949"/>
    <cellStyle name="20% - 强调文字颜色 1 22 10 2" xfId="8123"/>
    <cellStyle name="20% - 强调文字颜色 1 22 10 3" xfId="13633"/>
    <cellStyle name="20% - 强调文字颜色 1 22 10 4" xfId="23998"/>
    <cellStyle name="20% - 强调文字颜色 1 22 10 5" xfId="27232"/>
    <cellStyle name="20% - 强调文字颜色 1 22 11" xfId="1950"/>
    <cellStyle name="20% - 强调文字颜色 1 22 11 2" xfId="8124"/>
    <cellStyle name="20% - 强调文字颜色 1 22 11 3" xfId="13634"/>
    <cellStyle name="20% - 强调文字颜色 1 22 11 4" xfId="23999"/>
    <cellStyle name="20% - 强调文字颜色 1 22 11 5" xfId="27233"/>
    <cellStyle name="20% - 强调文字颜色 1 22 12" xfId="1951"/>
    <cellStyle name="20% - 强调文字颜色 1 22 12 2" xfId="8125"/>
    <cellStyle name="20% - 强调文字颜色 1 22 12 3" xfId="13635"/>
    <cellStyle name="20% - 强调文字颜色 1 22 12 4" xfId="24000"/>
    <cellStyle name="20% - 强调文字颜色 1 22 12 5" xfId="27234"/>
    <cellStyle name="20% - 强调文字颜色 1 22 13" xfId="1952"/>
    <cellStyle name="20% - 强调文字颜色 1 22 13 2" xfId="8126"/>
    <cellStyle name="20% - 强调文字颜色 1 22 13 3" xfId="13636"/>
    <cellStyle name="20% - 强调文字颜色 1 22 13 4" xfId="24001"/>
    <cellStyle name="20% - 强调文字颜色 1 22 13 5" xfId="27235"/>
    <cellStyle name="20% - 强调文字颜色 1 22 14" xfId="1953"/>
    <cellStyle name="20% - 强调文字颜色 1 22 14 2" xfId="8127"/>
    <cellStyle name="20% - 强调文字颜色 1 22 14 3" xfId="13637"/>
    <cellStyle name="20% - 强调文字颜色 1 22 14 4" xfId="24002"/>
    <cellStyle name="20% - 强调文字颜色 1 22 14 5" xfId="27236"/>
    <cellStyle name="20% - 强调文字颜色 1 22 15" xfId="1954"/>
    <cellStyle name="20% - 强调文字颜色 1 22 15 2" xfId="8128"/>
    <cellStyle name="20% - 强调文字颜色 1 22 15 3" xfId="13638"/>
    <cellStyle name="20% - 强调文字颜色 1 22 15 4" xfId="24003"/>
    <cellStyle name="20% - 强调文字颜色 1 22 15 5" xfId="27237"/>
    <cellStyle name="20% - 强调文字颜色 1 22 16" xfId="1955"/>
    <cellStyle name="20% - 强调文字颜色 1 22 16 2" xfId="8129"/>
    <cellStyle name="20% - 强调文字颜色 1 22 16 3" xfId="13639"/>
    <cellStyle name="20% - 强调文字颜色 1 22 16 4" xfId="24004"/>
    <cellStyle name="20% - 强调文字颜色 1 22 16 5" xfId="27238"/>
    <cellStyle name="20% - 强调文字颜色 1 22 17" xfId="1956"/>
    <cellStyle name="20% - 强调文字颜色 1 22 17 2" xfId="8130"/>
    <cellStyle name="20% - 强调文字颜色 1 22 17 3" xfId="13640"/>
    <cellStyle name="20% - 强调文字颜色 1 22 17 4" xfId="24005"/>
    <cellStyle name="20% - 强调文字颜色 1 22 17 5" xfId="27239"/>
    <cellStyle name="20% - 强调文字颜色 1 22 18" xfId="1957"/>
    <cellStyle name="20% - 强调文字颜色 1 22 18 2" xfId="8131"/>
    <cellStyle name="20% - 强调文字颜色 1 22 18 3" xfId="13641"/>
    <cellStyle name="20% - 强调文字颜色 1 22 18 4" xfId="24006"/>
    <cellStyle name="20% - 强调文字颜色 1 22 18 5" xfId="27240"/>
    <cellStyle name="20% - 强调文字颜色 1 22 19" xfId="1958"/>
    <cellStyle name="20% - 强调文字颜色 1 22 19 2" xfId="8132"/>
    <cellStyle name="20% - 强调文字颜色 1 22 19 3" xfId="13642"/>
    <cellStyle name="20% - 强调文字颜色 1 22 19 4" xfId="24007"/>
    <cellStyle name="20% - 强调文字颜色 1 22 19 5" xfId="27241"/>
    <cellStyle name="20% - 强调文字颜色 1 22 2" xfId="1948"/>
    <cellStyle name="20% - 强调文字颜色 1 22 2 2" xfId="8133"/>
    <cellStyle name="20% - 强调文字颜色 1 22 2 3" xfId="13643"/>
    <cellStyle name="20% - 强调文字颜色 1 22 2 4" xfId="24008"/>
    <cellStyle name="20% - 强调文字颜色 1 22 2 5" xfId="27231"/>
    <cellStyle name="20% - 强调文字颜色 1 22 20" xfId="1960"/>
    <cellStyle name="20% - 强调文字颜色 1 22 20 2" xfId="8134"/>
    <cellStyle name="20% - 强调文字颜色 1 22 20 3" xfId="13644"/>
    <cellStyle name="20% - 强调文字颜色 1 22 20 4" xfId="24009"/>
    <cellStyle name="20% - 强调文字颜色 1 22 20 5" xfId="27242"/>
    <cellStyle name="20% - 强调文字颜色 1 22 21" xfId="1961"/>
    <cellStyle name="20% - 强调文字颜色 1 22 21 2" xfId="8135"/>
    <cellStyle name="20% - 强调文字颜色 1 22 21 3" xfId="13645"/>
    <cellStyle name="20% - 强调文字颜色 1 22 21 4" xfId="24010"/>
    <cellStyle name="20% - 强调文字颜色 1 22 21 5" xfId="27243"/>
    <cellStyle name="20% - 强调文字颜色 1 22 22" xfId="1962"/>
    <cellStyle name="20% - 强调文字颜色 1 22 22 2" xfId="8136"/>
    <cellStyle name="20% - 强调文字颜色 1 22 22 3" xfId="13646"/>
    <cellStyle name="20% - 强调文字颜色 1 22 22 4" xfId="24011"/>
    <cellStyle name="20% - 强调文字颜色 1 22 22 5" xfId="27244"/>
    <cellStyle name="20% - 强调文字颜色 1 22 23" xfId="1963"/>
    <cellStyle name="20% - 强调文字颜色 1 22 23 2" xfId="8137"/>
    <cellStyle name="20% - 强调文字颜色 1 22 23 3" xfId="13647"/>
    <cellStyle name="20% - 强调文字颜色 1 22 23 4" xfId="24012"/>
    <cellStyle name="20% - 强调文字颜色 1 22 23 5" xfId="27245"/>
    <cellStyle name="20% - 强调文字颜色 1 22 24" xfId="2699"/>
    <cellStyle name="20% - 强调文字颜色 1 22 25" xfId="10906"/>
    <cellStyle name="20% - 强调文字颜色 1 22 26" xfId="11777"/>
    <cellStyle name="20% - 强调文字颜色 1 22 27" xfId="13632"/>
    <cellStyle name="20% - 强调文字颜色 1 22 28" xfId="10859"/>
    <cellStyle name="20% - 强调文字颜色 1 22 29" xfId="17925"/>
    <cellStyle name="20% - 强调文字颜色 1 22 3" xfId="1964"/>
    <cellStyle name="20% - 强调文字颜色 1 22 3 2" xfId="8138"/>
    <cellStyle name="20% - 强调文字颜色 1 22 3 3" xfId="13648"/>
    <cellStyle name="20% - 强调文字颜色 1 22 3 4" xfId="24013"/>
    <cellStyle name="20% - 强调文字颜色 1 22 3 5" xfId="27246"/>
    <cellStyle name="20% - 强调文字颜色 1 22 30" xfId="23437"/>
    <cellStyle name="20% - 强调文字颜色 1 22 31" xfId="21532"/>
    <cellStyle name="20% - 强调文字颜色 1 22 32" xfId="29774"/>
    <cellStyle name="20% - 强调文字颜色 1 22 33" xfId="31837"/>
    <cellStyle name="20% - 强调文字颜色 1 22 4" xfId="1965"/>
    <cellStyle name="20% - 强调文字颜色 1 22 4 2" xfId="8139"/>
    <cellStyle name="20% - 强调文字颜色 1 22 4 3" xfId="13649"/>
    <cellStyle name="20% - 强调文字颜色 1 22 4 4" xfId="24014"/>
    <cellStyle name="20% - 强调文字颜色 1 22 4 5" xfId="27247"/>
    <cellStyle name="20% - 强调文字颜色 1 22 5" xfId="1966"/>
    <cellStyle name="20% - 强调文字颜色 1 22 5 2" xfId="8140"/>
    <cellStyle name="20% - 强调文字颜色 1 22 5 3" xfId="13650"/>
    <cellStyle name="20% - 强调文字颜色 1 22 5 4" xfId="24015"/>
    <cellStyle name="20% - 强调文字颜色 1 22 5 5" xfId="27248"/>
    <cellStyle name="20% - 强调文字颜色 1 22 6" xfId="1967"/>
    <cellStyle name="20% - 强调文字颜色 1 22 6 2" xfId="8141"/>
    <cellStyle name="20% - 强调文字颜色 1 22 6 3" xfId="13651"/>
    <cellStyle name="20% - 强调文字颜色 1 22 6 4" xfId="24016"/>
    <cellStyle name="20% - 强调文字颜色 1 22 6 5" xfId="27249"/>
    <cellStyle name="20% - 强调文字颜色 1 22 7" xfId="1968"/>
    <cellStyle name="20% - 强调文字颜色 1 22 7 2" xfId="8142"/>
    <cellStyle name="20% - 强调文字颜色 1 22 7 3" xfId="13652"/>
    <cellStyle name="20% - 强调文字颜色 1 22 7 4" xfId="24017"/>
    <cellStyle name="20% - 强调文字颜色 1 22 7 5" xfId="27250"/>
    <cellStyle name="20% - 强调文字颜色 1 22 8" xfId="1969"/>
    <cellStyle name="20% - 强调文字颜色 1 22 8 2" xfId="8143"/>
    <cellStyle name="20% - 强调文字颜色 1 22 8 3" xfId="13653"/>
    <cellStyle name="20% - 强调文字颜色 1 22 8 4" xfId="24018"/>
    <cellStyle name="20% - 强调文字颜色 1 22 8 5" xfId="27251"/>
    <cellStyle name="20% - 强调文字颜色 1 22 9" xfId="1970"/>
    <cellStyle name="20% - 强调文字颜色 1 22 9 2" xfId="8144"/>
    <cellStyle name="20% - 强调文字颜色 1 22 9 3" xfId="13654"/>
    <cellStyle name="20% - 强调文字颜色 1 22 9 4" xfId="24019"/>
    <cellStyle name="20% - 强调文字颜色 1 22 9 5" xfId="27252"/>
    <cellStyle name="20% - 强调文字颜色 1 23" xfId="71"/>
    <cellStyle name="20% - 强调文字颜色 1 23 10" xfId="1972"/>
    <cellStyle name="20% - 强调文字颜色 1 23 10 2" xfId="8145"/>
    <cellStyle name="20% - 强调文字颜色 1 23 10 3" xfId="13656"/>
    <cellStyle name="20% - 强调文字颜色 1 23 10 4" xfId="24020"/>
    <cellStyle name="20% - 强调文字颜色 1 23 10 5" xfId="27254"/>
    <cellStyle name="20% - 强调文字颜色 1 23 11" xfId="1973"/>
    <cellStyle name="20% - 强调文字颜色 1 23 11 2" xfId="8146"/>
    <cellStyle name="20% - 强调文字颜色 1 23 11 3" xfId="13657"/>
    <cellStyle name="20% - 强调文字颜色 1 23 11 4" xfId="24021"/>
    <cellStyle name="20% - 强调文字颜色 1 23 11 5" xfId="27255"/>
    <cellStyle name="20% - 强调文字颜色 1 23 12" xfId="1974"/>
    <cellStyle name="20% - 强调文字颜色 1 23 12 2" xfId="8147"/>
    <cellStyle name="20% - 强调文字颜色 1 23 12 3" xfId="13658"/>
    <cellStyle name="20% - 强调文字颜色 1 23 12 4" xfId="24022"/>
    <cellStyle name="20% - 强调文字颜色 1 23 12 5" xfId="27256"/>
    <cellStyle name="20% - 强调文字颜色 1 23 13" xfId="1975"/>
    <cellStyle name="20% - 强调文字颜色 1 23 13 2" xfId="8148"/>
    <cellStyle name="20% - 强调文字颜色 1 23 13 3" xfId="13659"/>
    <cellStyle name="20% - 强调文字颜色 1 23 13 4" xfId="24023"/>
    <cellStyle name="20% - 强调文字颜色 1 23 13 5" xfId="27257"/>
    <cellStyle name="20% - 强调文字颜色 1 23 14" xfId="1976"/>
    <cellStyle name="20% - 强调文字颜色 1 23 14 2" xfId="8149"/>
    <cellStyle name="20% - 强调文字颜色 1 23 14 3" xfId="13660"/>
    <cellStyle name="20% - 强调文字颜色 1 23 14 4" xfId="24024"/>
    <cellStyle name="20% - 强调文字颜色 1 23 14 5" xfId="27258"/>
    <cellStyle name="20% - 强调文字颜色 1 23 15" xfId="1977"/>
    <cellStyle name="20% - 强调文字颜色 1 23 15 2" xfId="8150"/>
    <cellStyle name="20% - 强调文字颜色 1 23 15 3" xfId="13661"/>
    <cellStyle name="20% - 强调文字颜色 1 23 15 4" xfId="24025"/>
    <cellStyle name="20% - 强调文字颜色 1 23 15 5" xfId="27259"/>
    <cellStyle name="20% - 强调文字颜色 1 23 16" xfId="1978"/>
    <cellStyle name="20% - 强调文字颜色 1 23 16 2" xfId="8151"/>
    <cellStyle name="20% - 强调文字颜色 1 23 16 3" xfId="13662"/>
    <cellStyle name="20% - 强调文字颜色 1 23 16 4" xfId="24026"/>
    <cellStyle name="20% - 强调文字颜色 1 23 16 5" xfId="27260"/>
    <cellStyle name="20% - 强调文字颜色 1 23 17" xfId="1979"/>
    <cellStyle name="20% - 强调文字颜色 1 23 17 2" xfId="8152"/>
    <cellStyle name="20% - 强调文字颜色 1 23 17 3" xfId="13663"/>
    <cellStyle name="20% - 强调文字颜色 1 23 17 4" xfId="24027"/>
    <cellStyle name="20% - 强调文字颜色 1 23 17 5" xfId="27261"/>
    <cellStyle name="20% - 强调文字颜色 1 23 18" xfId="1980"/>
    <cellStyle name="20% - 强调文字颜色 1 23 18 2" xfId="8153"/>
    <cellStyle name="20% - 强调文字颜色 1 23 18 3" xfId="13664"/>
    <cellStyle name="20% - 强调文字颜色 1 23 18 4" xfId="24028"/>
    <cellStyle name="20% - 强调文字颜色 1 23 18 5" xfId="27262"/>
    <cellStyle name="20% - 强调文字颜色 1 23 19" xfId="1981"/>
    <cellStyle name="20% - 强调文字颜色 1 23 19 2" xfId="8154"/>
    <cellStyle name="20% - 强调文字颜色 1 23 19 3" xfId="13665"/>
    <cellStyle name="20% - 强调文字颜色 1 23 19 4" xfId="24029"/>
    <cellStyle name="20% - 强调文字颜色 1 23 19 5" xfId="27263"/>
    <cellStyle name="20% - 强调文字颜色 1 23 2" xfId="1971"/>
    <cellStyle name="20% - 强调文字颜色 1 23 2 2" xfId="8155"/>
    <cellStyle name="20% - 强调文字颜色 1 23 2 3" xfId="13666"/>
    <cellStyle name="20% - 强调文字颜色 1 23 2 4" xfId="24030"/>
    <cellStyle name="20% - 强调文字颜色 1 23 2 5" xfId="27253"/>
    <cellStyle name="20% - 强调文字颜色 1 23 20" xfId="1983"/>
    <cellStyle name="20% - 强调文字颜色 1 23 20 2" xfId="8156"/>
    <cellStyle name="20% - 强调文字颜色 1 23 20 3" xfId="13667"/>
    <cellStyle name="20% - 强调文字颜色 1 23 20 4" xfId="24031"/>
    <cellStyle name="20% - 强调文字颜色 1 23 20 5" xfId="27264"/>
    <cellStyle name="20% - 强调文字颜色 1 23 21" xfId="1984"/>
    <cellStyle name="20% - 强调文字颜色 1 23 21 2" xfId="8157"/>
    <cellStyle name="20% - 强调文字颜色 1 23 21 3" xfId="13668"/>
    <cellStyle name="20% - 强调文字颜色 1 23 21 4" xfId="24032"/>
    <cellStyle name="20% - 强调文字颜色 1 23 21 5" xfId="27265"/>
    <cellStyle name="20% - 强调文字颜色 1 23 22" xfId="1985"/>
    <cellStyle name="20% - 强调文字颜色 1 23 22 2" xfId="8158"/>
    <cellStyle name="20% - 强调文字颜色 1 23 22 3" xfId="13669"/>
    <cellStyle name="20% - 强调文字颜色 1 23 22 4" xfId="24033"/>
    <cellStyle name="20% - 强调文字颜色 1 23 22 5" xfId="27266"/>
    <cellStyle name="20% - 强调文字颜色 1 23 23" xfId="1986"/>
    <cellStyle name="20% - 强调文字颜色 1 23 23 2" xfId="8159"/>
    <cellStyle name="20% - 强调文字颜色 1 23 23 3" xfId="13670"/>
    <cellStyle name="20% - 强调文字颜色 1 23 23 4" xfId="24034"/>
    <cellStyle name="20% - 强调文字颜色 1 23 23 5" xfId="27267"/>
    <cellStyle name="20% - 强调文字颜色 1 23 24" xfId="2657"/>
    <cellStyle name="20% - 强调文字颜色 1 23 25" xfId="10907"/>
    <cellStyle name="20% - 强调文字颜色 1 23 26" xfId="11778"/>
    <cellStyle name="20% - 强调文字颜色 1 23 27" xfId="13655"/>
    <cellStyle name="20% - 强调文字颜色 1 23 28" xfId="8040"/>
    <cellStyle name="20% - 强调文字颜色 1 23 29" xfId="17926"/>
    <cellStyle name="20% - 强调文字颜色 1 23 3" xfId="1987"/>
    <cellStyle name="20% - 强调文字颜色 1 23 3 2" xfId="8160"/>
    <cellStyle name="20% - 强调文字颜色 1 23 3 3" xfId="13671"/>
    <cellStyle name="20% - 强调文字颜色 1 23 3 4" xfId="24035"/>
    <cellStyle name="20% - 强调文字颜色 1 23 3 5" xfId="27268"/>
    <cellStyle name="20% - 强调文字颜色 1 23 30" xfId="22889"/>
    <cellStyle name="20% - 强调文字颜色 1 23 31" xfId="20259"/>
    <cellStyle name="20% - 强调文字颜色 1 23 32" xfId="29775"/>
    <cellStyle name="20% - 强调文字颜色 1 23 33" xfId="32297"/>
    <cellStyle name="20% - 强调文字颜色 1 23 4" xfId="1988"/>
    <cellStyle name="20% - 强调文字颜色 1 23 4 2" xfId="8161"/>
    <cellStyle name="20% - 强调文字颜色 1 23 4 3" xfId="13672"/>
    <cellStyle name="20% - 强调文字颜色 1 23 4 4" xfId="24036"/>
    <cellStyle name="20% - 强调文字颜色 1 23 4 5" xfId="27269"/>
    <cellStyle name="20% - 强调文字颜色 1 23 5" xfId="1989"/>
    <cellStyle name="20% - 强调文字颜色 1 23 5 2" xfId="8162"/>
    <cellStyle name="20% - 强调文字颜色 1 23 5 3" xfId="13673"/>
    <cellStyle name="20% - 强调文字颜色 1 23 5 4" xfId="24037"/>
    <cellStyle name="20% - 强调文字颜色 1 23 5 5" xfId="27270"/>
    <cellStyle name="20% - 强调文字颜色 1 23 6" xfId="1990"/>
    <cellStyle name="20% - 强调文字颜色 1 23 6 2" xfId="8163"/>
    <cellStyle name="20% - 强调文字颜色 1 23 6 3" xfId="13674"/>
    <cellStyle name="20% - 强调文字颜色 1 23 6 4" xfId="24038"/>
    <cellStyle name="20% - 强调文字颜色 1 23 6 5" xfId="27271"/>
    <cellStyle name="20% - 强调文字颜色 1 23 7" xfId="1991"/>
    <cellStyle name="20% - 强调文字颜色 1 23 7 2" xfId="8164"/>
    <cellStyle name="20% - 强调文字颜色 1 23 7 3" xfId="13675"/>
    <cellStyle name="20% - 强调文字颜色 1 23 7 4" xfId="24039"/>
    <cellStyle name="20% - 强调文字颜色 1 23 7 5" xfId="27272"/>
    <cellStyle name="20% - 强调文字颜色 1 23 8" xfId="1992"/>
    <cellStyle name="20% - 强调文字颜色 1 23 8 2" xfId="8165"/>
    <cellStyle name="20% - 强调文字颜色 1 23 8 3" xfId="13676"/>
    <cellStyle name="20% - 强调文字颜色 1 23 8 4" xfId="24040"/>
    <cellStyle name="20% - 强调文字颜色 1 23 8 5" xfId="27273"/>
    <cellStyle name="20% - 强调文字颜色 1 23 9" xfId="1993"/>
    <cellStyle name="20% - 强调文字颜色 1 23 9 2" xfId="8166"/>
    <cellStyle name="20% - 强调文字颜色 1 23 9 3" xfId="13677"/>
    <cellStyle name="20% - 强调文字颜色 1 23 9 4" xfId="24041"/>
    <cellStyle name="20% - 强调文字颜色 1 23 9 5" xfId="27274"/>
    <cellStyle name="20% - 强调文字颜色 1 24" xfId="1826"/>
    <cellStyle name="20% - 强调文字颜色 1 24 2" xfId="1994"/>
    <cellStyle name="20% - 强调文字颜色 1 24 3" xfId="7365"/>
    <cellStyle name="20% - 强调文字颜色 1 24 4" xfId="13678"/>
    <cellStyle name="20% - 强调文字颜色 1 24 5" xfId="7400"/>
    <cellStyle name="20% - 强调文字颜色 1 24 6" xfId="26584"/>
    <cellStyle name="20% - 强调文字颜色 1 24 7" xfId="27163"/>
    <cellStyle name="20% - 强调文字颜色 1 25" xfId="1995"/>
    <cellStyle name="20% - 强调文字颜色 1 25 2" xfId="8167"/>
    <cellStyle name="20% - 强调文字颜色 1 25 3" xfId="13679"/>
    <cellStyle name="20% - 强调文字颜色 1 25 4" xfId="24042"/>
    <cellStyle name="20% - 强调文字颜色 1 25 5" xfId="26521"/>
    <cellStyle name="20% - 强调文字颜色 1 25 6" xfId="26583"/>
    <cellStyle name="20% - 强调文字颜色 1 25 7" xfId="27275"/>
    <cellStyle name="20% - 强调文字颜色 1 26" xfId="1996"/>
    <cellStyle name="20% - 强调文字颜色 1 26 2" xfId="8168"/>
    <cellStyle name="20% - 强调文字颜色 1 26 3" xfId="13680"/>
    <cellStyle name="20% - 强调文字颜色 1 26 4" xfId="24043"/>
    <cellStyle name="20% - 强调文字颜色 1 26 5" xfId="26522"/>
    <cellStyle name="20% - 强调文字颜色 1 26 6" xfId="26582"/>
    <cellStyle name="20% - 强调文字颜色 1 26 7" xfId="27276"/>
    <cellStyle name="20% - 强调文字颜色 1 27" xfId="1997"/>
    <cellStyle name="20% - 强调文字颜色 1 27 2" xfId="8169"/>
    <cellStyle name="20% - 强调文字颜色 1 27 3" xfId="13681"/>
    <cellStyle name="20% - 强调文字颜色 1 27 4" xfId="24044"/>
    <cellStyle name="20% - 强调文字颜色 1 27 5" xfId="26579"/>
    <cellStyle name="20% - 强调文字颜色 1 27 6" xfId="27277"/>
    <cellStyle name="20% - 强调文字颜色 1 28" xfId="1998"/>
    <cellStyle name="20% - 强调文字颜色 1 28 2" xfId="8170"/>
    <cellStyle name="20% - 强调文字颜色 1 28 3" xfId="13682"/>
    <cellStyle name="20% - 强调文字颜色 1 28 4" xfId="24045"/>
    <cellStyle name="20% - 强调文字颜色 1 28 5" xfId="26578"/>
    <cellStyle name="20% - 强调文字颜色 1 28 6" xfId="27278"/>
    <cellStyle name="20% - 强调文字颜色 1 29" xfId="1999"/>
    <cellStyle name="20% - 强调文字颜色 1 29 2" xfId="8171"/>
    <cellStyle name="20% - 强调文字颜色 1 29 3" xfId="13683"/>
    <cellStyle name="20% - 强调文字颜色 1 29 4" xfId="24046"/>
    <cellStyle name="20% - 强调文字颜色 1 29 5" xfId="26574"/>
    <cellStyle name="20% - 强调文字颜色 1 29 6" xfId="27279"/>
    <cellStyle name="20% - 强调文字颜色 1 3" xfId="72"/>
    <cellStyle name="20% - 强调文字颜色 1 3 10" xfId="73"/>
    <cellStyle name="20% - 强调文字颜色 1 3 10 10" xfId="29777"/>
    <cellStyle name="20% - 强调文字颜色 1 3 10 11" xfId="32294"/>
    <cellStyle name="20% - 强调文字颜色 1 3 10 2" xfId="2001"/>
    <cellStyle name="20% - 强调文字颜色 1 3 10 3" xfId="2506"/>
    <cellStyle name="20% - 强调文字颜色 1 3 10 4" xfId="11780"/>
    <cellStyle name="20% - 强调文字颜色 1 3 10 5" xfId="13685"/>
    <cellStyle name="20% - 强调文字颜色 1 3 10 6" xfId="8038"/>
    <cellStyle name="20% - 强调文字颜色 1 3 10 7" xfId="17928"/>
    <cellStyle name="20% - 强调文字颜色 1 3 10 8" xfId="22454"/>
    <cellStyle name="20% - 强调文字颜色 1 3 10 9" xfId="20881"/>
    <cellStyle name="20% - 强调文字颜色 1 3 11" xfId="74"/>
    <cellStyle name="20% - 强调文字颜色 1 3 11 10" xfId="29778"/>
    <cellStyle name="20% - 强调文字颜色 1 3 11 11" xfId="31834"/>
    <cellStyle name="20% - 强调文字颜色 1 3 11 2" xfId="2002"/>
    <cellStyle name="20% - 强调文字颜色 1 3 11 3" xfId="2483"/>
    <cellStyle name="20% - 强调文字颜色 1 3 11 4" xfId="11781"/>
    <cellStyle name="20% - 强调文字颜色 1 3 11 5" xfId="13686"/>
    <cellStyle name="20% - 强调文字颜色 1 3 11 6" xfId="8037"/>
    <cellStyle name="20% - 强调文字颜色 1 3 11 7" xfId="17929"/>
    <cellStyle name="20% - 强调文字颜色 1 3 11 8" xfId="23436"/>
    <cellStyle name="20% - 强调文字颜色 1 3 11 9" xfId="20240"/>
    <cellStyle name="20% - 强调文字颜色 1 3 12" xfId="75"/>
    <cellStyle name="20% - 强调文字颜色 1 3 12 10" xfId="29779"/>
    <cellStyle name="20% - 强调文字颜色 1 3 12 11" xfId="33437"/>
    <cellStyle name="20% - 强调文字颜色 1 3 12 2" xfId="2003"/>
    <cellStyle name="20% - 强调文字颜色 1 3 12 3" xfId="2460"/>
    <cellStyle name="20% - 强调文字颜色 1 3 12 4" xfId="11782"/>
    <cellStyle name="20% - 强调文字颜色 1 3 12 5" xfId="13687"/>
    <cellStyle name="20% - 强调文字颜色 1 3 12 6" xfId="8036"/>
    <cellStyle name="20% - 强调文字颜色 1 3 12 7" xfId="17930"/>
    <cellStyle name="20% - 强调文字颜色 1 3 12 8" xfId="22663"/>
    <cellStyle name="20% - 强调文字颜色 1 3 12 9" xfId="20108"/>
    <cellStyle name="20% - 强调文字颜色 1 3 13" xfId="76"/>
    <cellStyle name="20% - 强调文字颜色 1 3 13 10" xfId="29780"/>
    <cellStyle name="20% - 强调文字颜色 1 3 13 11" xfId="33199"/>
    <cellStyle name="20% - 强调文字颜色 1 3 13 2" xfId="2004"/>
    <cellStyle name="20% - 强调文字颜色 1 3 13 3" xfId="2437"/>
    <cellStyle name="20% - 强调文字颜色 1 3 13 4" xfId="11783"/>
    <cellStyle name="20% - 强调文字颜色 1 3 13 5" xfId="13688"/>
    <cellStyle name="20% - 强调文字颜色 1 3 13 6" xfId="8035"/>
    <cellStyle name="20% - 强调文字颜色 1 3 13 7" xfId="17931"/>
    <cellStyle name="20% - 强调文字颜色 1 3 13 8" xfId="22446"/>
    <cellStyle name="20% - 强调文字颜色 1 3 13 9" xfId="20874"/>
    <cellStyle name="20% - 强调文字颜色 1 3 14" xfId="77"/>
    <cellStyle name="20% - 强调文字颜色 1 3 14 10" xfId="29781"/>
    <cellStyle name="20% - 强调文字颜色 1 3 14 11" xfId="32907"/>
    <cellStyle name="20% - 强调文字颜色 1 3 14 2" xfId="2005"/>
    <cellStyle name="20% - 强调文字颜色 1 3 14 3" xfId="2395"/>
    <cellStyle name="20% - 强调文字颜色 1 3 14 4" xfId="11784"/>
    <cellStyle name="20% - 强调文字颜色 1 3 14 5" xfId="13689"/>
    <cellStyle name="20% - 强调文字颜色 1 3 14 6" xfId="8034"/>
    <cellStyle name="20% - 强调文字颜色 1 3 14 7" xfId="17932"/>
    <cellStyle name="20% - 强调文字颜色 1 3 14 8" xfId="23435"/>
    <cellStyle name="20% - 强调文字颜色 1 3 14 9" xfId="20233"/>
    <cellStyle name="20% - 强调文字颜色 1 3 15" xfId="78"/>
    <cellStyle name="20% - 强调文字颜色 1 3 15 10" xfId="29782"/>
    <cellStyle name="20% - 强调文字颜色 1 3 15 11" xfId="32524"/>
    <cellStyle name="20% - 强调文字颜色 1 3 15 2" xfId="2006"/>
    <cellStyle name="20% - 强调文字颜色 1 3 15 3" xfId="2274"/>
    <cellStyle name="20% - 强调文字颜色 1 3 15 4" xfId="11785"/>
    <cellStyle name="20% - 强调文字颜色 1 3 15 5" xfId="13690"/>
    <cellStyle name="20% - 强调文字颜色 1 3 15 6" xfId="8033"/>
    <cellStyle name="20% - 强调文字颜色 1 3 15 7" xfId="17933"/>
    <cellStyle name="20% - 强调文字颜色 1 3 15 8" xfId="22887"/>
    <cellStyle name="20% - 强调文字颜色 1 3 15 9" xfId="20101"/>
    <cellStyle name="20% - 强调文字颜色 1 3 16" xfId="79"/>
    <cellStyle name="20% - 强调文字颜色 1 3 16 10" xfId="29783"/>
    <cellStyle name="20% - 强调文字颜色 1 3 16 11" xfId="32296"/>
    <cellStyle name="20% - 强调文字颜色 1 3 16 2" xfId="2007"/>
    <cellStyle name="20% - 强调文字颜色 1 3 16 3" xfId="2244"/>
    <cellStyle name="20% - 强调文字颜色 1 3 16 4" xfId="11786"/>
    <cellStyle name="20% - 强调文字颜色 1 3 16 5" xfId="13691"/>
    <cellStyle name="20% - 强调文字颜色 1 3 16 6" xfId="8032"/>
    <cellStyle name="20% - 强调文字颜色 1 3 16 7" xfId="17934"/>
    <cellStyle name="20% - 强调文字颜色 1 3 16 8" xfId="22669"/>
    <cellStyle name="20% - 强调文字颜色 1 3 16 9" xfId="21530"/>
    <cellStyle name="20% - 强调文字颜色 1 3 17" xfId="80"/>
    <cellStyle name="20% - 强调文字颜色 1 3 17 10" xfId="29784"/>
    <cellStyle name="20% - 强调文字颜色 1 3 17 11" xfId="31836"/>
    <cellStyle name="20% - 强调文字颜色 1 3 17 2" xfId="2008"/>
    <cellStyle name="20% - 强调文字颜色 1 3 17 3" xfId="2221"/>
    <cellStyle name="20% - 强调文字颜色 1 3 17 4" xfId="11787"/>
    <cellStyle name="20% - 强调文字颜色 1 3 17 5" xfId="13692"/>
    <cellStyle name="20% - 强调文字颜色 1 3 17 6" xfId="8031"/>
    <cellStyle name="20% - 强调文字颜色 1 3 17 7" xfId="17935"/>
    <cellStyle name="20% - 强调文字颜色 1 3 17 8" xfId="22452"/>
    <cellStyle name="20% - 强调文字颜色 1 3 17 9" xfId="20261"/>
    <cellStyle name="20% - 强调文字颜色 1 3 18" xfId="81"/>
    <cellStyle name="20% - 强调文字颜色 1 3 18 10" xfId="29785"/>
    <cellStyle name="20% - 强调文字颜色 1 3 18 11" xfId="33436"/>
    <cellStyle name="20% - 强调文字颜色 1 3 18 2" xfId="2009"/>
    <cellStyle name="20% - 强调文字颜色 1 3 18 3" xfId="2198"/>
    <cellStyle name="20% - 强调文字颜色 1 3 18 4" xfId="11788"/>
    <cellStyle name="20% - 强调文字颜色 1 3 18 5" xfId="13693"/>
    <cellStyle name="20% - 强调文字颜色 1 3 18 6" xfId="11676"/>
    <cellStyle name="20% - 强调文字颜色 1 3 18 7" xfId="17936"/>
    <cellStyle name="20% - 强调文字颜色 1 3 18 8" xfId="23434"/>
    <cellStyle name="20% - 强调文字颜色 1 3 18 9" xfId="21336"/>
    <cellStyle name="20% - 强调文字颜色 1 3 19" xfId="82"/>
    <cellStyle name="20% - 强调文字颜色 1 3 19 10" xfId="29786"/>
    <cellStyle name="20% - 强调文字颜色 1 3 19 11" xfId="33198"/>
    <cellStyle name="20% - 强调文字颜色 1 3 19 2" xfId="2010"/>
    <cellStyle name="20% - 强调文字颜色 1 3 19 3" xfId="2175"/>
    <cellStyle name="20% - 强调文字颜色 1 3 19 4" xfId="11789"/>
    <cellStyle name="20% - 强调文字颜色 1 3 19 5" xfId="13694"/>
    <cellStyle name="20% - 强调文字颜色 1 3 19 6" xfId="10847"/>
    <cellStyle name="20% - 强调文字颜色 1 3 19 7" xfId="17937"/>
    <cellStyle name="20% - 强调文字颜色 1 3 19 8" xfId="22886"/>
    <cellStyle name="20% - 强调文字颜色 1 3 19 9" xfId="20879"/>
    <cellStyle name="20% - 强调文字颜色 1 3 2" xfId="83"/>
    <cellStyle name="20% - 强调文字颜色 1 3 2 10" xfId="29787"/>
    <cellStyle name="20% - 强调文字颜色 1 3 2 11" xfId="32906"/>
    <cellStyle name="20% - 强调文字颜色 1 3 2 2" xfId="2011"/>
    <cellStyle name="20% - 强调文字颜色 1 3 2 3" xfId="2133"/>
    <cellStyle name="20% - 强调文字颜色 1 3 2 4" xfId="11790"/>
    <cellStyle name="20% - 强调文字颜色 1 3 2 5" xfId="13695"/>
    <cellStyle name="20% - 强调文字颜色 1 3 2 6" xfId="11675"/>
    <cellStyle name="20% - 强调文字颜色 1 3 2 7" xfId="17938"/>
    <cellStyle name="20% - 强调文字颜色 1 3 2 8" xfId="22668"/>
    <cellStyle name="20% - 强调文字颜色 1 3 2 9" xfId="20238"/>
    <cellStyle name="20% - 强调文字颜色 1 3 20" xfId="2000"/>
    <cellStyle name="20% - 强调文字颜色 1 3 20 2" xfId="8172"/>
    <cellStyle name="20% - 强调文字颜色 1 3 20 3" xfId="13696"/>
    <cellStyle name="20% - 强调文字颜色 1 3 20 4" xfId="24047"/>
    <cellStyle name="20% - 强调文字颜色 1 3 20 5" xfId="26571"/>
    <cellStyle name="20% - 强调文字颜色 1 3 20 6" xfId="27280"/>
    <cellStyle name="20% - 强调文字颜色 1 3 21" xfId="2013"/>
    <cellStyle name="20% - 强调文字颜色 1 3 21 2" xfId="8173"/>
    <cellStyle name="20% - 强调文字颜色 1 3 21 3" xfId="13697"/>
    <cellStyle name="20% - 强调文字颜色 1 3 21 4" xfId="24048"/>
    <cellStyle name="20% - 强调文字颜色 1 3 21 5" xfId="26570"/>
    <cellStyle name="20% - 强调文字颜色 1 3 21 6" xfId="27281"/>
    <cellStyle name="20% - 强调文字颜色 1 3 22" xfId="2014"/>
    <cellStyle name="20% - 强调文字颜色 1 3 22 2" xfId="8174"/>
    <cellStyle name="20% - 强调文字颜色 1 3 22 3" xfId="13698"/>
    <cellStyle name="20% - 强调文字颜色 1 3 22 4" xfId="24049"/>
    <cellStyle name="20% - 强调文字颜色 1 3 22 5" xfId="26569"/>
    <cellStyle name="20% - 强调文字颜色 1 3 22 6" xfId="27282"/>
    <cellStyle name="20% - 强调文字颜色 1 3 23" xfId="2015"/>
    <cellStyle name="20% - 强调文字颜色 1 3 23 2" xfId="8175"/>
    <cellStyle name="20% - 强调文字颜色 1 3 23 3" xfId="13699"/>
    <cellStyle name="20% - 强调文字颜色 1 3 23 4" xfId="24050"/>
    <cellStyle name="20% - 强调文字颜色 1 3 23 5" xfId="26568"/>
    <cellStyle name="20% - 强调文字颜色 1 3 23 6" xfId="27283"/>
    <cellStyle name="20% - 强调文字颜色 1 3 24" xfId="2016"/>
    <cellStyle name="20% - 强调文字颜色 1 3 24 2" xfId="8176"/>
    <cellStyle name="20% - 强调文字颜色 1 3 24 3" xfId="13700"/>
    <cellStyle name="20% - 强调文字颜色 1 3 24 4" xfId="24051"/>
    <cellStyle name="20% - 强调文字颜色 1 3 24 5" xfId="26567"/>
    <cellStyle name="20% - 强调文字颜色 1 3 24 6" xfId="27284"/>
    <cellStyle name="20% - 强调文字颜色 1 3 25" xfId="2017"/>
    <cellStyle name="20% - 强调文字颜色 1 3 25 2" xfId="8177"/>
    <cellStyle name="20% - 强调文字颜色 1 3 25 3" xfId="13701"/>
    <cellStyle name="20% - 强调文字颜色 1 3 25 4" xfId="24052"/>
    <cellStyle name="20% - 强调文字颜色 1 3 25 5" xfId="26566"/>
    <cellStyle name="20% - 强调文字颜色 1 3 25 6" xfId="27285"/>
    <cellStyle name="20% - 强调文字颜色 1 3 26" xfId="2018"/>
    <cellStyle name="20% - 强调文字颜色 1 3 26 2" xfId="8178"/>
    <cellStyle name="20% - 强调文字颜色 1 3 26 3" xfId="13702"/>
    <cellStyle name="20% - 强调文字颜色 1 3 26 4" xfId="24053"/>
    <cellStyle name="20% - 强调文字颜色 1 3 26 5" xfId="26564"/>
    <cellStyle name="20% - 强调文字颜色 1 3 26 6" xfId="27286"/>
    <cellStyle name="20% - 强调文字颜色 1 3 27" xfId="2019"/>
    <cellStyle name="20% - 强调文字颜色 1 3 27 2" xfId="8179"/>
    <cellStyle name="20% - 强调文字颜色 1 3 27 3" xfId="13703"/>
    <cellStyle name="20% - 强调文字颜色 1 3 27 4" xfId="24054"/>
    <cellStyle name="20% - 强调文字颜色 1 3 27 5" xfId="26563"/>
    <cellStyle name="20% - 强调文字颜色 1 3 27 6" xfId="27287"/>
    <cellStyle name="20% - 强调文字颜色 1 3 28" xfId="2020"/>
    <cellStyle name="20% - 强调文字颜色 1 3 28 2" xfId="8180"/>
    <cellStyle name="20% - 强调文字颜色 1 3 28 3" xfId="13704"/>
    <cellStyle name="20% - 强调文字颜色 1 3 28 4" xfId="24055"/>
    <cellStyle name="20% - 强调文字颜色 1 3 28 5" xfId="26562"/>
    <cellStyle name="20% - 强调文字颜色 1 3 28 6" xfId="27288"/>
    <cellStyle name="20% - 强调文字颜色 1 3 29" xfId="2021"/>
    <cellStyle name="20% - 强调文字颜色 1 3 29 2" xfId="8181"/>
    <cellStyle name="20% - 强调文字颜色 1 3 29 3" xfId="13705"/>
    <cellStyle name="20% - 强调文字颜色 1 3 29 4" xfId="24056"/>
    <cellStyle name="20% - 强调文字颜色 1 3 29 5" xfId="27289"/>
    <cellStyle name="20% - 强调文字颜色 1 3 3" xfId="84"/>
    <cellStyle name="20% - 强调文字颜色 1 3 3 10" xfId="29788"/>
    <cellStyle name="20% - 强调文字颜色 1 3 3 11" xfId="33197"/>
    <cellStyle name="20% - 强调文字颜色 1 3 3 2" xfId="2022"/>
    <cellStyle name="20% - 强调文字颜色 1 3 3 3" xfId="2012"/>
    <cellStyle name="20% - 强调文字颜色 1 3 3 4" xfId="11791"/>
    <cellStyle name="20% - 强调文字颜色 1 3 3 5" xfId="13706"/>
    <cellStyle name="20% - 强调文字颜色 1 3 3 6" xfId="10846"/>
    <cellStyle name="20% - 强调文字颜色 1 3 3 7" xfId="17939"/>
    <cellStyle name="20% - 强调文字颜色 1 3 3 8" xfId="22451"/>
    <cellStyle name="20% - 强调文字颜色 1 3 3 9" xfId="20106"/>
    <cellStyle name="20% - 强调文字颜色 1 3 30" xfId="2023"/>
    <cellStyle name="20% - 强调文字颜色 1 3 30 2" xfId="8182"/>
    <cellStyle name="20% - 强调文字颜色 1 3 30 3" xfId="13707"/>
    <cellStyle name="20% - 强调文字颜色 1 3 30 4" xfId="24057"/>
    <cellStyle name="20% - 强调文字颜色 1 3 30 5" xfId="27290"/>
    <cellStyle name="20% - 强调文字颜色 1 3 31" xfId="2024"/>
    <cellStyle name="20% - 强调文字颜色 1 3 31 2" xfId="8183"/>
    <cellStyle name="20% - 强调文字颜色 1 3 31 3" xfId="13708"/>
    <cellStyle name="20% - 强调文字颜色 1 3 31 4" xfId="24058"/>
    <cellStyle name="20% - 强调文字颜色 1 3 31 5" xfId="27291"/>
    <cellStyle name="20% - 强调文字颜色 1 3 32" xfId="2025"/>
    <cellStyle name="20% - 强调文字颜色 1 3 32 2" xfId="8184"/>
    <cellStyle name="20% - 强调文字颜色 1 3 32 3" xfId="13709"/>
    <cellStyle name="20% - 强调文字颜色 1 3 32 4" xfId="24059"/>
    <cellStyle name="20% - 强调文字颜色 1 3 32 5" xfId="27292"/>
    <cellStyle name="20% - 强调文字颜色 1 3 33" xfId="2026"/>
    <cellStyle name="20% - 强调文字颜色 1 3 33 2" xfId="8185"/>
    <cellStyle name="20% - 强调文字颜色 1 3 33 3" xfId="13710"/>
    <cellStyle name="20% - 强调文字颜色 1 3 33 4" xfId="24060"/>
    <cellStyle name="20% - 强调文字颜色 1 3 33 5" xfId="27293"/>
    <cellStyle name="20% - 强调文字颜色 1 3 34" xfId="2027"/>
    <cellStyle name="20% - 强调文字颜色 1 3 34 2" xfId="8186"/>
    <cellStyle name="20% - 强调文字颜色 1 3 34 3" xfId="13711"/>
    <cellStyle name="20% - 强调文字颜色 1 3 34 4" xfId="24061"/>
    <cellStyle name="20% - 强调文字颜色 1 3 34 5" xfId="27294"/>
    <cellStyle name="20% - 强调文字颜色 1 3 35" xfId="2028"/>
    <cellStyle name="20% - 强调文字颜色 1 3 35 2" xfId="8187"/>
    <cellStyle name="20% - 强调文字颜色 1 3 35 3" xfId="13712"/>
    <cellStyle name="20% - 强调文字颜色 1 3 35 4" xfId="24062"/>
    <cellStyle name="20% - 强调文字颜色 1 3 35 5" xfId="27295"/>
    <cellStyle name="20% - 强调文字颜色 1 3 36" xfId="2029"/>
    <cellStyle name="20% - 强调文字颜色 1 3 36 2" xfId="8188"/>
    <cellStyle name="20% - 强调文字颜色 1 3 36 3" xfId="13713"/>
    <cellStyle name="20% - 强调文字颜色 1 3 36 4" xfId="24063"/>
    <cellStyle name="20% - 强调文字颜色 1 3 36 5" xfId="27296"/>
    <cellStyle name="20% - 强调文字颜色 1 3 37" xfId="2030"/>
    <cellStyle name="20% - 强调文字颜色 1 3 37 2" xfId="8189"/>
    <cellStyle name="20% - 强调文字颜色 1 3 37 3" xfId="13714"/>
    <cellStyle name="20% - 强调文字颜色 1 3 37 4" xfId="24064"/>
    <cellStyle name="20% - 强调文字颜色 1 3 37 5" xfId="27297"/>
    <cellStyle name="20% - 强调文字颜色 1 3 38" xfId="2031"/>
    <cellStyle name="20% - 强调文字颜色 1 3 38 2" xfId="8190"/>
    <cellStyle name="20% - 强调文字颜色 1 3 38 3" xfId="13715"/>
    <cellStyle name="20% - 强调文字颜色 1 3 38 4" xfId="24065"/>
    <cellStyle name="20% - 强调文字颜色 1 3 38 5" xfId="27298"/>
    <cellStyle name="20% - 强调文字颜色 1 3 39" xfId="2032"/>
    <cellStyle name="20% - 强调文字颜色 1 3 39 2" xfId="8191"/>
    <cellStyle name="20% - 强调文字颜色 1 3 39 3" xfId="13716"/>
    <cellStyle name="20% - 强调文字颜色 1 3 39 4" xfId="24066"/>
    <cellStyle name="20% - 强调文字颜色 1 3 39 5" xfId="27299"/>
    <cellStyle name="20% - 强调文字颜色 1 3 4" xfId="85"/>
    <cellStyle name="20% - 强调文字颜色 1 3 4 10" xfId="29789"/>
    <cellStyle name="20% - 强调文字颜色 1 3 4 11" xfId="33435"/>
    <cellStyle name="20% - 强调文字颜色 1 3 4 2" xfId="2033"/>
    <cellStyle name="20% - 强调文字颜色 1 3 4 3" xfId="1982"/>
    <cellStyle name="20% - 强调文字颜色 1 3 4 4" xfId="11792"/>
    <cellStyle name="20% - 强调文字颜色 1 3 4 5" xfId="13717"/>
    <cellStyle name="20% - 强调文字颜色 1 3 4 6" xfId="11674"/>
    <cellStyle name="20% - 强调文字颜色 1 3 4 7" xfId="17940"/>
    <cellStyle name="20% - 强调文字颜色 1 3 4 8" xfId="23433"/>
    <cellStyle name="20% - 强调文字颜色 1 3 4 9" xfId="21529"/>
    <cellStyle name="20% - 强调文字颜色 1 3 40" xfId="2034"/>
    <cellStyle name="20% - 强调文字颜色 1 3 40 2" xfId="8192"/>
    <cellStyle name="20% - 强调文字颜色 1 3 40 3" xfId="13718"/>
    <cellStyle name="20% - 强调文字颜色 1 3 40 4" xfId="24067"/>
    <cellStyle name="20% - 强调文字颜色 1 3 40 5" xfId="27300"/>
    <cellStyle name="20% - 强调文字颜色 1 3 41" xfId="2035"/>
    <cellStyle name="20% - 强调文字颜色 1 3 41 2" xfId="8193"/>
    <cellStyle name="20% - 强调文字颜色 1 3 41 3" xfId="13719"/>
    <cellStyle name="20% - 强调文字颜色 1 3 41 4" xfId="24068"/>
    <cellStyle name="20% - 强调文字颜色 1 3 41 5" xfId="27301"/>
    <cellStyle name="20% - 强调文字颜色 1 3 42" xfId="2536"/>
    <cellStyle name="20% - 强调文字颜色 1 3 42 2" xfId="23548"/>
    <cellStyle name="20% - 强调文字颜色 1 3 42 3" xfId="26133"/>
    <cellStyle name="20% - 强调文字颜色 1 3 43" xfId="10908"/>
    <cellStyle name="20% - 强调文字颜色 1 3 43 2" xfId="23729"/>
    <cellStyle name="20% - 强调文字颜色 1 3 43 3" xfId="26314"/>
    <cellStyle name="20% - 强调文字颜色 1 3 44" xfId="11779"/>
    <cellStyle name="20% - 强调文字颜色 1 3 44 2" xfId="23837"/>
    <cellStyle name="20% - 强调文字颜色 1 3 44 3" xfId="26422"/>
    <cellStyle name="20% - 强调文字颜色 1 3 45" xfId="13684"/>
    <cellStyle name="20% - 强调文字颜色 1 3 45 2" xfId="23899"/>
    <cellStyle name="20% - 强调文字颜色 1 3 45 3" xfId="26484"/>
    <cellStyle name="20% - 强调文字颜色 1 3 46" xfId="8039"/>
    <cellStyle name="20% - 强调文字颜色 1 3 47" xfId="17927"/>
    <cellStyle name="20% - 强调文字颜色 1 3 48" xfId="22671"/>
    <cellStyle name="20% - 强调文字颜色 1 3 49" xfId="21338"/>
    <cellStyle name="20% - 强调文字颜色 1 3 5" xfId="86"/>
    <cellStyle name="20% - 强调文字颜色 1 3 5 10" xfId="29790"/>
    <cellStyle name="20% - 强调文字颜色 1 3 5 11" xfId="32523"/>
    <cellStyle name="20% - 强调文字颜色 1 3 5 2" xfId="2036"/>
    <cellStyle name="20% - 强调文字颜色 1 3 5 3" xfId="1959"/>
    <cellStyle name="20% - 强调文字颜色 1 3 5 4" xfId="11793"/>
    <cellStyle name="20% - 强调文字颜色 1 3 5 5" xfId="13720"/>
    <cellStyle name="20% - 强调文字颜色 1 3 5 6" xfId="10845"/>
    <cellStyle name="20% - 强调文字颜色 1 3 5 7" xfId="17941"/>
    <cellStyle name="20% - 强调文字颜色 1 3 5 8" xfId="22885"/>
    <cellStyle name="20% - 强调文字颜色 1 3 5 9" xfId="20262"/>
    <cellStyle name="20% - 强调文字颜色 1 3 50" xfId="29776"/>
    <cellStyle name="20% - 强调文字颜色 1 3 51" xfId="31423"/>
    <cellStyle name="20% - 强调文字颜色 1 3 6" xfId="87"/>
    <cellStyle name="20% - 强调文字颜色 1 3 6 10" xfId="29791"/>
    <cellStyle name="20% - 强调文字颜色 1 3 6 11" xfId="32295"/>
    <cellStyle name="20% - 强调文字颜色 1 3 6 2" xfId="2037"/>
    <cellStyle name="20% - 强调文字颜色 1 3 6 3" xfId="1936"/>
    <cellStyle name="20% - 强调文字颜色 1 3 6 4" xfId="11794"/>
    <cellStyle name="20% - 强调文字颜色 1 3 6 5" xfId="13721"/>
    <cellStyle name="20% - 强调文字颜色 1 3 6 6" xfId="11673"/>
    <cellStyle name="20% - 强调文字颜色 1 3 6 7" xfId="17942"/>
    <cellStyle name="20% - 强调文字颜色 1 3 6 8" xfId="22667"/>
    <cellStyle name="20% - 强调文字颜色 1 3 6 9" xfId="21335"/>
    <cellStyle name="20% - 强调文字颜色 1 3 7" xfId="88"/>
    <cellStyle name="20% - 强调文字颜色 1 3 7 10" xfId="29792"/>
    <cellStyle name="20% - 强调文字颜色 1 3 7 11" xfId="31835"/>
    <cellStyle name="20% - 强调文字颜色 1 3 7 2" xfId="2038"/>
    <cellStyle name="20% - 强调文字颜色 1 3 7 3" xfId="1913"/>
    <cellStyle name="20% - 强调文字颜色 1 3 7 4" xfId="11795"/>
    <cellStyle name="20% - 强调文字颜色 1 3 7 5" xfId="13722"/>
    <cellStyle name="20% - 强调文字颜色 1 3 7 6" xfId="10844"/>
    <cellStyle name="20% - 强调文字颜色 1 3 7 7" xfId="17943"/>
    <cellStyle name="20% - 强调文字颜色 1 3 7 8" xfId="22450"/>
    <cellStyle name="20% - 强调文字颜色 1 3 7 9" xfId="20878"/>
    <cellStyle name="20% - 强调文字颜色 1 3 8" xfId="89"/>
    <cellStyle name="20% - 强调文字颜色 1 3 8 10" xfId="29793"/>
    <cellStyle name="20% - 强调文字颜色 1 3 8 11" xfId="33434"/>
    <cellStyle name="20% - 强调文字颜色 1 3 8 2" xfId="2039"/>
    <cellStyle name="20% - 强调文字颜色 1 3 8 3" xfId="1871"/>
    <cellStyle name="20% - 强调文字颜色 1 3 8 4" xfId="11796"/>
    <cellStyle name="20% - 强调文字颜色 1 3 8 5" xfId="13723"/>
    <cellStyle name="20% - 强调文字颜色 1 3 8 6" xfId="11672"/>
    <cellStyle name="20% - 强调文字颜色 1 3 8 7" xfId="17944"/>
    <cellStyle name="20% - 强调文字颜色 1 3 8 8" xfId="23432"/>
    <cellStyle name="20% - 强调文字颜色 1 3 8 9" xfId="20237"/>
    <cellStyle name="20% - 强调文字颜色 1 3 9" xfId="90"/>
    <cellStyle name="20% - 强调文字颜色 1 3 9 10" xfId="29794"/>
    <cellStyle name="20% - 强调文字颜色 1 3 9 11" xfId="33196"/>
    <cellStyle name="20% - 强调文字颜色 1 3 9 2" xfId="2040"/>
    <cellStyle name="20% - 强调文字颜色 1 3 9 3" xfId="5644"/>
    <cellStyle name="20% - 强调文字颜色 1 3 9 4" xfId="11797"/>
    <cellStyle name="20% - 强调文字颜色 1 3 9 5" xfId="13724"/>
    <cellStyle name="20% - 强调文字颜色 1 3 9 6" xfId="10843"/>
    <cellStyle name="20% - 强调文字颜色 1 3 9 7" xfId="17945"/>
    <cellStyle name="20% - 强调文字颜色 1 3 9 8" xfId="22884"/>
    <cellStyle name="20% - 强调文字颜色 1 3 9 9" xfId="20105"/>
    <cellStyle name="20% - 强调文字颜色 1 30" xfId="2041"/>
    <cellStyle name="20% - 强调文字颜色 1 30 2" xfId="8194"/>
    <cellStyle name="20% - 强调文字颜色 1 30 3" xfId="13725"/>
    <cellStyle name="20% - 强调文字颜色 1 30 4" xfId="24069"/>
    <cellStyle name="20% - 强调文字颜色 1 30 5" xfId="26560"/>
    <cellStyle name="20% - 强调文字颜色 1 30 6" xfId="27302"/>
    <cellStyle name="20% - 强调文字颜色 1 31" xfId="2042"/>
    <cellStyle name="20% - 强调文字颜色 1 31 2" xfId="8195"/>
    <cellStyle name="20% - 强调文字颜色 1 31 3" xfId="13726"/>
    <cellStyle name="20% - 强调文字颜色 1 31 4" xfId="24070"/>
    <cellStyle name="20% - 强调文字颜色 1 31 5" xfId="26558"/>
    <cellStyle name="20% - 强调文字颜色 1 31 6" xfId="27303"/>
    <cellStyle name="20% - 强调文字颜色 1 32" xfId="2043"/>
    <cellStyle name="20% - 强调文字颜色 1 32 2" xfId="8196"/>
    <cellStyle name="20% - 强调文字颜色 1 32 3" xfId="13727"/>
    <cellStyle name="20% - 强调文字颜色 1 32 4" xfId="24071"/>
    <cellStyle name="20% - 强调文字颜色 1 32 5" xfId="26557"/>
    <cellStyle name="20% - 强调文字颜色 1 32 6" xfId="27304"/>
    <cellStyle name="20% - 强调文字颜色 1 33" xfId="2044"/>
    <cellStyle name="20% - 强调文字颜色 1 33 2" xfId="8197"/>
    <cellStyle name="20% - 强调文字颜色 1 33 3" xfId="13728"/>
    <cellStyle name="20% - 强调文字颜色 1 33 4" xfId="24072"/>
    <cellStyle name="20% - 强调文字颜色 1 33 5" xfId="27305"/>
    <cellStyle name="20% - 强调文字颜色 1 34" xfId="2045"/>
    <cellStyle name="20% - 强调文字颜色 1 34 2" xfId="8198"/>
    <cellStyle name="20% - 强调文字颜色 1 34 3" xfId="13729"/>
    <cellStyle name="20% - 强调文字颜色 1 34 4" xfId="24073"/>
    <cellStyle name="20% - 强调文字颜色 1 34 5" xfId="27306"/>
    <cellStyle name="20% - 强调文字颜色 1 35" xfId="2046"/>
    <cellStyle name="20% - 强调文字颜色 1 35 2" xfId="8199"/>
    <cellStyle name="20% - 强调文字颜色 1 35 3" xfId="13730"/>
    <cellStyle name="20% - 强调文字颜色 1 35 4" xfId="24074"/>
    <cellStyle name="20% - 强调文字颜色 1 35 5" xfId="27307"/>
    <cellStyle name="20% - 强调文字颜色 1 36" xfId="2047"/>
    <cellStyle name="20% - 强调文字颜色 1 36 2" xfId="8200"/>
    <cellStyle name="20% - 强调文字颜色 1 36 3" xfId="13731"/>
    <cellStyle name="20% - 强调文字颜色 1 36 4" xfId="24075"/>
    <cellStyle name="20% - 强调文字颜色 1 36 5" xfId="27308"/>
    <cellStyle name="20% - 强调文字颜色 1 37" xfId="2048"/>
    <cellStyle name="20% - 强调文字颜色 1 37 2" xfId="8201"/>
    <cellStyle name="20% - 强调文字颜色 1 37 3" xfId="13732"/>
    <cellStyle name="20% - 强调文字颜色 1 37 4" xfId="24076"/>
    <cellStyle name="20% - 强调文字颜色 1 37 5" xfId="27309"/>
    <cellStyle name="20% - 强调文字颜色 1 38" xfId="2049"/>
    <cellStyle name="20% - 强调文字颜色 1 38 2" xfId="8202"/>
    <cellStyle name="20% - 强调文字颜色 1 38 3" xfId="13733"/>
    <cellStyle name="20% - 强调文字颜色 1 38 4" xfId="24077"/>
    <cellStyle name="20% - 强调文字颜色 1 38 5" xfId="27310"/>
    <cellStyle name="20% - 强调文字颜色 1 39" xfId="2050"/>
    <cellStyle name="20% - 强调文字颜色 1 39 2" xfId="8203"/>
    <cellStyle name="20% - 强调文字颜色 1 39 3" xfId="13734"/>
    <cellStyle name="20% - 强调文字颜色 1 39 4" xfId="24078"/>
    <cellStyle name="20% - 强调文字颜色 1 39 5" xfId="27311"/>
    <cellStyle name="20% - 强调文字颜色 1 4" xfId="91"/>
    <cellStyle name="20% - 强调文字颜色 1 4 10" xfId="11798"/>
    <cellStyle name="20% - 强调文字颜色 1 4 11" xfId="13735"/>
    <cellStyle name="20% - 强调文字颜色 1 4 12" xfId="10807"/>
    <cellStyle name="20% - 强调文字颜色 1 4 13" xfId="17946"/>
    <cellStyle name="20% - 强调文字颜色 1 4 14" xfId="22666"/>
    <cellStyle name="20% - 强调文字颜色 1 4 15" xfId="21528"/>
    <cellStyle name="20% - 强调文字颜色 1 4 16" xfId="29798"/>
    <cellStyle name="20% - 强调文字颜色 1 4 17" xfId="31415"/>
    <cellStyle name="20% - 强调文字颜色 1 4 2" xfId="92"/>
    <cellStyle name="20% - 强调文字颜色 1 4 2 10" xfId="29799"/>
    <cellStyle name="20% - 强调文字颜色 1 4 2 11" xfId="32905"/>
    <cellStyle name="20% - 强调文字颜色 1 4 2 2" xfId="2052"/>
    <cellStyle name="20% - 强调文字颜色 1 4 2 3" xfId="5646"/>
    <cellStyle name="20% - 强调文字颜色 1 4 2 4" xfId="11799"/>
    <cellStyle name="20% - 强调文字颜色 1 4 2 5" xfId="13736"/>
    <cellStyle name="20% - 强调文字颜色 1 4 2 6" xfId="8030"/>
    <cellStyle name="20% - 强调文字颜色 1 4 2 7" xfId="17947"/>
    <cellStyle name="20% - 强调文字颜色 1 4 2 8" xfId="22449"/>
    <cellStyle name="20% - 强调文字颜色 1 4 2 9" xfId="20263"/>
    <cellStyle name="20% - 强调文字颜色 1 4 3" xfId="93"/>
    <cellStyle name="20% - 强调文字颜色 1 4 3 10" xfId="29800"/>
    <cellStyle name="20% - 强调文字颜色 1 4 3 11" xfId="32028"/>
    <cellStyle name="20% - 强调文字颜色 1 4 3 2" xfId="2053"/>
    <cellStyle name="20% - 强调文字颜色 1 4 3 3" xfId="5647"/>
    <cellStyle name="20% - 强调文字颜色 1 4 3 4" xfId="11800"/>
    <cellStyle name="20% - 强调文字颜色 1 4 3 5" xfId="13737"/>
    <cellStyle name="20% - 强调文字颜色 1 4 3 6" xfId="8029"/>
    <cellStyle name="20% - 强调文字颜色 1 4 3 7" xfId="17948"/>
    <cellStyle name="20% - 强调文字颜色 1 4 3 8" xfId="23431"/>
    <cellStyle name="20% - 强调文字颜色 1 4 3 9" xfId="21334"/>
    <cellStyle name="20% - 强调文字颜色 1 4 4" xfId="94"/>
    <cellStyle name="20% - 强调文字颜色 1 4 4 10" xfId="29801"/>
    <cellStyle name="20% - 强调文字颜色 1 4 4 11" xfId="31414"/>
    <cellStyle name="20% - 强调文字颜色 1 4 4 2" xfId="2054"/>
    <cellStyle name="20% - 强调文字颜色 1 4 4 3" xfId="5648"/>
    <cellStyle name="20% - 强调文字颜色 1 4 4 4" xfId="11801"/>
    <cellStyle name="20% - 强调文字颜色 1 4 4 5" xfId="13738"/>
    <cellStyle name="20% - 强调文字颜色 1 4 4 6" xfId="11671"/>
    <cellStyle name="20% - 强调文字颜色 1 4 4 7" xfId="17949"/>
    <cellStyle name="20% - 强调文字颜色 1 4 4 8" xfId="22883"/>
    <cellStyle name="20% - 强调文字颜色 1 4 4 9" xfId="20877"/>
    <cellStyle name="20% - 强调文字颜色 1 4 5" xfId="95"/>
    <cellStyle name="20% - 强调文字颜色 1 4 5 10" xfId="29802"/>
    <cellStyle name="20% - 强调文字颜色 1 4 5 11" xfId="32904"/>
    <cellStyle name="20% - 强调文字颜色 1 4 5 2" xfId="2055"/>
    <cellStyle name="20% - 强调文字颜色 1 4 5 3" xfId="5649"/>
    <cellStyle name="20% - 强调文字颜色 1 4 5 4" xfId="11802"/>
    <cellStyle name="20% - 强调文字颜色 1 4 5 5" xfId="13739"/>
    <cellStyle name="20% - 强调文字颜色 1 4 5 6" xfId="10840"/>
    <cellStyle name="20% - 强调文字颜色 1 4 5 7" xfId="17950"/>
    <cellStyle name="20% - 强调文字颜色 1 4 5 8" xfId="22665"/>
    <cellStyle name="20% - 强调文字颜色 1 4 5 9" xfId="20236"/>
    <cellStyle name="20% - 强调文字颜色 1 4 6" xfId="96"/>
    <cellStyle name="20% - 强调文字颜色 1 4 6 10" xfId="29803"/>
    <cellStyle name="20% - 强调文字颜色 1 4 6 11" xfId="32027"/>
    <cellStyle name="20% - 强调文字颜色 1 4 6 2" xfId="2056"/>
    <cellStyle name="20% - 强调文字颜色 1 4 6 3" xfId="5650"/>
    <cellStyle name="20% - 强调文字颜色 1 4 6 4" xfId="11803"/>
    <cellStyle name="20% - 强调文字颜色 1 4 6 5" xfId="13740"/>
    <cellStyle name="20% - 强调文字颜色 1 4 6 6" xfId="8028"/>
    <cellStyle name="20% - 强调文字颜色 1 4 6 7" xfId="17951"/>
    <cellStyle name="20% - 强调文字颜色 1 4 6 8" xfId="22448"/>
    <cellStyle name="20% - 强调文字颜色 1 4 6 9" xfId="20104"/>
    <cellStyle name="20% - 强调文字颜色 1 4 7" xfId="97"/>
    <cellStyle name="20% - 强调文字颜色 1 4 7 10" xfId="29804"/>
    <cellStyle name="20% - 强调文字颜色 1 4 7 11" xfId="31413"/>
    <cellStyle name="20% - 强调文字颜色 1 4 7 2" xfId="2057"/>
    <cellStyle name="20% - 强调文字颜色 1 4 7 3" xfId="5651"/>
    <cellStyle name="20% - 强调文字颜色 1 4 7 4" xfId="11804"/>
    <cellStyle name="20% - 强调文字颜色 1 4 7 5" xfId="13741"/>
    <cellStyle name="20% - 强调文字颜色 1 4 7 6" xfId="8027"/>
    <cellStyle name="20% - 强调文字颜色 1 4 7 7" xfId="17952"/>
    <cellStyle name="20% - 强调文字颜色 1 4 7 8" xfId="23430"/>
    <cellStyle name="20% - 强调文字颜色 1 4 7 9" xfId="21527"/>
    <cellStyle name="20% - 强调文字颜色 1 4 8" xfId="2051"/>
    <cellStyle name="20% - 强调文字颜色 1 4 9" xfId="5645"/>
    <cellStyle name="20% - 强调文字颜色 1 40" xfId="2058"/>
    <cellStyle name="20% - 强调文字颜色 1 40 2" xfId="8204"/>
    <cellStyle name="20% - 强调文字颜色 1 40 3" xfId="13742"/>
    <cellStyle name="20% - 强调文字颜色 1 40 4" xfId="24079"/>
    <cellStyle name="20% - 强调文字颜色 1 40 5" xfId="27312"/>
    <cellStyle name="20% - 强调文字颜色 1 41" xfId="2059"/>
    <cellStyle name="20% - 强调文字颜色 1 41 2" xfId="8205"/>
    <cellStyle name="20% - 强调文字颜色 1 41 3" xfId="13743"/>
    <cellStyle name="20% - 强调文字颜色 1 41 4" xfId="24080"/>
    <cellStyle name="20% - 强调文字颜色 1 41 5" xfId="27313"/>
    <cellStyle name="20% - 强调文字颜色 1 42" xfId="2060"/>
    <cellStyle name="20% - 强调文字颜色 1 42 2" xfId="8206"/>
    <cellStyle name="20% - 强调文字颜色 1 42 3" xfId="13744"/>
    <cellStyle name="20% - 强调文字颜色 1 42 4" xfId="24081"/>
    <cellStyle name="20% - 强调文字颜色 1 42 5" xfId="27314"/>
    <cellStyle name="20% - 强调文字颜色 1 43" xfId="2061"/>
    <cellStyle name="20% - 强调文字颜色 1 43 2" xfId="8207"/>
    <cellStyle name="20% - 强调文字颜色 1 43 3" xfId="13745"/>
    <cellStyle name="20% - 强调文字颜色 1 43 4" xfId="24082"/>
    <cellStyle name="20% - 强调文字颜色 1 43 5" xfId="27315"/>
    <cellStyle name="20% - 强调文字颜色 1 44" xfId="2062"/>
    <cellStyle name="20% - 强调文字颜色 1 44 2" xfId="8208"/>
    <cellStyle name="20% - 强调文字颜色 1 44 3" xfId="13746"/>
    <cellStyle name="20% - 强调文字颜色 1 44 4" xfId="24083"/>
    <cellStyle name="20% - 强调文字颜色 1 44 5" xfId="27316"/>
    <cellStyle name="20% - 强调文字颜色 1 45" xfId="2063"/>
    <cellStyle name="20% - 强调文字颜色 1 45 2" xfId="8209"/>
    <cellStyle name="20% - 强调文字颜色 1 45 3" xfId="13747"/>
    <cellStyle name="20% - 强调文字颜色 1 45 4" xfId="24084"/>
    <cellStyle name="20% - 强调文字颜色 1 45 5" xfId="27317"/>
    <cellStyle name="20% - 强调文字颜色 1 46" xfId="5539"/>
    <cellStyle name="20% - 强调文字颜色 1 46 2" xfId="8050"/>
    <cellStyle name="20% - 强调文字颜色 1 46 3" xfId="7383"/>
    <cellStyle name="20% - 强调文字颜色 1 47" xfId="10895"/>
    <cellStyle name="20% - 强调文字颜色 1 47 2" xfId="23721"/>
    <cellStyle name="20% - 强调文字颜色 1 47 3" xfId="26306"/>
    <cellStyle name="20% - 强调文字颜色 1 48" xfId="11710"/>
    <cellStyle name="20% - 强调文字颜色 1 48 2" xfId="23833"/>
    <cellStyle name="20% - 强调文字颜色 1 48 3" xfId="26418"/>
    <cellStyle name="20% - 强调文字颜色 1 49" xfId="13510"/>
    <cellStyle name="20% - 强调文字颜色 1 49 2" xfId="23898"/>
    <cellStyle name="20% - 强调文字颜色 1 49 3" xfId="26483"/>
    <cellStyle name="20% - 强调文字颜色 1 5" xfId="98"/>
    <cellStyle name="20% - 强调文字颜色 1 5 10" xfId="11805"/>
    <cellStyle name="20% - 强调文字颜色 1 5 11" xfId="13748"/>
    <cellStyle name="20% - 强调文字颜色 1 5 12" xfId="8026"/>
    <cellStyle name="20% - 强调文字颜色 1 5 13" xfId="17953"/>
    <cellStyle name="20% - 强调文字颜色 1 5 14" xfId="22882"/>
    <cellStyle name="20% - 强调文字颜色 1 5 15" xfId="20264"/>
    <cellStyle name="20% - 强调文字颜色 1 5 16" xfId="29805"/>
    <cellStyle name="20% - 强调文字颜色 1 5 17" xfId="32903"/>
    <cellStyle name="20% - 强调文字颜色 1 5 2" xfId="99"/>
    <cellStyle name="20% - 强调文字颜色 1 5 2 10" xfId="29806"/>
    <cellStyle name="20% - 强调文字颜色 1 5 2 11" xfId="32026"/>
    <cellStyle name="20% - 强调文字颜色 1 5 2 2" xfId="2065"/>
    <cellStyle name="20% - 强调文字颜色 1 5 2 3" xfId="5653"/>
    <cellStyle name="20% - 强调文字颜色 1 5 2 4" xfId="11806"/>
    <cellStyle name="20% - 强调文字颜色 1 5 2 5" xfId="13749"/>
    <cellStyle name="20% - 强调文字颜色 1 5 2 6" xfId="8025"/>
    <cellStyle name="20% - 强调文字颜色 1 5 2 7" xfId="17954"/>
    <cellStyle name="20% - 强调文字颜色 1 5 2 8" xfId="22664"/>
    <cellStyle name="20% - 强调文字颜色 1 5 2 9" xfId="21333"/>
    <cellStyle name="20% - 强调文字颜色 1 5 3" xfId="100"/>
    <cellStyle name="20% - 强调文字颜色 1 5 3 10" xfId="29807"/>
    <cellStyle name="20% - 强调文字颜色 1 5 3 11" xfId="31412"/>
    <cellStyle name="20% - 强调文字颜色 1 5 3 2" xfId="2066"/>
    <cellStyle name="20% - 强调文字颜色 1 5 3 3" xfId="5654"/>
    <cellStyle name="20% - 强调文字颜色 1 5 3 4" xfId="11807"/>
    <cellStyle name="20% - 强调文字颜色 1 5 3 5" xfId="13750"/>
    <cellStyle name="20% - 强调文字颜色 1 5 3 6" xfId="8024"/>
    <cellStyle name="20% - 强调文字颜色 1 5 3 7" xfId="17955"/>
    <cellStyle name="20% - 强调文字颜色 1 5 3 8" xfId="22447"/>
    <cellStyle name="20% - 强调文字颜色 1 5 3 9" xfId="20876"/>
    <cellStyle name="20% - 强调文字颜色 1 5 4" xfId="101"/>
    <cellStyle name="20% - 强调文字颜色 1 5 4 10" xfId="29808"/>
    <cellStyle name="20% - 强调文字颜色 1 5 4 11" xfId="32902"/>
    <cellStyle name="20% - 强调文字颜色 1 5 4 2" xfId="2067"/>
    <cellStyle name="20% - 强调文字颜色 1 5 4 3" xfId="5655"/>
    <cellStyle name="20% - 强调文字颜色 1 5 4 4" xfId="11808"/>
    <cellStyle name="20% - 强调文字颜色 1 5 4 5" xfId="13751"/>
    <cellStyle name="20% - 强调文字颜色 1 5 4 6" xfId="8023"/>
    <cellStyle name="20% - 强调文字颜色 1 5 4 7" xfId="17956"/>
    <cellStyle name="20% - 强调文字颜色 1 5 4 8" xfId="23429"/>
    <cellStyle name="20% - 强调文字颜色 1 5 4 9" xfId="20235"/>
    <cellStyle name="20% - 强调文字颜色 1 5 5" xfId="102"/>
    <cellStyle name="20% - 强调文字颜色 1 5 5 10" xfId="29809"/>
    <cellStyle name="20% - 强调文字颜色 1 5 5 11" xfId="32025"/>
    <cellStyle name="20% - 强调文字颜色 1 5 5 2" xfId="2068"/>
    <cellStyle name="20% - 强调文字颜色 1 5 5 3" xfId="5656"/>
    <cellStyle name="20% - 强调文字颜色 1 5 5 4" xfId="11809"/>
    <cellStyle name="20% - 强调文字颜色 1 5 5 5" xfId="13752"/>
    <cellStyle name="20% - 强调文字颜色 1 5 5 6" xfId="8022"/>
    <cellStyle name="20% - 强调文字颜色 1 5 5 7" xfId="17957"/>
    <cellStyle name="20% - 强调文字颜色 1 5 5 8" xfId="22881"/>
    <cellStyle name="20% - 强调文字颜色 1 5 5 9" xfId="20103"/>
    <cellStyle name="20% - 强调文字颜色 1 5 6" xfId="103"/>
    <cellStyle name="20% - 强调文字颜色 1 5 6 10" xfId="29810"/>
    <cellStyle name="20% - 强调文字颜色 1 5 6 11" xfId="31411"/>
    <cellStyle name="20% - 强调文字颜色 1 5 6 2" xfId="2069"/>
    <cellStyle name="20% - 强调文字颜色 1 5 6 3" xfId="5657"/>
    <cellStyle name="20% - 强调文字颜色 1 5 6 4" xfId="11810"/>
    <cellStyle name="20% - 强调文字颜色 1 5 6 5" xfId="13753"/>
    <cellStyle name="20% - 强调文字颜色 1 5 6 6" xfId="8021"/>
    <cellStyle name="20% - 强调文字颜色 1 5 6 7" xfId="17958"/>
    <cellStyle name="20% - 强调文字颜色 1 5 6 8" xfId="22997"/>
    <cellStyle name="20% - 强调文字颜色 1 5 6 9" xfId="21526"/>
    <cellStyle name="20% - 强调文字颜色 1 5 7" xfId="104"/>
    <cellStyle name="20% - 强调文字颜色 1 5 7 10" xfId="29811"/>
    <cellStyle name="20% - 强调文字颜色 1 5 7 11" xfId="32901"/>
    <cellStyle name="20% - 强调文字颜色 1 5 7 2" xfId="2070"/>
    <cellStyle name="20% - 强调文字颜色 1 5 7 3" xfId="5658"/>
    <cellStyle name="20% - 强调文字颜色 1 5 7 4" xfId="11811"/>
    <cellStyle name="20% - 强调文字颜色 1 5 7 5" xfId="13754"/>
    <cellStyle name="20% - 强调文字颜色 1 5 7 6" xfId="8020"/>
    <cellStyle name="20% - 强调文字颜色 1 5 7 7" xfId="17959"/>
    <cellStyle name="20% - 强调文字颜色 1 5 7 8" xfId="22773"/>
    <cellStyle name="20% - 强调文字颜色 1 5 7 9" xfId="20265"/>
    <cellStyle name="20% - 强调文字颜色 1 5 8" xfId="2064"/>
    <cellStyle name="20% - 强调文字颜色 1 5 9" xfId="5652"/>
    <cellStyle name="20% - 强调文字颜色 1 50" xfId="8048"/>
    <cellStyle name="20% - 强调文字颜色 1 50 2" xfId="27008"/>
    <cellStyle name="20% - 强调文字颜色 1 51" xfId="17427"/>
    <cellStyle name="20% - 强调文字颜色 1 52" xfId="17513"/>
    <cellStyle name="20% - 强调文字颜色 1 52 2" xfId="27136"/>
    <cellStyle name="20% - 强调文字颜色 1 53" xfId="17599"/>
    <cellStyle name="20% - 强调文字颜色 1 54" xfId="17685"/>
    <cellStyle name="20% - 强调文字颜色 1 55" xfId="17771"/>
    <cellStyle name="20% - 强调文字颜色 1 56" xfId="17856"/>
    <cellStyle name="20% - 强调文字颜色 1 56 2" xfId="21370"/>
    <cellStyle name="20% - 强调文字颜色 1 56 3" xfId="23453"/>
    <cellStyle name="20% - 强调文字颜色 1 57" xfId="22684"/>
    <cellStyle name="20% - 强调文字颜色 1 58" xfId="20758"/>
    <cellStyle name="20% - 强调文字颜色 1 6" xfId="105"/>
    <cellStyle name="20% - 强调文字颜色 1 6 10" xfId="13755"/>
    <cellStyle name="20% - 强调文字颜色 1 6 11" xfId="8019"/>
    <cellStyle name="20% - 强调文字颜色 1 6 12" xfId="17960"/>
    <cellStyle name="20% - 强调文字颜色 1 6 13" xfId="22555"/>
    <cellStyle name="20% - 强调文字颜色 1 6 14" xfId="21332"/>
    <cellStyle name="20% - 强调文字颜色 1 6 15" xfId="29812"/>
    <cellStyle name="20% - 强调文字颜色 1 6 16" xfId="32024"/>
    <cellStyle name="20% - 强调文字颜色 1 6 2" xfId="106"/>
    <cellStyle name="20% - 强调文字颜色 1 6 2 10" xfId="29813"/>
    <cellStyle name="20% - 强调文字颜色 1 6 2 11" xfId="31410"/>
    <cellStyle name="20% - 强调文字颜色 1 6 2 2" xfId="2072"/>
    <cellStyle name="20% - 强调文字颜色 1 6 2 3" xfId="5660"/>
    <cellStyle name="20% - 强调文字颜色 1 6 2 4" xfId="11813"/>
    <cellStyle name="20% - 强调文字颜色 1 6 2 5" xfId="13756"/>
    <cellStyle name="20% - 强调文字颜色 1 6 2 6" xfId="11670"/>
    <cellStyle name="20% - 强调文字颜色 1 6 2 7" xfId="17961"/>
    <cellStyle name="20% - 强调文字颜色 1 6 2 8" xfId="22014"/>
    <cellStyle name="20% - 强调文字颜色 1 6 2 9" xfId="20875"/>
    <cellStyle name="20% - 强调文字颜色 1 6 3" xfId="107"/>
    <cellStyle name="20% - 强调文字颜色 1 6 3 10" xfId="29814"/>
    <cellStyle name="20% - 强调文字颜色 1 6 3 11" xfId="33433"/>
    <cellStyle name="20% - 强调文字颜色 1 6 3 2" xfId="2073"/>
    <cellStyle name="20% - 强调文字颜色 1 6 3 3" xfId="5661"/>
    <cellStyle name="20% - 强调文字颜色 1 6 3 4" xfId="11814"/>
    <cellStyle name="20% - 强调文字颜色 1 6 3 5" xfId="13757"/>
    <cellStyle name="20% - 强调文字颜色 1 6 3 6" xfId="10829"/>
    <cellStyle name="20% - 强调文字颜色 1 6 3 7" xfId="17962"/>
    <cellStyle name="20% - 强调文字颜色 1 6 3 8" xfId="23428"/>
    <cellStyle name="20% - 强调文字颜色 1 6 3 9" xfId="20234"/>
    <cellStyle name="20% - 强调文字颜色 1 6 4" xfId="108"/>
    <cellStyle name="20% - 强调文字颜色 1 6 4 10" xfId="29815"/>
    <cellStyle name="20% - 强调文字颜色 1 6 4 11" xfId="33195"/>
    <cellStyle name="20% - 强调文字颜色 1 6 4 2" xfId="2074"/>
    <cellStyle name="20% - 强调文字颜色 1 6 4 3" xfId="5662"/>
    <cellStyle name="20% - 强调文字颜色 1 6 4 4" xfId="11815"/>
    <cellStyle name="20% - 强调文字颜色 1 6 4 5" xfId="13758"/>
    <cellStyle name="20% - 强调文字颜色 1 6 4 6" xfId="8018"/>
    <cellStyle name="20% - 强调文字颜色 1 6 4 7" xfId="17963"/>
    <cellStyle name="20% - 强调文字颜色 1 6 4 8" xfId="22445"/>
    <cellStyle name="20% - 强调文字颜色 1 6 4 9" xfId="20102"/>
    <cellStyle name="20% - 强调文字颜色 1 6 5" xfId="109"/>
    <cellStyle name="20% - 强调文字颜色 1 6 5 10" xfId="29816"/>
    <cellStyle name="20% - 强调文字颜色 1 6 5 11" xfId="32900"/>
    <cellStyle name="20% - 强调文字颜色 1 6 5 2" xfId="2075"/>
    <cellStyle name="20% - 强调文字颜色 1 6 5 3" xfId="5663"/>
    <cellStyle name="20% - 强调文字颜色 1 6 5 4" xfId="11816"/>
    <cellStyle name="20% - 强调文字颜色 1 6 5 5" xfId="13759"/>
    <cellStyle name="20% - 强调文字颜色 1 6 5 6" xfId="8017"/>
    <cellStyle name="20% - 强调文字颜色 1 6 5 7" xfId="17964"/>
    <cellStyle name="20% - 强调文字颜色 1 6 5 8" xfId="21891"/>
    <cellStyle name="20% - 强调文字颜色 1 6 5 9" xfId="21525"/>
    <cellStyle name="20% - 强调文字颜色 1 6 6" xfId="110"/>
    <cellStyle name="20% - 强调文字颜色 1 6 6 10" xfId="29817"/>
    <cellStyle name="20% - 强调文字颜色 1 6 6 11" xfId="32522"/>
    <cellStyle name="20% - 强调文字颜色 1 6 6 2" xfId="2076"/>
    <cellStyle name="20% - 强调文字颜色 1 6 6 3" xfId="5664"/>
    <cellStyle name="20% - 强调文字颜色 1 6 6 4" xfId="11817"/>
    <cellStyle name="20% - 强调文字颜色 1 6 6 5" xfId="13760"/>
    <cellStyle name="20% - 强调文字颜色 1 6 6 6" xfId="8016"/>
    <cellStyle name="20% - 强调文字颜色 1 6 6 7" xfId="17965"/>
    <cellStyle name="20% - 强调文字颜色 1 6 6 8" xfId="23427"/>
    <cellStyle name="20% - 强调文字颜色 1 6 6 9" xfId="20266"/>
    <cellStyle name="20% - 强调文字颜色 1 6 7" xfId="2071"/>
    <cellStyle name="20% - 强调文字颜色 1 6 8" xfId="5659"/>
    <cellStyle name="20% - 强调文字颜色 1 6 9" xfId="11812"/>
    <cellStyle name="20% - 强调文字颜色 1 7" xfId="111"/>
    <cellStyle name="20% - 强调文字颜色 1 7 10" xfId="22444"/>
    <cellStyle name="20% - 强调文字颜色 1 7 11" xfId="21331"/>
    <cellStyle name="20% - 强调文字颜色 1 7 12" xfId="29818"/>
    <cellStyle name="20% - 强调文字颜色 1 7 13" xfId="32293"/>
    <cellStyle name="20% - 强调文字颜色 1 7 2" xfId="112"/>
    <cellStyle name="20% - 强调文字颜色 1 7 2 10" xfId="29819"/>
    <cellStyle name="20% - 强调文字颜色 1 7 2 11" xfId="31833"/>
    <cellStyle name="20% - 强调文字颜色 1 7 2 2" xfId="2078"/>
    <cellStyle name="20% - 强调文字颜色 1 7 2 3" xfId="5666"/>
    <cellStyle name="20% - 强调文字颜色 1 7 2 4" xfId="11819"/>
    <cellStyle name="20% - 强调文字颜色 1 7 2 5" xfId="13762"/>
    <cellStyle name="20% - 强调文字颜色 1 7 2 6" xfId="8014"/>
    <cellStyle name="20% - 强调文字颜色 1 7 2 7" xfId="17967"/>
    <cellStyle name="20% - 强调文字颜色 1 7 2 8" xfId="21890"/>
    <cellStyle name="20% - 强调文字颜色 1 7 2 9" xfId="21368"/>
    <cellStyle name="20% - 强调文字颜色 1 7 3" xfId="113"/>
    <cellStyle name="20% - 强调文字颜色 1 7 3 10" xfId="29820"/>
    <cellStyle name="20% - 强调文字颜色 1 7 3 11" xfId="33432"/>
    <cellStyle name="20% - 强调文字颜色 1 7 3 2" xfId="2079"/>
    <cellStyle name="20% - 强调文字颜色 1 7 3 3" xfId="5667"/>
    <cellStyle name="20% - 强调文字颜色 1 7 3 4" xfId="11820"/>
    <cellStyle name="20% - 强调文字颜色 1 7 3 5" xfId="13763"/>
    <cellStyle name="20% - 强调文字颜色 1 7 3 6" xfId="8013"/>
    <cellStyle name="20% - 强调文字颜色 1 7 3 7" xfId="17968"/>
    <cellStyle name="20% - 强调文字颜色 1 7 3 8" xfId="23426"/>
    <cellStyle name="20% - 强调文字颜色 1 7 3 9" xfId="21366"/>
    <cellStyle name="20% - 强调文字颜色 1 7 4" xfId="2077"/>
    <cellStyle name="20% - 强调文字颜色 1 7 5" xfId="5665"/>
    <cellStyle name="20% - 强调文字颜色 1 7 6" xfId="11818"/>
    <cellStyle name="20% - 强调文字颜色 1 7 7" xfId="13761"/>
    <cellStyle name="20% - 强调文字颜色 1 7 8" xfId="8015"/>
    <cellStyle name="20% - 强调文字颜色 1 7 9" xfId="17966"/>
    <cellStyle name="20% - 强调文字颜色 1 8" xfId="114"/>
    <cellStyle name="20% - 强调文字颜色 1 8 10" xfId="13764"/>
    <cellStyle name="20% - 强调文字颜色 1 8 11" xfId="8012"/>
    <cellStyle name="20% - 强调文字颜色 1 8 12" xfId="17969"/>
    <cellStyle name="20% - 强调文字颜色 1 8 13" xfId="22443"/>
    <cellStyle name="20% - 强调文字颜色 1 8 14" xfId="21364"/>
    <cellStyle name="20% - 强调文字颜色 1 8 15" xfId="29821"/>
    <cellStyle name="20% - 强调文字颜色 1 8 16" xfId="33194"/>
    <cellStyle name="20% - 强调文字颜色 1 8 2" xfId="115"/>
    <cellStyle name="20% - 强调文字颜色 1 8 2 10" xfId="29822"/>
    <cellStyle name="20% - 强调文字颜色 1 8 2 11" xfId="32899"/>
    <cellStyle name="20% - 强调文字颜色 1 8 2 2" xfId="2081"/>
    <cellStyle name="20% - 强调文字颜色 1 8 2 3" xfId="5669"/>
    <cellStyle name="20% - 强调文字颜色 1 8 2 4" xfId="11822"/>
    <cellStyle name="20% - 强调文字颜色 1 8 2 5" xfId="13765"/>
    <cellStyle name="20% - 强调文字颜色 1 8 2 6" xfId="8011"/>
    <cellStyle name="20% - 强调文字颜色 1 8 2 7" xfId="17970"/>
    <cellStyle name="20% - 强调文字颜色 1 8 2 8" xfId="21889"/>
    <cellStyle name="20% - 强调文字颜色 1 8 2 9" xfId="21362"/>
    <cellStyle name="20% - 强调文字颜色 1 8 3" xfId="116"/>
    <cellStyle name="20% - 强调文字颜色 1 8 3 10" xfId="29823"/>
    <cellStyle name="20% - 强调文字颜色 1 8 3 11" xfId="32521"/>
    <cellStyle name="20% - 强调文字颜色 1 8 3 2" xfId="2082"/>
    <cellStyle name="20% - 强调文字颜色 1 8 3 3" xfId="5670"/>
    <cellStyle name="20% - 强调文字颜色 1 8 3 4" xfId="11823"/>
    <cellStyle name="20% - 强调文字颜色 1 8 3 5" xfId="13766"/>
    <cellStyle name="20% - 强调文字颜色 1 8 3 6" xfId="8010"/>
    <cellStyle name="20% - 强调文字颜色 1 8 3 7" xfId="17971"/>
    <cellStyle name="20% - 强调文字颜色 1 8 3 8" xfId="23425"/>
    <cellStyle name="20% - 强调文字颜色 1 8 3 9" xfId="21360"/>
    <cellStyle name="20% - 强调文字颜色 1 8 4" xfId="117"/>
    <cellStyle name="20% - 强调文字颜色 1 8 4 10" xfId="29824"/>
    <cellStyle name="20% - 强调文字颜色 1 8 4 11" xfId="32292"/>
    <cellStyle name="20% - 强调文字颜色 1 8 4 2" xfId="2083"/>
    <cellStyle name="20% - 强调文字颜色 1 8 4 3" xfId="5671"/>
    <cellStyle name="20% - 强调文字颜色 1 8 4 4" xfId="11824"/>
    <cellStyle name="20% - 强调文字颜色 1 8 4 5" xfId="13767"/>
    <cellStyle name="20% - 强调文字颜色 1 8 4 6" xfId="8009"/>
    <cellStyle name="20% - 强调文字颜色 1 8 4 7" xfId="17972"/>
    <cellStyle name="20% - 强调文字颜色 1 8 4 8" xfId="22442"/>
    <cellStyle name="20% - 强调文字颜色 1 8 4 9" xfId="20354"/>
    <cellStyle name="20% - 强调文字颜色 1 8 5" xfId="118"/>
    <cellStyle name="20% - 强调文字颜色 1 8 5 2" xfId="5672"/>
    <cellStyle name="20% - 强调文字颜色 1 8 5 3" xfId="11825"/>
    <cellStyle name="20% - 强调文字颜色 1 8 5 4" xfId="11669"/>
    <cellStyle name="20% - 强调文字颜色 1 8 5 5" xfId="17973"/>
    <cellStyle name="20% - 强调文字颜色 1 8 5 6" xfId="21888"/>
    <cellStyle name="20% - 强调文字颜色 1 8 5 7" xfId="20226"/>
    <cellStyle name="20% - 强调文字颜色 1 8 5 8" xfId="31462"/>
    <cellStyle name="20% - 强调文字颜色 1 8 5 9" xfId="33237"/>
    <cellStyle name="20% - 强调文字颜色 1 8 6" xfId="2080"/>
    <cellStyle name="20% - 强调文字颜色 1 8 7" xfId="5668"/>
    <cellStyle name="20% - 强调文字颜色 1 8 8" xfId="10910"/>
    <cellStyle name="20% - 强调文字颜色 1 8 9" xfId="11821"/>
    <cellStyle name="20% - 强调文字颜色 1 9" xfId="119"/>
    <cellStyle name="20% - 强调文字颜色 1 9 10" xfId="13768"/>
    <cellStyle name="20% - 强调文字颜色 1 9 11" xfId="10818"/>
    <cellStyle name="20% - 强调文字颜色 1 9 12" xfId="17974"/>
    <cellStyle name="20% - 强调文字颜色 1 9 13" xfId="23424"/>
    <cellStyle name="20% - 强调文字颜色 1 9 14" xfId="20094"/>
    <cellStyle name="20% - 强调文字颜色 1 9 15" xfId="29825"/>
    <cellStyle name="20% - 强调文字颜色 1 9 16" xfId="31832"/>
    <cellStyle name="20% - 强调文字颜色 1 9 2" xfId="120"/>
    <cellStyle name="20% - 强调文字颜色 1 9 2 10" xfId="29826"/>
    <cellStyle name="20% - 强调文字颜色 1 9 2 11" xfId="33431"/>
    <cellStyle name="20% - 强调文字颜色 1 9 2 2" xfId="2085"/>
    <cellStyle name="20% - 强调文字颜色 1 9 2 3" xfId="5674"/>
    <cellStyle name="20% - 强调文字颜色 1 9 2 4" xfId="11827"/>
    <cellStyle name="20% - 强调文字颜色 1 9 2 5" xfId="13769"/>
    <cellStyle name="20% - 强调文字颜色 1 9 2 6" xfId="11668"/>
    <cellStyle name="20% - 强调文字颜色 1 9 2 7" xfId="17975"/>
    <cellStyle name="20% - 强调文字颜色 1 9 2 8" xfId="22441"/>
    <cellStyle name="20% - 强调文字颜色 1 9 2 9" xfId="21524"/>
    <cellStyle name="20% - 强调文字颜色 1 9 3" xfId="121"/>
    <cellStyle name="20% - 强调文字颜色 1 9 3 10" xfId="29827"/>
    <cellStyle name="20% - 强调文字颜色 1 9 3 11" xfId="33193"/>
    <cellStyle name="20% - 强调文字颜色 1 9 3 2" xfId="2086"/>
    <cellStyle name="20% - 强调文字颜色 1 9 3 3" xfId="5675"/>
    <cellStyle name="20% - 强调文字颜色 1 9 3 4" xfId="11828"/>
    <cellStyle name="20% - 强调文字颜色 1 9 3 5" xfId="13770"/>
    <cellStyle name="20% - 强调文字颜色 1 9 3 6" xfId="10817"/>
    <cellStyle name="20% - 强调文字颜色 1 9 3 7" xfId="17976"/>
    <cellStyle name="20% - 强调文字颜色 1 9 3 8" xfId="21887"/>
    <cellStyle name="20% - 强调文字颜色 1 9 3 9" xfId="20267"/>
    <cellStyle name="20% - 强调文字颜色 1 9 4" xfId="122"/>
    <cellStyle name="20% - 强调文字颜色 1 9 4 10" xfId="29828"/>
    <cellStyle name="20% - 强调文字颜色 1 9 4 11" xfId="32898"/>
    <cellStyle name="20% - 强调文字颜色 1 9 4 2" xfId="2087"/>
    <cellStyle name="20% - 强调文字颜色 1 9 4 3" xfId="5676"/>
    <cellStyle name="20% - 强调文字颜色 1 9 4 4" xfId="11829"/>
    <cellStyle name="20% - 强调文字颜色 1 9 4 5" xfId="13771"/>
    <cellStyle name="20% - 强调文字颜色 1 9 4 6" xfId="11667"/>
    <cellStyle name="20% - 强调文字颜色 1 9 4 7" xfId="17977"/>
    <cellStyle name="20% - 强调文字颜色 1 9 4 8" xfId="23423"/>
    <cellStyle name="20% - 强调文字颜色 1 9 4 9" xfId="21330"/>
    <cellStyle name="20% - 强调文字颜色 1 9 5" xfId="123"/>
    <cellStyle name="20% - 强调文字颜色 1 9 5 2" xfId="5677"/>
    <cellStyle name="20% - 强调文字颜色 1 9 5 3" xfId="11830"/>
    <cellStyle name="20% - 强调文字颜色 1 9 5 4" xfId="10816"/>
    <cellStyle name="20% - 强调文字颜色 1 9 5 5" xfId="17978"/>
    <cellStyle name="20% - 强调文字颜色 1 9 5 6" xfId="22440"/>
    <cellStyle name="20% - 强调文字颜色 1 9 5 7" xfId="20873"/>
    <cellStyle name="20% - 强调文字颜色 1 9 5 8" xfId="31463"/>
    <cellStyle name="20% - 强调文字颜色 1 9 5 9" xfId="32111"/>
    <cellStyle name="20% - 强调文字颜色 1 9 6" xfId="2084"/>
    <cellStyle name="20% - 强调文字颜色 1 9 7" xfId="5673"/>
    <cellStyle name="20% - 强调文字颜色 1 9 8" xfId="10911"/>
    <cellStyle name="20% - 强调文字颜色 1 9 9" xfId="11826"/>
    <cellStyle name="20% - 强调文字颜色 2" xfId="124" builtinId="34" customBuiltin="1"/>
    <cellStyle name="20% - 强调文字颜色 2 10" xfId="125"/>
    <cellStyle name="20% - 强调文字颜色 2 10 10" xfId="13773"/>
    <cellStyle name="20% - 强调文字颜色 2 10 11" xfId="10815"/>
    <cellStyle name="20% - 强调文字颜色 2 10 12" xfId="17980"/>
    <cellStyle name="20% - 强调文字颜色 2 10 13" xfId="22656"/>
    <cellStyle name="20% - 强调文字颜色 2 10 14" xfId="20100"/>
    <cellStyle name="20% - 强调文字颜色 2 10 15" xfId="29829"/>
    <cellStyle name="20% - 强调文字颜色 2 10 16" xfId="32291"/>
    <cellStyle name="20% - 强调文字颜色 2 10 2" xfId="126"/>
    <cellStyle name="20% - 强调文字颜色 2 10 2 10" xfId="29830"/>
    <cellStyle name="20% - 强调文字颜色 2 10 2 11" xfId="31831"/>
    <cellStyle name="20% - 强调文字颜色 2 10 2 2" xfId="2090"/>
    <cellStyle name="20% - 强调文字颜色 2 10 2 3" xfId="5680"/>
    <cellStyle name="20% - 强调文字颜色 2 10 2 4" xfId="11833"/>
    <cellStyle name="20% - 强调文字颜色 2 10 2 5" xfId="13774"/>
    <cellStyle name="20% - 强调文字颜色 2 10 2 6" xfId="11665"/>
    <cellStyle name="20% - 强调文字颜色 2 10 2 7" xfId="17981"/>
    <cellStyle name="20% - 强调文字颜色 2 10 2 8" xfId="22433"/>
    <cellStyle name="20% - 强调文字颜色 2 10 2 9" xfId="21523"/>
    <cellStyle name="20% - 强调文字颜色 2 10 3" xfId="127"/>
    <cellStyle name="20% - 强调文字颜色 2 10 3 10" xfId="29831"/>
    <cellStyle name="20% - 强调文字颜色 2 10 3 11" xfId="33430"/>
    <cellStyle name="20% - 强调文字颜色 2 10 3 2" xfId="2091"/>
    <cellStyle name="20% - 强调文字颜色 2 10 3 3" xfId="5681"/>
    <cellStyle name="20% - 强调文字颜色 2 10 3 4" xfId="11834"/>
    <cellStyle name="20% - 强调文字颜色 2 10 3 5" xfId="13775"/>
    <cellStyle name="20% - 强调文字颜色 2 10 3 6" xfId="10814"/>
    <cellStyle name="20% - 强调文字颜色 2 10 3 7" xfId="17982"/>
    <cellStyle name="20% - 强调文字颜色 2 10 3 8" xfId="23422"/>
    <cellStyle name="20% - 强调文字颜色 2 10 3 9" xfId="20268"/>
    <cellStyle name="20% - 强调文字颜色 2 10 4" xfId="128"/>
    <cellStyle name="20% - 强调文字颜色 2 10 4 10" xfId="29832"/>
    <cellStyle name="20% - 强调文字颜色 2 10 4 11" xfId="33192"/>
    <cellStyle name="20% - 强调文字颜色 2 10 4 2" xfId="2092"/>
    <cellStyle name="20% - 强调文字颜色 2 10 4 3" xfId="5682"/>
    <cellStyle name="20% - 强调文字颜色 2 10 4 4" xfId="11835"/>
    <cellStyle name="20% - 强调文字颜色 2 10 4 5" xfId="13776"/>
    <cellStyle name="20% - 强调文字颜色 2 10 4 6" xfId="11664"/>
    <cellStyle name="20% - 强调文字颜色 2 10 4 7" xfId="17983"/>
    <cellStyle name="20% - 强调文字颜色 2 10 4 8" xfId="22880"/>
    <cellStyle name="20% - 强调文字颜色 2 10 4 9" xfId="21329"/>
    <cellStyle name="20% - 强调文字颜色 2 10 5" xfId="129"/>
    <cellStyle name="20% - 强调文字颜色 2 10 5 2" xfId="5683"/>
    <cellStyle name="20% - 强调文字颜色 2 10 5 3" xfId="11836"/>
    <cellStyle name="20% - 强调文字颜色 2 10 5 4" xfId="10813"/>
    <cellStyle name="20% - 强调文字颜色 2 10 5 5" xfId="17984"/>
    <cellStyle name="20% - 强调文字颜色 2 10 5 6" xfId="22662"/>
    <cellStyle name="20% - 强调文字颜色 2 10 5 7" xfId="20872"/>
    <cellStyle name="20% - 强调文字颜色 2 10 5 8" xfId="31464"/>
    <cellStyle name="20% - 强调文字颜色 2 10 5 9" xfId="32343"/>
    <cellStyle name="20% - 强调文字颜色 2 10 6" xfId="2089"/>
    <cellStyle name="20% - 强调文字颜色 2 10 7" xfId="5679"/>
    <cellStyle name="20% - 强调文字颜色 2 10 8" xfId="10913"/>
    <cellStyle name="20% - 强调文字颜色 2 10 9" xfId="11832"/>
    <cellStyle name="20% - 强调文字颜色 2 11" xfId="130"/>
    <cellStyle name="20% - 强调文字颜色 2 11 10" xfId="13777"/>
    <cellStyle name="20% - 强调文字颜色 2 11 11" xfId="11663"/>
    <cellStyle name="20% - 强调文字颜色 2 11 12" xfId="17985"/>
    <cellStyle name="20% - 强调文字颜色 2 11 13" xfId="22439"/>
    <cellStyle name="20% - 强调文字颜色 2 11 14" xfId="20231"/>
    <cellStyle name="20% - 强调文字颜色 2 11 15" xfId="29833"/>
    <cellStyle name="20% - 强调文字颜色 2 11 16" xfId="32897"/>
    <cellStyle name="20% - 强调文字颜色 2 11 2" xfId="131"/>
    <cellStyle name="20% - 强调文字颜色 2 11 2 10" xfId="29834"/>
    <cellStyle name="20% - 强调文字颜色 2 11 2 11" xfId="32520"/>
    <cellStyle name="20% - 强调文字颜色 2 11 2 2" xfId="2094"/>
    <cellStyle name="20% - 强调文字颜色 2 11 2 3" xfId="5685"/>
    <cellStyle name="20% - 强调文字颜色 2 11 2 4" xfId="11838"/>
    <cellStyle name="20% - 强调文字颜色 2 11 2 5" xfId="13778"/>
    <cellStyle name="20% - 强调文字颜色 2 11 2 6" xfId="10812"/>
    <cellStyle name="20% - 强调文字颜色 2 11 2 7" xfId="17986"/>
    <cellStyle name="20% - 强调文字颜色 2 11 2 8" xfId="23421"/>
    <cellStyle name="20% - 强调文字颜色 2 11 2 9" xfId="20099"/>
    <cellStyle name="20% - 强调文字颜色 2 11 3" xfId="132"/>
    <cellStyle name="20% - 强调文字颜色 2 11 3 10" xfId="29835"/>
    <cellStyle name="20% - 强调文字颜色 2 11 3 11" xfId="32290"/>
    <cellStyle name="20% - 强调文字颜色 2 11 3 2" xfId="2095"/>
    <cellStyle name="20% - 强调文字颜色 2 11 3 3" xfId="5686"/>
    <cellStyle name="20% - 强调文字颜色 2 11 3 4" xfId="11839"/>
    <cellStyle name="20% - 强调文字颜色 2 11 3 5" xfId="13779"/>
    <cellStyle name="20% - 强调文字颜色 2 11 3 6" xfId="11662"/>
    <cellStyle name="20% - 强调文字颜色 2 11 3 7" xfId="17987"/>
    <cellStyle name="20% - 强调文字颜色 2 11 3 8" xfId="22879"/>
    <cellStyle name="20% - 强调文字颜色 2 11 3 9" xfId="21522"/>
    <cellStyle name="20% - 强调文字颜色 2 11 4" xfId="133"/>
    <cellStyle name="20% - 强调文字颜色 2 11 4 10" xfId="29836"/>
    <cellStyle name="20% - 强调文字颜色 2 11 4 11" xfId="31830"/>
    <cellStyle name="20% - 强调文字颜色 2 11 4 2" xfId="2096"/>
    <cellStyle name="20% - 强调文字颜色 2 11 4 3" xfId="5687"/>
    <cellStyle name="20% - 强调文字颜色 2 11 4 4" xfId="11840"/>
    <cellStyle name="20% - 强调文字颜色 2 11 4 5" xfId="13780"/>
    <cellStyle name="20% - 强调文字颜色 2 11 4 6" xfId="10811"/>
    <cellStyle name="20% - 强调文字颜色 2 11 4 7" xfId="17988"/>
    <cellStyle name="20% - 强调文字颜色 2 11 4 8" xfId="22661"/>
    <cellStyle name="20% - 强调文字颜色 2 11 4 9" xfId="20269"/>
    <cellStyle name="20% - 强调文字颜色 2 11 5" xfId="134"/>
    <cellStyle name="20% - 强调文字颜色 2 11 5 2" xfId="5688"/>
    <cellStyle name="20% - 强调文字颜色 2 11 5 3" xfId="11841"/>
    <cellStyle name="20% - 强调文字颜色 2 11 5 4" xfId="11661"/>
    <cellStyle name="20% - 强调文字颜色 2 11 5 5" xfId="17989"/>
    <cellStyle name="20% - 强调文字颜色 2 11 5 6" xfId="22438"/>
    <cellStyle name="20% - 强调文字颜色 2 11 5 7" xfId="21328"/>
    <cellStyle name="20% - 强调文字颜色 2 11 5 8" xfId="31465"/>
    <cellStyle name="20% - 强调文字颜色 2 11 5 9" xfId="32973"/>
    <cellStyle name="20% - 强调文字颜色 2 11 6" xfId="2093"/>
    <cellStyle name="20% - 强调文字颜色 2 11 6 2" xfId="23613"/>
    <cellStyle name="20% - 强调文字颜色 2 11 6 3" xfId="26198"/>
    <cellStyle name="20% - 强调文字颜色 2 11 7" xfId="5684"/>
    <cellStyle name="20% - 强调文字颜色 2 11 7 2" xfId="23664"/>
    <cellStyle name="20% - 强调文字颜色 2 11 7 3" xfId="26249"/>
    <cellStyle name="20% - 强调文字颜色 2 11 8" xfId="10914"/>
    <cellStyle name="20% - 强调文字颜色 2 11 8 2" xfId="23731"/>
    <cellStyle name="20% - 强调文字颜色 2 11 8 3" xfId="26316"/>
    <cellStyle name="20% - 强调文字颜色 2 11 9" xfId="11837"/>
    <cellStyle name="20% - 强调文字颜色 2 12" xfId="135"/>
    <cellStyle name="20% - 强调文字颜色 2 12 10" xfId="13781"/>
    <cellStyle name="20% - 强调文字颜色 2 12 11" xfId="10810"/>
    <cellStyle name="20% - 强调文字颜色 2 12 12" xfId="17990"/>
    <cellStyle name="20% - 强调文字颜色 2 12 13" xfId="23420"/>
    <cellStyle name="20% - 强调文字颜色 2 12 14" xfId="20871"/>
    <cellStyle name="20% - 强调文字颜色 2 12 15" xfId="29837"/>
    <cellStyle name="20% - 强调文字颜色 2 12 16" xfId="33429"/>
    <cellStyle name="20% - 强调文字颜色 2 12 2" xfId="136"/>
    <cellStyle name="20% - 强调文字颜色 2 12 2 10" xfId="29838"/>
    <cellStyle name="20% - 强调文字颜色 2 12 2 11" xfId="33191"/>
    <cellStyle name="20% - 强调文字颜色 2 12 2 2" xfId="2098"/>
    <cellStyle name="20% - 强调文字颜色 2 12 2 3" xfId="5690"/>
    <cellStyle name="20% - 强调文字颜色 2 12 2 4" xfId="11843"/>
    <cellStyle name="20% - 强调文字颜色 2 12 2 5" xfId="13782"/>
    <cellStyle name="20% - 强调文字颜色 2 12 2 6" xfId="11660"/>
    <cellStyle name="20% - 强调文字颜色 2 12 2 7" xfId="17991"/>
    <cellStyle name="20% - 强调文字颜色 2 12 2 8" xfId="22878"/>
    <cellStyle name="20% - 强调文字颜色 2 12 2 9" xfId="20230"/>
    <cellStyle name="20% - 强调文字颜色 2 12 3" xfId="137"/>
    <cellStyle name="20% - 强调文字颜色 2 12 3 10" xfId="29839"/>
    <cellStyle name="20% - 强调文字颜色 2 12 3 11" xfId="32896"/>
    <cellStyle name="20% - 强调文字颜色 2 12 3 2" xfId="2099"/>
    <cellStyle name="20% - 强调文字颜色 2 12 3 3" xfId="5691"/>
    <cellStyle name="20% - 强调文字颜色 2 12 3 4" xfId="11844"/>
    <cellStyle name="20% - 强调文字颜色 2 12 3 5" xfId="13783"/>
    <cellStyle name="20% - 强调文字颜色 2 12 3 6" xfId="10809"/>
    <cellStyle name="20% - 强调文字颜色 2 12 3 7" xfId="17992"/>
    <cellStyle name="20% - 强调文字颜色 2 12 3 8" xfId="22660"/>
    <cellStyle name="20% - 强调文字颜色 2 12 3 9" xfId="20098"/>
    <cellStyle name="20% - 强调文字颜色 2 12 4" xfId="138"/>
    <cellStyle name="20% - 强调文字颜色 2 12 4 10" xfId="29840"/>
    <cellStyle name="20% - 强调文字颜色 2 12 4 11" xfId="32519"/>
    <cellStyle name="20% - 强调文字颜色 2 12 4 2" xfId="2100"/>
    <cellStyle name="20% - 强调文字颜色 2 12 4 3" xfId="5692"/>
    <cellStyle name="20% - 强调文字颜色 2 12 4 4" xfId="11845"/>
    <cellStyle name="20% - 强调文字颜色 2 12 4 5" xfId="13784"/>
    <cellStyle name="20% - 强调文字颜色 2 12 4 6" xfId="11659"/>
    <cellStyle name="20% - 强调文字颜色 2 12 4 7" xfId="17993"/>
    <cellStyle name="20% - 强调文字颜色 2 12 4 8" xfId="22437"/>
    <cellStyle name="20% - 强调文字颜色 2 12 4 9" xfId="21521"/>
    <cellStyle name="20% - 强调文字颜色 2 12 5" xfId="139"/>
    <cellStyle name="20% - 强调文字颜色 2 12 5 2" xfId="5693"/>
    <cellStyle name="20% - 强调文字颜色 2 12 5 3" xfId="11846"/>
    <cellStyle name="20% - 强调文字颜色 2 12 5 4" xfId="10808"/>
    <cellStyle name="20% - 强调文字颜色 2 12 5 5" xfId="17994"/>
    <cellStyle name="20% - 强调文字颜色 2 12 5 6" xfId="23419"/>
    <cellStyle name="20% - 强调文字颜色 2 12 5 7" xfId="20270"/>
    <cellStyle name="20% - 强调文字颜色 2 12 5 8" xfId="31466"/>
    <cellStyle name="20% - 强调文字颜色 2 12 5 9" xfId="31635"/>
    <cellStyle name="20% - 强调文字颜色 2 12 6" xfId="2097"/>
    <cellStyle name="20% - 强调文字颜色 2 12 6 2" xfId="23614"/>
    <cellStyle name="20% - 强调文字颜色 2 12 6 3" xfId="26199"/>
    <cellStyle name="20% - 强调文字颜色 2 12 7" xfId="5689"/>
    <cellStyle name="20% - 强调文字颜色 2 12 7 2" xfId="23665"/>
    <cellStyle name="20% - 强调文字颜色 2 12 7 3" xfId="26250"/>
    <cellStyle name="20% - 强调文字颜色 2 12 8" xfId="10915"/>
    <cellStyle name="20% - 强调文字颜色 2 12 8 2" xfId="23732"/>
    <cellStyle name="20% - 强调文字颜色 2 12 8 3" xfId="26317"/>
    <cellStyle name="20% - 强调文字颜色 2 12 9" xfId="11842"/>
    <cellStyle name="20% - 强调文字颜色 2 13" xfId="140"/>
    <cellStyle name="20% - 强调文字颜色 2 13 10" xfId="8008"/>
    <cellStyle name="20% - 强调文字颜色 2 13 11" xfId="17995"/>
    <cellStyle name="20% - 强调文字颜色 2 13 12" xfId="22877"/>
    <cellStyle name="20% - 强调文字颜色 2 13 13" xfId="21327"/>
    <cellStyle name="20% - 强调文字颜色 2 13 14" xfId="29841"/>
    <cellStyle name="20% - 强调文字颜色 2 13 15" xfId="32289"/>
    <cellStyle name="20% - 强调文字颜色 2 13 2" xfId="141"/>
    <cellStyle name="20% - 强调文字颜色 2 13 2 10" xfId="29842"/>
    <cellStyle name="20% - 强调文字颜色 2 13 2 11" xfId="31829"/>
    <cellStyle name="20% - 强调文字颜色 2 13 2 2" xfId="2102"/>
    <cellStyle name="20% - 强调文字颜色 2 13 2 3" xfId="5695"/>
    <cellStyle name="20% - 强调文字颜色 2 13 2 4" xfId="11848"/>
    <cellStyle name="20% - 强调文字颜色 2 13 2 5" xfId="13786"/>
    <cellStyle name="20% - 强调文字颜色 2 13 2 6" xfId="8007"/>
    <cellStyle name="20% - 强调文字颜色 2 13 2 7" xfId="17996"/>
    <cellStyle name="20% - 强调文字颜色 2 13 2 8" xfId="22659"/>
    <cellStyle name="20% - 强调文字颜色 2 13 2 9" xfId="20870"/>
    <cellStyle name="20% - 强调文字颜色 2 13 3" xfId="142"/>
    <cellStyle name="20% - 强调文字颜色 2 13 3 10" xfId="29843"/>
    <cellStyle name="20% - 强调文字颜色 2 13 3 11" xfId="33425"/>
    <cellStyle name="20% - 强调文字颜色 2 13 3 2" xfId="2103"/>
    <cellStyle name="20% - 强调文字颜色 2 13 3 3" xfId="5696"/>
    <cellStyle name="20% - 强调文字颜色 2 13 3 4" xfId="11849"/>
    <cellStyle name="20% - 强调文字颜色 2 13 3 5" xfId="13787"/>
    <cellStyle name="20% - 强调文字颜色 2 13 3 6" xfId="8006"/>
    <cellStyle name="20% - 强调文字颜色 2 13 3 7" xfId="17997"/>
    <cellStyle name="20% - 强调文字颜色 2 13 3 8" xfId="22436"/>
    <cellStyle name="20% - 强调文字颜色 2 13 3 9" xfId="20229"/>
    <cellStyle name="20% - 强调文字颜色 2 13 4" xfId="143"/>
    <cellStyle name="20% - 强调文字颜色 2 13 4 10" xfId="29844"/>
    <cellStyle name="20% - 强调文字颜色 2 13 4 11" xfId="33188"/>
    <cellStyle name="20% - 强调文字颜色 2 13 4 2" xfId="2104"/>
    <cellStyle name="20% - 强调文字颜色 2 13 4 3" xfId="5697"/>
    <cellStyle name="20% - 强调文字颜色 2 13 4 4" xfId="11850"/>
    <cellStyle name="20% - 强调文字颜色 2 13 4 5" xfId="13788"/>
    <cellStyle name="20% - 强调文字颜色 2 13 4 6" xfId="8005"/>
    <cellStyle name="20% - 强调文字颜色 2 13 4 7" xfId="17998"/>
    <cellStyle name="20% - 强调文字颜色 2 13 4 8" xfId="23418"/>
    <cellStyle name="20% - 强调文字颜色 2 13 4 9" xfId="20097"/>
    <cellStyle name="20% - 强调文字颜色 2 13 5" xfId="144"/>
    <cellStyle name="20% - 强调文字颜色 2 13 5 2" xfId="5698"/>
    <cellStyle name="20% - 强调文字颜色 2 13 5 3" xfId="11851"/>
    <cellStyle name="20% - 强调文字颜色 2 13 5 4" xfId="8004"/>
    <cellStyle name="20% - 强调文字颜色 2 13 5 5" xfId="17999"/>
    <cellStyle name="20% - 强调文字颜色 2 13 5 6" xfId="22876"/>
    <cellStyle name="20% - 强调文字颜色 2 13 5 7" xfId="21520"/>
    <cellStyle name="20% - 强调文字颜色 2 13 5 8" xfId="31467"/>
    <cellStyle name="20% - 强调文字颜色 2 13 5 9" xfId="32340"/>
    <cellStyle name="20% - 强调文字颜色 2 13 6" xfId="2101"/>
    <cellStyle name="20% - 强调文字颜色 2 13 6 2" xfId="23666"/>
    <cellStyle name="20% - 强调文字颜色 2 13 6 3" xfId="26251"/>
    <cellStyle name="20% - 强调文字颜色 2 13 7" xfId="5694"/>
    <cellStyle name="20% - 强调文字颜色 2 13 7 2" xfId="23733"/>
    <cellStyle name="20% - 强调文字颜色 2 13 7 3" xfId="26318"/>
    <cellStyle name="20% - 强调文字颜色 2 13 8" xfId="11847"/>
    <cellStyle name="20% - 强调文字颜色 2 13 8 2" xfId="23839"/>
    <cellStyle name="20% - 强调文字颜色 2 13 8 3" xfId="26424"/>
    <cellStyle name="20% - 强调文字颜色 2 13 9" xfId="13785"/>
    <cellStyle name="20% - 强调文字颜色 2 14" xfId="145"/>
    <cellStyle name="20% - 强调文字颜色 2 14 10" xfId="10801"/>
    <cellStyle name="20% - 强调文字颜色 2 14 11" xfId="18000"/>
    <cellStyle name="20% - 强调文字颜色 2 14 12" xfId="22658"/>
    <cellStyle name="20% - 强调文字颜色 2 14 13" xfId="20361"/>
    <cellStyle name="20% - 强调文字颜色 2 14 14" xfId="29845"/>
    <cellStyle name="20% - 强调文字颜色 2 14 15" xfId="32885"/>
    <cellStyle name="20% - 强调文字颜色 2 14 2" xfId="146"/>
    <cellStyle name="20% - 强调文字颜色 2 14 2 10" xfId="29846"/>
    <cellStyle name="20% - 强调文字颜色 2 14 2 11" xfId="32517"/>
    <cellStyle name="20% - 强调文字颜色 2 14 2 2" xfId="2106"/>
    <cellStyle name="20% - 强调文字颜色 2 14 2 3" xfId="5700"/>
    <cellStyle name="20% - 强调文字颜色 2 14 2 4" xfId="11853"/>
    <cellStyle name="20% - 强调文字颜色 2 14 2 5" xfId="13790"/>
    <cellStyle name="20% - 强调文字颜色 2 14 2 6" xfId="8003"/>
    <cellStyle name="20% - 强调文字颜色 2 14 2 7" xfId="18001"/>
    <cellStyle name="20% - 强调文字颜色 2 14 2 8" xfId="22435"/>
    <cellStyle name="20% - 强调文字颜色 2 14 2 9" xfId="21326"/>
    <cellStyle name="20% - 强调文字颜色 2 14 3" xfId="147"/>
    <cellStyle name="20% - 强调文字颜色 2 14 3 10" xfId="29847"/>
    <cellStyle name="20% - 强调文字颜色 2 14 3 11" xfId="32286"/>
    <cellStyle name="20% - 强调文字颜色 2 14 3 2" xfId="2107"/>
    <cellStyle name="20% - 强调文字颜色 2 14 3 3" xfId="5701"/>
    <cellStyle name="20% - 强调文字颜色 2 14 3 4" xfId="11854"/>
    <cellStyle name="20% - 强调文字颜色 2 14 3 5" xfId="13791"/>
    <cellStyle name="20% - 强调文字颜色 2 14 3 6" xfId="8002"/>
    <cellStyle name="20% - 强调文字颜色 2 14 3 7" xfId="18002"/>
    <cellStyle name="20% - 强调文字颜色 2 14 3 8" xfId="23417"/>
    <cellStyle name="20% - 强调文字颜色 2 14 3 9" xfId="20869"/>
    <cellStyle name="20% - 强调文字颜色 2 14 4" xfId="148"/>
    <cellStyle name="20% - 强调文字颜色 2 14 4 10" xfId="29848"/>
    <cellStyle name="20% - 强调文字颜色 2 14 4 11" xfId="31826"/>
    <cellStyle name="20% - 强调文字颜色 2 14 4 2" xfId="2108"/>
    <cellStyle name="20% - 强调文字颜色 2 14 4 3" xfId="5702"/>
    <cellStyle name="20% - 强调文字颜色 2 14 4 4" xfId="11855"/>
    <cellStyle name="20% - 强调文字颜色 2 14 4 5" xfId="13792"/>
    <cellStyle name="20% - 强调文字颜色 2 14 4 6" xfId="8001"/>
    <cellStyle name="20% - 强调文字颜色 2 14 4 7" xfId="18003"/>
    <cellStyle name="20% - 强调文字颜色 2 14 4 8" xfId="22875"/>
    <cellStyle name="20% - 强调文字颜色 2 14 4 9" xfId="20228"/>
    <cellStyle name="20% - 强调文字颜色 2 14 5" xfId="149"/>
    <cellStyle name="20% - 强调文字颜色 2 14 5 2" xfId="5703"/>
    <cellStyle name="20% - 强调文字颜色 2 14 5 3" xfId="11856"/>
    <cellStyle name="20% - 强调文字颜色 2 14 5 4" xfId="8000"/>
    <cellStyle name="20% - 强调文字颜色 2 14 5 5" xfId="18004"/>
    <cellStyle name="20% - 强调文字颜色 2 14 5 6" xfId="22657"/>
    <cellStyle name="20% - 强调文字颜色 2 14 5 7" xfId="20096"/>
    <cellStyle name="20% - 强调文字颜色 2 14 5 8" xfId="31469"/>
    <cellStyle name="20% - 强调文字颜色 2 14 5 9" xfId="33235"/>
    <cellStyle name="20% - 强调文字颜色 2 14 6" xfId="2105"/>
    <cellStyle name="20% - 强调文字颜色 2 14 6 2" xfId="23667"/>
    <cellStyle name="20% - 强调文字颜色 2 14 6 3" xfId="26252"/>
    <cellStyle name="20% - 强调文字颜色 2 14 7" xfId="5699"/>
    <cellStyle name="20% - 强调文字颜色 2 14 7 2" xfId="23734"/>
    <cellStyle name="20% - 强调文字颜色 2 14 7 3" xfId="26319"/>
    <cellStyle name="20% - 强调文字颜色 2 14 8" xfId="11852"/>
    <cellStyle name="20% - 强调文字颜色 2 14 8 2" xfId="23840"/>
    <cellStyle name="20% - 强调文字颜色 2 14 8 3" xfId="26425"/>
    <cellStyle name="20% - 强调文字颜色 2 14 9" xfId="13789"/>
    <cellStyle name="20% - 强调文字颜色 2 15" xfId="150"/>
    <cellStyle name="20% - 强调文字颜色 2 15 10" xfId="18005"/>
    <cellStyle name="20% - 强调文字颜色 2 15 11" xfId="22434"/>
    <cellStyle name="20% - 强调文字颜色 2 15 12" xfId="21519"/>
    <cellStyle name="20% - 强调文字颜色 2 15 13" xfId="29849"/>
    <cellStyle name="20% - 强调文字颜色 2 15 14" xfId="32895"/>
    <cellStyle name="20% - 强调文字颜色 2 15 2" xfId="151"/>
    <cellStyle name="20% - 强调文字颜色 2 15 2 10" xfId="29850"/>
    <cellStyle name="20% - 强调文字颜色 2 15 2 11" xfId="32023"/>
    <cellStyle name="20% - 强调文字颜色 2 15 2 2" xfId="2110"/>
    <cellStyle name="20% - 强调文字颜色 2 15 2 3" xfId="5705"/>
    <cellStyle name="20% - 强调文字颜色 2 15 2 4" xfId="11858"/>
    <cellStyle name="20% - 强调文字颜色 2 15 2 5" xfId="13794"/>
    <cellStyle name="20% - 强调文字颜色 2 15 2 6" xfId="7998"/>
    <cellStyle name="20% - 强调文字颜色 2 15 2 7" xfId="18006"/>
    <cellStyle name="20% - 强调文字颜色 2 15 2 8" xfId="23416"/>
    <cellStyle name="20% - 强调文字颜色 2 15 2 9" xfId="20271"/>
    <cellStyle name="20% - 强调文字颜色 2 15 3" xfId="152"/>
    <cellStyle name="20% - 强调文字颜色 2 15 3 10" xfId="29851"/>
    <cellStyle name="20% - 强调文字颜色 2 15 3 11" xfId="31404"/>
    <cellStyle name="20% - 强调文字颜色 2 15 3 2" xfId="2111"/>
    <cellStyle name="20% - 强调文字颜色 2 15 3 3" xfId="5706"/>
    <cellStyle name="20% - 强调文字颜色 2 15 3 4" xfId="11859"/>
    <cellStyle name="20% - 强调文字颜色 2 15 3 5" xfId="13795"/>
    <cellStyle name="20% - 强调文字颜色 2 15 3 6" xfId="7997"/>
    <cellStyle name="20% - 强调文字颜色 2 15 3 7" xfId="18007"/>
    <cellStyle name="20% - 强调文字颜色 2 15 3 8" xfId="22874"/>
    <cellStyle name="20% - 强调文字颜色 2 15 3 9" xfId="21325"/>
    <cellStyle name="20% - 强调文字颜色 2 15 4" xfId="153"/>
    <cellStyle name="20% - 强调文字颜色 2 15 4 2" xfId="5707"/>
    <cellStyle name="20% - 强调文字颜色 2 15 4 3" xfId="11860"/>
    <cellStyle name="20% - 强调文字颜色 2 15 4 4" xfId="7996"/>
    <cellStyle name="20% - 强调文字颜色 2 15 4 5" xfId="18008"/>
    <cellStyle name="20% - 强调文字颜色 2 15 4 6" xfId="23415"/>
    <cellStyle name="20% - 强调文字颜色 2 15 4 7" xfId="20868"/>
    <cellStyle name="20% - 强调文字颜色 2 15 4 8" xfId="31471"/>
    <cellStyle name="20% - 强调文字颜色 2 15 4 9" xfId="32109"/>
    <cellStyle name="20% - 强调文字颜色 2 15 5" xfId="2109"/>
    <cellStyle name="20% - 强调文字颜色 2 15 6" xfId="5704"/>
    <cellStyle name="20% - 强调文字颜色 2 15 7" xfId="11857"/>
    <cellStyle name="20% - 强调文字颜色 2 15 8" xfId="13793"/>
    <cellStyle name="20% - 强调文字颜色 2 15 9" xfId="7999"/>
    <cellStyle name="20% - 强调文字颜色 2 16" xfId="154"/>
    <cellStyle name="20% - 强调文字颜色 2 16 10" xfId="18009"/>
    <cellStyle name="20% - 强调文字颜色 2 16 11" xfId="22432"/>
    <cellStyle name="20% - 强调文字颜色 2 16 12" xfId="20227"/>
    <cellStyle name="20% - 强调文字颜色 2 16 13" xfId="29852"/>
    <cellStyle name="20% - 强调文字颜色 2 16 14" xfId="32894"/>
    <cellStyle name="20% - 强调文字颜色 2 16 2" xfId="155"/>
    <cellStyle name="20% - 强调文字颜色 2 16 2 10" xfId="29853"/>
    <cellStyle name="20% - 强调文字颜色 2 16 2 11" xfId="32022"/>
    <cellStyle name="20% - 强调文字颜色 2 16 2 2" xfId="2113"/>
    <cellStyle name="20% - 强调文字颜色 2 16 2 3" xfId="5709"/>
    <cellStyle name="20% - 强调文字颜色 2 16 2 4" xfId="11862"/>
    <cellStyle name="20% - 强调文字颜色 2 16 2 5" xfId="13797"/>
    <cellStyle name="20% - 强调文字颜色 2 16 2 6" xfId="7995"/>
    <cellStyle name="20% - 强调文字颜色 2 16 2 7" xfId="18010"/>
    <cellStyle name="20% - 强调文字颜色 2 16 2 8" xfId="21885"/>
    <cellStyle name="20% - 强调文字颜色 2 16 2 9" xfId="20095"/>
    <cellStyle name="20% - 强调文字颜色 2 16 3" xfId="156"/>
    <cellStyle name="20% - 强调文字颜色 2 16 3 10" xfId="29854"/>
    <cellStyle name="20% - 强调文字颜色 2 16 3 11" xfId="31403"/>
    <cellStyle name="20% - 强调文字颜色 2 16 3 2" xfId="2114"/>
    <cellStyle name="20% - 强调文字颜色 2 16 3 3" xfId="5710"/>
    <cellStyle name="20% - 强调文字颜色 2 16 3 4" xfId="11863"/>
    <cellStyle name="20% - 强调文字颜色 2 16 3 5" xfId="13798"/>
    <cellStyle name="20% - 强调文字颜色 2 16 3 6" xfId="7994"/>
    <cellStyle name="20% - 强调文字颜色 2 16 3 7" xfId="18011"/>
    <cellStyle name="20% - 强调文字颜色 2 16 3 8" xfId="23414"/>
    <cellStyle name="20% - 强调文字颜色 2 16 3 9" xfId="21518"/>
    <cellStyle name="20% - 强调文字颜色 2 16 4" xfId="157"/>
    <cellStyle name="20% - 强调文字颜色 2 16 4 2" xfId="5711"/>
    <cellStyle name="20% - 强调文字颜色 2 16 4 3" xfId="11864"/>
    <cellStyle name="20% - 强调文字颜色 2 16 4 4" xfId="7993"/>
    <cellStyle name="20% - 强调文字颜色 2 16 4 5" xfId="18012"/>
    <cellStyle name="20% - 强调文字颜色 2 16 4 6" xfId="22431"/>
    <cellStyle name="20% - 强调文字颜色 2 16 4 7" xfId="20272"/>
    <cellStyle name="20% - 强调文字颜色 2 16 4 8" xfId="31472"/>
    <cellStyle name="20% - 强调文字颜色 2 16 4 9" xfId="32972"/>
    <cellStyle name="20% - 强调文字颜色 2 16 5" xfId="2112"/>
    <cellStyle name="20% - 强调文字颜色 2 16 6" xfId="5708"/>
    <cellStyle name="20% - 强调文字颜色 2 16 7" xfId="11861"/>
    <cellStyle name="20% - 强调文字颜色 2 16 8" xfId="13796"/>
    <cellStyle name="20% - 强调文字颜色 2 16 9" xfId="10778"/>
    <cellStyle name="20% - 强调文字颜色 2 17" xfId="158"/>
    <cellStyle name="20% - 强调文字颜色 2 17 10" xfId="21884"/>
    <cellStyle name="20% - 强调文字颜色 2 17 11" xfId="21324"/>
    <cellStyle name="20% - 强调文字颜色 2 17 12" xfId="29855"/>
    <cellStyle name="20% - 强调文字颜色 2 17 13" xfId="33428"/>
    <cellStyle name="20% - 强调文字颜色 2 17 2" xfId="159"/>
    <cellStyle name="20% - 强调文字颜色 2 17 2 2" xfId="5713"/>
    <cellStyle name="20% - 强调文字颜色 2 17 2 3" xfId="11866"/>
    <cellStyle name="20% - 强调文字颜色 2 17 2 4" xfId="7991"/>
    <cellStyle name="20% - 强调文字颜色 2 17 2 5" xfId="18014"/>
    <cellStyle name="20% - 强调文字颜色 2 17 2 6" xfId="23413"/>
    <cellStyle name="20% - 强调文字颜色 2 17 2 7" xfId="20867"/>
    <cellStyle name="20% - 强调文字颜色 2 17 2 8" xfId="31473"/>
    <cellStyle name="20% - 强调文字颜色 2 17 2 9" xfId="32110"/>
    <cellStyle name="20% - 强调文字颜色 2 17 3" xfId="160"/>
    <cellStyle name="20% - 强调文字颜色 2 17 3 2" xfId="5714"/>
    <cellStyle name="20% - 强调文字颜色 2 17 3 3" xfId="11867"/>
    <cellStyle name="20% - 强调文字颜色 2 17 3 4" xfId="7990"/>
    <cellStyle name="20% - 强调文字颜色 2 17 3 5" xfId="18015"/>
    <cellStyle name="20% - 强调文字颜色 2 17 3 6" xfId="22430"/>
    <cellStyle name="20% - 强调文字颜色 2 17 3 7" xfId="20893"/>
    <cellStyle name="20% - 强调文字颜色 2 17 3 8" xfId="31474"/>
    <cellStyle name="20% - 强调文字颜色 2 17 3 9" xfId="31634"/>
    <cellStyle name="20% - 强调文字颜色 2 17 4" xfId="2115"/>
    <cellStyle name="20% - 强调文字颜色 2 17 5" xfId="5712"/>
    <cellStyle name="20% - 强调文字颜色 2 17 6" xfId="11865"/>
    <cellStyle name="20% - 强调文字颜色 2 17 7" xfId="13799"/>
    <cellStyle name="20% - 强调文字颜色 2 17 8" xfId="7992"/>
    <cellStyle name="20% - 强调文字颜色 2 17 9" xfId="18013"/>
    <cellStyle name="20% - 强调文字颜色 2 18" xfId="161"/>
    <cellStyle name="20% - 强调文字颜色 2 18 10" xfId="29856"/>
    <cellStyle name="20% - 强调文字颜色 2 18 11" xfId="33190"/>
    <cellStyle name="20% - 强调文字颜色 2 18 2" xfId="162"/>
    <cellStyle name="20% - 强调文字颜色 2 18 2 2" xfId="8211"/>
    <cellStyle name="20% - 强调文字颜色 2 18 2 3" xfId="7376"/>
    <cellStyle name="20% - 强调文字颜色 2 18 2 4" xfId="18017"/>
    <cellStyle name="20% - 强调文字颜色 2 18 2 5" xfId="21925"/>
    <cellStyle name="20% - 强调文字颜色 2 18 2 6" xfId="20735"/>
    <cellStyle name="20% - 强调文字颜色 2 18 2 7" xfId="31475"/>
    <cellStyle name="20% - 强调文字颜色 2 18 2 8" xfId="33236"/>
    <cellStyle name="20% - 强调文字颜色 2 18 3" xfId="2116"/>
    <cellStyle name="20% - 强调文字颜色 2 18 4" xfId="5715"/>
    <cellStyle name="20% - 强调文字颜色 2 18 5" xfId="13800"/>
    <cellStyle name="20% - 强调文字颜色 2 18 6" xfId="7989"/>
    <cellStyle name="20% - 强调文字颜色 2 18 7" xfId="18016"/>
    <cellStyle name="20% - 强调文字颜色 2 18 8" xfId="21883"/>
    <cellStyle name="20% - 强调文字颜色 2 18 9" xfId="20760"/>
    <cellStyle name="20% - 强调文字颜色 2 19" xfId="163"/>
    <cellStyle name="20% - 强调文字颜色 2 19 10" xfId="2118"/>
    <cellStyle name="20% - 强调文字颜色 2 19 10 2" xfId="8212"/>
    <cellStyle name="20% - 强调文字颜色 2 19 10 3" xfId="13802"/>
    <cellStyle name="20% - 强调文字颜色 2 19 10 4" xfId="24085"/>
    <cellStyle name="20% - 强调文字颜色 2 19 10 5" xfId="27320"/>
    <cellStyle name="20% - 强调文字颜色 2 19 11" xfId="2119"/>
    <cellStyle name="20% - 强调文字颜色 2 19 11 2" xfId="8213"/>
    <cellStyle name="20% - 强调文字颜色 2 19 11 3" xfId="13803"/>
    <cellStyle name="20% - 强调文字颜色 2 19 11 4" xfId="24086"/>
    <cellStyle name="20% - 强调文字颜色 2 19 11 5" xfId="27321"/>
    <cellStyle name="20% - 强调文字颜色 2 19 12" xfId="2120"/>
    <cellStyle name="20% - 强调文字颜色 2 19 12 2" xfId="8214"/>
    <cellStyle name="20% - 强调文字颜色 2 19 12 3" xfId="13804"/>
    <cellStyle name="20% - 强调文字颜色 2 19 12 4" xfId="24087"/>
    <cellStyle name="20% - 强调文字颜色 2 19 12 5" xfId="27322"/>
    <cellStyle name="20% - 强调文字颜色 2 19 13" xfId="2121"/>
    <cellStyle name="20% - 强调文字颜色 2 19 13 2" xfId="8215"/>
    <cellStyle name="20% - 强调文字颜色 2 19 13 3" xfId="13805"/>
    <cellStyle name="20% - 强调文字颜色 2 19 13 4" xfId="24088"/>
    <cellStyle name="20% - 强调文字颜色 2 19 13 5" xfId="27323"/>
    <cellStyle name="20% - 强调文字颜色 2 19 14" xfId="2122"/>
    <cellStyle name="20% - 强调文字颜色 2 19 14 2" xfId="8216"/>
    <cellStyle name="20% - 强调文字颜色 2 19 14 3" xfId="13806"/>
    <cellStyle name="20% - 强调文字颜色 2 19 14 4" xfId="24089"/>
    <cellStyle name="20% - 强调文字颜色 2 19 14 5" xfId="27324"/>
    <cellStyle name="20% - 强调文字颜色 2 19 15" xfId="2123"/>
    <cellStyle name="20% - 强调文字颜色 2 19 15 2" xfId="8217"/>
    <cellStyle name="20% - 强调文字颜色 2 19 15 3" xfId="13807"/>
    <cellStyle name="20% - 强调文字颜色 2 19 15 4" xfId="24090"/>
    <cellStyle name="20% - 强调文字颜色 2 19 15 5" xfId="27325"/>
    <cellStyle name="20% - 强调文字颜色 2 19 16" xfId="2124"/>
    <cellStyle name="20% - 强调文字颜色 2 19 16 2" xfId="8218"/>
    <cellStyle name="20% - 强调文字颜色 2 19 16 3" xfId="13808"/>
    <cellStyle name="20% - 强调文字颜色 2 19 16 4" xfId="24091"/>
    <cellStyle name="20% - 强调文字颜色 2 19 16 5" xfId="27326"/>
    <cellStyle name="20% - 强调文字颜色 2 19 17" xfId="2125"/>
    <cellStyle name="20% - 强调文字颜色 2 19 17 2" xfId="8219"/>
    <cellStyle name="20% - 强调文字颜色 2 19 17 3" xfId="13809"/>
    <cellStyle name="20% - 强调文字颜色 2 19 17 4" xfId="24092"/>
    <cellStyle name="20% - 强调文字颜色 2 19 17 5" xfId="27327"/>
    <cellStyle name="20% - 强调文字颜色 2 19 18" xfId="2126"/>
    <cellStyle name="20% - 强调文字颜色 2 19 18 2" xfId="8220"/>
    <cellStyle name="20% - 强调文字颜色 2 19 18 3" xfId="13810"/>
    <cellStyle name="20% - 强调文字颜色 2 19 18 4" xfId="24093"/>
    <cellStyle name="20% - 强调文字颜色 2 19 18 5" xfId="27328"/>
    <cellStyle name="20% - 强调文字颜色 2 19 19" xfId="2127"/>
    <cellStyle name="20% - 强调文字颜色 2 19 19 2" xfId="8221"/>
    <cellStyle name="20% - 强调文字颜色 2 19 19 3" xfId="13811"/>
    <cellStyle name="20% - 强调文字颜色 2 19 19 4" xfId="24094"/>
    <cellStyle name="20% - 强调文字颜色 2 19 19 5" xfId="27329"/>
    <cellStyle name="20% - 强调文字颜色 2 19 2" xfId="164"/>
    <cellStyle name="20% - 强调文字颜色 2 19 2 10" xfId="29858"/>
    <cellStyle name="20% - 强调文字颜色 2 19 2 11" xfId="32021"/>
    <cellStyle name="20% - 强调文字颜色 2 19 2 2" xfId="2128"/>
    <cellStyle name="20% - 强调文字颜色 2 19 2 3" xfId="5717"/>
    <cellStyle name="20% - 强调文字颜色 2 19 2 4" xfId="11869"/>
    <cellStyle name="20% - 强调文字颜色 2 19 2 5" xfId="13812"/>
    <cellStyle name="20% - 强调文字颜色 2 19 2 6" xfId="7987"/>
    <cellStyle name="20% - 强调文字颜色 2 19 2 7" xfId="18019"/>
    <cellStyle name="20% - 强调文字颜色 2 19 2 8" xfId="22429"/>
    <cellStyle name="20% - 强调文字颜色 2 19 2 9" xfId="20377"/>
    <cellStyle name="20% - 强调文字颜色 2 19 20" xfId="2129"/>
    <cellStyle name="20% - 强调文字颜色 2 19 20 2" xfId="8222"/>
    <cellStyle name="20% - 强调文字颜色 2 19 20 3" xfId="13813"/>
    <cellStyle name="20% - 强调文字颜色 2 19 20 4" xfId="24095"/>
    <cellStyle name="20% - 强调文字颜色 2 19 20 5" xfId="27330"/>
    <cellStyle name="20% - 强调文字颜色 2 19 21" xfId="2130"/>
    <cellStyle name="20% - 强调文字颜色 2 19 21 2" xfId="8223"/>
    <cellStyle name="20% - 强调文字颜色 2 19 21 3" xfId="13814"/>
    <cellStyle name="20% - 强调文字颜色 2 19 21 4" xfId="24096"/>
    <cellStyle name="20% - 强调文字颜色 2 19 21 5" xfId="27331"/>
    <cellStyle name="20% - 强调文字颜色 2 19 22" xfId="2131"/>
    <cellStyle name="20% - 强调文字颜色 2 19 22 2" xfId="8224"/>
    <cellStyle name="20% - 强调文字颜色 2 19 22 3" xfId="13815"/>
    <cellStyle name="20% - 强调文字颜色 2 19 22 4" xfId="24097"/>
    <cellStyle name="20% - 强调文字颜色 2 19 22 5" xfId="27332"/>
    <cellStyle name="20% - 强调文字颜色 2 19 23" xfId="2132"/>
    <cellStyle name="20% - 强调文字颜色 2 19 23 2" xfId="8225"/>
    <cellStyle name="20% - 强调文字颜色 2 19 23 3" xfId="13816"/>
    <cellStyle name="20% - 强调文字颜色 2 19 23 4" xfId="24098"/>
    <cellStyle name="20% - 强调文字颜色 2 19 23 5" xfId="27333"/>
    <cellStyle name="20% - 强调文字颜色 2 19 24" xfId="5716"/>
    <cellStyle name="20% - 强调文字颜色 2 19 25" xfId="10916"/>
    <cellStyle name="20% - 强调文字颜色 2 19 26" xfId="11868"/>
    <cellStyle name="20% - 强调文字颜色 2 19 27" xfId="13801"/>
    <cellStyle name="20% - 强调文字颜色 2 19 28" xfId="7988"/>
    <cellStyle name="20% - 强调文字颜色 2 19 29" xfId="18018"/>
    <cellStyle name="20% - 强调文字颜色 2 19 3" xfId="2117"/>
    <cellStyle name="20% - 强调文字颜色 2 19 3 2" xfId="8226"/>
    <cellStyle name="20% - 强调文字颜色 2 19 3 3" xfId="13817"/>
    <cellStyle name="20% - 强调文字颜色 2 19 3 4" xfId="24099"/>
    <cellStyle name="20% - 强调文字颜色 2 19 3 5" xfId="27319"/>
    <cellStyle name="20% - 强调文字颜色 2 19 30" xfId="23412"/>
    <cellStyle name="20% - 强调文字颜色 2 19 31" xfId="21348"/>
    <cellStyle name="20% - 强调文字颜色 2 19 32" xfId="29857"/>
    <cellStyle name="20% - 强调文字颜色 2 19 33" xfId="32893"/>
    <cellStyle name="20% - 强调文字颜色 2 19 4" xfId="2134"/>
    <cellStyle name="20% - 强调文字颜色 2 19 4 2" xfId="8227"/>
    <cellStyle name="20% - 强调文字颜色 2 19 4 3" xfId="13818"/>
    <cellStyle name="20% - 强调文字颜色 2 19 4 4" xfId="24100"/>
    <cellStyle name="20% - 强调文字颜色 2 19 4 5" xfId="27334"/>
    <cellStyle name="20% - 强调文字颜色 2 19 5" xfId="2135"/>
    <cellStyle name="20% - 强调文字颜色 2 19 5 2" xfId="8228"/>
    <cellStyle name="20% - 强调文字颜色 2 19 5 3" xfId="13819"/>
    <cellStyle name="20% - 强调文字颜色 2 19 5 4" xfId="24101"/>
    <cellStyle name="20% - 强调文字颜色 2 19 5 5" xfId="27335"/>
    <cellStyle name="20% - 强调文字颜色 2 19 6" xfId="2136"/>
    <cellStyle name="20% - 强调文字颜色 2 19 6 2" xfId="8229"/>
    <cellStyle name="20% - 强调文字颜色 2 19 6 3" xfId="13820"/>
    <cellStyle name="20% - 强调文字颜色 2 19 6 4" xfId="24102"/>
    <cellStyle name="20% - 强调文字颜色 2 19 6 5" xfId="27336"/>
    <cellStyle name="20% - 强调文字颜色 2 19 7" xfId="2137"/>
    <cellStyle name="20% - 强调文字颜色 2 19 7 2" xfId="8230"/>
    <cellStyle name="20% - 强调文字颜色 2 19 7 3" xfId="13821"/>
    <cellStyle name="20% - 强调文字颜色 2 19 7 4" xfId="24103"/>
    <cellStyle name="20% - 强调文字颜色 2 19 7 5" xfId="27337"/>
    <cellStyle name="20% - 强调文字颜色 2 19 8" xfId="2138"/>
    <cellStyle name="20% - 强调文字颜色 2 19 8 2" xfId="8231"/>
    <cellStyle name="20% - 强调文字颜色 2 19 8 3" xfId="13822"/>
    <cellStyle name="20% - 强调文字颜色 2 19 8 4" xfId="24104"/>
    <cellStyle name="20% - 强调文字颜色 2 19 8 5" xfId="27338"/>
    <cellStyle name="20% - 强调文字颜色 2 19 9" xfId="2139"/>
    <cellStyle name="20% - 强调文字颜色 2 19 9 2" xfId="8232"/>
    <cellStyle name="20% - 强调文字颜色 2 19 9 3" xfId="13823"/>
    <cellStyle name="20% - 强调文字颜色 2 19 9 4" xfId="24105"/>
    <cellStyle name="20% - 强调文字颜色 2 19 9 5" xfId="27339"/>
    <cellStyle name="20% - 强调文字颜色 2 2" xfId="165"/>
    <cellStyle name="20% - 强调文字颜色 2 2 10" xfId="166"/>
    <cellStyle name="20% - 强调文字颜色 2 2 10 10" xfId="29859"/>
    <cellStyle name="20% - 强调文字颜色 2 2 10 11" xfId="31401"/>
    <cellStyle name="20% - 强调文字颜色 2 2 10 2" xfId="2141"/>
    <cellStyle name="20% - 强调文字颜色 2 2 10 3" xfId="5719"/>
    <cellStyle name="20% - 强调文字颜色 2 2 10 4" xfId="11871"/>
    <cellStyle name="20% - 强调文字颜色 2 2 10 5" xfId="13825"/>
    <cellStyle name="20% - 强调文字颜色 2 2 10 6" xfId="7985"/>
    <cellStyle name="20% - 强调文字颜色 2 2 10 7" xfId="18021"/>
    <cellStyle name="20% - 强调文字颜色 2 2 10 8" xfId="23411"/>
    <cellStyle name="20% - 强调文字颜色 2 2 10 9" xfId="21323"/>
    <cellStyle name="20% - 强调文字颜色 2 2 11" xfId="167"/>
    <cellStyle name="20% - 强调文字颜色 2 2 11 10" xfId="29860"/>
    <cellStyle name="20% - 强调文字颜色 2 2 11 11" xfId="32892"/>
    <cellStyle name="20% - 强调文字颜色 2 2 11 2" xfId="2142"/>
    <cellStyle name="20% - 强调文字颜色 2 2 11 3" xfId="5720"/>
    <cellStyle name="20% - 强调文字颜色 2 2 11 4" xfId="11872"/>
    <cellStyle name="20% - 强调文字颜色 2 2 11 5" xfId="13826"/>
    <cellStyle name="20% - 强调文字颜色 2 2 11 6" xfId="7984"/>
    <cellStyle name="20% - 强调文字颜色 2 2 11 7" xfId="18022"/>
    <cellStyle name="20% - 强调文字颜色 2 2 11 8" xfId="22428"/>
    <cellStyle name="20% - 强调文字颜色 2 2 11 9" xfId="20720"/>
    <cellStyle name="20% - 强调文字颜色 2 2 12" xfId="168"/>
    <cellStyle name="20% - 强调文字颜色 2 2 12 10" xfId="29861"/>
    <cellStyle name="20% - 强调文字颜色 2 2 12 11" xfId="32020"/>
    <cellStyle name="20% - 强调文字颜色 2 2 12 2" xfId="2143"/>
    <cellStyle name="20% - 强调文字颜色 2 2 12 3" xfId="5721"/>
    <cellStyle name="20% - 强调文字颜色 2 2 12 4" xfId="11873"/>
    <cellStyle name="20% - 强调文字颜色 2 2 12 5" xfId="13827"/>
    <cellStyle name="20% - 强调文字颜色 2 2 12 6" xfId="7983"/>
    <cellStyle name="20% - 强调文字颜色 2 2 12 7" xfId="18023"/>
    <cellStyle name="20% - 强调文字颜色 2 2 12 8" xfId="21881"/>
    <cellStyle name="20% - 强调文字颜色 2 2 12 9" xfId="20093"/>
    <cellStyle name="20% - 强调文字颜色 2 2 13" xfId="169"/>
    <cellStyle name="20% - 强调文字颜色 2 2 13 10" xfId="29862"/>
    <cellStyle name="20% - 强调文字颜色 2 2 13 11" xfId="31400"/>
    <cellStyle name="20% - 强调文字颜色 2 2 13 2" xfId="2144"/>
    <cellStyle name="20% - 强调文字颜色 2 2 13 3" xfId="5722"/>
    <cellStyle name="20% - 强调文字颜色 2 2 13 4" xfId="11874"/>
    <cellStyle name="20% - 强调文字颜色 2 2 13 5" xfId="13828"/>
    <cellStyle name="20% - 强调文字颜色 2 2 13 6" xfId="7982"/>
    <cellStyle name="20% - 强调文字颜色 2 2 13 7" xfId="18024"/>
    <cellStyle name="20% - 强调文字颜色 2 2 13 8" xfId="23410"/>
    <cellStyle name="20% - 强调文字颜色 2 2 13 9" xfId="21322"/>
    <cellStyle name="20% - 强调文字颜色 2 2 14" xfId="170"/>
    <cellStyle name="20% - 强调文字颜色 2 2 14 10" xfId="22427"/>
    <cellStyle name="20% - 强调文字颜色 2 2 14 10 2" xfId="29498"/>
    <cellStyle name="20% - 强调文字颜色 2 2 14 11" xfId="20719"/>
    <cellStyle name="20% - 强调文字颜色 2 2 14 11 2" xfId="29628"/>
    <cellStyle name="20% - 强调文字颜色 2 2 14 12" xfId="29863"/>
    <cellStyle name="20% - 强调文字颜色 2 2 14 13" xfId="32891"/>
    <cellStyle name="20% - 强调文字颜色 2 2 14 2" xfId="171"/>
    <cellStyle name="20% - 强调文字颜色 2 2 14 2 2" xfId="5724"/>
    <cellStyle name="20% - 强调文字颜色 2 2 14 2 2 2" xfId="23551"/>
    <cellStyle name="20% - 强调文字颜色 2 2 14 2 2 3" xfId="26136"/>
    <cellStyle name="20% - 强调文字颜色 2 2 14 2 2 4" xfId="23550"/>
    <cellStyle name="20% - 强调文字颜色 2 2 14 2 3" xfId="11876"/>
    <cellStyle name="20% - 强调文字颜色 2 2 14 2 4" xfId="7980"/>
    <cellStyle name="20% - 强调文字颜色 2 2 14 2 4 2" xfId="26524"/>
    <cellStyle name="20% - 强调文字颜色 2 2 14 2 4 2 2" xfId="27034"/>
    <cellStyle name="20% - 强调文字颜色 2 2 14 2 4 3" xfId="26135"/>
    <cellStyle name="20% - 强调文字颜色 2 2 14 2 5" xfId="18026"/>
    <cellStyle name="20% - 强调文字颜色 2 2 14 2 6" xfId="21880"/>
    <cellStyle name="20% - 强调文字颜色 2 2 14 2 6 2" xfId="29592"/>
    <cellStyle name="20% - 强调文字颜色 2 2 14 2 7" xfId="20092"/>
    <cellStyle name="20% - 强调文字颜色 2 2 14 2 7 2" xfId="29687"/>
    <cellStyle name="20% - 强调文字颜色 2 2 14 2 8" xfId="31477"/>
    <cellStyle name="20% - 强调文字颜色 2 2 14 2 9" xfId="32588"/>
    <cellStyle name="20% - 强调文字颜色 2 2 14 3" xfId="2145"/>
    <cellStyle name="20% - 强调文字颜色 2 2 14 4" xfId="5723"/>
    <cellStyle name="20% - 强调文字颜色 2 2 14 4 2" xfId="8234"/>
    <cellStyle name="20% - 强调文字颜色 2 2 14 4 2 2" xfId="29418"/>
    <cellStyle name="20% - 强调文字颜色 2 2 14 4 2 3" xfId="29354"/>
    <cellStyle name="20% - 强调文字颜色 2 2 14 4 3" xfId="7374"/>
    <cellStyle name="20% - 强调文字颜色 2 2 14 4 4" xfId="21899"/>
    <cellStyle name="20% - 强调文字颜色 2 2 14 4 5" xfId="21551"/>
    <cellStyle name="20% - 强调文字颜色 2 2 14 4 6" xfId="29517"/>
    <cellStyle name="20% - 强调文字颜色 2 2 14 4 7" xfId="32038"/>
    <cellStyle name="20% - 强调文字颜色 2 2 14 4 8" xfId="32543"/>
    <cellStyle name="20% - 强调文字颜色 2 2 14 5" xfId="10918"/>
    <cellStyle name="20% - 强调文字颜色 2 2 14 6" xfId="11875"/>
    <cellStyle name="20% - 强调文字颜色 2 2 14 7" xfId="13829"/>
    <cellStyle name="20% - 强调文字颜色 2 2 14 8" xfId="7981"/>
    <cellStyle name="20% - 强调文字颜色 2 2 14 8 2" xfId="26523"/>
    <cellStyle name="20% - 强调文字颜色 2 2 14 8 3" xfId="24107"/>
    <cellStyle name="20% - 强调文字颜色 2 2 14 9" xfId="18025"/>
    <cellStyle name="20% - 强调文字颜色 2 2 14 9 2" xfId="29475"/>
    <cellStyle name="20% - 强调文字颜色 2 2 14 9 2 2" xfId="32939"/>
    <cellStyle name="20% - 强调文字颜色 2 2 14 9 3" xfId="32308"/>
    <cellStyle name="20% - 强调文字颜色 2 2 14 9 4" xfId="26541"/>
    <cellStyle name="20% - 强调文字颜色 2 2 15" xfId="172"/>
    <cellStyle name="20% - 强调文字颜色 2 2 15 10" xfId="29864"/>
    <cellStyle name="20% - 强调文字颜色 2 2 15 11" xfId="32019"/>
    <cellStyle name="20% - 强调文字颜色 2 2 15 2" xfId="2146"/>
    <cellStyle name="20% - 强调文字颜色 2 2 15 3" xfId="5725"/>
    <cellStyle name="20% - 强调文字颜色 2 2 15 4" xfId="11877"/>
    <cellStyle name="20% - 强调文字颜色 2 2 15 5" xfId="13830"/>
    <cellStyle name="20% - 强调文字颜色 2 2 15 6" xfId="7979"/>
    <cellStyle name="20% - 强调文字颜色 2 2 15 7" xfId="18027"/>
    <cellStyle name="20% - 强调文字颜色 2 2 15 8" xfId="23409"/>
    <cellStyle name="20% - 强调文字颜色 2 2 15 9" xfId="21321"/>
    <cellStyle name="20% - 强调文字颜色 2 2 16" xfId="173"/>
    <cellStyle name="20% - 强调文字颜色 2 2 16 10" xfId="29865"/>
    <cellStyle name="20% - 强调文字颜色 2 2 16 11" xfId="31399"/>
    <cellStyle name="20% - 强调文字颜色 2 2 16 2" xfId="2147"/>
    <cellStyle name="20% - 强调文字颜色 2 2 16 3" xfId="5726"/>
    <cellStyle name="20% - 强调文字颜色 2 2 16 4" xfId="11878"/>
    <cellStyle name="20% - 强调文字颜色 2 2 16 5" xfId="13831"/>
    <cellStyle name="20% - 强调文字颜色 2 2 16 6" xfId="7978"/>
    <cellStyle name="20% - 强调文字颜色 2 2 16 7" xfId="18028"/>
    <cellStyle name="20% - 强调文字颜色 2 2 16 8" xfId="22426"/>
    <cellStyle name="20% - 强调文字颜色 2 2 16 9" xfId="20718"/>
    <cellStyle name="20% - 强调文字颜色 2 2 17" xfId="174"/>
    <cellStyle name="20% - 强调文字颜色 2 2 17 10" xfId="29866"/>
    <cellStyle name="20% - 强调文字颜色 2 2 17 11" xfId="32890"/>
    <cellStyle name="20% - 强调文字颜色 2 2 17 2" xfId="2148"/>
    <cellStyle name="20% - 强调文字颜色 2 2 17 3" xfId="5727"/>
    <cellStyle name="20% - 强调文字颜色 2 2 17 4" xfId="11879"/>
    <cellStyle name="20% - 强调文字颜色 2 2 17 5" xfId="13832"/>
    <cellStyle name="20% - 强调文字颜色 2 2 17 6" xfId="7977"/>
    <cellStyle name="20% - 强调文字颜色 2 2 17 7" xfId="18029"/>
    <cellStyle name="20% - 强调文字颜色 2 2 17 8" xfId="21879"/>
    <cellStyle name="20% - 强调文字颜色 2 2 17 9" xfId="20091"/>
    <cellStyle name="20% - 强调文字颜色 2 2 18" xfId="175"/>
    <cellStyle name="20% - 强调文字颜色 2 2 18 10" xfId="29867"/>
    <cellStyle name="20% - 强调文字颜色 2 2 18 11" xfId="32018"/>
    <cellStyle name="20% - 强调文字颜色 2 2 18 2" xfId="2149"/>
    <cellStyle name="20% - 强调文字颜色 2 2 18 3" xfId="5728"/>
    <cellStyle name="20% - 强调文字颜色 2 2 18 4" xfId="11880"/>
    <cellStyle name="20% - 强调文字颜色 2 2 18 5" xfId="13833"/>
    <cellStyle name="20% - 强调文字颜色 2 2 18 6" xfId="7976"/>
    <cellStyle name="20% - 强调文字颜色 2 2 18 7" xfId="18030"/>
    <cellStyle name="20% - 强调文字颜色 2 2 18 8" xfId="23408"/>
    <cellStyle name="20% - 强调文字颜色 2 2 18 9" xfId="21320"/>
    <cellStyle name="20% - 强调文字颜色 2 2 19" xfId="2140"/>
    <cellStyle name="20% - 强调文字颜色 2 2 19 2" xfId="23549"/>
    <cellStyle name="20% - 强调文字颜色 2 2 19 2 2" xfId="23615"/>
    <cellStyle name="20% - 强调文字颜色 2 2 19 2 2 2" xfId="29591"/>
    <cellStyle name="20% - 强调文字颜色 2 2 19 2 2 2 2" xfId="29632"/>
    <cellStyle name="20% - 强调文字颜色 2 2 19 2 3" xfId="26200"/>
    <cellStyle name="20% - 强调文字颜色 2 2 19 2 4" xfId="31856"/>
    <cellStyle name="20% - 强调文字颜色 2 2 19 2 5" xfId="32550"/>
    <cellStyle name="20% - 强调文字颜色 2 2 19 3" xfId="26134"/>
    <cellStyle name="20% - 强调文字颜色 2 2 19 3 2" xfId="26965"/>
    <cellStyle name="20% - 强调文字颜色 2 2 19 3 2 2" xfId="27033"/>
    <cellStyle name="20% - 强调文字颜色 2 2 19 3 2 2 2" xfId="33448"/>
    <cellStyle name="20% - 强调文字颜色 2 2 19 3 2 2 2 2" xfId="33468"/>
    <cellStyle name="20% - 强调文字颜色 2 2 19 3 2 3" xfId="33586"/>
    <cellStyle name="20% - 强调文字颜色 2 2 19 3 3" xfId="29674"/>
    <cellStyle name="20% - 强调文字颜色 2 2 19 3 3 2" xfId="33569"/>
    <cellStyle name="20% - 强调文字颜色 2 2 19 4" xfId="27340"/>
    <cellStyle name="20% - 强调文字颜色 2 2 19 4 2" xfId="31476"/>
    <cellStyle name="20% - 强调文字颜色 2 2 19 5" xfId="32342"/>
    <cellStyle name="20% - 强调文字颜色 2 2 2" xfId="176"/>
    <cellStyle name="20% - 强调文字颜色 2 2 2 10" xfId="10919"/>
    <cellStyle name="20% - 强调文字颜色 2 2 2 10 2" xfId="23736"/>
    <cellStyle name="20% - 强调文字颜色 2 2 2 10 2 2" xfId="26961"/>
    <cellStyle name="20% - 强调文字颜色 2 2 2 10 2 2 2" xfId="27108"/>
    <cellStyle name="20% - 强调文字颜色 2 2 2 10 3" xfId="26321"/>
    <cellStyle name="20% - 强调文字颜色 2 2 2 10 4" xfId="23501"/>
    <cellStyle name="20% - 强调文字颜色 2 2 2 11" xfId="11881"/>
    <cellStyle name="20% - 强调文字颜色 2 2 2 12" xfId="13834"/>
    <cellStyle name="20% - 强调文字颜色 2 2 2 13" xfId="7975"/>
    <cellStyle name="20% - 强调文字颜色 2 2 2 13 2" xfId="29409"/>
    <cellStyle name="20% - 强调文字颜色 2 2 2 13 2 2" xfId="32927"/>
    <cellStyle name="20% - 强调文字颜色 2 2 2 13 3" xfId="32036"/>
    <cellStyle name="20% - 强调文字颜色 2 2 2 13 4" xfId="24108"/>
    <cellStyle name="20% - 强调文字颜色 2 2 2 14" xfId="18031"/>
    <cellStyle name="20% - 强调文字颜色 2 2 2 15" xfId="22425"/>
    <cellStyle name="20% - 强调文字颜色 2 2 2 15 2" xfId="29499"/>
    <cellStyle name="20% - 强调文字颜色 2 2 2 16" xfId="20717"/>
    <cellStyle name="20% - 强调文字颜色 2 2 2 16 2" xfId="29718"/>
    <cellStyle name="20% - 强调文字颜色 2 2 2 17" xfId="29868"/>
    <cellStyle name="20% - 强调文字颜色 2 2 2 18" xfId="31398"/>
    <cellStyle name="20% - 强调文字颜色 2 2 2 2" xfId="177"/>
    <cellStyle name="20% - 强调文字颜色 2 2 2 2 10" xfId="21878"/>
    <cellStyle name="20% - 强调文字颜色 2 2 2 2 10 2" xfId="29500"/>
    <cellStyle name="20% - 强调文字颜色 2 2 2 2 11" xfId="20090"/>
    <cellStyle name="20% - 强调文字颜色 2 2 2 2 11 2" xfId="29665"/>
    <cellStyle name="20% - 强调文字颜色 2 2 2 2 12" xfId="29869"/>
    <cellStyle name="20% - 强调文字颜色 2 2 2 2 13" xfId="33427"/>
    <cellStyle name="20% - 强调文字颜色 2 2 2 2 2" xfId="178"/>
    <cellStyle name="20% - 强调文字颜色 2 2 2 2 2 2" xfId="5731"/>
    <cellStyle name="20% - 强调文字颜色 2 2 2 2 2 3" xfId="11883"/>
    <cellStyle name="20% - 强调文字颜色 2 2 2 2 2 3 2" xfId="23841"/>
    <cellStyle name="20% - 强调文字颜色 2 2 2 2 2 3 3" xfId="26426"/>
    <cellStyle name="20% - 强调文字颜色 2 2 2 2 2 3 4" xfId="23553"/>
    <cellStyle name="20% - 强调文字颜色 2 2 2 2 2 4" xfId="10755"/>
    <cellStyle name="20% - 强调文字颜色 2 2 2 2 2 4 2" xfId="26525"/>
    <cellStyle name="20% - 强调文字颜色 2 2 2 2 2 4 2 2" xfId="27036"/>
    <cellStyle name="20% - 强调文字颜色 2 2 2 2 2 4 3" xfId="26138"/>
    <cellStyle name="20% - 强调文字颜色 2 2 2 2 2 5" xfId="18033"/>
    <cellStyle name="20% - 强调文字颜色 2 2 2 2 2 6" xfId="23407"/>
    <cellStyle name="20% - 强调文字颜色 2 2 2 2 2 6 2" xfId="29594"/>
    <cellStyle name="20% - 强调文字颜色 2 2 2 2 2 6 2 2" xfId="32938"/>
    <cellStyle name="20% - 强调文字颜色 2 2 2 2 2 6 3" xfId="32309"/>
    <cellStyle name="20% - 强调文字颜色 2 2 2 2 2 7" xfId="21319"/>
    <cellStyle name="20% - 强调文字颜色 2 2 2 2 2 7 2" xfId="29706"/>
    <cellStyle name="20% - 强调文字颜色 2 2 2 2 2 8" xfId="31479"/>
    <cellStyle name="20% - 强调文字颜色 2 2 2 2 2 9" xfId="32341"/>
    <cellStyle name="20% - 强调文字颜色 2 2 2 2 3" xfId="2151"/>
    <cellStyle name="20% - 强调文字颜色 2 2 2 2 3 2" xfId="23617"/>
    <cellStyle name="20% - 强调文字颜色 2 2 2 2 3 2 2" xfId="26526"/>
    <cellStyle name="20% - 强调文字颜色 2 2 2 2 3 2 2 2" xfId="27073"/>
    <cellStyle name="20% - 强调文字颜色 2 2 2 2 3 3" xfId="26202"/>
    <cellStyle name="20% - 强调文字颜色 2 2 2 2 4" xfId="5730"/>
    <cellStyle name="20% - 强调文字颜色 2 2 2 2 4 2" xfId="8236"/>
    <cellStyle name="20% - 强调文字颜色 2 2 2 2 4 2 2" xfId="26527"/>
    <cellStyle name="20% - 强调文字颜色 2 2 2 2 4 2 2 2" xfId="27085"/>
    <cellStyle name="20% - 强调文字颜色 2 2 2 2 4 2 2 2 2" xfId="32929"/>
    <cellStyle name="20% - 强调文字颜色 2 2 2 2 4 2 2 2 2 2" xfId="33490"/>
    <cellStyle name="20% - 强调文字颜色 2 2 2 2 4 2 2 3" xfId="33606"/>
    <cellStyle name="20% - 强调文字颜色 2 2 2 2 4 2 3" xfId="29420"/>
    <cellStyle name="20% - 强调文字颜色 2 2 2 2 4 2 3 2" xfId="31468"/>
    <cellStyle name="20% - 强调文字颜色 2 2 2 2 4 3" xfId="7372"/>
    <cellStyle name="20% - 强调文字颜色 2 2 2 2 4 3 2" xfId="29356"/>
    <cellStyle name="20% - 强调文字颜色 2 2 2 2 4 3 2 2" xfId="29382"/>
    <cellStyle name="20% - 强调文字颜色 2 2 2 2 4 4" xfId="21901"/>
    <cellStyle name="20% - 强调文字颜色 2 2 2 2 4 5" xfId="21550"/>
    <cellStyle name="20% - 强调文字颜色 2 2 2 2 4 6" xfId="29643"/>
    <cellStyle name="20% - 强调文字颜色 2 2 2 2 4 7" xfId="32040"/>
    <cellStyle name="20% - 强调文字颜色 2 2 2 2 4 8" xfId="30548"/>
    <cellStyle name="20% - 强调文字颜色 2 2 2 2 5" xfId="10920"/>
    <cellStyle name="20% - 强调文字颜色 2 2 2 2 5 2" xfId="23737"/>
    <cellStyle name="20% - 强调文字颜色 2 2 2 2 5 2 2" xfId="26962"/>
    <cellStyle name="20% - 强调文字颜色 2 2 2 2 5 2 2 2" xfId="27109"/>
    <cellStyle name="20% - 强调文字颜色 2 2 2 2 5 3" xfId="26322"/>
    <cellStyle name="20% - 强调文字颜色 2 2 2 2 5 4" xfId="23502"/>
    <cellStyle name="20% - 强调文字颜色 2 2 2 2 6" xfId="11882"/>
    <cellStyle name="20% - 强调文字颜色 2 2 2 2 7" xfId="13835"/>
    <cellStyle name="20% - 强调文字颜色 2 2 2 2 8" xfId="7974"/>
    <cellStyle name="20% - 强调文字颜色 2 2 2 2 8 2" xfId="29408"/>
    <cellStyle name="20% - 强调文字颜色 2 2 2 2 8 2 2" xfId="32928"/>
    <cellStyle name="20% - 强调文字颜色 2 2 2 2 8 3" xfId="32312"/>
    <cellStyle name="20% - 强调文字颜色 2 2 2 2 8 4" xfId="24109"/>
    <cellStyle name="20% - 强调文字颜色 2 2 2 2 9" xfId="18032"/>
    <cellStyle name="20% - 强调文字颜色 2 2 2 3" xfId="179"/>
    <cellStyle name="20% - 强调文字颜色 2 2 2 3 10" xfId="29870"/>
    <cellStyle name="20% - 强调文字颜色 2 2 2 3 11" xfId="33189"/>
    <cellStyle name="20% - 强调文字颜色 2 2 2 3 2" xfId="2152"/>
    <cellStyle name="20% - 强调文字颜色 2 2 2 3 3" xfId="5732"/>
    <cellStyle name="20% - 强调文字颜色 2 2 2 3 4" xfId="11884"/>
    <cellStyle name="20% - 强调文字颜色 2 2 2 3 5" xfId="13836"/>
    <cellStyle name="20% - 强调文字颜色 2 2 2 3 6" xfId="7973"/>
    <cellStyle name="20% - 强调文字颜色 2 2 2 3 7" xfId="18034"/>
    <cellStyle name="20% - 强调文字颜色 2 2 2 3 8" xfId="22424"/>
    <cellStyle name="20% - 强调文字颜色 2 2 2 3 9" xfId="20716"/>
    <cellStyle name="20% - 强调文字颜色 2 2 2 4" xfId="180"/>
    <cellStyle name="20% - 强调文字颜色 2 2 2 4 10" xfId="29871"/>
    <cellStyle name="20% - 强调文字颜色 2 2 2 4 11" xfId="32889"/>
    <cellStyle name="20% - 强调文字颜色 2 2 2 4 2" xfId="2153"/>
    <cellStyle name="20% - 强调文字颜色 2 2 2 4 3" xfId="5733"/>
    <cellStyle name="20% - 强调文字颜色 2 2 2 4 4" xfId="11885"/>
    <cellStyle name="20% - 强调文字颜色 2 2 2 4 5" xfId="13837"/>
    <cellStyle name="20% - 强调文字颜色 2 2 2 4 6" xfId="7972"/>
    <cellStyle name="20% - 强调文字颜色 2 2 2 4 7" xfId="18035"/>
    <cellStyle name="20% - 强调文字颜色 2 2 2 4 8" xfId="21877"/>
    <cellStyle name="20% - 强调文字颜色 2 2 2 4 9" xfId="20089"/>
    <cellStyle name="20% - 强调文字颜色 2 2 2 5" xfId="181"/>
    <cellStyle name="20% - 强调文字颜色 2 2 2 5 10" xfId="29872"/>
    <cellStyle name="20% - 强调文字颜色 2 2 2 5 11" xfId="32518"/>
    <cellStyle name="20% - 强调文字颜色 2 2 2 5 2" xfId="2154"/>
    <cellStyle name="20% - 强调文字颜色 2 2 2 5 3" xfId="5734"/>
    <cellStyle name="20% - 强调文字颜色 2 2 2 5 4" xfId="11886"/>
    <cellStyle name="20% - 强调文字颜色 2 2 2 5 5" xfId="13838"/>
    <cellStyle name="20% - 强调文字颜色 2 2 2 5 6" xfId="7971"/>
    <cellStyle name="20% - 强调文字颜色 2 2 2 5 7" xfId="18036"/>
    <cellStyle name="20% - 强调文字颜色 2 2 2 5 8" xfId="23406"/>
    <cellStyle name="20% - 强调文字颜色 2 2 2 5 9" xfId="21318"/>
    <cellStyle name="20% - 强调文字颜色 2 2 2 6" xfId="182"/>
    <cellStyle name="20% - 强调文字颜色 2 2 2 6 10" xfId="29873"/>
    <cellStyle name="20% - 强调文字颜色 2 2 2 6 11" xfId="32288"/>
    <cellStyle name="20% - 强调文字颜色 2 2 2 6 2" xfId="2155"/>
    <cellStyle name="20% - 强调文字颜色 2 2 2 6 3" xfId="5735"/>
    <cellStyle name="20% - 强调文字颜色 2 2 2 6 4" xfId="11887"/>
    <cellStyle name="20% - 强调文字颜色 2 2 2 6 5" xfId="13839"/>
    <cellStyle name="20% - 强调文字颜色 2 2 2 6 6" xfId="7970"/>
    <cellStyle name="20% - 强调文字颜色 2 2 2 6 7" xfId="18037"/>
    <cellStyle name="20% - 强调文字颜色 2 2 2 6 8" xfId="22423"/>
    <cellStyle name="20% - 强调文字颜色 2 2 2 6 9" xfId="20715"/>
    <cellStyle name="20% - 强调文字颜色 2 2 2 7" xfId="183"/>
    <cellStyle name="20% - 强调文字颜色 2 2 2 7 10" xfId="29874"/>
    <cellStyle name="20% - 强调文字颜色 2 2 2 7 11" xfId="31828"/>
    <cellStyle name="20% - 强调文字颜色 2 2 2 7 2" xfId="2156"/>
    <cellStyle name="20% - 强调文字颜色 2 2 2 7 3" xfId="5736"/>
    <cellStyle name="20% - 强调文字颜色 2 2 2 7 4" xfId="11888"/>
    <cellStyle name="20% - 强调文字颜色 2 2 2 7 5" xfId="13840"/>
    <cellStyle name="20% - 强调文字颜色 2 2 2 7 6" xfId="7969"/>
    <cellStyle name="20% - 强调文字颜色 2 2 2 7 7" xfId="18038"/>
    <cellStyle name="20% - 强调文字颜色 2 2 2 7 8" xfId="21876"/>
    <cellStyle name="20% - 强调文字颜色 2 2 2 7 9" xfId="20088"/>
    <cellStyle name="20% - 强调文字颜色 2 2 2 8" xfId="2150"/>
    <cellStyle name="20% - 强调文字颜色 2 2 2 8 2" xfId="23552"/>
    <cellStyle name="20% - 强调文字颜色 2 2 2 8 2 2" xfId="23616"/>
    <cellStyle name="20% - 强调文字颜色 2 2 2 8 2 2 2" xfId="29593"/>
    <cellStyle name="20% - 强调文字颜色 2 2 2 8 2 2 2 2" xfId="29633"/>
    <cellStyle name="20% - 强调文字颜色 2 2 2 8 2 3" xfId="26201"/>
    <cellStyle name="20% - 强调文字颜色 2 2 2 8 2 4" xfId="31857"/>
    <cellStyle name="20% - 强调文字颜色 2 2 2 8 2 5" xfId="30727"/>
    <cellStyle name="20% - 强调文字颜色 2 2 2 8 3" xfId="26137"/>
    <cellStyle name="20% - 强调文字颜色 2 2 2 8 3 2" xfId="26966"/>
    <cellStyle name="20% - 强调文字颜色 2 2 2 8 3 2 2" xfId="27035"/>
    <cellStyle name="20% - 强调文字颜色 2 2 2 8 3 2 2 2" xfId="33449"/>
    <cellStyle name="20% - 强调文字颜色 2 2 2 8 3 2 2 2 2" xfId="33469"/>
    <cellStyle name="20% - 强调文字颜色 2 2 2 8 3 2 3" xfId="33587"/>
    <cellStyle name="20% - 强调文字颜色 2 2 2 8 3 3" xfId="29531"/>
    <cellStyle name="20% - 强调文字颜色 2 2 2 8 3 3 2" xfId="33570"/>
    <cellStyle name="20% - 强调文字颜色 2 2 2 8 4" xfId="27341"/>
    <cellStyle name="20% - 强调文字颜色 2 2 2 8 4 2" xfId="31478"/>
    <cellStyle name="20% - 强调文字颜色 2 2 2 8 5" xfId="32589"/>
    <cellStyle name="20% - 强调文字颜色 2 2 2 9" xfId="5729"/>
    <cellStyle name="20% - 强调文字颜色 2 2 2 9 2" xfId="8235"/>
    <cellStyle name="20% - 强调文字颜色 2 2 2 9 2 2" xfId="26528"/>
    <cellStyle name="20% - 强调文字颜色 2 2 2 9 2 2 2" xfId="27084"/>
    <cellStyle name="20% - 强调文字颜色 2 2 2 9 2 2 2 2" xfId="32930"/>
    <cellStyle name="20% - 强调文字颜色 2 2 2 9 2 2 2 2 2" xfId="33489"/>
    <cellStyle name="20% - 强调文字颜色 2 2 2 9 2 2 3" xfId="33605"/>
    <cellStyle name="20% - 强调文字颜色 2 2 2 9 2 3" xfId="29419"/>
    <cellStyle name="20% - 强调文字颜色 2 2 2 9 2 3 2" xfId="32925"/>
    <cellStyle name="20% - 强调文字颜色 2 2 2 9 3" xfId="7373"/>
    <cellStyle name="20% - 强调文字颜色 2 2 2 9 3 2" xfId="29355"/>
    <cellStyle name="20% - 强调文字颜色 2 2 2 9 3 2 2" xfId="29383"/>
    <cellStyle name="20% - 强调文字颜色 2 2 2 9 4" xfId="21900"/>
    <cellStyle name="20% - 强调文字颜色 2 2 2 9 5" xfId="21924"/>
    <cellStyle name="20% - 强调文字颜色 2 2 2 9 6" xfId="29699"/>
    <cellStyle name="20% - 强调文字颜色 2 2 2 9 7" xfId="32039"/>
    <cellStyle name="20% - 强调文字颜色 2 2 2 9 8" xfId="31864"/>
    <cellStyle name="20% - 强调文字颜色 2 2 20" xfId="5718"/>
    <cellStyle name="20% - 强调文字颜色 2 2 20 2" xfId="8233"/>
    <cellStyle name="20% - 强调文字颜色 2 2 20 2 2" xfId="26529"/>
    <cellStyle name="20% - 强调文字颜色 2 2 20 2 2 2" xfId="27083"/>
    <cellStyle name="20% - 强调文字颜色 2 2 20 2 2 2 2" xfId="32931"/>
    <cellStyle name="20% - 强调文字颜色 2 2 20 2 2 2 2 2" xfId="33488"/>
    <cellStyle name="20% - 强调文字颜色 2 2 20 2 2 3" xfId="33604"/>
    <cellStyle name="20% - 强调文字颜色 2 2 20 2 3" xfId="29417"/>
    <cellStyle name="20% - 强调文字颜色 2 2 20 2 3 2" xfId="32537"/>
    <cellStyle name="20% - 强调文字颜色 2 2 20 3" xfId="7375"/>
    <cellStyle name="20% - 强调文字颜色 2 2 20 3 2" xfId="29353"/>
    <cellStyle name="20% - 强调文字颜色 2 2 20 3 2 2" xfId="29384"/>
    <cellStyle name="20% - 强调文字颜色 2 2 20 4" xfId="21898"/>
    <cellStyle name="20% - 强调文字颜色 2 2 20 5" xfId="22918"/>
    <cellStyle name="20% - 强调文字颜色 2 2 20 6" xfId="29644"/>
    <cellStyle name="20% - 强调文字颜色 2 2 20 7" xfId="32037"/>
    <cellStyle name="20% - 强调文字颜色 2 2 20 8" xfId="30549"/>
    <cellStyle name="20% - 强调文字颜色 2 2 21" xfId="10917"/>
    <cellStyle name="20% - 强调文字颜色 2 2 21 2" xfId="23735"/>
    <cellStyle name="20% - 强调文字颜色 2 2 21 2 2" xfId="26959"/>
    <cellStyle name="20% - 强调文字颜色 2 2 21 2 2 2" xfId="27107"/>
    <cellStyle name="20% - 强调文字颜色 2 2 21 3" xfId="26320"/>
    <cellStyle name="20% - 强调文字颜色 2 2 21 4" xfId="23499"/>
    <cellStyle name="20% - 强调文字颜色 2 2 22" xfId="11870"/>
    <cellStyle name="20% - 强调文字颜色 2 2 23" xfId="13824"/>
    <cellStyle name="20% - 强调文字颜色 2 2 24" xfId="7986"/>
    <cellStyle name="20% - 强调文字颜色 2 2 24 2" xfId="29410"/>
    <cellStyle name="20% - 强调文字颜色 2 2 24 2 2" xfId="32926"/>
    <cellStyle name="20% - 强调文字颜色 2 2 24 3" xfId="31470"/>
    <cellStyle name="20% - 强调文字颜色 2 2 24 4" xfId="24106"/>
    <cellStyle name="20% - 强调文字颜色 2 2 25" xfId="17430"/>
    <cellStyle name="20% - 强调文字颜色 2 2 25 2" xfId="26542"/>
    <cellStyle name="20% - 强调文字颜色 2 2 26" xfId="17516"/>
    <cellStyle name="20% - 强调文字颜色 2 2 26 2" xfId="29497"/>
    <cellStyle name="20% - 强调文字颜色 2 2 26 3" xfId="27139"/>
    <cellStyle name="20% - 强调文字颜色 2 2 27" xfId="17602"/>
    <cellStyle name="20% - 强调文字颜色 2 2 28" xfId="17688"/>
    <cellStyle name="20% - 强调文字颜色 2 2 29" xfId="17774"/>
    <cellStyle name="20% - 强调文字颜色 2 2 3" xfId="184"/>
    <cellStyle name="20% - 强调文字颜色 2 2 3 10" xfId="29875"/>
    <cellStyle name="20% - 强调文字颜色 2 2 3 11" xfId="32888"/>
    <cellStyle name="20% - 强调文字颜色 2 2 3 2" xfId="2157"/>
    <cellStyle name="20% - 强调文字颜色 2 2 3 3" xfId="5737"/>
    <cellStyle name="20% - 强调文字颜色 2 2 3 4" xfId="11889"/>
    <cellStyle name="20% - 强调文字颜色 2 2 3 5" xfId="13841"/>
    <cellStyle name="20% - 强调文字颜色 2 2 3 6" xfId="7968"/>
    <cellStyle name="20% - 强调文字颜色 2 2 3 7" xfId="18039"/>
    <cellStyle name="20% - 强调文字颜色 2 2 3 8" xfId="23405"/>
    <cellStyle name="20% - 强调文字颜色 2 2 3 9" xfId="20219"/>
    <cellStyle name="20% - 强调文字颜色 2 2 30" xfId="18020"/>
    <cellStyle name="20% - 强调文字颜色 2 2 31" xfId="21882"/>
    <cellStyle name="20% - 强调文字颜色 2 2 32" xfId="20118"/>
    <cellStyle name="20% - 强调文字颜色 2 2 4" xfId="185"/>
    <cellStyle name="20% - 强调文字颜色 2 2 4 10" xfId="29876"/>
    <cellStyle name="20% - 强调文字颜色 2 2 4 11" xfId="32017"/>
    <cellStyle name="20% - 强调文字颜色 2 2 4 2" xfId="2158"/>
    <cellStyle name="20% - 强调文字颜色 2 2 4 3" xfId="5738"/>
    <cellStyle name="20% - 强调文字颜色 2 2 4 4" xfId="11890"/>
    <cellStyle name="20% - 强调文字颜色 2 2 4 5" xfId="13842"/>
    <cellStyle name="20% - 强调文字颜色 2 2 4 6" xfId="7967"/>
    <cellStyle name="20% - 强调文字颜色 2 2 4 7" xfId="18040"/>
    <cellStyle name="20% - 强调文字颜色 2 2 4 8" xfId="22873"/>
    <cellStyle name="20% - 强调文字颜色 2 2 4 9" xfId="20081"/>
    <cellStyle name="20% - 强调文字颜色 2 2 5" xfId="186"/>
    <cellStyle name="20% - 强调文字颜色 2 2 5 10" xfId="29877"/>
    <cellStyle name="20% - 强调文字颜色 2 2 5 11" xfId="31396"/>
    <cellStyle name="20% - 强调文字颜色 2 2 5 2" xfId="2159"/>
    <cellStyle name="20% - 强调文字颜色 2 2 5 3" xfId="5739"/>
    <cellStyle name="20% - 强调文字颜色 2 2 5 4" xfId="11891"/>
    <cellStyle name="20% - 强调文字颜色 2 2 5 5" xfId="13843"/>
    <cellStyle name="20% - 强调文字颜色 2 2 5 6" xfId="7966"/>
    <cellStyle name="20% - 强调文字颜色 2 2 5 7" xfId="18041"/>
    <cellStyle name="20% - 强调文字颜色 2 2 5 8" xfId="22655"/>
    <cellStyle name="20% - 强调文字颜色 2 2 5 9" xfId="21517"/>
    <cellStyle name="20% - 强调文字颜色 2 2 6" xfId="187"/>
    <cellStyle name="20% - 强调文字颜色 2 2 6 10" xfId="29878"/>
    <cellStyle name="20% - 强调文字颜色 2 2 6 11" xfId="32887"/>
    <cellStyle name="20% - 强调文字颜色 2 2 6 2" xfId="2160"/>
    <cellStyle name="20% - 强调文字颜色 2 2 6 3" xfId="5740"/>
    <cellStyle name="20% - 强调文字颜色 2 2 6 4" xfId="11892"/>
    <cellStyle name="20% - 强调文字颜色 2 2 6 5" xfId="13844"/>
    <cellStyle name="20% - 强调文字颜色 2 2 6 6" xfId="7965"/>
    <cellStyle name="20% - 强调文字颜色 2 2 6 7" xfId="18042"/>
    <cellStyle name="20% - 强调文字颜色 2 2 6 8" xfId="22422"/>
    <cellStyle name="20% - 强调文字颜色 2 2 6 9" xfId="20273"/>
    <cellStyle name="20% - 强调文字颜色 2 2 7" xfId="188"/>
    <cellStyle name="20% - 强调文字颜色 2 2 7 10" xfId="29879"/>
    <cellStyle name="20% - 强调文字颜色 2 2 7 11" xfId="32016"/>
    <cellStyle name="20% - 强调文字颜色 2 2 7 2" xfId="2161"/>
    <cellStyle name="20% - 强调文字颜色 2 2 7 3" xfId="5741"/>
    <cellStyle name="20% - 强调文字颜色 2 2 7 4" xfId="11893"/>
    <cellStyle name="20% - 强调文字颜色 2 2 7 5" xfId="13845"/>
    <cellStyle name="20% - 强调文字颜色 2 2 7 6" xfId="7964"/>
    <cellStyle name="20% - 强调文字颜色 2 2 7 7" xfId="18043"/>
    <cellStyle name="20% - 强调文字颜色 2 2 7 8" xfId="23404"/>
    <cellStyle name="20% - 强调文字颜色 2 2 7 9" xfId="21317"/>
    <cellStyle name="20% - 强调文字颜色 2 2 8" xfId="189"/>
    <cellStyle name="20% - 强调文字颜色 2 2 8 10" xfId="29880"/>
    <cellStyle name="20% - 强调文字颜色 2 2 8 11" xfId="31395"/>
    <cellStyle name="20% - 强调文字颜色 2 2 8 2" xfId="2162"/>
    <cellStyle name="20% - 强调文字颜色 2 2 8 3" xfId="5742"/>
    <cellStyle name="20% - 强调文字颜色 2 2 8 4" xfId="11894"/>
    <cellStyle name="20% - 强调文字颜色 2 2 8 5" xfId="13846"/>
    <cellStyle name="20% - 强调文字颜色 2 2 8 6" xfId="7963"/>
    <cellStyle name="20% - 强调文字颜色 2 2 8 7" xfId="18044"/>
    <cellStyle name="20% - 强调文字颜色 2 2 8 8" xfId="22872"/>
    <cellStyle name="20% - 强调文字颜色 2 2 8 9" xfId="20866"/>
    <cellStyle name="20% - 强调文字颜色 2 2 9" xfId="190"/>
    <cellStyle name="20% - 强调文字颜色 2 2 9 10" xfId="29881"/>
    <cellStyle name="20% - 强调文字颜色 2 2 9 11" xfId="32886"/>
    <cellStyle name="20% - 强调文字颜色 2 2 9 2" xfId="2163"/>
    <cellStyle name="20% - 强调文字颜色 2 2 9 3" xfId="5743"/>
    <cellStyle name="20% - 强调文字颜色 2 2 9 4" xfId="11895"/>
    <cellStyle name="20% - 强调文字颜色 2 2 9 5" xfId="13847"/>
    <cellStyle name="20% - 强调文字颜色 2 2 9 6" xfId="7962"/>
    <cellStyle name="20% - 强调文字颜色 2 2 9 7" xfId="18045"/>
    <cellStyle name="20% - 强调文字颜色 2 2 9 8" xfId="22654"/>
    <cellStyle name="20% - 强调文字颜色 2 2 9 9" xfId="20225"/>
    <cellStyle name="20% - 强调文字颜色 2 20" xfId="191"/>
    <cellStyle name="20% - 强调文字颜色 2 20 10" xfId="2165"/>
    <cellStyle name="20% - 强调文字颜色 2 20 10 2" xfId="8240"/>
    <cellStyle name="20% - 强调文字颜色 2 20 10 3" xfId="13849"/>
    <cellStyle name="20% - 强调文字颜色 2 20 10 4" xfId="24110"/>
    <cellStyle name="20% - 强调文字颜色 2 20 10 5" xfId="27343"/>
    <cellStyle name="20% - 强调文字颜色 2 20 11" xfId="2166"/>
    <cellStyle name="20% - 强调文字颜色 2 20 11 2" xfId="8241"/>
    <cellStyle name="20% - 强调文字颜色 2 20 11 3" xfId="13850"/>
    <cellStyle name="20% - 强调文字颜色 2 20 11 4" xfId="24111"/>
    <cellStyle name="20% - 强调文字颜色 2 20 11 5" xfId="27344"/>
    <cellStyle name="20% - 强调文字颜色 2 20 12" xfId="2167"/>
    <cellStyle name="20% - 强调文字颜色 2 20 12 2" xfId="8242"/>
    <cellStyle name="20% - 强调文字颜色 2 20 12 3" xfId="13851"/>
    <cellStyle name="20% - 强调文字颜色 2 20 12 4" xfId="24112"/>
    <cellStyle name="20% - 强调文字颜色 2 20 12 5" xfId="27345"/>
    <cellStyle name="20% - 强调文字颜色 2 20 13" xfId="2168"/>
    <cellStyle name="20% - 强调文字颜色 2 20 13 2" xfId="8243"/>
    <cellStyle name="20% - 强调文字颜色 2 20 13 3" xfId="13852"/>
    <cellStyle name="20% - 强调文字颜色 2 20 13 4" xfId="24113"/>
    <cellStyle name="20% - 强调文字颜色 2 20 13 5" xfId="27346"/>
    <cellStyle name="20% - 强调文字颜色 2 20 14" xfId="2169"/>
    <cellStyle name="20% - 强调文字颜色 2 20 14 2" xfId="8244"/>
    <cellStyle name="20% - 强调文字颜色 2 20 14 3" xfId="13853"/>
    <cellStyle name="20% - 强调文字颜色 2 20 14 4" xfId="24114"/>
    <cellStyle name="20% - 强调文字颜色 2 20 14 5" xfId="27347"/>
    <cellStyle name="20% - 强调文字颜色 2 20 15" xfId="2170"/>
    <cellStyle name="20% - 强调文字颜色 2 20 15 2" xfId="8245"/>
    <cellStyle name="20% - 强调文字颜色 2 20 15 3" xfId="13854"/>
    <cellStyle name="20% - 强调文字颜色 2 20 15 4" xfId="24115"/>
    <cellStyle name="20% - 强调文字颜色 2 20 15 5" xfId="27348"/>
    <cellStyle name="20% - 强调文字颜色 2 20 16" xfId="2171"/>
    <cellStyle name="20% - 强调文字颜色 2 20 16 2" xfId="8246"/>
    <cellStyle name="20% - 强调文字颜色 2 20 16 3" xfId="13855"/>
    <cellStyle name="20% - 强调文字颜色 2 20 16 4" xfId="24116"/>
    <cellStyle name="20% - 强调文字颜色 2 20 16 5" xfId="27349"/>
    <cellStyle name="20% - 强调文字颜色 2 20 17" xfId="2172"/>
    <cellStyle name="20% - 强调文字颜色 2 20 17 2" xfId="8247"/>
    <cellStyle name="20% - 强调文字颜色 2 20 17 3" xfId="13856"/>
    <cellStyle name="20% - 强调文字颜色 2 20 17 4" xfId="24117"/>
    <cellStyle name="20% - 强调文字颜色 2 20 17 5" xfId="27350"/>
    <cellStyle name="20% - 强调文字颜色 2 20 18" xfId="2173"/>
    <cellStyle name="20% - 强调文字颜色 2 20 18 2" xfId="8248"/>
    <cellStyle name="20% - 强调文字颜色 2 20 18 3" xfId="13857"/>
    <cellStyle name="20% - 强调文字颜色 2 20 18 4" xfId="24118"/>
    <cellStyle name="20% - 强调文字颜色 2 20 18 5" xfId="27351"/>
    <cellStyle name="20% - 强调文字颜色 2 20 19" xfId="2174"/>
    <cellStyle name="20% - 强调文字颜色 2 20 19 2" xfId="8249"/>
    <cellStyle name="20% - 强调文字颜色 2 20 19 3" xfId="13858"/>
    <cellStyle name="20% - 强调文字颜色 2 20 19 4" xfId="24119"/>
    <cellStyle name="20% - 强调文字颜色 2 20 19 5" xfId="27352"/>
    <cellStyle name="20% - 强调文字颜色 2 20 2" xfId="2164"/>
    <cellStyle name="20% - 强调文字颜色 2 20 2 2" xfId="8250"/>
    <cellStyle name="20% - 强调文字颜色 2 20 2 3" xfId="13859"/>
    <cellStyle name="20% - 强调文字颜色 2 20 2 4" xfId="24120"/>
    <cellStyle name="20% - 强调文字颜色 2 20 2 5" xfId="27342"/>
    <cellStyle name="20% - 强调文字颜色 2 20 20" xfId="2176"/>
    <cellStyle name="20% - 强调文字颜色 2 20 20 2" xfId="8251"/>
    <cellStyle name="20% - 强调文字颜色 2 20 20 3" xfId="13860"/>
    <cellStyle name="20% - 强调文字颜色 2 20 20 4" xfId="24121"/>
    <cellStyle name="20% - 强调文字颜色 2 20 20 5" xfId="27353"/>
    <cellStyle name="20% - 强调文字颜色 2 20 21" xfId="2177"/>
    <cellStyle name="20% - 强调文字颜色 2 20 21 2" xfId="8252"/>
    <cellStyle name="20% - 强调文字颜色 2 20 21 3" xfId="13861"/>
    <cellStyle name="20% - 强调文字颜色 2 20 21 4" xfId="24122"/>
    <cellStyle name="20% - 强调文字颜色 2 20 21 5" xfId="27354"/>
    <cellStyle name="20% - 强调文字颜色 2 20 22" xfId="2178"/>
    <cellStyle name="20% - 强调文字颜色 2 20 22 2" xfId="8253"/>
    <cellStyle name="20% - 强调文字颜色 2 20 22 3" xfId="13862"/>
    <cellStyle name="20% - 强调文字颜色 2 20 22 4" xfId="24123"/>
    <cellStyle name="20% - 强调文字颜色 2 20 22 5" xfId="27355"/>
    <cellStyle name="20% - 强调文字颜色 2 20 23" xfId="2179"/>
    <cellStyle name="20% - 强调文字颜色 2 20 23 2" xfId="8254"/>
    <cellStyle name="20% - 强调文字颜色 2 20 23 3" xfId="13863"/>
    <cellStyle name="20% - 强调文字颜色 2 20 23 4" xfId="24124"/>
    <cellStyle name="20% - 强调文字颜色 2 20 23 5" xfId="27356"/>
    <cellStyle name="20% - 强调文字颜色 2 20 24" xfId="5744"/>
    <cellStyle name="20% - 强调文字颜色 2 20 25" xfId="10922"/>
    <cellStyle name="20% - 强调文字颜色 2 20 26" xfId="11896"/>
    <cellStyle name="20% - 强调文字颜色 2 20 27" xfId="13848"/>
    <cellStyle name="20% - 强调文字颜色 2 20 28" xfId="7961"/>
    <cellStyle name="20% - 强调文字颜色 2 20 29" xfId="18046"/>
    <cellStyle name="20% - 强调文字颜色 2 20 3" xfId="2180"/>
    <cellStyle name="20% - 强调文字颜色 2 20 3 2" xfId="8255"/>
    <cellStyle name="20% - 强调文字颜色 2 20 3 3" xfId="13864"/>
    <cellStyle name="20% - 强调文字颜色 2 20 3 4" xfId="24125"/>
    <cellStyle name="20% - 强调文字颜色 2 20 3 5" xfId="27357"/>
    <cellStyle name="20% - 强调文字颜色 2 20 30" xfId="22421"/>
    <cellStyle name="20% - 强调文字颜色 2 20 31" xfId="20087"/>
    <cellStyle name="20% - 强调文字颜色 2 20 32" xfId="29882"/>
    <cellStyle name="20% - 强调文字颜色 2 20 33" xfId="32015"/>
    <cellStyle name="20% - 强调文字颜色 2 20 4" xfId="2181"/>
    <cellStyle name="20% - 强调文字颜色 2 20 4 2" xfId="8256"/>
    <cellStyle name="20% - 强调文字颜色 2 20 4 3" xfId="13865"/>
    <cellStyle name="20% - 强调文字颜色 2 20 4 4" xfId="24126"/>
    <cellStyle name="20% - 强调文字颜色 2 20 4 5" xfId="27358"/>
    <cellStyle name="20% - 强调文字颜色 2 20 5" xfId="2182"/>
    <cellStyle name="20% - 强调文字颜色 2 20 5 2" xfId="8257"/>
    <cellStyle name="20% - 强调文字颜色 2 20 5 3" xfId="13866"/>
    <cellStyle name="20% - 强调文字颜色 2 20 5 4" xfId="24127"/>
    <cellStyle name="20% - 强调文字颜色 2 20 5 5" xfId="27359"/>
    <cellStyle name="20% - 强调文字颜色 2 20 6" xfId="2183"/>
    <cellStyle name="20% - 强调文字颜色 2 20 6 2" xfId="8258"/>
    <cellStyle name="20% - 强调文字颜色 2 20 6 3" xfId="13867"/>
    <cellStyle name="20% - 强调文字颜色 2 20 6 4" xfId="24128"/>
    <cellStyle name="20% - 强调文字颜色 2 20 6 5" xfId="27360"/>
    <cellStyle name="20% - 强调文字颜色 2 20 7" xfId="2184"/>
    <cellStyle name="20% - 强调文字颜色 2 20 7 2" xfId="8259"/>
    <cellStyle name="20% - 强调文字颜色 2 20 7 3" xfId="13868"/>
    <cellStyle name="20% - 强调文字颜色 2 20 7 4" xfId="24129"/>
    <cellStyle name="20% - 强调文字颜色 2 20 7 5" xfId="27361"/>
    <cellStyle name="20% - 强调文字颜色 2 20 8" xfId="2185"/>
    <cellStyle name="20% - 强调文字颜色 2 20 8 2" xfId="8260"/>
    <cellStyle name="20% - 强调文字颜色 2 20 8 3" xfId="13869"/>
    <cellStyle name="20% - 强调文字颜色 2 20 8 4" xfId="24130"/>
    <cellStyle name="20% - 强调文字颜色 2 20 8 5" xfId="27362"/>
    <cellStyle name="20% - 强调文字颜色 2 20 9" xfId="2186"/>
    <cellStyle name="20% - 强调文字颜色 2 20 9 2" xfId="8261"/>
    <cellStyle name="20% - 强调文字颜色 2 20 9 3" xfId="13870"/>
    <cellStyle name="20% - 强调文字颜色 2 20 9 4" xfId="24131"/>
    <cellStyle name="20% - 强调文字颜色 2 20 9 5" xfId="27363"/>
    <cellStyle name="20% - 强调文字颜色 2 21" xfId="192"/>
    <cellStyle name="20% - 强调文字颜色 2 21 10" xfId="2188"/>
    <cellStyle name="20% - 强调文字颜色 2 21 10 2" xfId="8262"/>
    <cellStyle name="20% - 强调文字颜色 2 21 10 3" xfId="13872"/>
    <cellStyle name="20% - 强调文字颜色 2 21 10 4" xfId="24132"/>
    <cellStyle name="20% - 强调文字颜色 2 21 10 5" xfId="27365"/>
    <cellStyle name="20% - 强调文字颜色 2 21 11" xfId="2189"/>
    <cellStyle name="20% - 强调文字颜色 2 21 11 2" xfId="8263"/>
    <cellStyle name="20% - 强调文字颜色 2 21 11 3" xfId="13873"/>
    <cellStyle name="20% - 强调文字颜色 2 21 11 4" xfId="24133"/>
    <cellStyle name="20% - 强调文字颜色 2 21 11 5" xfId="27366"/>
    <cellStyle name="20% - 强调文字颜色 2 21 12" xfId="2190"/>
    <cellStyle name="20% - 强调文字颜色 2 21 12 2" xfId="8264"/>
    <cellStyle name="20% - 强调文字颜色 2 21 12 3" xfId="13874"/>
    <cellStyle name="20% - 强调文字颜色 2 21 12 4" xfId="24134"/>
    <cellStyle name="20% - 强调文字颜色 2 21 12 5" xfId="27367"/>
    <cellStyle name="20% - 强调文字颜色 2 21 13" xfId="2191"/>
    <cellStyle name="20% - 强调文字颜色 2 21 13 2" xfId="8265"/>
    <cellStyle name="20% - 强调文字颜色 2 21 13 3" xfId="13875"/>
    <cellStyle name="20% - 强调文字颜色 2 21 13 4" xfId="24135"/>
    <cellStyle name="20% - 强调文字颜色 2 21 13 5" xfId="27368"/>
    <cellStyle name="20% - 强调文字颜色 2 21 14" xfId="2192"/>
    <cellStyle name="20% - 强调文字颜色 2 21 14 2" xfId="8266"/>
    <cellStyle name="20% - 强调文字颜色 2 21 14 3" xfId="13876"/>
    <cellStyle name="20% - 强调文字颜色 2 21 14 4" xfId="24136"/>
    <cellStyle name="20% - 强调文字颜色 2 21 14 5" xfId="27369"/>
    <cellStyle name="20% - 强调文字颜色 2 21 15" xfId="2193"/>
    <cellStyle name="20% - 强调文字颜色 2 21 15 2" xfId="8267"/>
    <cellStyle name="20% - 强调文字颜色 2 21 15 3" xfId="13877"/>
    <cellStyle name="20% - 强调文字颜色 2 21 15 4" xfId="24137"/>
    <cellStyle name="20% - 强调文字颜色 2 21 15 5" xfId="27370"/>
    <cellStyle name="20% - 强调文字颜色 2 21 16" xfId="2194"/>
    <cellStyle name="20% - 强调文字颜色 2 21 16 2" xfId="8268"/>
    <cellStyle name="20% - 强调文字颜色 2 21 16 3" xfId="13878"/>
    <cellStyle name="20% - 强调文字颜色 2 21 16 4" xfId="24138"/>
    <cellStyle name="20% - 强调文字颜色 2 21 16 5" xfId="27371"/>
    <cellStyle name="20% - 强调文字颜色 2 21 17" xfId="2195"/>
    <cellStyle name="20% - 强调文字颜色 2 21 17 2" xfId="8269"/>
    <cellStyle name="20% - 强调文字颜色 2 21 17 3" xfId="13879"/>
    <cellStyle name="20% - 强调文字颜色 2 21 17 4" xfId="24139"/>
    <cellStyle name="20% - 强调文字颜色 2 21 17 5" xfId="27372"/>
    <cellStyle name="20% - 强调文字颜色 2 21 18" xfId="2196"/>
    <cellStyle name="20% - 强调文字颜色 2 21 18 2" xfId="8270"/>
    <cellStyle name="20% - 强调文字颜色 2 21 18 3" xfId="13880"/>
    <cellStyle name="20% - 强调文字颜色 2 21 18 4" xfId="24140"/>
    <cellStyle name="20% - 强调文字颜色 2 21 18 5" xfId="27373"/>
    <cellStyle name="20% - 强调文字颜色 2 21 19" xfId="2197"/>
    <cellStyle name="20% - 强调文字颜色 2 21 19 2" xfId="8271"/>
    <cellStyle name="20% - 强调文字颜色 2 21 19 3" xfId="13881"/>
    <cellStyle name="20% - 强调文字颜色 2 21 19 4" xfId="24141"/>
    <cellStyle name="20% - 强调文字颜色 2 21 19 5" xfId="27374"/>
    <cellStyle name="20% - 强调文字颜色 2 21 2" xfId="2187"/>
    <cellStyle name="20% - 强调文字颜色 2 21 2 2" xfId="8272"/>
    <cellStyle name="20% - 强调文字颜色 2 21 2 3" xfId="13882"/>
    <cellStyle name="20% - 强调文字颜色 2 21 2 4" xfId="24142"/>
    <cellStyle name="20% - 强调文字颜色 2 21 2 5" xfId="27364"/>
    <cellStyle name="20% - 强调文字颜色 2 21 20" xfId="2199"/>
    <cellStyle name="20% - 强调文字颜色 2 21 20 2" xfId="8273"/>
    <cellStyle name="20% - 强调文字颜色 2 21 20 3" xfId="13883"/>
    <cellStyle name="20% - 强调文字颜色 2 21 20 4" xfId="24143"/>
    <cellStyle name="20% - 强调文字颜色 2 21 20 5" xfId="27375"/>
    <cellStyle name="20% - 强调文字颜色 2 21 21" xfId="2200"/>
    <cellStyle name="20% - 强调文字颜色 2 21 21 2" xfId="8274"/>
    <cellStyle name="20% - 强调文字颜色 2 21 21 3" xfId="13884"/>
    <cellStyle name="20% - 强调文字颜色 2 21 21 4" xfId="24144"/>
    <cellStyle name="20% - 强调文字颜色 2 21 21 5" xfId="27376"/>
    <cellStyle name="20% - 强调文字颜色 2 21 22" xfId="2201"/>
    <cellStyle name="20% - 强调文字颜色 2 21 22 2" xfId="8275"/>
    <cellStyle name="20% - 强调文字颜色 2 21 22 3" xfId="13885"/>
    <cellStyle name="20% - 强调文字颜色 2 21 22 4" xfId="24145"/>
    <cellStyle name="20% - 强调文字颜色 2 21 22 5" xfId="27377"/>
    <cellStyle name="20% - 强调文字颜色 2 21 23" xfId="2202"/>
    <cellStyle name="20% - 强调文字颜色 2 21 23 2" xfId="8276"/>
    <cellStyle name="20% - 强调文字颜色 2 21 23 3" xfId="13886"/>
    <cellStyle name="20% - 强调文字颜色 2 21 23 4" xfId="24146"/>
    <cellStyle name="20% - 强调文字颜色 2 21 23 5" xfId="27378"/>
    <cellStyle name="20% - 强调文字颜色 2 21 24" xfId="5745"/>
    <cellStyle name="20% - 强调文字颜色 2 21 25" xfId="10923"/>
    <cellStyle name="20% - 强调文字颜色 2 21 26" xfId="11897"/>
    <cellStyle name="20% - 强调文字颜色 2 21 27" xfId="13871"/>
    <cellStyle name="20% - 强调文字颜色 2 21 28" xfId="7960"/>
    <cellStyle name="20% - 强调文字颜色 2 21 29" xfId="18047"/>
    <cellStyle name="20% - 强调文字颜色 2 21 3" xfId="2203"/>
    <cellStyle name="20% - 强调文字颜色 2 21 3 2" xfId="8277"/>
    <cellStyle name="20% - 强调文字颜色 2 21 3 3" xfId="13887"/>
    <cellStyle name="20% - 强调文字颜色 2 21 3 4" xfId="24147"/>
    <cellStyle name="20% - 强调文字颜色 2 21 3 5" xfId="27379"/>
    <cellStyle name="20% - 强调文字颜色 2 21 30" xfId="23403"/>
    <cellStyle name="20% - 强调文字颜色 2 21 31" xfId="21516"/>
    <cellStyle name="20% - 强调文字颜色 2 21 32" xfId="29883"/>
    <cellStyle name="20% - 强调文字颜色 2 21 33" xfId="33426"/>
    <cellStyle name="20% - 强调文字颜色 2 21 4" xfId="2204"/>
    <cellStyle name="20% - 强调文字颜色 2 21 4 2" xfId="8278"/>
    <cellStyle name="20% - 强调文字颜色 2 21 4 3" xfId="13888"/>
    <cellStyle name="20% - 强调文字颜色 2 21 4 4" xfId="24148"/>
    <cellStyle name="20% - 强调文字颜色 2 21 4 5" xfId="27380"/>
    <cellStyle name="20% - 强调文字颜色 2 21 5" xfId="2205"/>
    <cellStyle name="20% - 强调文字颜色 2 21 5 2" xfId="8279"/>
    <cellStyle name="20% - 强调文字颜色 2 21 5 3" xfId="13889"/>
    <cellStyle name="20% - 强调文字颜色 2 21 5 4" xfId="24149"/>
    <cellStyle name="20% - 强调文字颜色 2 21 5 5" xfId="27381"/>
    <cellStyle name="20% - 强调文字颜色 2 21 6" xfId="2206"/>
    <cellStyle name="20% - 强调文字颜色 2 21 6 2" xfId="8280"/>
    <cellStyle name="20% - 强调文字颜色 2 21 6 3" xfId="13890"/>
    <cellStyle name="20% - 强调文字颜色 2 21 6 4" xfId="24150"/>
    <cellStyle name="20% - 强调文字颜色 2 21 6 5" xfId="27382"/>
    <cellStyle name="20% - 强调文字颜色 2 21 7" xfId="2207"/>
    <cellStyle name="20% - 强调文字颜色 2 21 7 2" xfId="8281"/>
    <cellStyle name="20% - 强调文字颜色 2 21 7 3" xfId="13891"/>
    <cellStyle name="20% - 强调文字颜色 2 21 7 4" xfId="24151"/>
    <cellStyle name="20% - 强调文字颜色 2 21 7 5" xfId="27383"/>
    <cellStyle name="20% - 强调文字颜色 2 21 8" xfId="2208"/>
    <cellStyle name="20% - 强调文字颜色 2 21 8 2" xfId="8282"/>
    <cellStyle name="20% - 强调文字颜色 2 21 8 3" xfId="13892"/>
    <cellStyle name="20% - 强调文字颜色 2 21 8 4" xfId="24152"/>
    <cellStyle name="20% - 强调文字颜色 2 21 8 5" xfId="27384"/>
    <cellStyle name="20% - 强调文字颜色 2 21 9" xfId="2209"/>
    <cellStyle name="20% - 强调文字颜色 2 21 9 2" xfId="8283"/>
    <cellStyle name="20% - 强调文字颜色 2 21 9 3" xfId="13893"/>
    <cellStyle name="20% - 强调文字颜色 2 21 9 4" xfId="24153"/>
    <cellStyle name="20% - 强调文字颜色 2 21 9 5" xfId="27385"/>
    <cellStyle name="20% - 强调文字颜色 2 22" xfId="193"/>
    <cellStyle name="20% - 强调文字颜色 2 22 10" xfId="2211"/>
    <cellStyle name="20% - 强调文字颜色 2 22 10 2" xfId="8284"/>
    <cellStyle name="20% - 强调文字颜色 2 22 10 3" xfId="13895"/>
    <cellStyle name="20% - 强调文字颜色 2 22 10 4" xfId="24154"/>
    <cellStyle name="20% - 强调文字颜色 2 22 10 5" xfId="27387"/>
    <cellStyle name="20% - 强调文字颜色 2 22 11" xfId="2212"/>
    <cellStyle name="20% - 强调文字颜色 2 22 11 2" xfId="8285"/>
    <cellStyle name="20% - 强调文字颜色 2 22 11 3" xfId="13896"/>
    <cellStyle name="20% - 强调文字颜色 2 22 11 4" xfId="24155"/>
    <cellStyle name="20% - 强调文字颜色 2 22 11 5" xfId="27388"/>
    <cellStyle name="20% - 强调文字颜色 2 22 12" xfId="2213"/>
    <cellStyle name="20% - 强调文字颜色 2 22 12 2" xfId="8286"/>
    <cellStyle name="20% - 强调文字颜色 2 22 12 3" xfId="13897"/>
    <cellStyle name="20% - 强调文字颜色 2 22 12 4" xfId="24156"/>
    <cellStyle name="20% - 强调文字颜色 2 22 12 5" xfId="27389"/>
    <cellStyle name="20% - 强调文字颜色 2 22 13" xfId="2214"/>
    <cellStyle name="20% - 强调文字颜色 2 22 13 2" xfId="8287"/>
    <cellStyle name="20% - 强调文字颜色 2 22 13 3" xfId="13898"/>
    <cellStyle name="20% - 强调文字颜色 2 22 13 4" xfId="24157"/>
    <cellStyle name="20% - 强调文字颜色 2 22 13 5" xfId="27390"/>
    <cellStyle name="20% - 强调文字颜色 2 22 14" xfId="2215"/>
    <cellStyle name="20% - 强调文字颜色 2 22 14 2" xfId="8288"/>
    <cellStyle name="20% - 强调文字颜色 2 22 14 3" xfId="13899"/>
    <cellStyle name="20% - 强调文字颜色 2 22 14 4" xfId="24158"/>
    <cellStyle name="20% - 强调文字颜色 2 22 14 5" xfId="27391"/>
    <cellStyle name="20% - 强调文字颜色 2 22 15" xfId="2216"/>
    <cellStyle name="20% - 强调文字颜色 2 22 15 2" xfId="8289"/>
    <cellStyle name="20% - 强调文字颜色 2 22 15 3" xfId="13900"/>
    <cellStyle name="20% - 强调文字颜色 2 22 15 4" xfId="24159"/>
    <cellStyle name="20% - 强调文字颜色 2 22 15 5" xfId="27392"/>
    <cellStyle name="20% - 强调文字颜色 2 22 16" xfId="2217"/>
    <cellStyle name="20% - 强调文字颜色 2 22 16 2" xfId="8290"/>
    <cellStyle name="20% - 强调文字颜色 2 22 16 3" xfId="13901"/>
    <cellStyle name="20% - 强调文字颜色 2 22 16 4" xfId="24160"/>
    <cellStyle name="20% - 强调文字颜色 2 22 16 5" xfId="27393"/>
    <cellStyle name="20% - 强调文字颜色 2 22 17" xfId="2218"/>
    <cellStyle name="20% - 强调文字颜色 2 22 17 2" xfId="8291"/>
    <cellStyle name="20% - 强调文字颜色 2 22 17 3" xfId="13902"/>
    <cellStyle name="20% - 强调文字颜色 2 22 17 4" xfId="24161"/>
    <cellStyle name="20% - 强调文字颜色 2 22 17 5" xfId="27394"/>
    <cellStyle name="20% - 强调文字颜色 2 22 18" xfId="2219"/>
    <cellStyle name="20% - 强调文字颜色 2 22 18 2" xfId="8292"/>
    <cellStyle name="20% - 强调文字颜色 2 22 18 3" xfId="13903"/>
    <cellStyle name="20% - 强调文字颜色 2 22 18 4" xfId="24162"/>
    <cellStyle name="20% - 强调文字颜色 2 22 18 5" xfId="27395"/>
    <cellStyle name="20% - 强调文字颜色 2 22 19" xfId="2220"/>
    <cellStyle name="20% - 强调文字颜色 2 22 19 2" xfId="8293"/>
    <cellStyle name="20% - 强调文字颜色 2 22 19 3" xfId="13904"/>
    <cellStyle name="20% - 强调文字颜色 2 22 19 4" xfId="24163"/>
    <cellStyle name="20% - 强调文字颜色 2 22 19 5" xfId="27396"/>
    <cellStyle name="20% - 强调文字颜色 2 22 2" xfId="2210"/>
    <cellStyle name="20% - 强调文字颜色 2 22 2 2" xfId="8294"/>
    <cellStyle name="20% - 强调文字颜色 2 22 2 3" xfId="13905"/>
    <cellStyle name="20% - 强调文字颜色 2 22 2 4" xfId="24164"/>
    <cellStyle name="20% - 强调文字颜色 2 22 2 5" xfId="27386"/>
    <cellStyle name="20% - 强调文字颜色 2 22 20" xfId="2222"/>
    <cellStyle name="20% - 强调文字颜色 2 22 20 2" xfId="8295"/>
    <cellStyle name="20% - 强调文字颜色 2 22 20 3" xfId="13906"/>
    <cellStyle name="20% - 强调文字颜色 2 22 20 4" xfId="24165"/>
    <cellStyle name="20% - 强调文字颜色 2 22 20 5" xfId="27397"/>
    <cellStyle name="20% - 强调文字颜色 2 22 21" xfId="2223"/>
    <cellStyle name="20% - 强调文字颜色 2 22 21 2" xfId="8296"/>
    <cellStyle name="20% - 强调文字颜色 2 22 21 3" xfId="13907"/>
    <cellStyle name="20% - 强调文字颜色 2 22 21 4" xfId="24166"/>
    <cellStyle name="20% - 强调文字颜色 2 22 21 5" xfId="27398"/>
    <cellStyle name="20% - 强调文字颜色 2 22 22" xfId="2224"/>
    <cellStyle name="20% - 强调文字颜色 2 22 22 2" xfId="8297"/>
    <cellStyle name="20% - 强调文字颜色 2 22 22 3" xfId="13908"/>
    <cellStyle name="20% - 强调文字颜色 2 22 22 4" xfId="24167"/>
    <cellStyle name="20% - 强调文字颜色 2 22 22 5" xfId="27399"/>
    <cellStyle name="20% - 强调文字颜色 2 22 23" xfId="2225"/>
    <cellStyle name="20% - 强调文字颜色 2 22 23 2" xfId="8298"/>
    <cellStyle name="20% - 强调文字颜色 2 22 23 3" xfId="13909"/>
    <cellStyle name="20% - 强调文字颜色 2 22 23 4" xfId="24168"/>
    <cellStyle name="20% - 强调文字颜色 2 22 23 5" xfId="27400"/>
    <cellStyle name="20% - 强调文字颜色 2 22 24" xfId="5746"/>
    <cellStyle name="20% - 强调文字颜色 2 22 25" xfId="10924"/>
    <cellStyle name="20% - 强调文字颜色 2 22 26" xfId="11898"/>
    <cellStyle name="20% - 强调文字颜色 2 22 27" xfId="13894"/>
    <cellStyle name="20% - 强调文字颜色 2 22 28" xfId="7959"/>
    <cellStyle name="20% - 强调文字颜色 2 22 29" xfId="18048"/>
    <cellStyle name="20% - 强调文字颜色 2 22 3" xfId="2226"/>
    <cellStyle name="20% - 强调文字颜色 2 22 3 2" xfId="8299"/>
    <cellStyle name="20% - 强调文字颜色 2 22 3 3" xfId="13910"/>
    <cellStyle name="20% - 强调文字颜色 2 22 3 4" xfId="24169"/>
    <cellStyle name="20% - 强调文字颜色 2 22 3 5" xfId="27401"/>
    <cellStyle name="20% - 强调文字颜色 2 22 30" xfId="22871"/>
    <cellStyle name="20% - 强调文字颜色 2 22 31" xfId="20274"/>
    <cellStyle name="20% - 强调文字颜色 2 22 32" xfId="29884"/>
    <cellStyle name="20% - 强调文字颜色 2 22 33" xfId="31827"/>
    <cellStyle name="20% - 强调文字颜色 2 22 4" xfId="2227"/>
    <cellStyle name="20% - 强调文字颜色 2 22 4 2" xfId="8300"/>
    <cellStyle name="20% - 强调文字颜色 2 22 4 3" xfId="13911"/>
    <cellStyle name="20% - 强调文字颜色 2 22 4 4" xfId="24170"/>
    <cellStyle name="20% - 强调文字颜色 2 22 4 5" xfId="27402"/>
    <cellStyle name="20% - 强调文字颜色 2 22 5" xfId="2228"/>
    <cellStyle name="20% - 强调文字颜色 2 22 5 2" xfId="8301"/>
    <cellStyle name="20% - 强调文字颜色 2 22 5 3" xfId="13912"/>
    <cellStyle name="20% - 强调文字颜色 2 22 5 4" xfId="24171"/>
    <cellStyle name="20% - 强调文字颜色 2 22 5 5" xfId="27403"/>
    <cellStyle name="20% - 强调文字颜色 2 22 6" xfId="2229"/>
    <cellStyle name="20% - 强调文字颜色 2 22 6 2" xfId="8302"/>
    <cellStyle name="20% - 强调文字颜色 2 22 6 3" xfId="13913"/>
    <cellStyle name="20% - 强调文字颜色 2 22 6 4" xfId="24172"/>
    <cellStyle name="20% - 强调文字颜色 2 22 6 5" xfId="27404"/>
    <cellStyle name="20% - 强调文字颜色 2 22 7" xfId="2230"/>
    <cellStyle name="20% - 强调文字颜色 2 22 7 2" xfId="8303"/>
    <cellStyle name="20% - 强调文字颜色 2 22 7 3" xfId="13914"/>
    <cellStyle name="20% - 强调文字颜色 2 22 7 4" xfId="24173"/>
    <cellStyle name="20% - 强调文字颜色 2 22 7 5" xfId="27405"/>
    <cellStyle name="20% - 强调文字颜色 2 22 8" xfId="2231"/>
    <cellStyle name="20% - 强调文字颜色 2 22 8 2" xfId="8304"/>
    <cellStyle name="20% - 强调文字颜色 2 22 8 3" xfId="13915"/>
    <cellStyle name="20% - 强调文字颜色 2 22 8 4" xfId="24174"/>
    <cellStyle name="20% - 强调文字颜色 2 22 8 5" xfId="27406"/>
    <cellStyle name="20% - 强调文字颜色 2 22 9" xfId="2232"/>
    <cellStyle name="20% - 强调文字颜色 2 22 9 2" xfId="8305"/>
    <cellStyle name="20% - 强调文字颜色 2 22 9 3" xfId="13916"/>
    <cellStyle name="20% - 强调文字颜色 2 22 9 4" xfId="24175"/>
    <cellStyle name="20% - 强调文字颜色 2 22 9 5" xfId="27407"/>
    <cellStyle name="20% - 强调文字颜色 2 23" xfId="194"/>
    <cellStyle name="20% - 强调文字颜色 2 23 10" xfId="2234"/>
    <cellStyle name="20% - 强调文字颜色 2 23 10 2" xfId="8306"/>
    <cellStyle name="20% - 强调文字颜色 2 23 10 3" xfId="13918"/>
    <cellStyle name="20% - 强调文字颜色 2 23 10 4" xfId="24176"/>
    <cellStyle name="20% - 强调文字颜色 2 23 10 5" xfId="27409"/>
    <cellStyle name="20% - 强调文字颜色 2 23 11" xfId="2235"/>
    <cellStyle name="20% - 强调文字颜色 2 23 11 2" xfId="8307"/>
    <cellStyle name="20% - 强调文字颜色 2 23 11 3" xfId="13919"/>
    <cellStyle name="20% - 强调文字颜色 2 23 11 4" xfId="24177"/>
    <cellStyle name="20% - 强调文字颜色 2 23 11 5" xfId="27410"/>
    <cellStyle name="20% - 强调文字颜色 2 23 12" xfId="2236"/>
    <cellStyle name="20% - 强调文字颜色 2 23 12 2" xfId="8308"/>
    <cellStyle name="20% - 强调文字颜色 2 23 12 3" xfId="13920"/>
    <cellStyle name="20% - 强调文字颜色 2 23 12 4" xfId="24178"/>
    <cellStyle name="20% - 强调文字颜色 2 23 12 5" xfId="27411"/>
    <cellStyle name="20% - 强调文字颜色 2 23 13" xfId="2237"/>
    <cellStyle name="20% - 强调文字颜色 2 23 13 2" xfId="8309"/>
    <cellStyle name="20% - 强调文字颜色 2 23 13 3" xfId="13921"/>
    <cellStyle name="20% - 强调文字颜色 2 23 13 4" xfId="24179"/>
    <cellStyle name="20% - 强调文字颜色 2 23 13 5" xfId="27412"/>
    <cellStyle name="20% - 强调文字颜色 2 23 14" xfId="2238"/>
    <cellStyle name="20% - 强调文字颜色 2 23 14 2" xfId="8310"/>
    <cellStyle name="20% - 强调文字颜色 2 23 14 3" xfId="13922"/>
    <cellStyle name="20% - 强调文字颜色 2 23 14 4" xfId="24180"/>
    <cellStyle name="20% - 强调文字颜色 2 23 14 5" xfId="27413"/>
    <cellStyle name="20% - 强调文字颜色 2 23 15" xfId="2239"/>
    <cellStyle name="20% - 强调文字颜色 2 23 15 2" xfId="8311"/>
    <cellStyle name="20% - 强调文字颜色 2 23 15 3" xfId="13923"/>
    <cellStyle name="20% - 强调文字颜色 2 23 15 4" xfId="24181"/>
    <cellStyle name="20% - 强调文字颜色 2 23 15 5" xfId="27414"/>
    <cellStyle name="20% - 强调文字颜色 2 23 16" xfId="2240"/>
    <cellStyle name="20% - 强调文字颜色 2 23 16 2" xfId="8312"/>
    <cellStyle name="20% - 强调文字颜色 2 23 16 3" xfId="13924"/>
    <cellStyle name="20% - 强调文字颜色 2 23 16 4" xfId="24182"/>
    <cellStyle name="20% - 强调文字颜色 2 23 16 5" xfId="27415"/>
    <cellStyle name="20% - 强调文字颜色 2 23 17" xfId="2241"/>
    <cellStyle name="20% - 强调文字颜色 2 23 17 2" xfId="8313"/>
    <cellStyle name="20% - 强调文字颜色 2 23 17 3" xfId="13925"/>
    <cellStyle name="20% - 强调文字颜色 2 23 17 4" xfId="24183"/>
    <cellStyle name="20% - 强调文字颜色 2 23 17 5" xfId="27416"/>
    <cellStyle name="20% - 强调文字颜色 2 23 18" xfId="2242"/>
    <cellStyle name="20% - 强调文字颜色 2 23 18 2" xfId="8314"/>
    <cellStyle name="20% - 强调文字颜色 2 23 18 3" xfId="13926"/>
    <cellStyle name="20% - 强调文字颜色 2 23 18 4" xfId="24184"/>
    <cellStyle name="20% - 强调文字颜色 2 23 18 5" xfId="27417"/>
    <cellStyle name="20% - 强调文字颜色 2 23 19" xfId="2243"/>
    <cellStyle name="20% - 强调文字颜色 2 23 19 2" xfId="8315"/>
    <cellStyle name="20% - 强调文字颜色 2 23 19 3" xfId="13927"/>
    <cellStyle name="20% - 强调文字颜色 2 23 19 4" xfId="24185"/>
    <cellStyle name="20% - 强调文字颜色 2 23 19 5" xfId="27418"/>
    <cellStyle name="20% - 强调文字颜色 2 23 2" xfId="2233"/>
    <cellStyle name="20% - 强调文字颜色 2 23 2 2" xfId="8316"/>
    <cellStyle name="20% - 强调文字颜色 2 23 2 3" xfId="13928"/>
    <cellStyle name="20% - 强调文字颜色 2 23 2 4" xfId="24186"/>
    <cellStyle name="20% - 强调文字颜色 2 23 2 5" xfId="27408"/>
    <cellStyle name="20% - 强调文字颜色 2 23 20" xfId="2245"/>
    <cellStyle name="20% - 强调文字颜色 2 23 20 2" xfId="8317"/>
    <cellStyle name="20% - 强调文字颜色 2 23 20 3" xfId="13929"/>
    <cellStyle name="20% - 强调文字颜色 2 23 20 4" xfId="24187"/>
    <cellStyle name="20% - 强调文字颜色 2 23 20 5" xfId="27419"/>
    <cellStyle name="20% - 强调文字颜色 2 23 21" xfId="2246"/>
    <cellStyle name="20% - 强调文字颜色 2 23 21 2" xfId="8318"/>
    <cellStyle name="20% - 强调文字颜色 2 23 21 3" xfId="13930"/>
    <cellStyle name="20% - 强调文字颜色 2 23 21 4" xfId="24188"/>
    <cellStyle name="20% - 强调文字颜色 2 23 21 5" xfId="27420"/>
    <cellStyle name="20% - 强调文字颜色 2 23 22" xfId="2247"/>
    <cellStyle name="20% - 强调文字颜色 2 23 22 2" xfId="8319"/>
    <cellStyle name="20% - 强调文字颜色 2 23 22 3" xfId="13931"/>
    <cellStyle name="20% - 强调文字颜色 2 23 22 4" xfId="24189"/>
    <cellStyle name="20% - 强调文字颜色 2 23 22 5" xfId="27421"/>
    <cellStyle name="20% - 强调文字颜色 2 23 23" xfId="2248"/>
    <cellStyle name="20% - 强调文字颜色 2 23 23 2" xfId="8320"/>
    <cellStyle name="20% - 强调文字颜色 2 23 23 3" xfId="13932"/>
    <cellStyle name="20% - 强调文字颜色 2 23 23 4" xfId="24190"/>
    <cellStyle name="20% - 强调文字颜色 2 23 23 5" xfId="27422"/>
    <cellStyle name="20% - 强调文字颜色 2 23 24" xfId="5747"/>
    <cellStyle name="20% - 强调文字颜色 2 23 25" xfId="10925"/>
    <cellStyle name="20% - 强调文字颜色 2 23 26" xfId="11899"/>
    <cellStyle name="20% - 强调文字颜色 2 23 27" xfId="13917"/>
    <cellStyle name="20% - 强调文字颜色 2 23 28" xfId="7958"/>
    <cellStyle name="20% - 强调文字颜色 2 23 29" xfId="18049"/>
    <cellStyle name="20% - 强调文字颜色 2 23 3" xfId="2249"/>
    <cellStyle name="20% - 强调文字颜色 2 23 3 2" xfId="8321"/>
    <cellStyle name="20% - 强调文字颜色 2 23 3 3" xfId="13933"/>
    <cellStyle name="20% - 强调文字颜色 2 23 3 4" xfId="24191"/>
    <cellStyle name="20% - 强调文字颜色 2 23 3 5" xfId="27423"/>
    <cellStyle name="20% - 强调文字颜色 2 23 30" xfId="22653"/>
    <cellStyle name="20% - 强调文字颜色 2 23 31" xfId="21316"/>
    <cellStyle name="20% - 强调文字颜色 2 23 32" xfId="29885"/>
    <cellStyle name="20% - 强调文字颜色 2 23 33" xfId="32287"/>
    <cellStyle name="20% - 强调文字颜色 2 23 4" xfId="2250"/>
    <cellStyle name="20% - 强调文字颜色 2 23 4 2" xfId="8322"/>
    <cellStyle name="20% - 强调文字颜色 2 23 4 3" xfId="13934"/>
    <cellStyle name="20% - 强调文字颜色 2 23 4 4" xfId="24192"/>
    <cellStyle name="20% - 强调文字颜色 2 23 4 5" xfId="27424"/>
    <cellStyle name="20% - 强调文字颜色 2 23 5" xfId="2251"/>
    <cellStyle name="20% - 强调文字颜色 2 23 5 2" xfId="8323"/>
    <cellStyle name="20% - 强调文字颜色 2 23 5 3" xfId="13935"/>
    <cellStyle name="20% - 强调文字颜色 2 23 5 4" xfId="24193"/>
    <cellStyle name="20% - 强调文字颜色 2 23 5 5" xfId="27425"/>
    <cellStyle name="20% - 强调文字颜色 2 23 6" xfId="2252"/>
    <cellStyle name="20% - 强调文字颜色 2 23 6 2" xfId="8324"/>
    <cellStyle name="20% - 强调文字颜色 2 23 6 3" xfId="13936"/>
    <cellStyle name="20% - 强调文字颜色 2 23 6 4" xfId="24194"/>
    <cellStyle name="20% - 强调文字颜色 2 23 6 5" xfId="27426"/>
    <cellStyle name="20% - 强调文字颜色 2 23 7" xfId="2253"/>
    <cellStyle name="20% - 强调文字颜色 2 23 7 2" xfId="8325"/>
    <cellStyle name="20% - 强调文字颜色 2 23 7 3" xfId="13937"/>
    <cellStyle name="20% - 强调文字颜色 2 23 7 4" xfId="24195"/>
    <cellStyle name="20% - 强调文字颜色 2 23 7 5" xfId="27427"/>
    <cellStyle name="20% - 强调文字颜色 2 23 8" xfId="2254"/>
    <cellStyle name="20% - 强调文字颜色 2 23 8 2" xfId="8326"/>
    <cellStyle name="20% - 强调文字颜色 2 23 8 3" xfId="13938"/>
    <cellStyle name="20% - 强调文字颜色 2 23 8 4" xfId="24196"/>
    <cellStyle name="20% - 强调文字颜色 2 23 8 5" xfId="27428"/>
    <cellStyle name="20% - 强调文字颜色 2 23 9" xfId="2255"/>
    <cellStyle name="20% - 强调文字颜色 2 23 9 2" xfId="8327"/>
    <cellStyle name="20% - 强调文字颜色 2 23 9 3" xfId="13939"/>
    <cellStyle name="20% - 强调文字颜色 2 23 9 4" xfId="24197"/>
    <cellStyle name="20% - 强调文字颜色 2 23 9 5" xfId="27429"/>
    <cellStyle name="20% - 强调文字颜色 2 24" xfId="2088"/>
    <cellStyle name="20% - 强调文字颜色 2 24 2" xfId="2256"/>
    <cellStyle name="20% - 强调文字颜色 2 24 3" xfId="7367"/>
    <cellStyle name="20% - 强调文字颜色 2 24 4" xfId="13940"/>
    <cellStyle name="20% - 强调文字颜色 2 24 5" xfId="7398"/>
    <cellStyle name="20% - 强调文字颜色 2 24 6" xfId="26663"/>
    <cellStyle name="20% - 强调文字颜色 2 24 7" xfId="27318"/>
    <cellStyle name="20% - 强调文字颜色 2 25" xfId="2257"/>
    <cellStyle name="20% - 强调文字颜色 2 25 2" xfId="8328"/>
    <cellStyle name="20% - 强调文字颜色 2 25 3" xfId="13941"/>
    <cellStyle name="20% - 强调文字颜色 2 25 4" xfId="24198"/>
    <cellStyle name="20% - 强调文字颜色 2 25 5" xfId="26530"/>
    <cellStyle name="20% - 强调文字颜色 2 25 6" xfId="26664"/>
    <cellStyle name="20% - 强调文字颜色 2 25 7" xfId="27430"/>
    <cellStyle name="20% - 强调文字颜色 2 26" xfId="2258"/>
    <cellStyle name="20% - 强调文字颜色 2 26 2" xfId="8329"/>
    <cellStyle name="20% - 强调文字颜色 2 26 3" xfId="13942"/>
    <cellStyle name="20% - 强调文字颜色 2 26 4" xfId="24199"/>
    <cellStyle name="20% - 强调文字颜色 2 26 5" xfId="26531"/>
    <cellStyle name="20% - 强调文字颜色 2 26 6" xfId="26665"/>
    <cellStyle name="20% - 强调文字颜色 2 26 7" xfId="27431"/>
    <cellStyle name="20% - 强调文字颜色 2 27" xfId="2259"/>
    <cellStyle name="20% - 强调文字颜色 2 27 2" xfId="8330"/>
    <cellStyle name="20% - 强调文字颜色 2 27 3" xfId="13943"/>
    <cellStyle name="20% - 强调文字颜色 2 27 4" xfId="24200"/>
    <cellStyle name="20% - 强调文字颜色 2 27 5" xfId="26666"/>
    <cellStyle name="20% - 强调文字颜色 2 27 6" xfId="27432"/>
    <cellStyle name="20% - 强调文字颜色 2 28" xfId="2260"/>
    <cellStyle name="20% - 强调文字颜色 2 28 2" xfId="8331"/>
    <cellStyle name="20% - 强调文字颜色 2 28 3" xfId="13944"/>
    <cellStyle name="20% - 强调文字颜色 2 28 4" xfId="24201"/>
    <cellStyle name="20% - 强调文字颜色 2 28 5" xfId="26667"/>
    <cellStyle name="20% - 强调文字颜色 2 28 6" xfId="27433"/>
    <cellStyle name="20% - 强调文字颜色 2 29" xfId="2261"/>
    <cellStyle name="20% - 强调文字颜色 2 29 2" xfId="8332"/>
    <cellStyle name="20% - 强调文字颜色 2 29 3" xfId="13945"/>
    <cellStyle name="20% - 强调文字颜色 2 29 4" xfId="24202"/>
    <cellStyle name="20% - 强调文字颜色 2 29 5" xfId="26668"/>
    <cellStyle name="20% - 强调文字颜色 2 29 6" xfId="27434"/>
    <cellStyle name="20% - 强调文字颜色 2 3" xfId="195"/>
    <cellStyle name="20% - 强调文字颜色 2 3 10" xfId="196"/>
    <cellStyle name="20% - 强调文字颜色 2 3 10 10" xfId="29887"/>
    <cellStyle name="20% - 强调文字颜色 2 3 10 11" xfId="32014"/>
    <cellStyle name="20% - 强调文字颜色 2 3 10 2" xfId="2263"/>
    <cellStyle name="20% - 强调文字颜色 2 3 10 3" xfId="5749"/>
    <cellStyle name="20% - 强调文字颜色 2 3 10 4" xfId="11901"/>
    <cellStyle name="20% - 强调文字颜色 2 3 10 5" xfId="13947"/>
    <cellStyle name="20% - 强调文字颜色 2 3 10 6" xfId="7956"/>
    <cellStyle name="20% - 强调文字颜色 2 3 10 7" xfId="18051"/>
    <cellStyle name="20% - 强调文字颜色 2 3 10 8" xfId="23402"/>
    <cellStyle name="20% - 强调文字颜色 2 3 10 9" xfId="20224"/>
    <cellStyle name="20% - 强调文字颜色 2 3 11" xfId="197"/>
    <cellStyle name="20% - 强调文字颜色 2 3 11 10" xfId="29888"/>
    <cellStyle name="20% - 强调文字颜色 2 3 11 11" xfId="31382"/>
    <cellStyle name="20% - 强调文字颜色 2 3 11 2" xfId="2264"/>
    <cellStyle name="20% - 强调文字颜色 2 3 11 3" xfId="5750"/>
    <cellStyle name="20% - 强调文字颜色 2 3 11 4" xfId="11902"/>
    <cellStyle name="20% - 强调文字颜色 2 3 11 5" xfId="13948"/>
    <cellStyle name="20% - 强调文字颜色 2 3 11 6" xfId="7955"/>
    <cellStyle name="20% - 强调文字颜色 2 3 11 7" xfId="18052"/>
    <cellStyle name="20% - 强调文字颜色 2 3 11 8" xfId="22870"/>
    <cellStyle name="20% - 强调文字颜色 2 3 11 9" xfId="20086"/>
    <cellStyle name="20% - 强调文字颜色 2 3 12" xfId="198"/>
    <cellStyle name="20% - 强调文字颜色 2 3 12 10" xfId="29889"/>
    <cellStyle name="20% - 强调文字颜色 2 3 12 11" xfId="32883"/>
    <cellStyle name="20% - 强调文字颜色 2 3 12 2" xfId="2265"/>
    <cellStyle name="20% - 强调文字颜色 2 3 12 3" xfId="5751"/>
    <cellStyle name="20% - 强调文字颜色 2 3 12 4" xfId="11903"/>
    <cellStyle name="20% - 强调文字颜色 2 3 12 5" xfId="13949"/>
    <cellStyle name="20% - 强调文字颜色 2 3 12 6" xfId="7954"/>
    <cellStyle name="20% - 强调文字颜色 2 3 12 7" xfId="18053"/>
    <cellStyle name="20% - 强调文字颜色 2 3 12 8" xfId="22652"/>
    <cellStyle name="20% - 强调文字颜色 2 3 12 9" xfId="21515"/>
    <cellStyle name="20% - 强调文字颜色 2 3 13" xfId="199"/>
    <cellStyle name="20% - 强调文字颜色 2 3 13 10" xfId="29890"/>
    <cellStyle name="20% - 强调文字颜色 2 3 13 11" xfId="32013"/>
    <cellStyle name="20% - 强调文字颜色 2 3 13 2" xfId="2266"/>
    <cellStyle name="20% - 强调文字颜色 2 3 13 3" xfId="5752"/>
    <cellStyle name="20% - 强调文字颜色 2 3 13 4" xfId="11904"/>
    <cellStyle name="20% - 强调文字颜色 2 3 13 5" xfId="13950"/>
    <cellStyle name="20% - 强调文字颜色 2 3 13 6" xfId="7953"/>
    <cellStyle name="20% - 强调文字颜色 2 3 13 7" xfId="18054"/>
    <cellStyle name="20% - 强调文字颜色 2 3 13 8" xfId="22419"/>
    <cellStyle name="20% - 强调文字颜色 2 3 13 9" xfId="20275"/>
    <cellStyle name="20% - 强调文字颜色 2 3 14" xfId="200"/>
    <cellStyle name="20% - 强调文字颜色 2 3 14 10" xfId="29891"/>
    <cellStyle name="20% - 强调文字颜色 2 3 14 11" xfId="31381"/>
    <cellStyle name="20% - 强调文字颜色 2 3 14 2" xfId="2267"/>
    <cellStyle name="20% - 强调文字颜色 2 3 14 3" xfId="5753"/>
    <cellStyle name="20% - 强调文字颜色 2 3 14 4" xfId="11905"/>
    <cellStyle name="20% - 强调文字颜色 2 3 14 5" xfId="13951"/>
    <cellStyle name="20% - 强调文字颜色 2 3 14 6" xfId="7952"/>
    <cellStyle name="20% - 强调文字颜色 2 3 14 7" xfId="18055"/>
    <cellStyle name="20% - 强调文字颜色 2 3 14 8" xfId="23401"/>
    <cellStyle name="20% - 强调文字颜色 2 3 14 9" xfId="21315"/>
    <cellStyle name="20% - 强调文字颜色 2 3 15" xfId="201"/>
    <cellStyle name="20% - 强调文字颜色 2 3 15 10" xfId="29892"/>
    <cellStyle name="20% - 强调文字颜色 2 3 15 11" xfId="33187"/>
    <cellStyle name="20% - 强调文字颜色 2 3 15 2" xfId="2268"/>
    <cellStyle name="20% - 强调文字颜色 2 3 15 3" xfId="5754"/>
    <cellStyle name="20% - 强调文字颜色 2 3 15 4" xfId="11906"/>
    <cellStyle name="20% - 强调文字颜色 2 3 15 5" xfId="13952"/>
    <cellStyle name="20% - 强调文字颜色 2 3 15 6" xfId="10732"/>
    <cellStyle name="20% - 强调文字颜色 2 3 15 7" xfId="18056"/>
    <cellStyle name="20% - 强调文字颜色 2 3 15 8" xfId="22869"/>
    <cellStyle name="20% - 强调文字颜色 2 3 15 9" xfId="20864"/>
    <cellStyle name="20% - 强调文字颜色 2 3 16" xfId="202"/>
    <cellStyle name="20% - 强调文字颜色 2 3 16 10" xfId="29893"/>
    <cellStyle name="20% - 强调文字颜色 2 3 16 11" xfId="32882"/>
    <cellStyle name="20% - 强调文字颜色 2 3 16 2" xfId="2269"/>
    <cellStyle name="20% - 强调文字颜色 2 3 16 3" xfId="5755"/>
    <cellStyle name="20% - 强调文字颜色 2 3 16 4" xfId="11907"/>
    <cellStyle name="20% - 强调文字颜色 2 3 16 5" xfId="13953"/>
    <cellStyle name="20% - 强调文字颜色 2 3 16 6" xfId="7951"/>
    <cellStyle name="20% - 强调文字颜色 2 3 16 7" xfId="18057"/>
    <cellStyle name="20% - 强调文字颜色 2 3 16 8" xfId="22651"/>
    <cellStyle name="20% - 强调文字颜色 2 3 16 9" xfId="20223"/>
    <cellStyle name="20% - 强调文字颜色 2 3 17" xfId="203"/>
    <cellStyle name="20% - 强调文字颜色 2 3 17 10" xfId="29894"/>
    <cellStyle name="20% - 强调文字颜色 2 3 17 11" xfId="32078"/>
    <cellStyle name="20% - 强调文字颜色 2 3 17 2" xfId="2270"/>
    <cellStyle name="20% - 强调文字颜色 2 3 17 3" xfId="5756"/>
    <cellStyle name="20% - 强调文字颜色 2 3 17 4" xfId="11908"/>
    <cellStyle name="20% - 强调文字颜色 2 3 17 5" xfId="13954"/>
    <cellStyle name="20% - 强调文字颜色 2 3 17 6" xfId="7950"/>
    <cellStyle name="20% - 强调文字颜色 2 3 17 7" xfId="18058"/>
    <cellStyle name="20% - 强调文字颜色 2 3 17 8" xfId="22418"/>
    <cellStyle name="20% - 强调文字颜色 2 3 17 9" xfId="20085"/>
    <cellStyle name="20% - 强调文字颜色 2 3 18" xfId="204"/>
    <cellStyle name="20% - 强调文字颜色 2 3 18 10" xfId="29895"/>
    <cellStyle name="20% - 强调文字颜色 2 3 18 11" xfId="31897"/>
    <cellStyle name="20% - 强调文字颜色 2 3 18 2" xfId="2271"/>
    <cellStyle name="20% - 强调文字颜色 2 3 18 3" xfId="5757"/>
    <cellStyle name="20% - 强调文字颜色 2 3 18 4" xfId="11909"/>
    <cellStyle name="20% - 强调文字颜色 2 3 18 5" xfId="13955"/>
    <cellStyle name="20% - 强调文字颜色 2 3 18 6" xfId="7949"/>
    <cellStyle name="20% - 强调文字颜色 2 3 18 7" xfId="18059"/>
    <cellStyle name="20% - 强调文字颜色 2 3 18 8" xfId="23365"/>
    <cellStyle name="20% - 强调文字颜色 2 3 18 9" xfId="21514"/>
    <cellStyle name="20% - 强调文字颜色 2 3 19" xfId="205"/>
    <cellStyle name="20% - 强调文字颜色 2 3 19 10" xfId="29896"/>
    <cellStyle name="20% - 强调文字颜色 2 3 19 11" xfId="31380"/>
    <cellStyle name="20% - 强调文字颜色 2 3 19 2" xfId="2272"/>
    <cellStyle name="20% - 强调文字颜色 2 3 19 3" xfId="5758"/>
    <cellStyle name="20% - 强调文字颜色 2 3 19 4" xfId="11910"/>
    <cellStyle name="20% - 强调文字颜色 2 3 19 5" xfId="13956"/>
    <cellStyle name="20% - 强调文字颜色 2 3 19 6" xfId="7948"/>
    <cellStyle name="20% - 强调文字颜色 2 3 19 7" xfId="18060"/>
    <cellStyle name="20% - 强调文字颜色 2 3 19 8" xfId="22855"/>
    <cellStyle name="20% - 强调文字颜色 2 3 19 9" xfId="20276"/>
    <cellStyle name="20% - 强调文字颜色 2 3 2" xfId="206"/>
    <cellStyle name="20% - 强调文字颜色 2 3 2 10" xfId="29897"/>
    <cellStyle name="20% - 强调文字颜色 2 3 2 11" xfId="32881"/>
    <cellStyle name="20% - 强调文字颜色 2 3 2 2" xfId="2273"/>
    <cellStyle name="20% - 强调文字颜色 2 3 2 3" xfId="5759"/>
    <cellStyle name="20% - 强调文字颜色 2 3 2 4" xfId="11911"/>
    <cellStyle name="20% - 强调文字颜色 2 3 2 5" xfId="13957"/>
    <cellStyle name="20% - 强调文字颜色 2 3 2 6" xfId="7947"/>
    <cellStyle name="20% - 强调文字颜色 2 3 2 7" xfId="18061"/>
    <cellStyle name="20% - 强调文字颜色 2 3 2 8" xfId="22637"/>
    <cellStyle name="20% - 强调文字颜色 2 3 2 9" xfId="21314"/>
    <cellStyle name="20% - 强调文字颜色 2 3 20" xfId="2262"/>
    <cellStyle name="20% - 强调文字颜色 2 3 20 2" xfId="8333"/>
    <cellStyle name="20% - 强调文字颜色 2 3 20 3" xfId="13958"/>
    <cellStyle name="20% - 强调文字颜色 2 3 20 4" xfId="24203"/>
    <cellStyle name="20% - 强调文字颜色 2 3 20 5" xfId="26669"/>
    <cellStyle name="20% - 强调文字颜色 2 3 20 6" xfId="27435"/>
    <cellStyle name="20% - 强调文字颜色 2 3 21" xfId="2275"/>
    <cellStyle name="20% - 强调文字颜色 2 3 21 2" xfId="8334"/>
    <cellStyle name="20% - 强调文字颜色 2 3 21 3" xfId="13959"/>
    <cellStyle name="20% - 强调文字颜色 2 3 21 4" xfId="24204"/>
    <cellStyle name="20% - 强调文字颜色 2 3 21 5" xfId="26670"/>
    <cellStyle name="20% - 强调文字颜色 2 3 21 6" xfId="27436"/>
    <cellStyle name="20% - 强调文字颜色 2 3 22" xfId="2276"/>
    <cellStyle name="20% - 强调文字颜色 2 3 22 2" xfId="8335"/>
    <cellStyle name="20% - 强调文字颜色 2 3 22 3" xfId="13960"/>
    <cellStyle name="20% - 强调文字颜色 2 3 22 4" xfId="24205"/>
    <cellStyle name="20% - 强调文字颜色 2 3 22 5" xfId="26671"/>
    <cellStyle name="20% - 强调文字颜色 2 3 22 6" xfId="27437"/>
    <cellStyle name="20% - 强调文字颜色 2 3 23" xfId="2277"/>
    <cellStyle name="20% - 强调文字颜色 2 3 23 2" xfId="8336"/>
    <cellStyle name="20% - 强调文字颜色 2 3 23 3" xfId="13961"/>
    <cellStyle name="20% - 强调文字颜色 2 3 23 4" xfId="24206"/>
    <cellStyle name="20% - 强调文字颜色 2 3 23 5" xfId="26672"/>
    <cellStyle name="20% - 强调文字颜色 2 3 23 6" xfId="27438"/>
    <cellStyle name="20% - 强调文字颜色 2 3 24" xfId="2278"/>
    <cellStyle name="20% - 强调文字颜色 2 3 24 2" xfId="8337"/>
    <cellStyle name="20% - 强调文字颜色 2 3 24 3" xfId="13962"/>
    <cellStyle name="20% - 强调文字颜色 2 3 24 4" xfId="24207"/>
    <cellStyle name="20% - 强调文字颜色 2 3 24 5" xfId="26673"/>
    <cellStyle name="20% - 强调文字颜色 2 3 24 6" xfId="27439"/>
    <cellStyle name="20% - 强调文字颜色 2 3 25" xfId="2279"/>
    <cellStyle name="20% - 强调文字颜色 2 3 25 2" xfId="8338"/>
    <cellStyle name="20% - 强调文字颜色 2 3 25 3" xfId="13963"/>
    <cellStyle name="20% - 强调文字颜色 2 3 25 4" xfId="24208"/>
    <cellStyle name="20% - 强调文字颜色 2 3 25 5" xfId="26674"/>
    <cellStyle name="20% - 强调文字颜色 2 3 25 6" xfId="27440"/>
    <cellStyle name="20% - 强调文字颜色 2 3 26" xfId="2280"/>
    <cellStyle name="20% - 强调文字颜色 2 3 26 2" xfId="8339"/>
    <cellStyle name="20% - 强调文字颜色 2 3 26 3" xfId="13964"/>
    <cellStyle name="20% - 强调文字颜色 2 3 26 4" xfId="24209"/>
    <cellStyle name="20% - 强调文字颜色 2 3 26 5" xfId="26675"/>
    <cellStyle name="20% - 强调文字颜色 2 3 26 6" xfId="27441"/>
    <cellStyle name="20% - 强调文字颜色 2 3 27" xfId="2281"/>
    <cellStyle name="20% - 强调文字颜色 2 3 27 2" xfId="8340"/>
    <cellStyle name="20% - 强调文字颜色 2 3 27 3" xfId="13965"/>
    <cellStyle name="20% - 强调文字颜色 2 3 27 4" xfId="24210"/>
    <cellStyle name="20% - 强调文字颜色 2 3 27 5" xfId="26676"/>
    <cellStyle name="20% - 强调文字颜色 2 3 27 6" xfId="27442"/>
    <cellStyle name="20% - 强调文字颜色 2 3 28" xfId="2282"/>
    <cellStyle name="20% - 强调文字颜色 2 3 28 2" xfId="8341"/>
    <cellStyle name="20% - 强调文字颜色 2 3 28 3" xfId="13966"/>
    <cellStyle name="20% - 强调文字颜色 2 3 28 4" xfId="24211"/>
    <cellStyle name="20% - 强调文字颜色 2 3 28 5" xfId="26677"/>
    <cellStyle name="20% - 强调文字颜色 2 3 28 6" xfId="27443"/>
    <cellStyle name="20% - 强调文字颜色 2 3 29" xfId="2283"/>
    <cellStyle name="20% - 强调文字颜色 2 3 29 2" xfId="8342"/>
    <cellStyle name="20% - 强调文字颜色 2 3 29 3" xfId="13967"/>
    <cellStyle name="20% - 强调文字颜色 2 3 29 4" xfId="24212"/>
    <cellStyle name="20% - 强调文字颜色 2 3 29 5" xfId="27444"/>
    <cellStyle name="20% - 强调文字颜色 2 3 3" xfId="207"/>
    <cellStyle name="20% - 强调文字颜色 2 3 3 10" xfId="29898"/>
    <cellStyle name="20% - 强调文字颜色 2 3 3 11" xfId="31379"/>
    <cellStyle name="20% - 强调文字颜色 2 3 3 2" xfId="2284"/>
    <cellStyle name="20% - 强调文字颜色 2 3 3 3" xfId="5760"/>
    <cellStyle name="20% - 强调文字颜色 2 3 3 4" xfId="11912"/>
    <cellStyle name="20% - 强调文字颜色 2 3 3 5" xfId="13968"/>
    <cellStyle name="20% - 强调文字颜色 2 3 3 6" xfId="7946"/>
    <cellStyle name="20% - 强调文字颜色 2 3 3 7" xfId="18062"/>
    <cellStyle name="20% - 强调文字颜色 2 3 3 8" xfId="22382"/>
    <cellStyle name="20% - 强调文字颜色 2 3 3 9" xfId="20863"/>
    <cellStyle name="20% - 强调文字颜色 2 3 30" xfId="2285"/>
    <cellStyle name="20% - 强调文字颜色 2 3 30 2" xfId="8343"/>
    <cellStyle name="20% - 强调文字颜色 2 3 30 3" xfId="13969"/>
    <cellStyle name="20% - 强调文字颜色 2 3 30 4" xfId="24213"/>
    <cellStyle name="20% - 强调文字颜色 2 3 30 5" xfId="27445"/>
    <cellStyle name="20% - 强调文字颜色 2 3 31" xfId="2286"/>
    <cellStyle name="20% - 强调文字颜色 2 3 31 2" xfId="8344"/>
    <cellStyle name="20% - 强调文字颜色 2 3 31 3" xfId="13970"/>
    <cellStyle name="20% - 强调文字颜色 2 3 31 4" xfId="24214"/>
    <cellStyle name="20% - 强调文字颜色 2 3 31 5" xfId="27446"/>
    <cellStyle name="20% - 强调文字颜色 2 3 32" xfId="2287"/>
    <cellStyle name="20% - 强调文字颜色 2 3 32 2" xfId="8345"/>
    <cellStyle name="20% - 强调文字颜色 2 3 32 3" xfId="13971"/>
    <cellStyle name="20% - 强调文字颜色 2 3 32 4" xfId="24215"/>
    <cellStyle name="20% - 强调文字颜色 2 3 32 5" xfId="27447"/>
    <cellStyle name="20% - 强调文字颜色 2 3 33" xfId="2288"/>
    <cellStyle name="20% - 强调文字颜色 2 3 33 2" xfId="8346"/>
    <cellStyle name="20% - 强调文字颜色 2 3 33 3" xfId="13972"/>
    <cellStyle name="20% - 强调文字颜色 2 3 33 4" xfId="24216"/>
    <cellStyle name="20% - 强调文字颜色 2 3 33 5" xfId="27448"/>
    <cellStyle name="20% - 强调文字颜色 2 3 34" xfId="2289"/>
    <cellStyle name="20% - 强调文字颜色 2 3 34 2" xfId="8347"/>
    <cellStyle name="20% - 强调文字颜色 2 3 34 3" xfId="13973"/>
    <cellStyle name="20% - 强调文字颜色 2 3 34 4" xfId="24217"/>
    <cellStyle name="20% - 强调文字颜色 2 3 34 5" xfId="27449"/>
    <cellStyle name="20% - 强调文字颜色 2 3 35" xfId="2290"/>
    <cellStyle name="20% - 强调文字颜色 2 3 35 2" xfId="8348"/>
    <cellStyle name="20% - 强调文字颜色 2 3 35 3" xfId="13974"/>
    <cellStyle name="20% - 强调文字颜色 2 3 35 4" xfId="24218"/>
    <cellStyle name="20% - 强调文字颜色 2 3 35 5" xfId="27450"/>
    <cellStyle name="20% - 强调文字颜色 2 3 36" xfId="2291"/>
    <cellStyle name="20% - 强调文字颜色 2 3 36 2" xfId="8349"/>
    <cellStyle name="20% - 强调文字颜色 2 3 36 3" xfId="13975"/>
    <cellStyle name="20% - 强调文字颜色 2 3 36 4" xfId="24219"/>
    <cellStyle name="20% - 强调文字颜色 2 3 36 5" xfId="27451"/>
    <cellStyle name="20% - 强调文字颜色 2 3 37" xfId="2292"/>
    <cellStyle name="20% - 强调文字颜色 2 3 37 2" xfId="8350"/>
    <cellStyle name="20% - 强调文字颜色 2 3 37 3" xfId="13976"/>
    <cellStyle name="20% - 强调文字颜色 2 3 37 4" xfId="24220"/>
    <cellStyle name="20% - 强调文字颜色 2 3 37 5" xfId="27452"/>
    <cellStyle name="20% - 强调文字颜色 2 3 38" xfId="2293"/>
    <cellStyle name="20% - 强调文字颜色 2 3 38 2" xfId="8351"/>
    <cellStyle name="20% - 强调文字颜色 2 3 38 3" xfId="13977"/>
    <cellStyle name="20% - 强调文字颜色 2 3 38 4" xfId="24221"/>
    <cellStyle name="20% - 强调文字颜色 2 3 38 5" xfId="27453"/>
    <cellStyle name="20% - 强调文字颜色 2 3 39" xfId="2294"/>
    <cellStyle name="20% - 强调文字颜色 2 3 39 2" xfId="8352"/>
    <cellStyle name="20% - 强调文字颜色 2 3 39 3" xfId="13978"/>
    <cellStyle name="20% - 强调文字颜色 2 3 39 4" xfId="24222"/>
    <cellStyle name="20% - 强调文字颜色 2 3 39 5" xfId="27454"/>
    <cellStyle name="20% - 强调文字颜色 2 3 4" xfId="208"/>
    <cellStyle name="20% - 强调文字颜色 2 3 4 10" xfId="29899"/>
    <cellStyle name="20% - 强调文字颜色 2 3 4 11" xfId="33186"/>
    <cellStyle name="20% - 强调文字颜色 2 3 4 2" xfId="2295"/>
    <cellStyle name="20% - 强调文字颜色 2 3 4 3" xfId="5761"/>
    <cellStyle name="20% - 强调文字颜色 2 3 4 4" xfId="11913"/>
    <cellStyle name="20% - 强调文字颜色 2 3 4 5" xfId="13979"/>
    <cellStyle name="20% - 强调文字颜色 2 3 4 6" xfId="7945"/>
    <cellStyle name="20% - 强调文字颜色 2 3 4 7" xfId="18063"/>
    <cellStyle name="20% - 强调文字颜色 2 3 4 8" xfId="23400"/>
    <cellStyle name="20% - 强调文字颜色 2 3 4 9" xfId="20222"/>
    <cellStyle name="20% - 强调文字颜色 2 3 40" xfId="2296"/>
    <cellStyle name="20% - 强调文字颜色 2 3 40 2" xfId="8353"/>
    <cellStyle name="20% - 强调文字颜色 2 3 40 3" xfId="13980"/>
    <cellStyle name="20% - 强调文字颜色 2 3 40 4" xfId="24223"/>
    <cellStyle name="20% - 强调文字颜色 2 3 40 5" xfId="27455"/>
    <cellStyle name="20% - 强调文字颜色 2 3 41" xfId="2297"/>
    <cellStyle name="20% - 强调文字颜色 2 3 41 2" xfId="8354"/>
    <cellStyle name="20% - 强调文字颜色 2 3 41 3" xfId="13981"/>
    <cellStyle name="20% - 强调文字颜色 2 3 41 4" xfId="24224"/>
    <cellStyle name="20% - 强调文字颜色 2 3 41 5" xfId="27456"/>
    <cellStyle name="20% - 强调文字颜色 2 3 42" xfId="5748"/>
    <cellStyle name="20% - 强调文字颜色 2 3 42 2" xfId="23554"/>
    <cellStyle name="20% - 强调文字颜色 2 3 42 3" xfId="26139"/>
    <cellStyle name="20% - 强调文字颜色 2 3 43" xfId="10926"/>
    <cellStyle name="20% - 强调文字颜色 2 3 43 2" xfId="23738"/>
    <cellStyle name="20% - 强调文字颜色 2 3 43 3" xfId="26323"/>
    <cellStyle name="20% - 强调文字颜色 2 3 44" xfId="11900"/>
    <cellStyle name="20% - 强调文字颜色 2 3 44 2" xfId="23842"/>
    <cellStyle name="20% - 强调文字颜色 2 3 44 3" xfId="26427"/>
    <cellStyle name="20% - 强调文字颜色 2 3 45" xfId="13946"/>
    <cellStyle name="20% - 强调文字颜色 2 3 45 2" xfId="23901"/>
    <cellStyle name="20% - 强调文字颜色 2 3 45 3" xfId="26486"/>
    <cellStyle name="20% - 强调文字颜色 2 3 46" xfId="7957"/>
    <cellStyle name="20% - 强调文字颜色 2 3 47" xfId="18050"/>
    <cellStyle name="20% - 强调文字颜色 2 3 48" xfId="22420"/>
    <cellStyle name="20% - 强调文字颜色 2 3 49" xfId="20865"/>
    <cellStyle name="20% - 强调文字颜色 2 3 5" xfId="209"/>
    <cellStyle name="20% - 强调文字颜色 2 3 5 10" xfId="29900"/>
    <cellStyle name="20% - 强调文字颜色 2 3 5 11" xfId="32285"/>
    <cellStyle name="20% - 强调文字颜色 2 3 5 2" xfId="2298"/>
    <cellStyle name="20% - 强调文字颜色 2 3 5 3" xfId="5762"/>
    <cellStyle name="20% - 强调文字颜色 2 3 5 4" xfId="11914"/>
    <cellStyle name="20% - 强调文字颜色 2 3 5 5" xfId="13982"/>
    <cellStyle name="20% - 强调文字颜色 2 3 5 6" xfId="7944"/>
    <cellStyle name="20% - 强调文字颜色 2 3 5 7" xfId="18064"/>
    <cellStyle name="20% - 强调文字颜色 2 3 5 8" xfId="22417"/>
    <cellStyle name="20% - 强调文字颜色 2 3 5 9" xfId="20084"/>
    <cellStyle name="20% - 强调文字颜色 2 3 50" xfId="29886"/>
    <cellStyle name="20% - 强调文字颜色 2 3 51" xfId="32884"/>
    <cellStyle name="20% - 强调文字颜色 2 3 6" xfId="210"/>
    <cellStyle name="20% - 强调文字颜色 2 3 6 10" xfId="29901"/>
    <cellStyle name="20% - 强调文字颜色 2 3 6 11" xfId="31825"/>
    <cellStyle name="20% - 强调文字颜色 2 3 6 2" xfId="2299"/>
    <cellStyle name="20% - 强调文字颜色 2 3 6 3" xfId="5763"/>
    <cellStyle name="20% - 强调文字颜色 2 3 6 4" xfId="11915"/>
    <cellStyle name="20% - 强调文字颜色 2 3 6 5" xfId="13983"/>
    <cellStyle name="20% - 强调文字颜色 2 3 6 6" xfId="7943"/>
    <cellStyle name="20% - 强调文字颜色 2 3 6 7" xfId="18065"/>
    <cellStyle name="20% - 强调文字颜色 2 3 6 8" xfId="21875"/>
    <cellStyle name="20% - 强调文字颜色 2 3 6 9" xfId="21513"/>
    <cellStyle name="20% - 强调文字颜色 2 3 7" xfId="211"/>
    <cellStyle name="20% - 强调文字颜色 2 3 7 10" xfId="29902"/>
    <cellStyle name="20% - 强调文字颜色 2 3 7 11" xfId="32880"/>
    <cellStyle name="20% - 强调文字颜色 2 3 7 2" xfId="2300"/>
    <cellStyle name="20% - 强调文字颜色 2 3 7 3" xfId="5764"/>
    <cellStyle name="20% - 强调文字颜色 2 3 7 4" xfId="11916"/>
    <cellStyle name="20% - 强调文字颜色 2 3 7 5" xfId="13984"/>
    <cellStyle name="20% - 强调文字颜色 2 3 7 6" xfId="7942"/>
    <cellStyle name="20% - 强调文字颜色 2 3 7 7" xfId="18066"/>
    <cellStyle name="20% - 强调文字颜色 2 3 7 8" xfId="23399"/>
    <cellStyle name="20% - 强调文字颜色 2 3 7 9" xfId="20277"/>
    <cellStyle name="20% - 强调文字颜色 2 3 8" xfId="212"/>
    <cellStyle name="20% - 强调文字颜色 2 3 8 10" xfId="29903"/>
    <cellStyle name="20% - 强调文字颜色 2 3 8 11" xfId="32012"/>
    <cellStyle name="20% - 强调文字颜色 2 3 8 2" xfId="2301"/>
    <cellStyle name="20% - 强调文字颜色 2 3 8 3" xfId="5765"/>
    <cellStyle name="20% - 强调文字颜色 2 3 8 4" xfId="11917"/>
    <cellStyle name="20% - 强调文字颜色 2 3 8 5" xfId="13985"/>
    <cellStyle name="20% - 强调文字颜色 2 3 8 6" xfId="7941"/>
    <cellStyle name="20% - 强调文字颜色 2 3 8 7" xfId="18067"/>
    <cellStyle name="20% - 强调文字颜色 2 3 8 8" xfId="22416"/>
    <cellStyle name="20% - 强调文字颜色 2 3 8 9" xfId="21313"/>
    <cellStyle name="20% - 强调文字颜色 2 3 9" xfId="213"/>
    <cellStyle name="20% - 强调文字颜色 2 3 9 10" xfId="29904"/>
    <cellStyle name="20% - 强调文字颜色 2 3 9 11" xfId="31378"/>
    <cellStyle name="20% - 强调文字颜色 2 3 9 2" xfId="2302"/>
    <cellStyle name="20% - 强调文字颜色 2 3 9 3" xfId="5766"/>
    <cellStyle name="20% - 强调文字颜色 2 3 9 4" xfId="11918"/>
    <cellStyle name="20% - 强调文字颜色 2 3 9 5" xfId="13986"/>
    <cellStyle name="20% - 强调文字颜色 2 3 9 6" xfId="7940"/>
    <cellStyle name="20% - 强调文字颜色 2 3 9 7" xfId="18068"/>
    <cellStyle name="20% - 强调文字颜色 2 3 9 8" xfId="21874"/>
    <cellStyle name="20% - 强调文字颜色 2 3 9 9" xfId="20862"/>
    <cellStyle name="20% - 强调文字颜色 2 30" xfId="2303"/>
    <cellStyle name="20% - 强调文字颜色 2 30 2" xfId="8355"/>
    <cellStyle name="20% - 强调文字颜色 2 30 3" xfId="13987"/>
    <cellStyle name="20% - 强调文字颜色 2 30 4" xfId="24225"/>
    <cellStyle name="20% - 强调文字颜色 2 30 5" xfId="26678"/>
    <cellStyle name="20% - 强调文字颜色 2 30 6" xfId="27457"/>
    <cellStyle name="20% - 强调文字颜色 2 31" xfId="2304"/>
    <cellStyle name="20% - 强调文字颜色 2 31 2" xfId="8356"/>
    <cellStyle name="20% - 强调文字颜色 2 31 3" xfId="13988"/>
    <cellStyle name="20% - 强调文字颜色 2 31 4" xfId="24226"/>
    <cellStyle name="20% - 强调文字颜色 2 31 5" xfId="26679"/>
    <cellStyle name="20% - 强调文字颜色 2 31 6" xfId="27458"/>
    <cellStyle name="20% - 强调文字颜色 2 32" xfId="2305"/>
    <cellStyle name="20% - 强调文字颜色 2 32 2" xfId="8357"/>
    <cellStyle name="20% - 强调文字颜色 2 32 3" xfId="13989"/>
    <cellStyle name="20% - 强调文字颜色 2 32 4" xfId="24227"/>
    <cellStyle name="20% - 强调文字颜色 2 32 5" xfId="26680"/>
    <cellStyle name="20% - 强调文字颜色 2 32 6" xfId="27459"/>
    <cellStyle name="20% - 强调文字颜色 2 33" xfId="2306"/>
    <cellStyle name="20% - 强调文字颜色 2 33 2" xfId="8358"/>
    <cellStyle name="20% - 强调文字颜色 2 33 3" xfId="13990"/>
    <cellStyle name="20% - 强调文字颜色 2 33 4" xfId="24228"/>
    <cellStyle name="20% - 强调文字颜色 2 33 5" xfId="27460"/>
    <cellStyle name="20% - 强调文字颜色 2 34" xfId="2307"/>
    <cellStyle name="20% - 强调文字颜色 2 34 2" xfId="8359"/>
    <cellStyle name="20% - 强调文字颜色 2 34 3" xfId="13991"/>
    <cellStyle name="20% - 强调文字颜色 2 34 4" xfId="24229"/>
    <cellStyle name="20% - 强调文字颜色 2 34 5" xfId="27461"/>
    <cellStyle name="20% - 强调文字颜色 2 35" xfId="2308"/>
    <cellStyle name="20% - 强调文字颜色 2 35 2" xfId="8360"/>
    <cellStyle name="20% - 强调文字颜色 2 35 3" xfId="13992"/>
    <cellStyle name="20% - 强调文字颜色 2 35 4" xfId="24230"/>
    <cellStyle name="20% - 强调文字颜色 2 35 5" xfId="27462"/>
    <cellStyle name="20% - 强调文字颜色 2 36" xfId="2309"/>
    <cellStyle name="20% - 强调文字颜色 2 36 2" xfId="8361"/>
    <cellStyle name="20% - 强调文字颜色 2 36 3" xfId="13993"/>
    <cellStyle name="20% - 强调文字颜色 2 36 4" xfId="24231"/>
    <cellStyle name="20% - 强调文字颜色 2 36 5" xfId="27463"/>
    <cellStyle name="20% - 强调文字颜色 2 37" xfId="2310"/>
    <cellStyle name="20% - 强调文字颜色 2 37 2" xfId="8362"/>
    <cellStyle name="20% - 强调文字颜色 2 37 3" xfId="13994"/>
    <cellStyle name="20% - 强调文字颜色 2 37 4" xfId="24232"/>
    <cellStyle name="20% - 强调文字颜色 2 37 5" xfId="27464"/>
    <cellStyle name="20% - 强调文字颜色 2 38" xfId="2311"/>
    <cellStyle name="20% - 强调文字颜色 2 38 2" xfId="8363"/>
    <cellStyle name="20% - 强调文字颜色 2 38 3" xfId="13995"/>
    <cellStyle name="20% - 强调文字颜色 2 38 4" xfId="24233"/>
    <cellStyle name="20% - 强调文字颜色 2 38 5" xfId="27465"/>
    <cellStyle name="20% - 强调文字颜色 2 39" xfId="2312"/>
    <cellStyle name="20% - 强调文字颜色 2 39 2" xfId="8364"/>
    <cellStyle name="20% - 强调文字颜色 2 39 3" xfId="13996"/>
    <cellStyle name="20% - 强调文字颜色 2 39 4" xfId="24234"/>
    <cellStyle name="20% - 强调文字颜色 2 39 5" xfId="27466"/>
    <cellStyle name="20% - 强调文字颜色 2 4" xfId="214"/>
    <cellStyle name="20% - 强调文字颜色 2 4 10" xfId="11919"/>
    <cellStyle name="20% - 强调文字颜色 2 4 11" xfId="13997"/>
    <cellStyle name="20% - 强调文字颜色 2 4 12" xfId="7939"/>
    <cellStyle name="20% - 强调文字颜色 2 4 13" xfId="18069"/>
    <cellStyle name="20% - 强调文字颜色 2 4 14" xfId="23398"/>
    <cellStyle name="20% - 强调文字颜色 2 4 15" xfId="20221"/>
    <cellStyle name="20% - 强调文字颜色 2 4 16" xfId="29905"/>
    <cellStyle name="20% - 强调文字颜色 2 4 17" xfId="32011"/>
    <cellStyle name="20% - 强调文字颜色 2 4 2" xfId="215"/>
    <cellStyle name="20% - 强调文字颜色 2 4 2 10" xfId="29906"/>
    <cellStyle name="20% - 强调文字颜色 2 4 2 11" xfId="31377"/>
    <cellStyle name="20% - 强调文字颜色 2 4 2 2" xfId="2314"/>
    <cellStyle name="20% - 强调文字颜色 2 4 2 3" xfId="5768"/>
    <cellStyle name="20% - 强调文字颜色 2 4 2 4" xfId="11920"/>
    <cellStyle name="20% - 强调文字颜色 2 4 2 5" xfId="13998"/>
    <cellStyle name="20% - 强调文字颜色 2 4 2 6" xfId="7938"/>
    <cellStyle name="20% - 强调文字颜色 2 4 2 7" xfId="18070"/>
    <cellStyle name="20% - 强调文字颜色 2 4 2 8" xfId="22868"/>
    <cellStyle name="20% - 强调文字颜色 2 4 2 9" xfId="20083"/>
    <cellStyle name="20% - 强调文字颜色 2 4 3" xfId="216"/>
    <cellStyle name="20% - 强调文字颜色 2 4 3 10" xfId="29907"/>
    <cellStyle name="20% - 强调文字颜色 2 4 3 11" xfId="32879"/>
    <cellStyle name="20% - 强调文字颜色 2 4 3 2" xfId="2315"/>
    <cellStyle name="20% - 强调文字颜色 2 4 3 3" xfId="5769"/>
    <cellStyle name="20% - 强调文字颜色 2 4 3 4" xfId="11921"/>
    <cellStyle name="20% - 强调文字颜色 2 4 3 5" xfId="13999"/>
    <cellStyle name="20% - 强调文字颜色 2 4 3 6" xfId="7937"/>
    <cellStyle name="20% - 强调文字颜色 2 4 3 7" xfId="18071"/>
    <cellStyle name="20% - 强调文字颜色 2 4 3 8" xfId="22650"/>
    <cellStyle name="20% - 强调文字颜色 2 4 3 9" xfId="21512"/>
    <cellStyle name="20% - 强调文字颜色 2 4 4" xfId="217"/>
    <cellStyle name="20% - 强调文字颜色 2 4 4 10" xfId="29908"/>
    <cellStyle name="20% - 强调文字颜色 2 4 4 11" xfId="32010"/>
    <cellStyle name="20% - 强调文字颜色 2 4 4 2" xfId="2316"/>
    <cellStyle name="20% - 强调文字颜色 2 4 4 3" xfId="5770"/>
    <cellStyle name="20% - 强调文字颜色 2 4 4 4" xfId="11922"/>
    <cellStyle name="20% - 强调文字颜色 2 4 4 5" xfId="14000"/>
    <cellStyle name="20% - 强调文字颜色 2 4 4 6" xfId="7936"/>
    <cellStyle name="20% - 强调文字颜色 2 4 4 7" xfId="18072"/>
    <cellStyle name="20% - 强调文字颜色 2 4 4 8" xfId="22415"/>
    <cellStyle name="20% - 强调文字颜色 2 4 4 9" xfId="20278"/>
    <cellStyle name="20% - 强调文字颜色 2 4 5" xfId="218"/>
    <cellStyle name="20% - 强调文字颜色 2 4 5 10" xfId="29909"/>
    <cellStyle name="20% - 强调文字颜色 2 4 5 11" xfId="31376"/>
    <cellStyle name="20% - 强调文字颜色 2 4 5 2" xfId="2317"/>
    <cellStyle name="20% - 强调文字颜色 2 4 5 3" xfId="5771"/>
    <cellStyle name="20% - 强调文字颜色 2 4 5 4" xfId="11923"/>
    <cellStyle name="20% - 强调文字颜色 2 4 5 5" xfId="14001"/>
    <cellStyle name="20% - 强调文字颜色 2 4 5 6" xfId="7935"/>
    <cellStyle name="20% - 强调文字颜色 2 4 5 7" xfId="18073"/>
    <cellStyle name="20% - 强调文字颜色 2 4 5 8" xfId="23397"/>
    <cellStyle name="20% - 强调文字颜色 2 4 5 9" xfId="21312"/>
    <cellStyle name="20% - 强调文字颜色 2 4 6" xfId="219"/>
    <cellStyle name="20% - 强调文字颜色 2 4 6 10" xfId="29910"/>
    <cellStyle name="20% - 强调文字颜色 2 4 6 11" xfId="32878"/>
    <cellStyle name="20% - 强调文字颜色 2 4 6 2" xfId="2318"/>
    <cellStyle name="20% - 强调文字颜色 2 4 6 3" xfId="5772"/>
    <cellStyle name="20% - 强调文字颜色 2 4 6 4" xfId="11924"/>
    <cellStyle name="20% - 强调文字颜色 2 4 6 5" xfId="14002"/>
    <cellStyle name="20% - 强调文字颜色 2 4 6 6" xfId="7934"/>
    <cellStyle name="20% - 强调文字颜色 2 4 6 7" xfId="18074"/>
    <cellStyle name="20% - 强调文字颜色 2 4 6 8" xfId="22414"/>
    <cellStyle name="20% - 强调文字颜色 2 4 6 9" xfId="20861"/>
    <cellStyle name="20% - 强调文字颜色 2 4 7" xfId="220"/>
    <cellStyle name="20% - 强调文字颜色 2 4 7 10" xfId="29911"/>
    <cellStyle name="20% - 强调文字颜色 2 4 7 11" xfId="32009"/>
    <cellStyle name="20% - 强调文字颜色 2 4 7 2" xfId="2319"/>
    <cellStyle name="20% - 强调文字颜色 2 4 7 3" xfId="5773"/>
    <cellStyle name="20% - 强调文字颜色 2 4 7 4" xfId="11925"/>
    <cellStyle name="20% - 强调文字颜色 2 4 7 5" xfId="14003"/>
    <cellStyle name="20% - 强调文字颜色 2 4 7 6" xfId="7933"/>
    <cellStyle name="20% - 强调文字颜色 2 4 7 7" xfId="18075"/>
    <cellStyle name="20% - 强调文字颜色 2 4 7 8" xfId="21873"/>
    <cellStyle name="20% - 强调文字颜色 2 4 7 9" xfId="20220"/>
    <cellStyle name="20% - 强调文字颜色 2 4 8" xfId="2313"/>
    <cellStyle name="20% - 强调文字颜色 2 4 9" xfId="5767"/>
    <cellStyle name="20% - 强调文字颜色 2 40" xfId="2320"/>
    <cellStyle name="20% - 强调文字颜色 2 40 2" xfId="8365"/>
    <cellStyle name="20% - 强调文字颜色 2 40 3" xfId="14004"/>
    <cellStyle name="20% - 强调文字颜色 2 40 4" xfId="24235"/>
    <cellStyle name="20% - 强调文字颜色 2 40 5" xfId="27467"/>
    <cellStyle name="20% - 强调文字颜色 2 41" xfId="2321"/>
    <cellStyle name="20% - 强调文字颜色 2 41 2" xfId="8366"/>
    <cellStyle name="20% - 强调文字颜色 2 41 3" xfId="14005"/>
    <cellStyle name="20% - 强调文字颜色 2 41 4" xfId="24236"/>
    <cellStyle name="20% - 强调文字颜色 2 41 5" xfId="27468"/>
    <cellStyle name="20% - 强调文字颜色 2 42" xfId="2322"/>
    <cellStyle name="20% - 强调文字颜色 2 42 2" xfId="8367"/>
    <cellStyle name="20% - 强调文字颜色 2 42 3" xfId="14006"/>
    <cellStyle name="20% - 强调文字颜色 2 42 4" xfId="24237"/>
    <cellStyle name="20% - 强调文字颜色 2 42 5" xfId="27469"/>
    <cellStyle name="20% - 强调文字颜色 2 43" xfId="2323"/>
    <cellStyle name="20% - 强调文字颜色 2 43 2" xfId="8368"/>
    <cellStyle name="20% - 强调文字颜色 2 43 3" xfId="14007"/>
    <cellStyle name="20% - 强调文字颜色 2 43 4" xfId="24238"/>
    <cellStyle name="20% - 强调文字颜色 2 43 5" xfId="27470"/>
    <cellStyle name="20% - 强调文字颜色 2 44" xfId="2324"/>
    <cellStyle name="20% - 强调文字颜色 2 44 2" xfId="8369"/>
    <cellStyle name="20% - 强调文字颜色 2 44 3" xfId="14008"/>
    <cellStyle name="20% - 强调文字颜色 2 44 4" xfId="24239"/>
    <cellStyle name="20% - 强调文字颜色 2 44 5" xfId="27471"/>
    <cellStyle name="20% - 强调文字颜色 2 45" xfId="2325"/>
    <cellStyle name="20% - 强调文字颜色 2 45 2" xfId="8370"/>
    <cellStyle name="20% - 强调文字颜色 2 45 3" xfId="14009"/>
    <cellStyle name="20% - 强调文字颜色 2 45 4" xfId="24240"/>
    <cellStyle name="20% - 强调文字颜色 2 45 5" xfId="27472"/>
    <cellStyle name="20% - 强调文字颜色 2 46" xfId="5678"/>
    <cellStyle name="20% - 强调文字颜色 2 46 2" xfId="8210"/>
    <cellStyle name="20% - 强调文字颜色 2 46 3" xfId="10945"/>
    <cellStyle name="20% - 强调文字颜色 2 47" xfId="10912"/>
    <cellStyle name="20% - 强调文字颜色 2 47 2" xfId="23730"/>
    <cellStyle name="20% - 强调文字颜色 2 47 3" xfId="26315"/>
    <cellStyle name="20% - 强调文字颜色 2 48" xfId="11831"/>
    <cellStyle name="20% - 强调文字颜色 2 48 2" xfId="23838"/>
    <cellStyle name="20% - 强调文字颜色 2 48 3" xfId="26423"/>
    <cellStyle name="20% - 强调文字颜色 2 49" xfId="13772"/>
    <cellStyle name="20% - 强调文字颜色 2 49 2" xfId="23900"/>
    <cellStyle name="20% - 强调文字颜色 2 49 3" xfId="26485"/>
    <cellStyle name="20% - 强调文字颜色 2 5" xfId="221"/>
    <cellStyle name="20% - 强调文字颜色 2 5 10" xfId="11926"/>
    <cellStyle name="20% - 强调文字颜色 2 5 11" xfId="14010"/>
    <cellStyle name="20% - 强调文字颜色 2 5 12" xfId="7932"/>
    <cellStyle name="20% - 强调文字颜色 2 5 13" xfId="18076"/>
    <cellStyle name="20% - 强调文字颜色 2 5 14" xfId="23396"/>
    <cellStyle name="20% - 强调文字颜色 2 5 15" xfId="20082"/>
    <cellStyle name="20% - 强调文字颜色 2 5 16" xfId="29912"/>
    <cellStyle name="20% - 强调文字颜色 2 5 17" xfId="31375"/>
    <cellStyle name="20% - 强调文字颜色 2 5 2" xfId="222"/>
    <cellStyle name="20% - 强调文字颜色 2 5 2 10" xfId="29913"/>
    <cellStyle name="20% - 强调文字颜色 2 5 2 11" xfId="32877"/>
    <cellStyle name="20% - 强调文字颜色 2 5 2 2" xfId="2327"/>
    <cellStyle name="20% - 强调文字颜色 2 5 2 3" xfId="5775"/>
    <cellStyle name="20% - 强调文字颜色 2 5 2 4" xfId="11927"/>
    <cellStyle name="20% - 强调文字颜色 2 5 2 5" xfId="14011"/>
    <cellStyle name="20% - 强调文字颜色 2 5 2 6" xfId="7931"/>
    <cellStyle name="20% - 强调文字颜色 2 5 2 7" xfId="18077"/>
    <cellStyle name="20% - 强调文字颜色 2 5 2 8" xfId="22413"/>
    <cellStyle name="20% - 强调文字颜色 2 5 2 9" xfId="21511"/>
    <cellStyle name="20% - 强调文字颜色 2 5 3" xfId="223"/>
    <cellStyle name="20% - 强调文字颜色 2 5 3 10" xfId="29914"/>
    <cellStyle name="20% - 强调文字颜色 2 5 3 11" xfId="32008"/>
    <cellStyle name="20% - 强调文字颜色 2 5 3 2" xfId="2328"/>
    <cellStyle name="20% - 强调文字颜色 2 5 3 3" xfId="5776"/>
    <cellStyle name="20% - 强调文字颜色 2 5 3 4" xfId="11928"/>
    <cellStyle name="20% - 强调文字颜色 2 5 3 5" xfId="14012"/>
    <cellStyle name="20% - 强调文字颜色 2 5 3 6" xfId="7930"/>
    <cellStyle name="20% - 强调文字颜色 2 5 3 7" xfId="18078"/>
    <cellStyle name="20% - 强调文字颜色 2 5 3 8" xfId="21872"/>
    <cellStyle name="20% - 强调文字颜色 2 5 3 9" xfId="20279"/>
    <cellStyle name="20% - 强调文字颜色 2 5 4" xfId="224"/>
    <cellStyle name="20% - 强调文字颜色 2 5 4 10" xfId="29915"/>
    <cellStyle name="20% - 强调文字颜色 2 5 4 11" xfId="31374"/>
    <cellStyle name="20% - 强调文字颜色 2 5 4 2" xfId="2329"/>
    <cellStyle name="20% - 强调文字颜色 2 5 4 3" xfId="5777"/>
    <cellStyle name="20% - 强调文字颜色 2 5 4 4" xfId="11929"/>
    <cellStyle name="20% - 强调文字颜色 2 5 4 5" xfId="14013"/>
    <cellStyle name="20% - 强调文字颜色 2 5 4 6" xfId="10709"/>
    <cellStyle name="20% - 强调文字颜色 2 5 4 7" xfId="18079"/>
    <cellStyle name="20% - 强调文字颜色 2 5 4 8" xfId="23395"/>
    <cellStyle name="20% - 强调文字颜色 2 5 4 9" xfId="21311"/>
    <cellStyle name="20% - 强调文字颜色 2 5 5" xfId="225"/>
    <cellStyle name="20% - 强调文字颜色 2 5 5 10" xfId="29916"/>
    <cellStyle name="20% - 强调文字颜色 2 5 5 11" xfId="32876"/>
    <cellStyle name="20% - 强调文字颜色 2 5 5 2" xfId="2330"/>
    <cellStyle name="20% - 强调文字颜色 2 5 5 3" xfId="5778"/>
    <cellStyle name="20% - 强调文字颜色 2 5 5 4" xfId="11930"/>
    <cellStyle name="20% - 强调文字颜色 2 5 5 5" xfId="14014"/>
    <cellStyle name="20% - 强调文字颜色 2 5 5 6" xfId="7929"/>
    <cellStyle name="20% - 强调文字颜色 2 5 5 7" xfId="18080"/>
    <cellStyle name="20% - 强调文字颜色 2 5 5 8" xfId="22412"/>
    <cellStyle name="20% - 强调文字颜色 2 5 5 9" xfId="20860"/>
    <cellStyle name="20% - 强调文字颜色 2 5 6" xfId="226"/>
    <cellStyle name="20% - 强调文字颜色 2 5 6 10" xfId="29917"/>
    <cellStyle name="20% - 强调文字颜色 2 5 6 11" xfId="32007"/>
    <cellStyle name="20% - 强调文字颜色 2 5 6 2" xfId="2331"/>
    <cellStyle name="20% - 强调文字颜色 2 5 6 3" xfId="5779"/>
    <cellStyle name="20% - 强调文字颜色 2 5 6 4" xfId="11931"/>
    <cellStyle name="20% - 强调文字颜色 2 5 6 5" xfId="14015"/>
    <cellStyle name="20% - 强调文字颜色 2 5 6 6" xfId="7928"/>
    <cellStyle name="20% - 强调文字颜色 2 5 6 7" xfId="18081"/>
    <cellStyle name="20% - 强调文字颜色 2 5 6 8" xfId="21871"/>
    <cellStyle name="20% - 强调文字颜色 2 5 6 9" xfId="21310"/>
    <cellStyle name="20% - 强调文字颜色 2 5 7" xfId="227"/>
    <cellStyle name="20% - 强调文字颜色 2 5 7 10" xfId="29918"/>
    <cellStyle name="20% - 强调文字颜色 2 5 7 11" xfId="31373"/>
    <cellStyle name="20% - 强调文字颜色 2 5 7 2" xfId="2332"/>
    <cellStyle name="20% - 强调文字颜色 2 5 7 3" xfId="5780"/>
    <cellStyle name="20% - 强调文字颜色 2 5 7 4" xfId="11932"/>
    <cellStyle name="20% - 强调文字颜色 2 5 7 5" xfId="14016"/>
    <cellStyle name="20% - 强调文字颜色 2 5 7 6" xfId="7927"/>
    <cellStyle name="20% - 强调文字颜色 2 5 7 7" xfId="18082"/>
    <cellStyle name="20% - 强调文字颜色 2 5 7 8" xfId="23394"/>
    <cellStyle name="20% - 强调文字颜色 2 5 7 9" xfId="20714"/>
    <cellStyle name="20% - 强调文字颜色 2 5 8" xfId="2326"/>
    <cellStyle name="20% - 强调文字颜色 2 5 9" xfId="5774"/>
    <cellStyle name="20% - 强调文字颜色 2 50" xfId="11666"/>
    <cellStyle name="20% - 强调文字颜色 2 50 2" xfId="27009"/>
    <cellStyle name="20% - 强调文字颜色 2 51" xfId="17429"/>
    <cellStyle name="20% - 强调文字颜色 2 52" xfId="17515"/>
    <cellStyle name="20% - 强调文字颜色 2 52 2" xfId="27138"/>
    <cellStyle name="20% - 强调文字颜色 2 53" xfId="17601"/>
    <cellStyle name="20% - 强调文字颜色 2 54" xfId="17687"/>
    <cellStyle name="20% - 强调文字颜色 2 55" xfId="17773"/>
    <cellStyle name="20% - 强调文字颜色 2 56" xfId="17979"/>
    <cellStyle name="20% - 强调文字颜色 2 56 2" xfId="21371"/>
    <cellStyle name="20% - 强调文字颜色 2 56 3" xfId="23454"/>
    <cellStyle name="20% - 强调文字颜色 2 57" xfId="21886"/>
    <cellStyle name="20% - 强调文字颜色 2 58" xfId="20232"/>
    <cellStyle name="20% - 强调文字颜色 2 6" xfId="228"/>
    <cellStyle name="20% - 强调文字颜色 2 6 10" xfId="14017"/>
    <cellStyle name="20% - 强调文字颜色 2 6 11" xfId="7926"/>
    <cellStyle name="20% - 强调文字颜色 2 6 12" xfId="18083"/>
    <cellStyle name="20% - 强调文字颜色 2 6 13" xfId="22411"/>
    <cellStyle name="20% - 强调文字颜色 2 6 14" xfId="20080"/>
    <cellStyle name="20% - 强调文字颜色 2 6 15" xfId="29919"/>
    <cellStyle name="20% - 强调文字颜色 2 6 16" xfId="32875"/>
    <cellStyle name="20% - 强调文字颜色 2 6 2" xfId="229"/>
    <cellStyle name="20% - 强调文字颜色 2 6 2 10" xfId="29920"/>
    <cellStyle name="20% - 强调文字颜色 2 6 2 11" xfId="32006"/>
    <cellStyle name="20% - 强调文字颜色 2 6 2 2" xfId="2334"/>
    <cellStyle name="20% - 强调文字颜色 2 6 2 3" xfId="5782"/>
    <cellStyle name="20% - 强调文字颜色 2 6 2 4" xfId="11934"/>
    <cellStyle name="20% - 强调文字颜色 2 6 2 5" xfId="14018"/>
    <cellStyle name="20% - 强调文字颜色 2 6 2 6" xfId="7925"/>
    <cellStyle name="20% - 强调文字颜色 2 6 2 7" xfId="18084"/>
    <cellStyle name="20% - 强调文字颜色 2 6 2 8" xfId="21870"/>
    <cellStyle name="20% - 强调文字颜色 2 6 2 9" xfId="21309"/>
    <cellStyle name="20% - 强调文字颜色 2 6 3" xfId="230"/>
    <cellStyle name="20% - 强调文字颜色 2 6 3 10" xfId="29921"/>
    <cellStyle name="20% - 强调文字颜色 2 6 3 11" xfId="31372"/>
    <cellStyle name="20% - 强调文字颜色 2 6 3 2" xfId="2335"/>
    <cellStyle name="20% - 强调文字颜色 2 6 3 3" xfId="5783"/>
    <cellStyle name="20% - 强调文字颜色 2 6 3 4" xfId="11935"/>
    <cellStyle name="20% - 强调文字颜色 2 6 3 5" xfId="14019"/>
    <cellStyle name="20% - 强调文字颜色 2 6 3 6" xfId="7924"/>
    <cellStyle name="20% - 强调文字颜色 2 6 3 7" xfId="18085"/>
    <cellStyle name="20% - 强调文字颜色 2 6 3 8" xfId="23393"/>
    <cellStyle name="20% - 强调文字颜色 2 6 3 9" xfId="20713"/>
    <cellStyle name="20% - 强调文字颜色 2 6 4" xfId="231"/>
    <cellStyle name="20% - 强调文字颜色 2 6 4 10" xfId="29922"/>
    <cellStyle name="20% - 强调文字颜色 2 6 4 11" xfId="32874"/>
    <cellStyle name="20% - 强调文字颜色 2 6 4 2" xfId="2336"/>
    <cellStyle name="20% - 强调文字颜色 2 6 4 3" xfId="5784"/>
    <cellStyle name="20% - 强调文字颜色 2 6 4 4" xfId="11936"/>
    <cellStyle name="20% - 强调文字颜色 2 6 4 5" xfId="14020"/>
    <cellStyle name="20% - 强调文字颜色 2 6 4 6" xfId="7923"/>
    <cellStyle name="20% - 强调文字颜色 2 6 4 7" xfId="18086"/>
    <cellStyle name="20% - 强调文字颜色 2 6 4 8" xfId="22410"/>
    <cellStyle name="20% - 强调文字颜色 2 6 4 9" xfId="20079"/>
    <cellStyle name="20% - 强调文字颜色 2 6 5" xfId="232"/>
    <cellStyle name="20% - 强调文字颜色 2 6 5 10" xfId="29923"/>
    <cellStyle name="20% - 强调文字颜色 2 6 5 11" xfId="32005"/>
    <cellStyle name="20% - 强调文字颜色 2 6 5 2" xfId="2337"/>
    <cellStyle name="20% - 强调文字颜色 2 6 5 3" xfId="5785"/>
    <cellStyle name="20% - 强调文字颜色 2 6 5 4" xfId="11937"/>
    <cellStyle name="20% - 强调文字颜色 2 6 5 5" xfId="14021"/>
    <cellStyle name="20% - 强调文字颜色 2 6 5 6" xfId="7922"/>
    <cellStyle name="20% - 强调文字颜色 2 6 5 7" xfId="18087"/>
    <cellStyle name="20% - 强调文字颜色 2 6 5 8" xfId="21869"/>
    <cellStyle name="20% - 强调文字颜色 2 6 5 9" xfId="21308"/>
    <cellStyle name="20% - 强调文字颜色 2 6 6" xfId="233"/>
    <cellStyle name="20% - 强调文字颜色 2 6 6 10" xfId="29924"/>
    <cellStyle name="20% - 强调文字颜色 2 6 6 11" xfId="31371"/>
    <cellStyle name="20% - 强调文字颜色 2 6 6 2" xfId="2338"/>
    <cellStyle name="20% - 强调文字颜色 2 6 6 3" xfId="5786"/>
    <cellStyle name="20% - 强调文字颜色 2 6 6 4" xfId="11938"/>
    <cellStyle name="20% - 强调文字颜色 2 6 6 5" xfId="14022"/>
    <cellStyle name="20% - 强调文字颜色 2 6 6 6" xfId="7921"/>
    <cellStyle name="20% - 强调文字颜色 2 6 6 7" xfId="18088"/>
    <cellStyle name="20% - 强调文字颜色 2 6 6 8" xfId="23392"/>
    <cellStyle name="20% - 强调文字颜色 2 6 6 9" xfId="20712"/>
    <cellStyle name="20% - 强调文字颜色 2 6 7" xfId="2333"/>
    <cellStyle name="20% - 强调文字颜色 2 6 8" xfId="5781"/>
    <cellStyle name="20% - 强调文字颜色 2 6 9" xfId="11933"/>
    <cellStyle name="20% - 强调文字颜色 2 7" xfId="234"/>
    <cellStyle name="20% - 强调文字颜色 2 7 10" xfId="22409"/>
    <cellStyle name="20% - 强调文字颜色 2 7 11" xfId="20078"/>
    <cellStyle name="20% - 强调文字颜色 2 7 12" xfId="29925"/>
    <cellStyle name="20% - 强调文字颜色 2 7 13" xfId="32873"/>
    <cellStyle name="20% - 强调文字颜色 2 7 2" xfId="235"/>
    <cellStyle name="20% - 强调文字颜色 2 7 2 10" xfId="29926"/>
    <cellStyle name="20% - 强调文字颜色 2 7 2 11" xfId="32004"/>
    <cellStyle name="20% - 强调文字颜色 2 7 2 2" xfId="2340"/>
    <cellStyle name="20% - 强调文字颜色 2 7 2 3" xfId="5788"/>
    <cellStyle name="20% - 强调文字颜色 2 7 2 4" xfId="11940"/>
    <cellStyle name="20% - 强调文字颜色 2 7 2 5" xfId="14024"/>
    <cellStyle name="20% - 强调文字颜色 2 7 2 6" xfId="7919"/>
    <cellStyle name="20% - 强调文字颜色 2 7 2 7" xfId="18090"/>
    <cellStyle name="20% - 强调文字颜色 2 7 2 8" xfId="21868"/>
    <cellStyle name="20% - 强调文字颜色 2 7 2 9" xfId="21307"/>
    <cellStyle name="20% - 强调文字颜色 2 7 3" xfId="236"/>
    <cellStyle name="20% - 强调文字颜色 2 7 3 10" xfId="29927"/>
    <cellStyle name="20% - 强调文字颜色 2 7 3 11" xfId="31370"/>
    <cellStyle name="20% - 强调文字颜色 2 7 3 2" xfId="2341"/>
    <cellStyle name="20% - 强调文字颜色 2 7 3 3" xfId="5789"/>
    <cellStyle name="20% - 强调文字颜色 2 7 3 4" xfId="11941"/>
    <cellStyle name="20% - 强调文字颜色 2 7 3 5" xfId="14025"/>
    <cellStyle name="20% - 强调文字颜色 2 7 3 6" xfId="7918"/>
    <cellStyle name="20% - 强调文字颜色 2 7 3 7" xfId="18091"/>
    <cellStyle name="20% - 强调文字颜色 2 7 3 8" xfId="23391"/>
    <cellStyle name="20% - 强调文字颜色 2 7 3 9" xfId="20711"/>
    <cellStyle name="20% - 强调文字颜色 2 7 4" xfId="2339"/>
    <cellStyle name="20% - 强调文字颜色 2 7 5" xfId="5787"/>
    <cellStyle name="20% - 强调文字颜色 2 7 6" xfId="11939"/>
    <cellStyle name="20% - 强调文字颜色 2 7 7" xfId="14023"/>
    <cellStyle name="20% - 强调文字颜色 2 7 8" xfId="7920"/>
    <cellStyle name="20% - 强调文字颜色 2 7 9" xfId="18089"/>
    <cellStyle name="20% - 强调文字颜色 2 8" xfId="237"/>
    <cellStyle name="20% - 强调文字颜色 2 8 10" xfId="14026"/>
    <cellStyle name="20% - 强调文字颜色 2 8 11" xfId="7917"/>
    <cellStyle name="20% - 强调文字颜色 2 8 12" xfId="18092"/>
    <cellStyle name="20% - 强调文字颜色 2 8 13" xfId="22408"/>
    <cellStyle name="20% - 强调文字颜色 2 8 14" xfId="20077"/>
    <cellStyle name="20% - 强调文字颜色 2 8 15" xfId="29928"/>
    <cellStyle name="20% - 强调文字颜色 2 8 16" xfId="32872"/>
    <cellStyle name="20% - 强调文字颜色 2 8 2" xfId="238"/>
    <cellStyle name="20% - 强调文字颜色 2 8 2 10" xfId="29929"/>
    <cellStyle name="20% - 强调文字颜色 2 8 2 11" xfId="32003"/>
    <cellStyle name="20% - 强调文字颜色 2 8 2 2" xfId="2343"/>
    <cellStyle name="20% - 强调文字颜色 2 8 2 3" xfId="5791"/>
    <cellStyle name="20% - 强调文字颜色 2 8 2 4" xfId="11943"/>
    <cellStyle name="20% - 强调文字颜色 2 8 2 5" xfId="14027"/>
    <cellStyle name="20% - 强调文字颜色 2 8 2 6" xfId="7916"/>
    <cellStyle name="20% - 强调文字颜色 2 8 2 7" xfId="18093"/>
    <cellStyle name="20% - 强调文字颜色 2 8 2 8" xfId="21867"/>
    <cellStyle name="20% - 强调文字颜色 2 8 2 9" xfId="21306"/>
    <cellStyle name="20% - 强调文字颜色 2 8 3" xfId="239"/>
    <cellStyle name="20% - 强调文字颜色 2 8 3 10" xfId="29930"/>
    <cellStyle name="20% - 强调文字颜色 2 8 3 11" xfId="31369"/>
    <cellStyle name="20% - 强调文字颜色 2 8 3 2" xfId="2344"/>
    <cellStyle name="20% - 强调文字颜色 2 8 3 3" xfId="5792"/>
    <cellStyle name="20% - 强调文字颜色 2 8 3 4" xfId="11944"/>
    <cellStyle name="20% - 强调文字颜色 2 8 3 5" xfId="14028"/>
    <cellStyle name="20% - 强调文字颜色 2 8 3 6" xfId="7915"/>
    <cellStyle name="20% - 强调文字颜色 2 8 3 7" xfId="18094"/>
    <cellStyle name="20% - 强调文字颜色 2 8 3 8" xfId="23390"/>
    <cellStyle name="20% - 强调文字颜色 2 8 3 9" xfId="20710"/>
    <cellStyle name="20% - 强调文字颜色 2 8 4" xfId="240"/>
    <cellStyle name="20% - 强调文字颜色 2 8 4 10" xfId="29931"/>
    <cellStyle name="20% - 强调文字颜色 2 8 4 11" xfId="32871"/>
    <cellStyle name="20% - 强调文字颜色 2 8 4 2" xfId="2345"/>
    <cellStyle name="20% - 强调文字颜色 2 8 4 3" xfId="5793"/>
    <cellStyle name="20% - 强调文字颜色 2 8 4 4" xfId="11945"/>
    <cellStyle name="20% - 强调文字颜色 2 8 4 5" xfId="14029"/>
    <cellStyle name="20% - 强调文字颜色 2 8 4 6" xfId="11653"/>
    <cellStyle name="20% - 强调文字颜色 2 8 4 7" xfId="18095"/>
    <cellStyle name="20% - 强调文字颜色 2 8 4 8" xfId="22407"/>
    <cellStyle name="20% - 强调文字颜色 2 8 4 9" xfId="20076"/>
    <cellStyle name="20% - 强调文字颜色 2 8 5" xfId="241"/>
    <cellStyle name="20% - 强调文字颜色 2 8 5 2" xfId="5794"/>
    <cellStyle name="20% - 强调文字颜色 2 8 5 3" xfId="11946"/>
    <cellStyle name="20% - 强调文字颜色 2 8 5 4" xfId="10708"/>
    <cellStyle name="20% - 强调文字颜色 2 8 5 5" xfId="18096"/>
    <cellStyle name="20% - 强调文字颜色 2 8 5 6" xfId="21866"/>
    <cellStyle name="20% - 强调文字颜色 2 8 5 7" xfId="21305"/>
    <cellStyle name="20% - 强调文字颜色 2 8 5 8" xfId="31480"/>
    <cellStyle name="20% - 强调文字颜色 2 8 5 9" xfId="32108"/>
    <cellStyle name="20% - 强调文字颜色 2 8 6" xfId="2342"/>
    <cellStyle name="20% - 强调文字颜色 2 8 7" xfId="5790"/>
    <cellStyle name="20% - 强调文字颜色 2 8 8" xfId="10927"/>
    <cellStyle name="20% - 强调文字颜色 2 8 9" xfId="11942"/>
    <cellStyle name="20% - 强调文字颜色 2 9" xfId="242"/>
    <cellStyle name="20% - 强调文字颜色 2 9 10" xfId="14030"/>
    <cellStyle name="20% - 强调文字颜色 2 9 11" xfId="11650"/>
    <cellStyle name="20% - 强调文字颜色 2 9 12" xfId="18097"/>
    <cellStyle name="20% - 强调文字颜色 2 9 13" xfId="23389"/>
    <cellStyle name="20% - 强调文字颜色 2 9 14" xfId="20709"/>
    <cellStyle name="20% - 强调文字颜色 2 9 15" xfId="29932"/>
    <cellStyle name="20% - 强调文字颜色 2 9 16" xfId="32002"/>
    <cellStyle name="20% - 强调文字颜色 2 9 2" xfId="243"/>
    <cellStyle name="20% - 强调文字颜色 2 9 2 10" xfId="29933"/>
    <cellStyle name="20% - 强调文字颜色 2 9 2 11" xfId="31367"/>
    <cellStyle name="20% - 强调文字颜色 2 9 2 2" xfId="2347"/>
    <cellStyle name="20% - 强调文字颜色 2 9 2 3" xfId="5796"/>
    <cellStyle name="20% - 强调文字颜色 2 9 2 4" xfId="11948"/>
    <cellStyle name="20% - 强调文字颜色 2 9 2 5" xfId="14031"/>
    <cellStyle name="20% - 强调文字颜色 2 9 2 6" xfId="10673"/>
    <cellStyle name="20% - 强调文字颜色 2 9 2 7" xfId="18098"/>
    <cellStyle name="20% - 强调文字颜色 2 9 2 8" xfId="22406"/>
    <cellStyle name="20% - 强调文字颜色 2 9 2 9" xfId="20075"/>
    <cellStyle name="20% - 强调文字颜色 2 9 3" xfId="244"/>
    <cellStyle name="20% - 强调文字颜色 2 9 3 10" xfId="29934"/>
    <cellStyle name="20% - 强调文字颜色 2 9 3 11" xfId="32870"/>
    <cellStyle name="20% - 强调文字颜色 2 9 3 2" xfId="2348"/>
    <cellStyle name="20% - 强调文字颜色 2 9 3 3" xfId="5797"/>
    <cellStyle name="20% - 强调文字颜色 2 9 3 4" xfId="11949"/>
    <cellStyle name="20% - 强调文字颜色 2 9 3 5" xfId="14032"/>
    <cellStyle name="20% - 强调文字颜色 2 9 3 6" xfId="7914"/>
    <cellStyle name="20% - 强调文字颜色 2 9 3 7" xfId="18099"/>
    <cellStyle name="20% - 强调文字颜色 2 9 3 8" xfId="21865"/>
    <cellStyle name="20% - 强调文字颜色 2 9 3 9" xfId="21304"/>
    <cellStyle name="20% - 强调文字颜色 2 9 4" xfId="245"/>
    <cellStyle name="20% - 强调文字颜色 2 9 4 10" xfId="29935"/>
    <cellStyle name="20% - 强调文字颜色 2 9 4 11" xfId="32001"/>
    <cellStyle name="20% - 强调文字颜色 2 9 4 2" xfId="2349"/>
    <cellStyle name="20% - 强调文字颜色 2 9 4 3" xfId="5798"/>
    <cellStyle name="20% - 强调文字颜色 2 9 4 4" xfId="11950"/>
    <cellStyle name="20% - 强调文字颜色 2 9 4 5" xfId="14033"/>
    <cellStyle name="20% - 强调文字颜色 2 9 4 6" xfId="7913"/>
    <cellStyle name="20% - 强调文字颜色 2 9 4 7" xfId="18100"/>
    <cellStyle name="20% - 强调文字颜色 2 9 4 8" xfId="23388"/>
    <cellStyle name="20% - 强调文字颜色 2 9 4 9" xfId="20708"/>
    <cellStyle name="20% - 强调文字颜色 2 9 5" xfId="246"/>
    <cellStyle name="20% - 强调文字颜色 2 9 5 2" xfId="5799"/>
    <cellStyle name="20% - 强调文字颜色 2 9 5 3" xfId="11951"/>
    <cellStyle name="20% - 强调文字颜色 2 9 5 4" xfId="7912"/>
    <cellStyle name="20% - 强调文字颜色 2 9 5 5" xfId="18101"/>
    <cellStyle name="20% - 强调文字颜色 2 9 5 6" xfId="22405"/>
    <cellStyle name="20% - 强调文字颜色 2 9 5 7" xfId="20074"/>
    <cellStyle name="20% - 强调文字颜色 2 9 5 8" xfId="31481"/>
    <cellStyle name="20% - 强调文字颜色 2 9 5 9" xfId="32339"/>
    <cellStyle name="20% - 强调文字颜色 2 9 6" xfId="2346"/>
    <cellStyle name="20% - 强调文字颜色 2 9 7" xfId="5795"/>
    <cellStyle name="20% - 强调文字颜色 2 9 8" xfId="10928"/>
    <cellStyle name="20% - 强调文字颜色 2 9 9" xfId="11947"/>
    <cellStyle name="20% - 强调文字颜色 3" xfId="247" builtinId="38" customBuiltin="1"/>
    <cellStyle name="20% - 强调文字颜色 3 10" xfId="248"/>
    <cellStyle name="20% - 强调文字颜色 3 10 10" xfId="14035"/>
    <cellStyle name="20% - 强调文字颜色 3 10 11" xfId="7910"/>
    <cellStyle name="20% - 强调文字颜色 3 10 12" xfId="18103"/>
    <cellStyle name="20% - 强调文字颜色 3 10 13" xfId="23387"/>
    <cellStyle name="20% - 强调文字颜色 3 10 14" xfId="20707"/>
    <cellStyle name="20% - 强调文字颜色 3 10 15" xfId="29936"/>
    <cellStyle name="20% - 强调文字颜色 3 10 16" xfId="32869"/>
    <cellStyle name="20% - 强调文字颜色 3 10 2" xfId="249"/>
    <cellStyle name="20% - 强调文字颜色 3 10 2 10" xfId="29937"/>
    <cellStyle name="20% - 强调文字颜色 3 10 2 11" xfId="32000"/>
    <cellStyle name="20% - 强调文字颜色 3 10 2 2" xfId="2352"/>
    <cellStyle name="20% - 强调文字颜色 3 10 2 3" xfId="5802"/>
    <cellStyle name="20% - 强调文字颜色 3 10 2 4" xfId="11954"/>
    <cellStyle name="20% - 强调文字颜色 3 10 2 5" xfId="14036"/>
    <cellStyle name="20% - 强调文字颜色 3 10 2 6" xfId="7909"/>
    <cellStyle name="20% - 强调文字颜色 3 10 2 7" xfId="18104"/>
    <cellStyle name="20% - 强调文字颜色 3 10 2 8" xfId="22867"/>
    <cellStyle name="20% - 强调文字颜色 3 10 2 9" xfId="20073"/>
    <cellStyle name="20% - 强调文字颜色 3 10 3" xfId="250"/>
    <cellStyle name="20% - 强调文字颜色 3 10 3 10" xfId="29938"/>
    <cellStyle name="20% - 强调文字颜色 3 10 3 11" xfId="31366"/>
    <cellStyle name="20% - 强调文字颜色 3 10 3 2" xfId="2353"/>
    <cellStyle name="20% - 强调文字颜色 3 10 3 3" xfId="5803"/>
    <cellStyle name="20% - 强调文字颜色 3 10 3 4" xfId="11955"/>
    <cellStyle name="20% - 强调文字颜色 3 10 3 5" xfId="14037"/>
    <cellStyle name="20% - 强调文字颜色 3 10 3 6" xfId="7908"/>
    <cellStyle name="20% - 强调文字颜色 3 10 3 7" xfId="18105"/>
    <cellStyle name="20% - 强调文字颜色 3 10 3 8" xfId="22649"/>
    <cellStyle name="20% - 强调文字颜色 3 10 3 9" xfId="21302"/>
    <cellStyle name="20% - 强调文字颜色 3 10 4" xfId="251"/>
    <cellStyle name="20% - 强调文字颜色 3 10 4 10" xfId="29939"/>
    <cellStyle name="20% - 强调文字颜色 3 10 4 11" xfId="32868"/>
    <cellStyle name="20% - 强调文字颜色 3 10 4 2" xfId="2354"/>
    <cellStyle name="20% - 强调文字颜色 3 10 4 3" xfId="5804"/>
    <cellStyle name="20% - 强调文字颜色 3 10 4 4" xfId="11956"/>
    <cellStyle name="20% - 强调文字颜色 3 10 4 5" xfId="14038"/>
    <cellStyle name="20% - 强调文字颜色 3 10 4 6" xfId="7899"/>
    <cellStyle name="20% - 强调文字颜色 3 10 4 7" xfId="18106"/>
    <cellStyle name="20% - 强调文字颜色 3 10 4 8" xfId="22404"/>
    <cellStyle name="20% - 强调文字颜色 3 10 4 9" xfId="20706"/>
    <cellStyle name="20% - 强调文字颜色 3 10 5" xfId="252"/>
    <cellStyle name="20% - 强调文字颜色 3 10 5 2" xfId="5805"/>
    <cellStyle name="20% - 强调文字颜色 3 10 5 3" xfId="11957"/>
    <cellStyle name="20% - 强调文字颜色 3 10 5 4" xfId="7907"/>
    <cellStyle name="20% - 强调文字颜色 3 10 5 5" xfId="18107"/>
    <cellStyle name="20% - 强调文字颜色 3 10 5 6" xfId="23386"/>
    <cellStyle name="20% - 强调文字颜色 3 10 5 7" xfId="20072"/>
    <cellStyle name="20% - 强调文字颜色 3 10 5 8" xfId="31482"/>
    <cellStyle name="20% - 强调文字颜色 3 10 5 9" xfId="32587"/>
    <cellStyle name="20% - 强调文字颜色 3 10 6" xfId="2351"/>
    <cellStyle name="20% - 强调文字颜色 3 10 7" xfId="5801"/>
    <cellStyle name="20% - 强调文字颜色 3 10 8" xfId="10930"/>
    <cellStyle name="20% - 强调文字颜色 3 10 9" xfId="11953"/>
    <cellStyle name="20% - 强调文字颜色 3 11" xfId="253"/>
    <cellStyle name="20% - 强调文字颜色 3 11 10" xfId="14039"/>
    <cellStyle name="20% - 强调文字颜色 3 11 11" xfId="7906"/>
    <cellStyle name="20% - 强调文字颜色 3 11 12" xfId="18108"/>
    <cellStyle name="20% - 强调文字颜色 3 11 13" xfId="22403"/>
    <cellStyle name="20% - 强调文字颜色 3 11 14" xfId="21301"/>
    <cellStyle name="20% - 强调文字颜色 3 11 15" xfId="29940"/>
    <cellStyle name="20% - 强调文字颜色 3 11 16" xfId="31999"/>
    <cellStyle name="20% - 强调文字颜色 3 11 2" xfId="254"/>
    <cellStyle name="20% - 强调文字颜色 3 11 2 10" xfId="29941"/>
    <cellStyle name="20% - 强调文字颜色 3 11 2 11" xfId="31365"/>
    <cellStyle name="20% - 强调文字颜色 3 11 2 2" xfId="2356"/>
    <cellStyle name="20% - 强调文字颜色 3 11 2 3" xfId="5807"/>
    <cellStyle name="20% - 强调文字颜色 3 11 2 4" xfId="11959"/>
    <cellStyle name="20% - 强调文字颜色 3 11 2 5" xfId="14040"/>
    <cellStyle name="20% - 强调文字颜色 3 11 2 6" xfId="7905"/>
    <cellStyle name="20% - 强调文字颜色 3 11 2 7" xfId="18109"/>
    <cellStyle name="20% - 强调文字颜色 3 11 2 8" xfId="21863"/>
    <cellStyle name="20% - 强调文字颜色 3 11 2 9" xfId="20705"/>
    <cellStyle name="20% - 强调文字颜色 3 11 3" xfId="255"/>
    <cellStyle name="20% - 强调文字颜色 3 11 3 10" xfId="29942"/>
    <cellStyle name="20% - 强调文字颜色 3 11 3 11" xfId="32867"/>
    <cellStyle name="20% - 强调文字颜色 3 11 3 2" xfId="2357"/>
    <cellStyle name="20% - 强调文字颜色 3 11 3 3" xfId="5808"/>
    <cellStyle name="20% - 强调文字颜色 3 11 3 4" xfId="11960"/>
    <cellStyle name="20% - 强调文字颜色 3 11 3 5" xfId="14041"/>
    <cellStyle name="20% - 强调文字颜色 3 11 3 6" xfId="7904"/>
    <cellStyle name="20% - 强调文字颜色 3 11 3 7" xfId="18110"/>
    <cellStyle name="20% - 强调文字颜色 3 11 3 8" xfId="23385"/>
    <cellStyle name="20% - 强调文字颜色 3 11 3 9" xfId="20071"/>
    <cellStyle name="20% - 强调文字颜色 3 11 4" xfId="256"/>
    <cellStyle name="20% - 强调文字颜色 3 11 4 10" xfId="29943"/>
    <cellStyle name="20% - 强调文字颜色 3 11 4 11" xfId="31998"/>
    <cellStyle name="20% - 强调文字颜色 3 11 4 2" xfId="2358"/>
    <cellStyle name="20% - 强调文字颜色 3 11 4 3" xfId="5809"/>
    <cellStyle name="20% - 强调文字颜色 3 11 4 4" xfId="11961"/>
    <cellStyle name="20% - 强调文字颜色 3 11 4 5" xfId="14042"/>
    <cellStyle name="20% - 强调文字颜色 3 11 4 6" xfId="7903"/>
    <cellStyle name="20% - 强调文字颜色 3 11 4 7" xfId="18111"/>
    <cellStyle name="20% - 强调文字颜色 3 11 4 8" xfId="22402"/>
    <cellStyle name="20% - 强调文字颜色 3 11 4 9" xfId="21510"/>
    <cellStyle name="20% - 强调文字颜色 3 11 5" xfId="257"/>
    <cellStyle name="20% - 强调文字颜色 3 11 5 2" xfId="5810"/>
    <cellStyle name="20% - 强调文字颜色 3 11 5 3" xfId="11962"/>
    <cellStyle name="20% - 强调文字颜色 3 11 5 4" xfId="7902"/>
    <cellStyle name="20% - 强调文字颜色 3 11 5 5" xfId="18112"/>
    <cellStyle name="20% - 强调文字颜色 3 11 5 6" xfId="21862"/>
    <cellStyle name="20% - 强调文字颜色 3 11 5 7" xfId="20280"/>
    <cellStyle name="20% - 强调文字颜色 3 11 5 8" xfId="31483"/>
    <cellStyle name="20% - 强调文字颜色 3 11 5 9" xfId="33234"/>
    <cellStyle name="20% - 强调文字颜色 3 11 6" xfId="2355"/>
    <cellStyle name="20% - 强调文字颜色 3 11 6 2" xfId="23618"/>
    <cellStyle name="20% - 强调文字颜色 3 11 6 3" xfId="26203"/>
    <cellStyle name="20% - 强调文字颜色 3 11 7" xfId="5806"/>
    <cellStyle name="20% - 强调文字颜色 3 11 7 2" xfId="23668"/>
    <cellStyle name="20% - 强调文字颜色 3 11 7 3" xfId="26253"/>
    <cellStyle name="20% - 强调文字颜色 3 11 8" xfId="10932"/>
    <cellStyle name="20% - 强调文字颜色 3 11 8 2" xfId="23740"/>
    <cellStyle name="20% - 强调文字颜色 3 11 8 3" xfId="26325"/>
    <cellStyle name="20% - 强调文字颜色 3 11 9" xfId="11958"/>
    <cellStyle name="20% - 强调文字颜色 3 12" xfId="258"/>
    <cellStyle name="20% - 强调文字颜色 3 12 10" xfId="14043"/>
    <cellStyle name="20% - 强调文字颜色 3 12 11" xfId="7901"/>
    <cellStyle name="20% - 强调文字颜色 3 12 12" xfId="18113"/>
    <cellStyle name="20% - 强调文字颜色 3 12 13" xfId="23384"/>
    <cellStyle name="20% - 强调文字颜色 3 12 14" xfId="21300"/>
    <cellStyle name="20% - 强调文字颜色 3 12 15" xfId="29944"/>
    <cellStyle name="20% - 强调文字颜色 3 12 16" xfId="31364"/>
    <cellStyle name="20% - 强调文字颜色 3 12 2" xfId="259"/>
    <cellStyle name="20% - 强调文字颜色 3 12 2 10" xfId="29945"/>
    <cellStyle name="20% - 强调文字颜色 3 12 2 11" xfId="32866"/>
    <cellStyle name="20% - 强调文字颜色 3 12 2 2" xfId="2360"/>
    <cellStyle name="20% - 强调文字颜色 3 12 2 3" xfId="5812"/>
    <cellStyle name="20% - 强调文字颜色 3 12 2 4" xfId="11964"/>
    <cellStyle name="20% - 强调文字颜色 3 12 2 5" xfId="14044"/>
    <cellStyle name="20% - 强调文字颜色 3 12 2 6" xfId="7900"/>
    <cellStyle name="20% - 强调文字颜色 3 12 2 7" xfId="18114"/>
    <cellStyle name="20% - 强调文字颜色 3 12 2 8" xfId="22401"/>
    <cellStyle name="20% - 强调文字颜色 3 12 2 9" xfId="20859"/>
    <cellStyle name="20% - 强调文字颜色 3 12 3" xfId="260"/>
    <cellStyle name="20% - 强调文字颜色 3 12 3 10" xfId="29946"/>
    <cellStyle name="20% - 强调文字颜色 3 12 3 11" xfId="31997"/>
    <cellStyle name="20% - 强调文字颜色 3 12 3 2" xfId="2361"/>
    <cellStyle name="20% - 强调文字颜色 3 12 3 3" xfId="5813"/>
    <cellStyle name="20% - 强调文字颜色 3 12 3 4" xfId="11965"/>
    <cellStyle name="20% - 强调文字颜色 3 12 3 5" xfId="14045"/>
    <cellStyle name="20% - 强调文字颜色 3 12 3 6" xfId="7898"/>
    <cellStyle name="20% - 强调文字颜色 3 12 3 7" xfId="18115"/>
    <cellStyle name="20% - 强调文字颜色 3 12 3 8" xfId="21861"/>
    <cellStyle name="20% - 强调文字颜色 3 12 3 9" xfId="20218"/>
    <cellStyle name="20% - 强调文字颜色 3 12 4" xfId="261"/>
    <cellStyle name="20% - 强调文字颜色 3 12 4 10" xfId="29947"/>
    <cellStyle name="20% - 强调文字颜色 3 12 4 11" xfId="31363"/>
    <cellStyle name="20% - 强调文字颜色 3 12 4 2" xfId="2362"/>
    <cellStyle name="20% - 强调文字颜色 3 12 4 3" xfId="5814"/>
    <cellStyle name="20% - 强调文字颜色 3 12 4 4" xfId="11966"/>
    <cellStyle name="20% - 强调文字颜色 3 12 4 5" xfId="14046"/>
    <cellStyle name="20% - 强调文字颜色 3 12 4 6" xfId="7897"/>
    <cellStyle name="20% - 强调文字颜色 3 12 4 7" xfId="18116"/>
    <cellStyle name="20% - 强调文字颜色 3 12 4 8" xfId="23383"/>
    <cellStyle name="20% - 强调文字颜色 3 12 4 9" xfId="20070"/>
    <cellStyle name="20% - 强调文字颜色 3 12 5" xfId="262"/>
    <cellStyle name="20% - 强调文字颜色 3 12 5 2" xfId="5815"/>
    <cellStyle name="20% - 强调文字颜色 3 12 5 3" xfId="11967"/>
    <cellStyle name="20% - 强调文字颜色 3 12 5 4" xfId="7896"/>
    <cellStyle name="20% - 强调文字颜色 3 12 5 5" xfId="18117"/>
    <cellStyle name="20% - 强调文字颜色 3 12 5 6" xfId="22400"/>
    <cellStyle name="20% - 强调文字颜色 3 12 5 7" xfId="21509"/>
    <cellStyle name="20% - 强调文字颜色 3 12 5 8" xfId="31484"/>
    <cellStyle name="20% - 强调文字颜色 3 12 5 9" xfId="32107"/>
    <cellStyle name="20% - 强调文字颜色 3 12 6" xfId="2359"/>
    <cellStyle name="20% - 强调文字颜色 3 12 6 2" xfId="23619"/>
    <cellStyle name="20% - 强调文字颜色 3 12 6 3" xfId="26204"/>
    <cellStyle name="20% - 强调文字颜色 3 12 7" xfId="5811"/>
    <cellStyle name="20% - 强调文字颜色 3 12 7 2" xfId="23669"/>
    <cellStyle name="20% - 强调文字颜色 3 12 7 3" xfId="26254"/>
    <cellStyle name="20% - 强调文字颜色 3 12 8" xfId="10934"/>
    <cellStyle name="20% - 强调文字颜色 3 12 8 2" xfId="23741"/>
    <cellStyle name="20% - 强调文字颜色 3 12 8 3" xfId="26326"/>
    <cellStyle name="20% - 强调文字颜色 3 12 9" xfId="11963"/>
    <cellStyle name="20% - 强调文字颜色 3 13" xfId="263"/>
    <cellStyle name="20% - 强调文字颜色 3 13 10" xfId="7895"/>
    <cellStyle name="20% - 强调文字颜色 3 13 11" xfId="18118"/>
    <cellStyle name="20% - 强调文字颜色 3 13 12" xfId="21860"/>
    <cellStyle name="20% - 强调文字颜色 3 13 13" xfId="20281"/>
    <cellStyle name="20% - 强调文字颜色 3 13 14" xfId="29948"/>
    <cellStyle name="20% - 强调文字颜色 3 13 15" xfId="32865"/>
    <cellStyle name="20% - 强调文字颜色 3 13 2" xfId="264"/>
    <cellStyle name="20% - 强调文字颜色 3 13 2 10" xfId="29949"/>
    <cellStyle name="20% - 强调文字颜色 3 13 2 11" xfId="31996"/>
    <cellStyle name="20% - 强调文字颜色 3 13 2 2" xfId="2364"/>
    <cellStyle name="20% - 强调文字颜色 3 13 2 3" xfId="5817"/>
    <cellStyle name="20% - 强调文字颜色 3 13 2 4" xfId="11969"/>
    <cellStyle name="20% - 强调文字颜色 3 13 2 5" xfId="14048"/>
    <cellStyle name="20% - 强调文字颜色 3 13 2 6" xfId="7894"/>
    <cellStyle name="20% - 强调文字颜色 3 13 2 7" xfId="18119"/>
    <cellStyle name="20% - 强调文字颜色 3 13 2 8" xfId="23382"/>
    <cellStyle name="20% - 强调文字颜色 3 13 2 9" xfId="21299"/>
    <cellStyle name="20% - 强调文字颜色 3 13 3" xfId="265"/>
    <cellStyle name="20% - 强调文字颜色 3 13 3 10" xfId="29950"/>
    <cellStyle name="20% - 强调文字颜色 3 13 3 11" xfId="31362"/>
    <cellStyle name="20% - 强调文字颜色 3 13 3 2" xfId="2365"/>
    <cellStyle name="20% - 强调文字颜色 3 13 3 3" xfId="5818"/>
    <cellStyle name="20% - 强调文字颜色 3 13 3 4" xfId="11970"/>
    <cellStyle name="20% - 强调文字颜色 3 13 3 5" xfId="14049"/>
    <cellStyle name="20% - 强调文字颜色 3 13 3 6" xfId="7893"/>
    <cellStyle name="20% - 强调文字颜色 3 13 3 7" xfId="18120"/>
    <cellStyle name="20% - 强调文字颜色 3 13 3 8" xfId="22399"/>
    <cellStyle name="20% - 强调文字颜色 3 13 3 9" xfId="20858"/>
    <cellStyle name="20% - 强调文字颜色 3 13 4" xfId="266"/>
    <cellStyle name="20% - 强调文字颜色 3 13 4 10" xfId="29951"/>
    <cellStyle name="20% - 强调文字颜色 3 13 4 11" xfId="33424"/>
    <cellStyle name="20% - 强调文字颜色 3 13 4 2" xfId="2366"/>
    <cellStyle name="20% - 强调文字颜色 3 13 4 3" xfId="5819"/>
    <cellStyle name="20% - 强调文字颜色 3 13 4 4" xfId="11971"/>
    <cellStyle name="20% - 强调文字颜色 3 13 4 5" xfId="14050"/>
    <cellStyle name="20% - 强调文字颜色 3 13 4 6" xfId="7892"/>
    <cellStyle name="20% - 强调文字颜色 3 13 4 7" xfId="18121"/>
    <cellStyle name="20% - 强调文字颜色 3 13 4 8" xfId="21859"/>
    <cellStyle name="20% - 强调文字颜色 3 13 4 9" xfId="20217"/>
    <cellStyle name="20% - 强调文字颜色 3 13 5" xfId="267"/>
    <cellStyle name="20% - 强调文字颜色 3 13 5 2" xfId="5820"/>
    <cellStyle name="20% - 强调文字颜色 3 13 5 3" xfId="11972"/>
    <cellStyle name="20% - 强调文字颜色 3 13 5 4" xfId="7883"/>
    <cellStyle name="20% - 强调文字颜色 3 13 5 5" xfId="18122"/>
    <cellStyle name="20% - 强调文字颜色 3 13 5 6" xfId="23381"/>
    <cellStyle name="20% - 强调文字颜色 3 13 5 7" xfId="20069"/>
    <cellStyle name="20% - 强调文字颜色 3 13 5 8" xfId="31485"/>
    <cellStyle name="20% - 强调文字颜色 3 13 5 9" xfId="32586"/>
    <cellStyle name="20% - 强调文字颜色 3 13 6" xfId="2363"/>
    <cellStyle name="20% - 强调文字颜色 3 13 6 2" xfId="23670"/>
    <cellStyle name="20% - 强调文字颜色 3 13 6 3" xfId="26255"/>
    <cellStyle name="20% - 强调文字颜色 3 13 7" xfId="5816"/>
    <cellStyle name="20% - 强调文字颜色 3 13 7 2" xfId="23742"/>
    <cellStyle name="20% - 强调文字颜色 3 13 7 3" xfId="26327"/>
    <cellStyle name="20% - 强调文字颜色 3 13 8" xfId="11968"/>
    <cellStyle name="20% - 强调文字颜色 3 13 8 2" xfId="23844"/>
    <cellStyle name="20% - 强调文字颜色 3 13 8 3" xfId="26429"/>
    <cellStyle name="20% - 强调文字颜色 3 13 9" xfId="14047"/>
    <cellStyle name="20% - 强调文字颜色 3 14" xfId="268"/>
    <cellStyle name="20% - 强调文字颜色 3 14 10" xfId="7891"/>
    <cellStyle name="20% - 强调文字颜色 3 14 11" xfId="18123"/>
    <cellStyle name="20% - 强调文字颜色 3 14 12" xfId="22398"/>
    <cellStyle name="20% - 强调文字颜色 3 14 13" xfId="21508"/>
    <cellStyle name="20% - 强调文字颜色 3 14 14" xfId="29952"/>
    <cellStyle name="20% - 强调文字颜色 3 14 15" xfId="33185"/>
    <cellStyle name="20% - 强调文字颜色 3 14 2" xfId="269"/>
    <cellStyle name="20% - 强调文字颜色 3 14 2 10" xfId="29953"/>
    <cellStyle name="20% - 强调文字颜色 3 14 2 11" xfId="32856"/>
    <cellStyle name="20% - 强调文字颜色 3 14 2 2" xfId="2368"/>
    <cellStyle name="20% - 强调文字颜色 3 14 2 3" xfId="5822"/>
    <cellStyle name="20% - 强调文字颜色 3 14 2 4" xfId="11974"/>
    <cellStyle name="20% - 强调文字颜色 3 14 2 5" xfId="14052"/>
    <cellStyle name="20% - 强调文字颜色 3 14 2 6" xfId="7890"/>
    <cellStyle name="20% - 强调文字颜色 3 14 2 7" xfId="18124"/>
    <cellStyle name="20% - 强调文字颜色 3 14 2 8" xfId="21858"/>
    <cellStyle name="20% - 强调文字颜色 3 14 2 9" xfId="20282"/>
    <cellStyle name="20% - 强调文字颜色 3 14 3" xfId="270"/>
    <cellStyle name="20% - 强调文字颜色 3 14 3 10" xfId="29954"/>
    <cellStyle name="20% - 强调文字颜色 3 14 3 11" xfId="32516"/>
    <cellStyle name="20% - 强调文字颜色 3 14 3 2" xfId="2369"/>
    <cellStyle name="20% - 强调文字颜色 3 14 3 3" xfId="5823"/>
    <cellStyle name="20% - 强调文字颜色 3 14 3 4" xfId="11975"/>
    <cellStyle name="20% - 强调文字颜色 3 14 3 5" xfId="14053"/>
    <cellStyle name="20% - 强调文字颜色 3 14 3 6" xfId="7889"/>
    <cellStyle name="20% - 强调文字颜色 3 14 3 7" xfId="18125"/>
    <cellStyle name="20% - 强调文字颜色 3 14 3 8" xfId="23380"/>
    <cellStyle name="20% - 强调文字颜色 3 14 3 9" xfId="21298"/>
    <cellStyle name="20% - 强调文字颜色 3 14 4" xfId="271"/>
    <cellStyle name="20% - 强调文字颜色 3 14 4 10" xfId="29955"/>
    <cellStyle name="20% - 强调文字颜色 3 14 4 11" xfId="32284"/>
    <cellStyle name="20% - 强调文字颜色 3 14 4 2" xfId="2370"/>
    <cellStyle name="20% - 强调文字颜色 3 14 4 3" xfId="5824"/>
    <cellStyle name="20% - 强调文字颜色 3 14 4 4" xfId="11976"/>
    <cellStyle name="20% - 强调文字颜色 3 14 4 5" xfId="14054"/>
    <cellStyle name="20% - 强调文字颜色 3 14 4 6" xfId="7888"/>
    <cellStyle name="20% - 强调文字颜色 3 14 4 7" xfId="18126"/>
    <cellStyle name="20% - 强调文字颜色 3 14 4 8" xfId="22397"/>
    <cellStyle name="20% - 强调文字颜色 3 14 4 9" xfId="20857"/>
    <cellStyle name="20% - 强调文字颜色 3 14 5" xfId="272"/>
    <cellStyle name="20% - 强调文字颜色 3 14 5 2" xfId="5825"/>
    <cellStyle name="20% - 强调文字颜色 3 14 5 3" xfId="11977"/>
    <cellStyle name="20% - 强调文字颜色 3 14 5 4" xfId="7887"/>
    <cellStyle name="20% - 强调文字颜色 3 14 5 5" xfId="18127"/>
    <cellStyle name="20% - 强调文字颜色 3 14 5 6" xfId="21857"/>
    <cellStyle name="20% - 强调文字颜色 3 14 5 7" xfId="20216"/>
    <cellStyle name="20% - 强调文字颜色 3 14 5 8" xfId="31486"/>
    <cellStyle name="20% - 强调文字颜色 3 14 5 9" xfId="32337"/>
    <cellStyle name="20% - 强调文字颜色 3 14 6" xfId="2367"/>
    <cellStyle name="20% - 强调文字颜色 3 14 6 2" xfId="23671"/>
    <cellStyle name="20% - 强调文字颜色 3 14 6 3" xfId="26256"/>
    <cellStyle name="20% - 强调文字颜色 3 14 7" xfId="5821"/>
    <cellStyle name="20% - 强调文字颜色 3 14 7 2" xfId="23743"/>
    <cellStyle name="20% - 强调文字颜色 3 14 7 3" xfId="26328"/>
    <cellStyle name="20% - 强调文字颜色 3 14 8" xfId="11973"/>
    <cellStyle name="20% - 强调文字颜色 3 14 8 2" xfId="23845"/>
    <cellStyle name="20% - 强调文字颜色 3 14 8 3" xfId="26430"/>
    <cellStyle name="20% - 强调文字颜色 3 14 9" xfId="14051"/>
    <cellStyle name="20% - 强调文字颜色 3 15" xfId="273"/>
    <cellStyle name="20% - 强调文字颜色 3 15 10" xfId="18128"/>
    <cellStyle name="20% - 强调文字颜色 3 15 11" xfId="23379"/>
    <cellStyle name="20% - 强调文字颜色 3 15 12" xfId="20068"/>
    <cellStyle name="20% - 强调文字颜色 3 15 13" xfId="29956"/>
    <cellStyle name="20% - 强调文字颜色 3 15 14" xfId="31824"/>
    <cellStyle name="20% - 强调文字颜色 3 15 2" xfId="274"/>
    <cellStyle name="20% - 强调文字颜色 3 15 2 10" xfId="29957"/>
    <cellStyle name="20% - 强调文字颜色 3 15 2 11" xfId="32864"/>
    <cellStyle name="20% - 强调文字颜色 3 15 2 2" xfId="2372"/>
    <cellStyle name="20% - 强调文字颜色 3 15 2 3" xfId="5827"/>
    <cellStyle name="20% - 强调文字颜色 3 15 2 4" xfId="11979"/>
    <cellStyle name="20% - 强调文字颜色 3 15 2 5" xfId="14056"/>
    <cellStyle name="20% - 强调文字颜色 3 15 2 6" xfId="7885"/>
    <cellStyle name="20% - 强调文字颜色 3 15 2 7" xfId="18129"/>
    <cellStyle name="20% - 强调文字颜色 3 15 2 8" xfId="22396"/>
    <cellStyle name="20% - 强调文字颜色 3 15 2 9" xfId="21507"/>
    <cellStyle name="20% - 强调文字颜色 3 15 3" xfId="275"/>
    <cellStyle name="20% - 强调文字颜色 3 15 3 10" xfId="29958"/>
    <cellStyle name="20% - 强调文字颜色 3 15 3 11" xfId="31995"/>
    <cellStyle name="20% - 强调文字颜色 3 15 3 2" xfId="2373"/>
    <cellStyle name="20% - 强调文字颜色 3 15 3 3" xfId="5828"/>
    <cellStyle name="20% - 强调文字颜色 3 15 3 4" xfId="11980"/>
    <cellStyle name="20% - 强调文字颜色 3 15 3 5" xfId="14057"/>
    <cellStyle name="20% - 强调文字颜色 3 15 3 6" xfId="7884"/>
    <cellStyle name="20% - 强调文字颜色 3 15 3 7" xfId="18130"/>
    <cellStyle name="20% - 强调文字颜色 3 15 3 8" xfId="21856"/>
    <cellStyle name="20% - 强调文字颜色 3 15 3 9" xfId="20283"/>
    <cellStyle name="20% - 强调文字颜色 3 15 4" xfId="276"/>
    <cellStyle name="20% - 强调文字颜色 3 15 4 2" xfId="5829"/>
    <cellStyle name="20% - 强调文字颜色 3 15 4 3" xfId="11981"/>
    <cellStyle name="20% - 强调文字颜色 3 15 4 4" xfId="11647"/>
    <cellStyle name="20% - 强调文字颜色 3 15 4 5" xfId="18131"/>
    <cellStyle name="20% - 强调文字颜色 3 15 4 6" xfId="23378"/>
    <cellStyle name="20% - 强调文字颜色 3 15 4 7" xfId="21297"/>
    <cellStyle name="20% - 强调文字颜色 3 15 4 8" xfId="31487"/>
    <cellStyle name="20% - 强调文字颜色 3 15 4 9" xfId="32971"/>
    <cellStyle name="20% - 强调文字颜色 3 15 5" xfId="2371"/>
    <cellStyle name="20% - 强调文字颜色 3 15 6" xfId="5826"/>
    <cellStyle name="20% - 强调文字颜色 3 15 7" xfId="11978"/>
    <cellStyle name="20% - 强调文字颜色 3 15 8" xfId="14055"/>
    <cellStyle name="20% - 强调文字颜色 3 15 9" xfId="7886"/>
    <cellStyle name="20% - 强调文字颜色 3 16" xfId="277"/>
    <cellStyle name="20% - 强调文字颜色 3 16 10" xfId="18132"/>
    <cellStyle name="20% - 强调文字颜色 3 16 11" xfId="22395"/>
    <cellStyle name="20% - 强调文字颜色 3 16 12" xfId="20856"/>
    <cellStyle name="20% - 强调文字颜色 3 16 13" xfId="29959"/>
    <cellStyle name="20% - 强调文字颜色 3 16 14" xfId="31361"/>
    <cellStyle name="20% - 强调文字颜色 3 16 2" xfId="278"/>
    <cellStyle name="20% - 强调文字颜色 3 16 2 10" xfId="29960"/>
    <cellStyle name="20% - 强调文字颜色 3 16 2 11" xfId="32863"/>
    <cellStyle name="20% - 强调文字颜色 3 16 2 2" xfId="2375"/>
    <cellStyle name="20% - 强调文字颜色 3 16 2 3" xfId="5831"/>
    <cellStyle name="20% - 强调文字颜色 3 16 2 4" xfId="11983"/>
    <cellStyle name="20% - 强调文字颜色 3 16 2 5" xfId="14059"/>
    <cellStyle name="20% - 强调文字颜色 3 16 2 6" xfId="7882"/>
    <cellStyle name="20% - 强调文字颜色 3 16 2 7" xfId="18133"/>
    <cellStyle name="20% - 强调文字颜色 3 16 2 8" xfId="21855"/>
    <cellStyle name="20% - 强调文字颜色 3 16 2 9" xfId="20215"/>
    <cellStyle name="20% - 强调文字颜色 3 16 3" xfId="279"/>
    <cellStyle name="20% - 强调文字颜色 3 16 3 10" xfId="29961"/>
    <cellStyle name="20% - 强调文字颜色 3 16 3 11" xfId="31994"/>
    <cellStyle name="20% - 强调文字颜色 3 16 3 2" xfId="2376"/>
    <cellStyle name="20% - 强调文字颜色 3 16 3 3" xfId="5832"/>
    <cellStyle name="20% - 强调文字颜色 3 16 3 4" xfId="11984"/>
    <cellStyle name="20% - 强调文字颜色 3 16 3 5" xfId="14060"/>
    <cellStyle name="20% - 强调文字颜色 3 16 3 6" xfId="7881"/>
    <cellStyle name="20% - 强调文字颜色 3 16 3 7" xfId="18134"/>
    <cellStyle name="20% - 强调文字颜色 3 16 3 8" xfId="23377"/>
    <cellStyle name="20% - 强调文字颜色 3 16 3 9" xfId="20067"/>
    <cellStyle name="20% - 强调文字颜色 3 16 4" xfId="280"/>
    <cellStyle name="20% - 强调文字颜色 3 16 4 2" xfId="5833"/>
    <cellStyle name="20% - 强调文字颜色 3 16 4 3" xfId="11985"/>
    <cellStyle name="20% - 强调文字颜色 3 16 4 4" xfId="7880"/>
    <cellStyle name="20% - 强调文字颜色 3 16 4 5" xfId="18135"/>
    <cellStyle name="20% - 强调文字颜色 3 16 4 6" xfId="22394"/>
    <cellStyle name="20% - 强调文字颜色 3 16 4 7" xfId="21506"/>
    <cellStyle name="20% - 强调文字颜色 3 16 4 8" xfId="31488"/>
    <cellStyle name="20% - 强调文字颜色 3 16 4 9" xfId="32106"/>
    <cellStyle name="20% - 强调文字颜色 3 16 5" xfId="2374"/>
    <cellStyle name="20% - 强调文字颜色 3 16 6" xfId="5830"/>
    <cellStyle name="20% - 强调文字颜色 3 16 7" xfId="11982"/>
    <cellStyle name="20% - 强调文字颜色 3 16 8" xfId="14058"/>
    <cellStyle name="20% - 强调文字颜色 3 16 9" xfId="10638"/>
    <cellStyle name="20% - 强调文字颜色 3 17" xfId="281"/>
    <cellStyle name="20% - 强调文字颜色 3 17 10" xfId="21854"/>
    <cellStyle name="20% - 强调文字颜色 3 17 11" xfId="20284"/>
    <cellStyle name="20% - 强调文字颜色 3 17 12" xfId="29962"/>
    <cellStyle name="20% - 强调文字颜色 3 17 13" xfId="31360"/>
    <cellStyle name="20% - 强调文字颜色 3 17 2" xfId="282"/>
    <cellStyle name="20% - 强调文字颜色 3 17 2 2" xfId="5835"/>
    <cellStyle name="20% - 强调文字颜色 3 17 2 3" xfId="11987"/>
    <cellStyle name="20% - 强调文字颜色 3 17 2 4" xfId="7878"/>
    <cellStyle name="20% - 强调文字颜色 3 17 2 5" xfId="18137"/>
    <cellStyle name="20% - 强调文字颜色 3 17 2 6" xfId="23376"/>
    <cellStyle name="20% - 强调文字颜色 3 17 2 7" xfId="21296"/>
    <cellStyle name="20% - 强调文字颜色 3 17 2 8" xfId="31489"/>
    <cellStyle name="20% - 强调文字颜色 3 17 2 9" xfId="32970"/>
    <cellStyle name="20% - 强调文字颜色 3 17 3" xfId="283"/>
    <cellStyle name="20% - 强调文字颜色 3 17 3 2" xfId="5836"/>
    <cellStyle name="20% - 强调文字颜色 3 17 3 3" xfId="11988"/>
    <cellStyle name="20% - 强调文字颜色 3 17 3 4" xfId="7877"/>
    <cellStyle name="20% - 强调文字颜色 3 17 3 5" xfId="18138"/>
    <cellStyle name="20% - 强调文字颜色 3 17 3 6" xfId="22866"/>
    <cellStyle name="20% - 强调文字颜色 3 17 3 7" xfId="20855"/>
    <cellStyle name="20% - 强调文字颜色 3 17 3 8" xfId="31490"/>
    <cellStyle name="20% - 强调文字颜色 3 17 3 9" xfId="32585"/>
    <cellStyle name="20% - 强调文字颜色 3 17 4" xfId="2377"/>
    <cellStyle name="20% - 强调文字颜色 3 17 5" xfId="5834"/>
    <cellStyle name="20% - 强调文字颜色 3 17 6" xfId="11986"/>
    <cellStyle name="20% - 强调文字颜色 3 17 7" xfId="14061"/>
    <cellStyle name="20% - 强调文字颜色 3 17 8" xfId="7879"/>
    <cellStyle name="20% - 强调文字颜色 3 17 9" xfId="18136"/>
    <cellStyle name="20% - 强调文字颜色 3 18" xfId="284"/>
    <cellStyle name="20% - 强调文字颜色 3 18 10" xfId="29963"/>
    <cellStyle name="20% - 强调文字颜色 3 18 11" xfId="32862"/>
    <cellStyle name="20% - 强调文字颜色 3 18 2" xfId="285"/>
    <cellStyle name="20% - 强调文字颜色 3 18 2 2" xfId="8374"/>
    <cellStyle name="20% - 强调文字颜色 3 18 2 3" xfId="8373"/>
    <cellStyle name="20% - 强调文字颜色 3 18 2 4" xfId="18140"/>
    <cellStyle name="20% - 强调文字颜色 3 18 2 5" xfId="22696"/>
    <cellStyle name="20% - 强调文字颜色 3 18 2 6" xfId="20066"/>
    <cellStyle name="20% - 强调文字颜色 3 18 2 7" xfId="31491"/>
    <cellStyle name="20% - 强调文字颜色 3 18 2 8" xfId="32338"/>
    <cellStyle name="20% - 强调文字颜色 3 18 3" xfId="2378"/>
    <cellStyle name="20% - 强调文字颜色 3 18 4" xfId="5837"/>
    <cellStyle name="20% - 强调文字颜色 3 18 5" xfId="14062"/>
    <cellStyle name="20% - 强调文字颜色 3 18 6" xfId="7876"/>
    <cellStyle name="20% - 强调文字颜色 3 18 7" xfId="18139"/>
    <cellStyle name="20% - 强调文字颜色 3 18 8" xfId="22648"/>
    <cellStyle name="20% - 强调文字颜色 3 18 9" xfId="20214"/>
    <cellStyle name="20% - 强调文字颜色 3 19" xfId="286"/>
    <cellStyle name="20% - 强调文字颜色 3 19 10" xfId="2380"/>
    <cellStyle name="20% - 强调文字颜色 3 19 10 2" xfId="8375"/>
    <cellStyle name="20% - 强调文字颜色 3 19 10 3" xfId="14064"/>
    <cellStyle name="20% - 强调文字颜色 3 19 10 4" xfId="24241"/>
    <cellStyle name="20% - 强调文字颜色 3 19 10 5" xfId="27475"/>
    <cellStyle name="20% - 强调文字颜色 3 19 11" xfId="2381"/>
    <cellStyle name="20% - 强调文字颜色 3 19 11 2" xfId="8376"/>
    <cellStyle name="20% - 强调文字颜色 3 19 11 3" xfId="14065"/>
    <cellStyle name="20% - 强调文字颜色 3 19 11 4" xfId="24242"/>
    <cellStyle name="20% - 强调文字颜色 3 19 11 5" xfId="27476"/>
    <cellStyle name="20% - 强调文字颜色 3 19 12" xfId="2382"/>
    <cellStyle name="20% - 强调文字颜色 3 19 12 2" xfId="8377"/>
    <cellStyle name="20% - 强调文字颜色 3 19 12 3" xfId="14066"/>
    <cellStyle name="20% - 强调文字颜色 3 19 12 4" xfId="24243"/>
    <cellStyle name="20% - 强调文字颜色 3 19 12 5" xfId="27477"/>
    <cellStyle name="20% - 强调文字颜色 3 19 13" xfId="2383"/>
    <cellStyle name="20% - 强调文字颜色 3 19 13 2" xfId="8378"/>
    <cellStyle name="20% - 强调文字颜色 3 19 13 3" xfId="14067"/>
    <cellStyle name="20% - 强调文字颜色 3 19 13 4" xfId="24244"/>
    <cellStyle name="20% - 强调文字颜色 3 19 13 5" xfId="27478"/>
    <cellStyle name="20% - 强调文字颜色 3 19 14" xfId="2384"/>
    <cellStyle name="20% - 强调文字颜色 3 19 14 2" xfId="8379"/>
    <cellStyle name="20% - 强调文字颜色 3 19 14 3" xfId="14068"/>
    <cellStyle name="20% - 强调文字颜色 3 19 14 4" xfId="24245"/>
    <cellStyle name="20% - 强调文字颜色 3 19 14 5" xfId="27479"/>
    <cellStyle name="20% - 强调文字颜色 3 19 15" xfId="2385"/>
    <cellStyle name="20% - 强调文字颜色 3 19 15 2" xfId="8380"/>
    <cellStyle name="20% - 强调文字颜色 3 19 15 3" xfId="14069"/>
    <cellStyle name="20% - 强调文字颜色 3 19 15 4" xfId="24246"/>
    <cellStyle name="20% - 强调文字颜色 3 19 15 5" xfId="27480"/>
    <cellStyle name="20% - 强调文字颜色 3 19 16" xfId="2386"/>
    <cellStyle name="20% - 强调文字颜色 3 19 16 2" xfId="8381"/>
    <cellStyle name="20% - 强调文字颜色 3 19 16 3" xfId="14070"/>
    <cellStyle name="20% - 强调文字颜色 3 19 16 4" xfId="24247"/>
    <cellStyle name="20% - 强调文字颜色 3 19 16 5" xfId="27481"/>
    <cellStyle name="20% - 强调文字颜色 3 19 17" xfId="2387"/>
    <cellStyle name="20% - 强调文字颜色 3 19 17 2" xfId="8382"/>
    <cellStyle name="20% - 强调文字颜色 3 19 17 3" xfId="14071"/>
    <cellStyle name="20% - 强调文字颜色 3 19 17 4" xfId="24248"/>
    <cellStyle name="20% - 强调文字颜色 3 19 17 5" xfId="27482"/>
    <cellStyle name="20% - 强调文字颜色 3 19 18" xfId="2388"/>
    <cellStyle name="20% - 强调文字颜色 3 19 18 2" xfId="8383"/>
    <cellStyle name="20% - 强调文字颜色 3 19 18 3" xfId="14072"/>
    <cellStyle name="20% - 强调文字颜色 3 19 18 4" xfId="24249"/>
    <cellStyle name="20% - 强调文字颜色 3 19 18 5" xfId="27483"/>
    <cellStyle name="20% - 强调文字颜色 3 19 19" xfId="2389"/>
    <cellStyle name="20% - 强调文字颜色 3 19 19 2" xfId="8384"/>
    <cellStyle name="20% - 强调文字颜色 3 19 19 3" xfId="14073"/>
    <cellStyle name="20% - 强调文字颜色 3 19 19 4" xfId="24250"/>
    <cellStyle name="20% - 强调文字颜色 3 19 19 5" xfId="27484"/>
    <cellStyle name="20% - 强调文字颜色 3 19 2" xfId="287"/>
    <cellStyle name="20% - 强调文字颜色 3 19 2 10" xfId="29965"/>
    <cellStyle name="20% - 强调文字颜色 3 19 2 11" xfId="32861"/>
    <cellStyle name="20% - 强调文字颜色 3 19 2 2" xfId="2390"/>
    <cellStyle name="20% - 强调文字颜色 3 19 2 3" xfId="5839"/>
    <cellStyle name="20% - 强调文字颜色 3 19 2 4" xfId="11991"/>
    <cellStyle name="20% - 强调文字颜色 3 19 2 5" xfId="14074"/>
    <cellStyle name="20% - 强调文字颜色 3 19 2 6" xfId="7875"/>
    <cellStyle name="20% - 强调文字颜色 3 19 2 7" xfId="18142"/>
    <cellStyle name="20% - 强调文字颜色 3 19 2 8" xfId="23375"/>
    <cellStyle name="20% - 强调文字颜色 3 19 2 9" xfId="20297"/>
    <cellStyle name="20% - 强调文字颜色 3 19 20" xfId="2391"/>
    <cellStyle name="20% - 强调文字颜色 3 19 20 2" xfId="8385"/>
    <cellStyle name="20% - 强调文字颜色 3 19 20 3" xfId="14075"/>
    <cellStyle name="20% - 强调文字颜色 3 19 20 4" xfId="24251"/>
    <cellStyle name="20% - 强调文字颜色 3 19 20 5" xfId="27485"/>
    <cellStyle name="20% - 强调文字颜色 3 19 21" xfId="2392"/>
    <cellStyle name="20% - 强调文字颜色 3 19 21 2" xfId="8386"/>
    <cellStyle name="20% - 强调文字颜色 3 19 21 3" xfId="14076"/>
    <cellStyle name="20% - 强调文字颜色 3 19 21 4" xfId="24252"/>
    <cellStyle name="20% - 强调文字颜色 3 19 21 5" xfId="27486"/>
    <cellStyle name="20% - 强调文字颜色 3 19 22" xfId="2393"/>
    <cellStyle name="20% - 强调文字颜色 3 19 22 2" xfId="8387"/>
    <cellStyle name="20% - 强调文字颜色 3 19 22 3" xfId="14077"/>
    <cellStyle name="20% - 强调文字颜色 3 19 22 4" xfId="24253"/>
    <cellStyle name="20% - 强调文字颜色 3 19 22 5" xfId="27487"/>
    <cellStyle name="20% - 强调文字颜色 3 19 23" xfId="2394"/>
    <cellStyle name="20% - 强调文字颜色 3 19 23 2" xfId="8388"/>
    <cellStyle name="20% - 强调文字颜色 3 19 23 3" xfId="14078"/>
    <cellStyle name="20% - 强调文字颜色 3 19 23 4" xfId="24254"/>
    <cellStyle name="20% - 强调文字颜色 3 19 23 5" xfId="27488"/>
    <cellStyle name="20% - 强调文字颜色 3 19 24" xfId="5838"/>
    <cellStyle name="20% - 强调文字颜色 3 19 25" xfId="10935"/>
    <cellStyle name="20% - 强调文字颜色 3 19 26" xfId="11990"/>
    <cellStyle name="20% - 强调文字颜色 3 19 27" xfId="14063"/>
    <cellStyle name="20% - 强调文字颜色 3 19 28" xfId="7867"/>
    <cellStyle name="20% - 强调文字颜色 3 19 29" xfId="18141"/>
    <cellStyle name="20% - 强调文字颜色 3 19 3" xfId="2379"/>
    <cellStyle name="20% - 强调文字颜色 3 19 3 2" xfId="8389"/>
    <cellStyle name="20% - 强调文字颜色 3 19 3 3" xfId="14079"/>
    <cellStyle name="20% - 强调文字颜色 3 19 3 4" xfId="24255"/>
    <cellStyle name="20% - 强调文字颜色 3 19 3 5" xfId="27474"/>
    <cellStyle name="20% - 强调文字颜色 3 19 30" xfId="22393"/>
    <cellStyle name="20% - 强调文字颜色 3 19 31" xfId="21492"/>
    <cellStyle name="20% - 强调文字颜色 3 19 32" xfId="29964"/>
    <cellStyle name="20% - 强调文字颜色 3 19 33" xfId="31993"/>
    <cellStyle name="20% - 强调文字颜色 3 19 4" xfId="2396"/>
    <cellStyle name="20% - 强调文字颜色 3 19 4 2" xfId="8390"/>
    <cellStyle name="20% - 强调文字颜色 3 19 4 3" xfId="14080"/>
    <cellStyle name="20% - 强调文字颜色 3 19 4 4" xfId="24256"/>
    <cellStyle name="20% - 强调文字颜色 3 19 4 5" xfId="27489"/>
    <cellStyle name="20% - 强调文字颜色 3 19 5" xfId="2397"/>
    <cellStyle name="20% - 强调文字颜色 3 19 5 2" xfId="8391"/>
    <cellStyle name="20% - 强调文字颜色 3 19 5 3" xfId="14081"/>
    <cellStyle name="20% - 强调文字颜色 3 19 5 4" xfId="24257"/>
    <cellStyle name="20% - 强调文字颜色 3 19 5 5" xfId="27490"/>
    <cellStyle name="20% - 强调文字颜色 3 19 6" xfId="2398"/>
    <cellStyle name="20% - 强调文字颜色 3 19 6 2" xfId="8392"/>
    <cellStyle name="20% - 强调文字颜色 3 19 6 3" xfId="14082"/>
    <cellStyle name="20% - 强调文字颜色 3 19 6 4" xfId="24258"/>
    <cellStyle name="20% - 强调文字颜色 3 19 6 5" xfId="27491"/>
    <cellStyle name="20% - 强调文字颜色 3 19 7" xfId="2399"/>
    <cellStyle name="20% - 强调文字颜色 3 19 7 2" xfId="8393"/>
    <cellStyle name="20% - 强调文字颜色 3 19 7 3" xfId="14083"/>
    <cellStyle name="20% - 强调文字颜色 3 19 7 4" xfId="24259"/>
    <cellStyle name="20% - 强调文字颜色 3 19 7 5" xfId="27492"/>
    <cellStyle name="20% - 强调文字颜色 3 19 8" xfId="2400"/>
    <cellStyle name="20% - 强调文字颜色 3 19 8 2" xfId="8394"/>
    <cellStyle name="20% - 强调文字颜色 3 19 8 3" xfId="14084"/>
    <cellStyle name="20% - 强调文字颜色 3 19 8 4" xfId="24260"/>
    <cellStyle name="20% - 强调文字颜色 3 19 8 5" xfId="27493"/>
    <cellStyle name="20% - 强调文字颜色 3 19 9" xfId="2401"/>
    <cellStyle name="20% - 强调文字颜色 3 19 9 2" xfId="8395"/>
    <cellStyle name="20% - 强调文字颜色 3 19 9 3" xfId="14085"/>
    <cellStyle name="20% - 强调文字颜色 3 19 9 4" xfId="24261"/>
    <cellStyle name="20% - 强调文字颜色 3 19 9 5" xfId="27494"/>
    <cellStyle name="20% - 强调文字颜色 3 2" xfId="288"/>
    <cellStyle name="20% - 强调文字颜色 3 2 10" xfId="289"/>
    <cellStyle name="20% - 强调文字颜色 3 2 10 10" xfId="29966"/>
    <cellStyle name="20% - 强调文字颜色 3 2 10 11" xfId="31992"/>
    <cellStyle name="20% - 强调文字颜色 3 2 10 2" xfId="2403"/>
    <cellStyle name="20% - 强调文字颜色 3 2 10 3" xfId="5841"/>
    <cellStyle name="20% - 强调文字颜色 3 2 10 4" xfId="11993"/>
    <cellStyle name="20% - 强调文字颜色 3 2 10 5" xfId="14087"/>
    <cellStyle name="20% - 强调文字颜色 3 2 10 6" xfId="7873"/>
    <cellStyle name="20% - 强调文字颜色 3 2 10 7" xfId="18144"/>
    <cellStyle name="20% - 强调文字颜色 3 2 10 8" xfId="22647"/>
    <cellStyle name="20% - 强调文字颜色 3 2 10 9" xfId="20841"/>
    <cellStyle name="20% - 强调文字颜色 3 2 11" xfId="290"/>
    <cellStyle name="20% - 强调文字颜色 3 2 11 10" xfId="29967"/>
    <cellStyle name="20% - 强调文字颜色 3 2 11 11" xfId="31359"/>
    <cellStyle name="20% - 强调文字颜色 3 2 11 2" xfId="2404"/>
    <cellStyle name="20% - 强调文字颜色 3 2 11 3" xfId="5842"/>
    <cellStyle name="20% - 强调文字颜色 3 2 11 4" xfId="11994"/>
    <cellStyle name="20% - 强调文字颜色 3 2 11 5" xfId="14088"/>
    <cellStyle name="20% - 强调文字颜色 3 2 11 6" xfId="7872"/>
    <cellStyle name="20% - 强调文字颜色 3 2 11 7" xfId="18145"/>
    <cellStyle name="20% - 强调文字颜色 3 2 11 8" xfId="22392"/>
    <cellStyle name="20% - 强调文字颜色 3 2 11 9" xfId="20756"/>
    <cellStyle name="20% - 强调文字颜色 3 2 12" xfId="291"/>
    <cellStyle name="20% - 强调文字颜色 3 2 12 10" xfId="29968"/>
    <cellStyle name="20% - 强调文字颜色 3 2 12 11" xfId="32860"/>
    <cellStyle name="20% - 强调文字颜色 3 2 12 2" xfId="2405"/>
    <cellStyle name="20% - 强调文字颜色 3 2 12 3" xfId="5843"/>
    <cellStyle name="20% - 强调文字颜色 3 2 12 4" xfId="11995"/>
    <cellStyle name="20% - 强调文字颜色 3 2 12 5" xfId="14089"/>
    <cellStyle name="20% - 强调文字颜色 3 2 12 6" xfId="7871"/>
    <cellStyle name="20% - 强调文字颜色 3 2 12 7" xfId="18146"/>
    <cellStyle name="20% - 强调文字颜色 3 2 12 8" xfId="23374"/>
    <cellStyle name="20% - 强调文字颜色 3 2 12 9" xfId="20200"/>
    <cellStyle name="20% - 强调文字颜色 3 2 13" xfId="292"/>
    <cellStyle name="20% - 强调文字颜色 3 2 13 10" xfId="29969"/>
    <cellStyle name="20% - 强调文字颜色 3 2 13 11" xfId="31991"/>
    <cellStyle name="20% - 强调文字颜色 3 2 13 2" xfId="2406"/>
    <cellStyle name="20% - 强调文字颜色 3 2 13 3" xfId="5844"/>
    <cellStyle name="20% - 强调文字颜色 3 2 13 4" xfId="11996"/>
    <cellStyle name="20% - 强调文字颜色 3 2 13 5" xfId="14090"/>
    <cellStyle name="20% - 强调文字颜色 3 2 13 6" xfId="7870"/>
    <cellStyle name="20% - 强调文字颜色 3 2 13 7" xfId="18147"/>
    <cellStyle name="20% - 强调文字颜色 3 2 13 8" xfId="22864"/>
    <cellStyle name="20% - 强调文字颜色 3 2 13 9" xfId="21295"/>
    <cellStyle name="20% - 强调文字颜色 3 2 14" xfId="293"/>
    <cellStyle name="20% - 强调文字颜色 3 2 14 10" xfId="22646"/>
    <cellStyle name="20% - 强调文字颜色 3 2 14 10 2" xfId="29502"/>
    <cellStyle name="20% - 强调文字颜色 3 2 14 11" xfId="20704"/>
    <cellStyle name="20% - 强调文字颜色 3 2 14 11 2" xfId="29717"/>
    <cellStyle name="20% - 强调文字颜色 3 2 14 12" xfId="29970"/>
    <cellStyle name="20% - 强调文字颜色 3 2 14 13" xfId="31358"/>
    <cellStyle name="20% - 强调文字颜色 3 2 14 2" xfId="294"/>
    <cellStyle name="20% - 强调文字颜色 3 2 14 2 2" xfId="5846"/>
    <cellStyle name="20% - 强调文字颜色 3 2 14 2 2 2" xfId="23557"/>
    <cellStyle name="20% - 强调文字颜色 3 2 14 2 2 3" xfId="26142"/>
    <cellStyle name="20% - 强调文字颜色 3 2 14 2 2 4" xfId="23556"/>
    <cellStyle name="20% - 强调文字颜色 3 2 14 2 3" xfId="11998"/>
    <cellStyle name="20% - 强调文字颜色 3 2 14 2 4" xfId="7868"/>
    <cellStyle name="20% - 强调文字颜色 3 2 14 2 4 2" xfId="26533"/>
    <cellStyle name="20% - 强调文字颜色 3 2 14 2 4 2 2" xfId="27038"/>
    <cellStyle name="20% - 强调文字颜色 3 2 14 2 4 3" xfId="26141"/>
    <cellStyle name="20% - 强调文字颜色 3 2 14 2 5" xfId="18149"/>
    <cellStyle name="20% - 强调文字颜色 3 2 14 2 6" xfId="22391"/>
    <cellStyle name="20% - 强调文字颜色 3 2 14 2 6 2" xfId="29596"/>
    <cellStyle name="20% - 强调文字颜色 3 2 14 2 7" xfId="20065"/>
    <cellStyle name="20% - 强调文字颜色 3 2 14 2 7 2" xfId="29673"/>
    <cellStyle name="20% - 强调文字颜色 3 2 14 2 8" xfId="31493"/>
    <cellStyle name="20% - 强调文字颜色 3 2 14 2 9" xfId="32584"/>
    <cellStyle name="20% - 强调文字颜色 3 2 14 3" xfId="2407"/>
    <cellStyle name="20% - 强调文字颜色 3 2 14 4" xfId="5845"/>
    <cellStyle name="20% - 强调文字颜色 3 2 14 4 2" xfId="8397"/>
    <cellStyle name="20% - 强调文字颜色 3 2 14 4 2 2" xfId="29425"/>
    <cellStyle name="20% - 强调文字颜色 3 2 14 4 2 3" xfId="29358"/>
    <cellStyle name="20% - 强调文字颜色 3 2 14 4 3" xfId="7371"/>
    <cellStyle name="20% - 强调文字颜色 3 2 14 4 4" xfId="21903"/>
    <cellStyle name="20% - 强调文字颜色 3 2 14 4 5" xfId="22917"/>
    <cellStyle name="20% - 强调文字颜色 3 2 14 4 6" xfId="29698"/>
    <cellStyle name="20% - 强调文字颜色 3 2 14 4 7" xfId="32042"/>
    <cellStyle name="20% - 强调文字颜色 3 2 14 4 8" xfId="32955"/>
    <cellStyle name="20% - 强调文字颜色 3 2 14 5" xfId="10937"/>
    <cellStyle name="20% - 强调文字颜色 3 2 14 6" xfId="11997"/>
    <cellStyle name="20% - 强调文字颜色 3 2 14 7" xfId="14091"/>
    <cellStyle name="20% - 强调文字颜色 3 2 14 8" xfId="7869"/>
    <cellStyle name="20% - 强调文字颜色 3 2 14 8 2" xfId="26532"/>
    <cellStyle name="20% - 强调文字颜色 3 2 14 8 3" xfId="24263"/>
    <cellStyle name="20% - 强调文字颜色 3 2 14 9" xfId="18148"/>
    <cellStyle name="20% - 强调文字颜色 3 2 14 9 2" xfId="29476"/>
    <cellStyle name="20% - 强调文字颜色 3 2 14 9 2 2" xfId="33209"/>
    <cellStyle name="20% - 强调文字颜色 3 2 14 9 3" xfId="33544"/>
    <cellStyle name="20% - 强调文字颜色 3 2 14 9 4" xfId="26682"/>
    <cellStyle name="20% - 强调文字颜色 3 2 15" xfId="295"/>
    <cellStyle name="20% - 强调文字颜色 3 2 15 10" xfId="29971"/>
    <cellStyle name="20% - 强调文字颜色 3 2 15 11" xfId="32859"/>
    <cellStyle name="20% - 强调文字颜色 3 2 15 2" xfId="2408"/>
    <cellStyle name="20% - 强调文字颜色 3 2 15 3" xfId="5847"/>
    <cellStyle name="20% - 强调文字颜色 3 2 15 4" xfId="11999"/>
    <cellStyle name="20% - 强调文字颜色 3 2 15 5" xfId="14092"/>
    <cellStyle name="20% - 强调文字颜色 3 2 15 6" xfId="7866"/>
    <cellStyle name="20% - 强调文字颜色 3 2 15 7" xfId="18150"/>
    <cellStyle name="20% - 强调文字颜色 3 2 15 8" xfId="23373"/>
    <cellStyle name="20% - 强调文字颜色 3 2 15 9" xfId="21294"/>
    <cellStyle name="20% - 强调文字颜色 3 2 16" xfId="296"/>
    <cellStyle name="20% - 强调文字颜色 3 2 16 10" xfId="29972"/>
    <cellStyle name="20% - 强调文字颜色 3 2 16 11" xfId="31990"/>
    <cellStyle name="20% - 强调文字颜色 3 2 16 2" xfId="2409"/>
    <cellStyle name="20% - 强调文字颜色 3 2 16 3" xfId="5848"/>
    <cellStyle name="20% - 强调文字颜色 3 2 16 4" xfId="12000"/>
    <cellStyle name="20% - 强调文字颜色 3 2 16 5" xfId="14093"/>
    <cellStyle name="20% - 强调文字颜色 3 2 16 6" xfId="7865"/>
    <cellStyle name="20% - 强调文字颜色 3 2 16 7" xfId="18151"/>
    <cellStyle name="20% - 强调文字颜色 3 2 16 8" xfId="22863"/>
    <cellStyle name="20% - 强调文字颜色 3 2 16 9" xfId="20703"/>
    <cellStyle name="20% - 强调文字颜色 3 2 17" xfId="297"/>
    <cellStyle name="20% - 强调文字颜色 3 2 17 10" xfId="29973"/>
    <cellStyle name="20% - 强调文字颜色 3 2 17 11" xfId="31357"/>
    <cellStyle name="20% - 强调文字颜色 3 2 17 2" xfId="2410"/>
    <cellStyle name="20% - 强调文字颜色 3 2 17 3" xfId="5849"/>
    <cellStyle name="20% - 强调文字颜色 3 2 17 4" xfId="12001"/>
    <cellStyle name="20% - 强调文字颜色 3 2 17 5" xfId="14094"/>
    <cellStyle name="20% - 强调文字颜色 3 2 17 6" xfId="7864"/>
    <cellStyle name="20% - 强调文字颜色 3 2 17 7" xfId="18152"/>
    <cellStyle name="20% - 强调文字颜色 3 2 17 8" xfId="22645"/>
    <cellStyle name="20% - 强调文字颜色 3 2 17 9" xfId="20064"/>
    <cellStyle name="20% - 强调文字颜色 3 2 18" xfId="298"/>
    <cellStyle name="20% - 强调文字颜色 3 2 18 10" xfId="29974"/>
    <cellStyle name="20% - 强调文字颜色 3 2 18 11" xfId="32858"/>
    <cellStyle name="20% - 强调文字颜色 3 2 18 2" xfId="2411"/>
    <cellStyle name="20% - 强调文字颜色 3 2 18 3" xfId="5850"/>
    <cellStyle name="20% - 强调文字颜色 3 2 18 4" xfId="12002"/>
    <cellStyle name="20% - 强调文字颜色 3 2 18 5" xfId="14095"/>
    <cellStyle name="20% - 强调文字颜色 3 2 18 6" xfId="7863"/>
    <cellStyle name="20% - 强调文字颜色 3 2 18 7" xfId="18153"/>
    <cellStyle name="20% - 强调文字颜色 3 2 18 8" xfId="22390"/>
    <cellStyle name="20% - 强调文字颜色 3 2 18 9" xfId="21505"/>
    <cellStyle name="20% - 强调文字颜色 3 2 19" xfId="2402"/>
    <cellStyle name="20% - 强调文字颜色 3 2 19 2" xfId="23555"/>
    <cellStyle name="20% - 强调文字颜色 3 2 19 2 2" xfId="23620"/>
    <cellStyle name="20% - 强调文字颜色 3 2 19 2 2 2" xfId="29595"/>
    <cellStyle name="20% - 强调文字颜色 3 2 19 2 2 2 2" xfId="29634"/>
    <cellStyle name="20% - 强调文字颜色 3 2 19 2 3" xfId="26205"/>
    <cellStyle name="20% - 强调文字颜色 3 2 19 2 4" xfId="31858"/>
    <cellStyle name="20% - 强调文字颜色 3 2 19 2 5" xfId="32549"/>
    <cellStyle name="20% - 强调文字颜色 3 2 19 3" xfId="26140"/>
    <cellStyle name="20% - 强调文字颜色 3 2 19 3 2" xfId="26970"/>
    <cellStyle name="20% - 强调文字颜色 3 2 19 3 2 2" xfId="27037"/>
    <cellStyle name="20% - 强调文字颜色 3 2 19 3 2 2 2" xfId="33450"/>
    <cellStyle name="20% - 强调文字颜色 3 2 19 3 2 2 2 2" xfId="33470"/>
    <cellStyle name="20% - 强调文字颜色 3 2 19 3 2 3" xfId="33588"/>
    <cellStyle name="20% - 强调文字颜色 3 2 19 3 3" xfId="29705"/>
    <cellStyle name="20% - 强调文字颜色 3 2 19 3 3 2" xfId="33571"/>
    <cellStyle name="20% - 强调文字颜色 3 2 19 4" xfId="27495"/>
    <cellStyle name="20% - 强调文字颜色 3 2 19 4 2" xfId="31492"/>
    <cellStyle name="20% - 强调文字颜色 3 2 19 5" xfId="32335"/>
    <cellStyle name="20% - 强调文字颜色 3 2 2" xfId="299"/>
    <cellStyle name="20% - 强调文字颜色 3 2 2 10" xfId="10938"/>
    <cellStyle name="20% - 强调文字颜色 3 2 2 10 2" xfId="23745"/>
    <cellStyle name="20% - 强调文字颜色 3 2 2 10 2 2" xfId="26968"/>
    <cellStyle name="20% - 强调文字颜色 3 2 2 10 2 2 2" xfId="27111"/>
    <cellStyle name="20% - 强调文字颜色 3 2 2 10 3" xfId="26330"/>
    <cellStyle name="20% - 强调文字颜色 3 2 2 10 4" xfId="23506"/>
    <cellStyle name="20% - 强调文字颜色 3 2 2 11" xfId="12003"/>
    <cellStyle name="20% - 强调文字颜色 3 2 2 12" xfId="14096"/>
    <cellStyle name="20% - 强调文字颜色 3 2 2 13" xfId="7862"/>
    <cellStyle name="20% - 强调文字颜色 3 2 2 13 2" xfId="29406"/>
    <cellStyle name="20% - 强调文字颜色 3 2 2 13 2 2" xfId="32933"/>
    <cellStyle name="20% - 强调文字颜色 3 2 2 13 3" xfId="32924"/>
    <cellStyle name="20% - 强调文字颜色 3 2 2 13 4" xfId="24264"/>
    <cellStyle name="20% - 强调文字颜色 3 2 2 14" xfId="18154"/>
    <cellStyle name="20% - 强调文字颜色 3 2 2 15" xfId="23372"/>
    <cellStyle name="20% - 强调文字颜色 3 2 2 15 2" xfId="29503"/>
    <cellStyle name="20% - 强调文字颜色 3 2 2 16" xfId="20285"/>
    <cellStyle name="20% - 强调文字颜色 3 2 2 16 2" xfId="29586"/>
    <cellStyle name="20% - 强调文字颜色 3 2 2 17" xfId="29975"/>
    <cellStyle name="20% - 强调文字颜色 3 2 2 18" xfId="31989"/>
    <cellStyle name="20% - 强调文字颜色 3 2 2 2" xfId="300"/>
    <cellStyle name="20% - 强调文字颜色 3 2 2 2 10" xfId="22862"/>
    <cellStyle name="20% - 强调文字颜色 3 2 2 2 10 2" xfId="29504"/>
    <cellStyle name="20% - 强调文字颜色 3 2 2 2 11" xfId="21293"/>
    <cellStyle name="20% - 强调文字颜色 3 2 2 2 11 2" xfId="29716"/>
    <cellStyle name="20% - 强调文字颜色 3 2 2 2 12" xfId="29976"/>
    <cellStyle name="20% - 强调文字颜色 3 2 2 2 13" xfId="31356"/>
    <cellStyle name="20% - 强调文字颜色 3 2 2 2 2" xfId="301"/>
    <cellStyle name="20% - 强调文字颜色 3 2 2 2 2 2" xfId="5853"/>
    <cellStyle name="20% - 强调文字颜色 3 2 2 2 2 3" xfId="12005"/>
    <cellStyle name="20% - 强调文字颜色 3 2 2 2 2 3 2" xfId="23846"/>
    <cellStyle name="20% - 强调文字颜色 3 2 2 2 2 3 3" xfId="26431"/>
    <cellStyle name="20% - 强调文字颜色 3 2 2 2 2 3 4" xfId="23559"/>
    <cellStyle name="20% - 强调文字颜色 3 2 2 2 2 4" xfId="7860"/>
    <cellStyle name="20% - 强调文字颜色 3 2 2 2 2 4 2" xfId="26534"/>
    <cellStyle name="20% - 强调文字颜色 3 2 2 2 2 4 2 2" xfId="27040"/>
    <cellStyle name="20% - 强调文字颜色 3 2 2 2 2 4 3" xfId="26144"/>
    <cellStyle name="20% - 强调文字颜色 3 2 2 2 2 5" xfId="18156"/>
    <cellStyle name="20% - 强调文字颜色 3 2 2 2 2 6" xfId="22644"/>
    <cellStyle name="20% - 强调文字颜色 3 2 2 2 2 6 2" xfId="29598"/>
    <cellStyle name="20% - 强调文字颜色 3 2 2 2 2 6 2 2" xfId="33210"/>
    <cellStyle name="20% - 强调文字颜色 3 2 2 2 2 6 3" xfId="33545"/>
    <cellStyle name="20% - 强调文字颜色 3 2 2 2 2 7" xfId="20854"/>
    <cellStyle name="20% - 强调文字颜色 3 2 2 2 2 7 2" xfId="29530"/>
    <cellStyle name="20% - 强调文字颜色 3 2 2 2 2 8" xfId="31495"/>
    <cellStyle name="20% - 强调文字颜色 3 2 2 2 2 9" xfId="32336"/>
    <cellStyle name="20% - 强调文字颜色 3 2 2 2 3" xfId="2413"/>
    <cellStyle name="20% - 强调文字颜色 3 2 2 2 3 2" xfId="23622"/>
    <cellStyle name="20% - 强调文字颜色 3 2 2 2 3 2 2" xfId="26535"/>
    <cellStyle name="20% - 强调文字颜色 3 2 2 2 3 2 2 2" xfId="27074"/>
    <cellStyle name="20% - 强调文字颜色 3 2 2 2 3 3" xfId="26207"/>
    <cellStyle name="20% - 强调文字颜色 3 2 2 2 4" xfId="5852"/>
    <cellStyle name="20% - 强调文字颜色 3 2 2 2 4 2" xfId="8399"/>
    <cellStyle name="20% - 强调文字颜色 3 2 2 2 4 2 2" xfId="26536"/>
    <cellStyle name="20% - 强调文字颜色 3 2 2 2 4 2 2 2" xfId="27088"/>
    <cellStyle name="20% - 强调文字颜色 3 2 2 2 4 2 2 2 2" xfId="32935"/>
    <cellStyle name="20% - 强调文字颜色 3 2 2 2 4 2 2 2 2 2" xfId="33493"/>
    <cellStyle name="20% - 强调文字颜色 3 2 2 2 4 2 2 3" xfId="33609"/>
    <cellStyle name="20% - 强调文字颜色 3 2 2 2 4 2 3" xfId="29427"/>
    <cellStyle name="20% - 强调文字颜色 3 2 2 2 4 2 3 2" xfId="32084"/>
    <cellStyle name="20% - 强调文字颜色 3 2 2 2 4 3" xfId="10931"/>
    <cellStyle name="20% - 强调文字颜色 3 2 2 2 4 3 2" xfId="29360"/>
    <cellStyle name="20% - 强调文字颜色 3 2 2 2 4 3 2 2" xfId="29455"/>
    <cellStyle name="20% - 强调文字颜色 3 2 2 2 4 4" xfId="21905"/>
    <cellStyle name="20% - 强调文字颜色 3 2 2 2 4 5" xfId="22477"/>
    <cellStyle name="20% - 强调文字颜色 3 2 2 2 4 6" xfId="29515"/>
    <cellStyle name="20% - 强调文字颜色 3 2 2 2 4 7" xfId="32044"/>
    <cellStyle name="20% - 强调文字颜色 3 2 2 2 4 8" xfId="32316"/>
    <cellStyle name="20% - 强调文字颜色 3 2 2 2 5" xfId="10939"/>
    <cellStyle name="20% - 强调文字颜色 3 2 2 2 5 2" xfId="23746"/>
    <cellStyle name="20% - 强调文字颜色 3 2 2 2 5 2 2" xfId="26969"/>
    <cellStyle name="20% - 强调文字颜色 3 2 2 2 5 2 2 2" xfId="27112"/>
    <cellStyle name="20% - 强调文字颜色 3 2 2 2 5 3" xfId="26331"/>
    <cellStyle name="20% - 强调文字颜色 3 2 2 2 5 4" xfId="23507"/>
    <cellStyle name="20% - 强调文字颜色 3 2 2 2 6" xfId="12004"/>
    <cellStyle name="20% - 强调文字颜色 3 2 2 2 7" xfId="14097"/>
    <cellStyle name="20% - 强调文字颜色 3 2 2 2 8" xfId="7861"/>
    <cellStyle name="20% - 强调文字颜色 3 2 2 2 8 2" xfId="29405"/>
    <cellStyle name="20% - 强调文字颜色 3 2 2 2 8 2 2" xfId="32934"/>
    <cellStyle name="20% - 强调文字颜色 3 2 2 2 8 3" xfId="32311"/>
    <cellStyle name="20% - 强调文字颜色 3 2 2 2 8 4" xfId="24265"/>
    <cellStyle name="20% - 强调文字颜色 3 2 2 2 9" xfId="18155"/>
    <cellStyle name="20% - 强调文字颜色 3 2 2 3" xfId="302"/>
    <cellStyle name="20% - 强调文字颜色 3 2 2 3 10" xfId="29977"/>
    <cellStyle name="20% - 强调文字颜色 3 2 2 3 11" xfId="32857"/>
    <cellStyle name="20% - 强调文字颜色 3 2 2 3 2" xfId="2414"/>
    <cellStyle name="20% - 强调文字颜色 3 2 2 3 3" xfId="5854"/>
    <cellStyle name="20% - 强调文字颜色 3 2 2 3 4" xfId="12006"/>
    <cellStyle name="20% - 强调文字颜色 3 2 2 3 5" xfId="14098"/>
    <cellStyle name="20% - 强调文字颜色 3 2 2 3 6" xfId="7851"/>
    <cellStyle name="20% - 强调文字颜色 3 2 2 3 7" xfId="18157"/>
    <cellStyle name="20% - 强调文字颜色 3 2 2 3 8" xfId="22389"/>
    <cellStyle name="20% - 强调文字颜色 3 2 2 3 9" xfId="20213"/>
    <cellStyle name="20% - 强调文字颜色 3 2 2 4" xfId="303"/>
    <cellStyle name="20% - 强调文字颜色 3 2 2 4 10" xfId="29978"/>
    <cellStyle name="20% - 强调文字颜色 3 2 2 4 11" xfId="31988"/>
    <cellStyle name="20% - 强调文字颜色 3 2 2 4 2" xfId="2415"/>
    <cellStyle name="20% - 强调文字颜色 3 2 2 4 3" xfId="5855"/>
    <cellStyle name="20% - 强调文字颜色 3 2 2 4 4" xfId="12007"/>
    <cellStyle name="20% - 强调文字颜色 3 2 2 4 5" xfId="14099"/>
    <cellStyle name="20% - 强调文字颜色 3 2 2 4 6" xfId="7859"/>
    <cellStyle name="20% - 强调文字颜色 3 2 2 4 7" xfId="18158"/>
    <cellStyle name="20% - 强调文字颜色 3 2 2 4 8" xfId="23371"/>
    <cellStyle name="20% - 强调文字颜色 3 2 2 4 9" xfId="20063"/>
    <cellStyle name="20% - 强调文字颜色 3 2 2 5" xfId="304"/>
    <cellStyle name="20% - 强调文字颜色 3 2 2 5 10" xfId="29979"/>
    <cellStyle name="20% - 强调文字颜色 3 2 2 5 11" xfId="31355"/>
    <cellStyle name="20% - 强调文字颜色 3 2 2 5 2" xfId="2416"/>
    <cellStyle name="20% - 强调文字颜色 3 2 2 5 3" xfId="5856"/>
    <cellStyle name="20% - 强调文字颜色 3 2 2 5 4" xfId="12008"/>
    <cellStyle name="20% - 强调文字颜色 3 2 2 5 5" xfId="14100"/>
    <cellStyle name="20% - 强调文字颜色 3 2 2 5 6" xfId="7858"/>
    <cellStyle name="20% - 强调文字颜色 3 2 2 5 7" xfId="18159"/>
    <cellStyle name="20% - 强调文字颜色 3 2 2 5 8" xfId="22861"/>
    <cellStyle name="20% - 强调文字颜色 3 2 2 5 9" xfId="21292"/>
    <cellStyle name="20% - 强调文字颜色 3 2 2 6" xfId="305"/>
    <cellStyle name="20% - 强调文字颜色 3 2 2 6 10" xfId="29980"/>
    <cellStyle name="20% - 强调文字颜色 3 2 2 6 11" xfId="32855"/>
    <cellStyle name="20% - 强调文字颜色 3 2 2 6 2" xfId="2417"/>
    <cellStyle name="20% - 强调文字颜色 3 2 2 6 3" xfId="5857"/>
    <cellStyle name="20% - 强调文字颜色 3 2 2 6 4" xfId="12009"/>
    <cellStyle name="20% - 强调文字颜色 3 2 2 6 5" xfId="14101"/>
    <cellStyle name="20% - 强调文字颜色 3 2 2 6 6" xfId="7857"/>
    <cellStyle name="20% - 强调文字颜色 3 2 2 6 7" xfId="18160"/>
    <cellStyle name="20% - 强调文字颜色 3 2 2 6 8" xfId="22643"/>
    <cellStyle name="20% - 强调文字颜色 3 2 2 6 9" xfId="20702"/>
    <cellStyle name="20% - 强调文字颜色 3 2 2 7" xfId="306"/>
    <cellStyle name="20% - 强调文字颜色 3 2 2 7 10" xfId="29981"/>
    <cellStyle name="20% - 强调文字颜色 3 2 2 7 11" xfId="31987"/>
    <cellStyle name="20% - 强调文字颜色 3 2 2 7 2" xfId="2418"/>
    <cellStyle name="20% - 强调文字颜色 3 2 2 7 3" xfId="5858"/>
    <cellStyle name="20% - 强调文字颜色 3 2 2 7 4" xfId="12010"/>
    <cellStyle name="20% - 强调文字颜色 3 2 2 7 5" xfId="14102"/>
    <cellStyle name="20% - 强调文字颜色 3 2 2 7 6" xfId="7856"/>
    <cellStyle name="20% - 强调文字颜色 3 2 2 7 7" xfId="18161"/>
    <cellStyle name="20% - 强调文字颜色 3 2 2 7 8" xfId="22388"/>
    <cellStyle name="20% - 强调文字颜色 3 2 2 7 9" xfId="20062"/>
    <cellStyle name="20% - 强调文字颜色 3 2 2 8" xfId="2412"/>
    <cellStyle name="20% - 强调文字颜色 3 2 2 8 2" xfId="23558"/>
    <cellStyle name="20% - 强调文字颜色 3 2 2 8 2 2" xfId="23621"/>
    <cellStyle name="20% - 强调文字颜色 3 2 2 8 2 2 2" xfId="29597"/>
    <cellStyle name="20% - 强调文字颜色 3 2 2 8 2 2 2 2" xfId="29635"/>
    <cellStyle name="20% - 强调文字颜色 3 2 2 8 2 3" xfId="26206"/>
    <cellStyle name="20% - 强调文字颜色 3 2 2 8 2 4" xfId="31859"/>
    <cellStyle name="20% - 强调文字颜色 3 2 2 8 2 5" xfId="30721"/>
    <cellStyle name="20% - 强调文字颜色 3 2 2 8 3" xfId="26143"/>
    <cellStyle name="20% - 强调文字颜色 3 2 2 8 3 2" xfId="26971"/>
    <cellStyle name="20% - 强调文字颜色 3 2 2 8 3 2 2" xfId="27039"/>
    <cellStyle name="20% - 强调文字颜色 3 2 2 8 3 2 2 2" xfId="33451"/>
    <cellStyle name="20% - 强调文字颜色 3 2 2 8 3 2 2 2 2" xfId="33471"/>
    <cellStyle name="20% - 强调文字颜色 3 2 2 8 3 2 3" xfId="33589"/>
    <cellStyle name="20% - 强调文字颜色 3 2 2 8 3 3" xfId="29652"/>
    <cellStyle name="20% - 强调文字颜色 3 2 2 8 3 3 2" xfId="33572"/>
    <cellStyle name="20% - 强调文字颜色 3 2 2 8 4" xfId="27496"/>
    <cellStyle name="20% - 强调文字颜色 3 2 2 8 4 2" xfId="31494"/>
    <cellStyle name="20% - 强调文字颜色 3 2 2 8 5" xfId="32583"/>
    <cellStyle name="20% - 强调文字颜色 3 2 2 9" xfId="5851"/>
    <cellStyle name="20% - 强调文字颜色 3 2 2 9 2" xfId="8398"/>
    <cellStyle name="20% - 强调文字颜色 3 2 2 9 2 2" xfId="26537"/>
    <cellStyle name="20% - 强调文字颜色 3 2 2 9 2 2 2" xfId="27087"/>
    <cellStyle name="20% - 强调文字颜色 3 2 2 9 2 2 2 2" xfId="32936"/>
    <cellStyle name="20% - 强调文字颜色 3 2 2 9 2 2 2 2 2" xfId="33492"/>
    <cellStyle name="20% - 强调文字颜色 3 2 2 9 2 2 3" xfId="33608"/>
    <cellStyle name="20% - 强调文字颜色 3 2 2 9 2 3" xfId="29426"/>
    <cellStyle name="20% - 强调文字颜色 3 2 2 9 2 3 2" xfId="32310"/>
    <cellStyle name="20% - 强调文字颜色 3 2 2 9 3" xfId="8372"/>
    <cellStyle name="20% - 强调文字颜色 3 2 2 9 3 2" xfId="29359"/>
    <cellStyle name="20% - 强调文字颜色 3 2 2 9 3 2 2" xfId="29423"/>
    <cellStyle name="20% - 强调文字颜色 3 2 2 9 4" xfId="21904"/>
    <cellStyle name="20% - 强调文字颜色 3 2 2 9 5" xfId="22695"/>
    <cellStyle name="20% - 强调文字颜色 3 2 2 9 6" xfId="29642"/>
    <cellStyle name="20% - 强调文字颜色 3 2 2 9 7" xfId="32043"/>
    <cellStyle name="20% - 强调文字颜色 3 2 2 9 8" xfId="32542"/>
    <cellStyle name="20% - 强调文字颜色 3 2 20" xfId="5840"/>
    <cellStyle name="20% - 强调文字颜色 3 2 20 2" xfId="8396"/>
    <cellStyle name="20% - 强调文字颜色 3 2 20 2 2" xfId="26538"/>
    <cellStyle name="20% - 强调文字颜色 3 2 20 2 2 2" xfId="27086"/>
    <cellStyle name="20% - 强调文字颜色 3 2 20 2 2 2 2" xfId="32937"/>
    <cellStyle name="20% - 强调文字颜色 3 2 20 2 2 2 2 2" xfId="33491"/>
    <cellStyle name="20% - 强调文字颜色 3 2 20 2 2 3" xfId="33607"/>
    <cellStyle name="20% - 强调文字颜色 3 2 20 2 3" xfId="29424"/>
    <cellStyle name="20% - 强调文字颜色 3 2 20 2 3 2" xfId="32083"/>
    <cellStyle name="20% - 强调文字颜色 3 2 20 3" xfId="10933"/>
    <cellStyle name="20% - 强调文字颜色 3 2 20 3 2" xfId="29357"/>
    <cellStyle name="20% - 强调文字颜色 3 2 20 3 2 2" xfId="29456"/>
    <cellStyle name="20% - 强调文字颜色 3 2 20 4" xfId="21902"/>
    <cellStyle name="20% - 强调文字颜色 3 2 20 5" xfId="22478"/>
    <cellStyle name="20% - 强调文字颜色 3 2 20 6" xfId="29516"/>
    <cellStyle name="20% - 强调文字颜色 3 2 20 7" xfId="32041"/>
    <cellStyle name="20% - 强调文字颜色 3 2 20 8" xfId="33219"/>
    <cellStyle name="20% - 强调文字颜色 3 2 21" xfId="10936"/>
    <cellStyle name="20% - 强调文字颜色 3 2 21 2" xfId="23744"/>
    <cellStyle name="20% - 强调文字颜色 3 2 21 2 2" xfId="26967"/>
    <cellStyle name="20% - 强调文字颜色 3 2 21 2 2 2" xfId="27110"/>
    <cellStyle name="20% - 强调文字颜色 3 2 21 3" xfId="26329"/>
    <cellStyle name="20% - 强调文字颜色 3 2 21 4" xfId="23505"/>
    <cellStyle name="20% - 强调文字颜色 3 2 22" xfId="11992"/>
    <cellStyle name="20% - 强调文字颜色 3 2 23" xfId="14086"/>
    <cellStyle name="20% - 强调文字颜色 3 2 24" xfId="7874"/>
    <cellStyle name="20% - 强调文字颜色 3 2 24 2" xfId="29407"/>
    <cellStyle name="20% - 强调文字颜色 3 2 24 2 2" xfId="32932"/>
    <cellStyle name="20% - 强调文字颜色 3 2 24 3" xfId="32085"/>
    <cellStyle name="20% - 强调文字颜色 3 2 24 4" xfId="24262"/>
    <cellStyle name="20% - 强调文字颜色 3 2 25" xfId="17432"/>
    <cellStyle name="20% - 强调文字颜色 3 2 25 2" xfId="26681"/>
    <cellStyle name="20% - 强调文字颜色 3 2 26" xfId="17518"/>
    <cellStyle name="20% - 强调文字颜色 3 2 26 2" xfId="29501"/>
    <cellStyle name="20% - 强调文字颜色 3 2 26 3" xfId="27141"/>
    <cellStyle name="20% - 强调文字颜色 3 2 27" xfId="17604"/>
    <cellStyle name="20% - 强调文字颜色 3 2 28" xfId="17690"/>
    <cellStyle name="20% - 强调文字颜色 3 2 29" xfId="17776"/>
    <cellStyle name="20% - 强调文字颜色 3 2 3" xfId="307"/>
    <cellStyle name="20% - 强调文字颜色 3 2 3 10" xfId="29982"/>
    <cellStyle name="20% - 强调文字颜色 3 2 3 11" xfId="31353"/>
    <cellStyle name="20% - 强调文字颜色 3 2 3 2" xfId="2419"/>
    <cellStyle name="20% - 强调文字颜色 3 2 3 3" xfId="5859"/>
    <cellStyle name="20% - 强调文字颜色 3 2 3 4" xfId="12011"/>
    <cellStyle name="20% - 强调文字颜色 3 2 3 5" xfId="14103"/>
    <cellStyle name="20% - 强调文字颜色 3 2 3 6" xfId="7855"/>
    <cellStyle name="20% - 强调文字颜色 3 2 3 7" xfId="18162"/>
    <cellStyle name="20% - 强调文字颜色 3 2 3 8" xfId="23370"/>
    <cellStyle name="20% - 强调文字颜色 3 2 3 9" xfId="21291"/>
    <cellStyle name="20% - 强调文字颜色 3 2 30" xfId="18143"/>
    <cellStyle name="20% - 强调文字颜色 3 2 31" xfId="22865"/>
    <cellStyle name="20% - 强调文字颜色 3 2 32" xfId="21260"/>
    <cellStyle name="20% - 强调文字颜色 3 2 4" xfId="308"/>
    <cellStyle name="20% - 强调文字颜色 3 2 4 10" xfId="29983"/>
    <cellStyle name="20% - 强调文字颜色 3 2 4 11" xfId="32854"/>
    <cellStyle name="20% - 强调文字颜色 3 2 4 2" xfId="2420"/>
    <cellStyle name="20% - 强调文字颜色 3 2 4 3" xfId="5860"/>
    <cellStyle name="20% - 强调文字颜色 3 2 4 4" xfId="12012"/>
    <cellStyle name="20% - 强调文字颜色 3 2 4 5" xfId="14104"/>
    <cellStyle name="20% - 强调文字颜色 3 2 4 6" xfId="7854"/>
    <cellStyle name="20% - 强调文字颜色 3 2 4 7" xfId="18163"/>
    <cellStyle name="20% - 强调文字颜色 3 2 4 8" xfId="22860"/>
    <cellStyle name="20% - 强调文字颜色 3 2 4 9" xfId="20701"/>
    <cellStyle name="20% - 强调文字颜色 3 2 5" xfId="309"/>
    <cellStyle name="20% - 强调文字颜色 3 2 5 10" xfId="29984"/>
    <cellStyle name="20% - 强调文字颜色 3 2 5 11" xfId="31986"/>
    <cellStyle name="20% - 强调文字颜色 3 2 5 2" xfId="2421"/>
    <cellStyle name="20% - 强调文字颜色 3 2 5 3" xfId="5861"/>
    <cellStyle name="20% - 强调文字颜色 3 2 5 4" xfId="12013"/>
    <cellStyle name="20% - 强调文字颜色 3 2 5 5" xfId="14105"/>
    <cellStyle name="20% - 强调文字颜色 3 2 5 6" xfId="7853"/>
    <cellStyle name="20% - 强调文字颜色 3 2 5 7" xfId="18164"/>
    <cellStyle name="20% - 强调文字颜色 3 2 5 8" xfId="22642"/>
    <cellStyle name="20% - 强调文字颜色 3 2 5 9" xfId="20061"/>
    <cellStyle name="20% - 强调文字颜色 3 2 6" xfId="310"/>
    <cellStyle name="20% - 强调文字颜色 3 2 6 10" xfId="29985"/>
    <cellStyle name="20% - 强调文字颜色 3 2 6 11" xfId="31352"/>
    <cellStyle name="20% - 强调文字颜色 3 2 6 2" xfId="2422"/>
    <cellStyle name="20% - 强调文字颜色 3 2 6 3" xfId="5862"/>
    <cellStyle name="20% - 强调文字颜色 3 2 6 4" xfId="12014"/>
    <cellStyle name="20% - 强调文字颜色 3 2 6 5" xfId="14106"/>
    <cellStyle name="20% - 强调文字颜色 3 2 6 6" xfId="7852"/>
    <cellStyle name="20% - 强调文字颜色 3 2 6 7" xfId="18165"/>
    <cellStyle name="20% - 强调文字颜色 3 2 6 8" xfId="22387"/>
    <cellStyle name="20% - 强调文字颜色 3 2 6 9" xfId="21290"/>
    <cellStyle name="20% - 强调文字颜色 3 2 7" xfId="311"/>
    <cellStyle name="20% - 强调文字颜色 3 2 7 10" xfId="29986"/>
    <cellStyle name="20% - 强调文字颜色 3 2 7 11" xfId="32853"/>
    <cellStyle name="20% - 强调文字颜色 3 2 7 2" xfId="2423"/>
    <cellStyle name="20% - 强调文字颜色 3 2 7 3" xfId="5863"/>
    <cellStyle name="20% - 强调文字颜色 3 2 7 4" xfId="12015"/>
    <cellStyle name="20% - 强调文字颜色 3 2 7 5" xfId="14107"/>
    <cellStyle name="20% - 强调文字颜色 3 2 7 6" xfId="11646"/>
    <cellStyle name="20% - 强调文字颜色 3 2 7 7" xfId="18166"/>
    <cellStyle name="20% - 强调文字颜色 3 2 7 8" xfId="23369"/>
    <cellStyle name="20% - 强调文字颜色 3 2 7 9" xfId="20700"/>
    <cellStyle name="20% - 强调文字颜色 3 2 8" xfId="312"/>
    <cellStyle name="20% - 强调文字颜色 3 2 8 10" xfId="29987"/>
    <cellStyle name="20% - 强调文字颜色 3 2 8 11" xfId="31985"/>
    <cellStyle name="20% - 强调文字颜色 3 2 8 2" xfId="2424"/>
    <cellStyle name="20% - 强调文字颜色 3 2 8 3" xfId="5864"/>
    <cellStyle name="20% - 强调文字颜色 3 2 8 4" xfId="12016"/>
    <cellStyle name="20% - 强调文字颜色 3 2 8 5" xfId="14108"/>
    <cellStyle name="20% - 强调文字颜色 3 2 8 6" xfId="10637"/>
    <cellStyle name="20% - 强调文字颜色 3 2 8 7" xfId="18167"/>
    <cellStyle name="20% - 强调文字颜色 3 2 8 8" xfId="22859"/>
    <cellStyle name="20% - 强调文字颜色 3 2 8 9" xfId="20060"/>
    <cellStyle name="20% - 强调文字颜色 3 2 9" xfId="313"/>
    <cellStyle name="20% - 强调文字颜色 3 2 9 10" xfId="29988"/>
    <cellStyle name="20% - 强调文字颜色 3 2 9 11" xfId="31351"/>
    <cellStyle name="20% - 强调文字颜色 3 2 9 2" xfId="2425"/>
    <cellStyle name="20% - 强调文字颜色 3 2 9 3" xfId="5865"/>
    <cellStyle name="20% - 强调文字颜色 3 2 9 4" xfId="12017"/>
    <cellStyle name="20% - 强调文字颜色 3 2 9 5" xfId="14109"/>
    <cellStyle name="20% - 强调文字颜色 3 2 9 6" xfId="11645"/>
    <cellStyle name="20% - 强调文字颜色 3 2 9 7" xfId="18168"/>
    <cellStyle name="20% - 强调文字颜色 3 2 9 8" xfId="22641"/>
    <cellStyle name="20% - 强调文字颜色 3 2 9 9" xfId="21289"/>
    <cellStyle name="20% - 强调文字颜色 3 20" xfId="314"/>
    <cellStyle name="20% - 强调文字颜色 3 20 10" xfId="2427"/>
    <cellStyle name="20% - 强调文字颜色 3 20 10 2" xfId="8400"/>
    <cellStyle name="20% - 强调文字颜色 3 20 10 3" xfId="14111"/>
    <cellStyle name="20% - 强调文字颜色 3 20 10 4" xfId="24266"/>
    <cellStyle name="20% - 强调文字颜色 3 20 10 5" xfId="27498"/>
    <cellStyle name="20% - 强调文字颜色 3 20 11" xfId="2428"/>
    <cellStyle name="20% - 强调文字颜色 3 20 11 2" xfId="8401"/>
    <cellStyle name="20% - 强调文字颜色 3 20 11 3" xfId="14112"/>
    <cellStyle name="20% - 强调文字颜色 3 20 11 4" xfId="24267"/>
    <cellStyle name="20% - 强调文字颜色 3 20 11 5" xfId="27499"/>
    <cellStyle name="20% - 强调文字颜色 3 20 12" xfId="2429"/>
    <cellStyle name="20% - 强调文字颜色 3 20 12 2" xfId="8402"/>
    <cellStyle name="20% - 强调文字颜色 3 20 12 3" xfId="14113"/>
    <cellStyle name="20% - 强调文字颜色 3 20 12 4" xfId="24268"/>
    <cellStyle name="20% - 强调文字颜色 3 20 12 5" xfId="27500"/>
    <cellStyle name="20% - 强调文字颜色 3 20 13" xfId="2430"/>
    <cellStyle name="20% - 强调文字颜色 3 20 13 2" xfId="8403"/>
    <cellStyle name="20% - 强调文字颜色 3 20 13 3" xfId="14114"/>
    <cellStyle name="20% - 强调文字颜色 3 20 13 4" xfId="24269"/>
    <cellStyle name="20% - 强调文字颜色 3 20 13 5" xfId="27501"/>
    <cellStyle name="20% - 强调文字颜色 3 20 14" xfId="2431"/>
    <cellStyle name="20% - 强调文字颜色 3 20 14 2" xfId="8404"/>
    <cellStyle name="20% - 强调文字颜色 3 20 14 3" xfId="14115"/>
    <cellStyle name="20% - 强调文字颜色 3 20 14 4" xfId="24270"/>
    <cellStyle name="20% - 强调文字颜色 3 20 14 5" xfId="27502"/>
    <cellStyle name="20% - 强调文字颜色 3 20 15" xfId="2432"/>
    <cellStyle name="20% - 强调文字颜色 3 20 15 2" xfId="8405"/>
    <cellStyle name="20% - 强调文字颜色 3 20 15 3" xfId="14116"/>
    <cellStyle name="20% - 强调文字颜色 3 20 15 4" xfId="24271"/>
    <cellStyle name="20% - 强调文字颜色 3 20 15 5" xfId="27503"/>
    <cellStyle name="20% - 强调文字颜色 3 20 16" xfId="2433"/>
    <cellStyle name="20% - 强调文字颜色 3 20 16 2" xfId="8406"/>
    <cellStyle name="20% - 强调文字颜色 3 20 16 3" xfId="14117"/>
    <cellStyle name="20% - 强调文字颜色 3 20 16 4" xfId="24272"/>
    <cellStyle name="20% - 强调文字颜色 3 20 16 5" xfId="27504"/>
    <cellStyle name="20% - 强调文字颜色 3 20 17" xfId="2434"/>
    <cellStyle name="20% - 强调文字颜色 3 20 17 2" xfId="8407"/>
    <cellStyle name="20% - 强调文字颜色 3 20 17 3" xfId="14118"/>
    <cellStyle name="20% - 强调文字颜色 3 20 17 4" xfId="24273"/>
    <cellStyle name="20% - 强调文字颜色 3 20 17 5" xfId="27505"/>
    <cellStyle name="20% - 强调文字颜色 3 20 18" xfId="2435"/>
    <cellStyle name="20% - 强调文字颜色 3 20 18 2" xfId="8408"/>
    <cellStyle name="20% - 强调文字颜色 3 20 18 3" xfId="14119"/>
    <cellStyle name="20% - 强调文字颜色 3 20 18 4" xfId="24274"/>
    <cellStyle name="20% - 强调文字颜色 3 20 18 5" xfId="27506"/>
    <cellStyle name="20% - 强调文字颜色 3 20 19" xfId="2436"/>
    <cellStyle name="20% - 强调文字颜色 3 20 19 2" xfId="8409"/>
    <cellStyle name="20% - 强调文字颜色 3 20 19 3" xfId="14120"/>
    <cellStyle name="20% - 强调文字颜色 3 20 19 4" xfId="24275"/>
    <cellStyle name="20% - 强调文字颜色 3 20 19 5" xfId="27507"/>
    <cellStyle name="20% - 强调文字颜色 3 20 2" xfId="2426"/>
    <cellStyle name="20% - 强调文字颜色 3 20 2 2" xfId="8410"/>
    <cellStyle name="20% - 强调文字颜色 3 20 2 3" xfId="14121"/>
    <cellStyle name="20% - 强调文字颜色 3 20 2 4" xfId="24276"/>
    <cellStyle name="20% - 强调文字颜色 3 20 2 5" xfId="27497"/>
    <cellStyle name="20% - 强调文字颜色 3 20 20" xfId="2438"/>
    <cellStyle name="20% - 强调文字颜色 3 20 20 2" xfId="8411"/>
    <cellStyle name="20% - 强调文字颜色 3 20 20 3" xfId="14122"/>
    <cellStyle name="20% - 强调文字颜色 3 20 20 4" xfId="24277"/>
    <cellStyle name="20% - 强调文字颜色 3 20 20 5" xfId="27508"/>
    <cellStyle name="20% - 强调文字颜色 3 20 21" xfId="2439"/>
    <cellStyle name="20% - 强调文字颜色 3 20 21 2" xfId="8412"/>
    <cellStyle name="20% - 强调文字颜色 3 20 21 3" xfId="14123"/>
    <cellStyle name="20% - 强调文字颜色 3 20 21 4" xfId="24278"/>
    <cellStyle name="20% - 强调文字颜色 3 20 21 5" xfId="27509"/>
    <cellStyle name="20% - 强调文字颜色 3 20 22" xfId="2440"/>
    <cellStyle name="20% - 强调文字颜色 3 20 22 2" xfId="8413"/>
    <cellStyle name="20% - 强调文字颜色 3 20 22 3" xfId="14124"/>
    <cellStyle name="20% - 强调文字颜色 3 20 22 4" xfId="24279"/>
    <cellStyle name="20% - 强调文字颜色 3 20 22 5" xfId="27510"/>
    <cellStyle name="20% - 强调文字颜色 3 20 23" xfId="2441"/>
    <cellStyle name="20% - 强调文字颜色 3 20 23 2" xfId="8414"/>
    <cellStyle name="20% - 强调文字颜色 3 20 23 3" xfId="14125"/>
    <cellStyle name="20% - 强调文字颜色 3 20 23 4" xfId="24280"/>
    <cellStyle name="20% - 强调文字颜色 3 20 23 5" xfId="27511"/>
    <cellStyle name="20% - 强调文字颜色 3 20 24" xfId="5866"/>
    <cellStyle name="20% - 强调文字颜色 3 20 25" xfId="10940"/>
    <cellStyle name="20% - 强调文字颜色 3 20 26" xfId="12018"/>
    <cellStyle name="20% - 强调文字颜色 3 20 27" xfId="14110"/>
    <cellStyle name="20% - 强调文字颜色 3 20 28" xfId="10636"/>
    <cellStyle name="20% - 强调文字颜色 3 20 29" xfId="18169"/>
    <cellStyle name="20% - 强调文字颜色 3 20 3" xfId="2442"/>
    <cellStyle name="20% - 强调文字颜色 3 20 3 2" xfId="8415"/>
    <cellStyle name="20% - 强调文字颜色 3 20 3 3" xfId="14126"/>
    <cellStyle name="20% - 强调文字颜色 3 20 3 4" xfId="24281"/>
    <cellStyle name="20% - 强调文字颜色 3 20 3 5" xfId="27512"/>
    <cellStyle name="20% - 强调文字颜色 3 20 30" xfId="22386"/>
    <cellStyle name="20% - 强调文字颜色 3 20 31" xfId="20699"/>
    <cellStyle name="20% - 强调文字颜色 3 20 32" xfId="29989"/>
    <cellStyle name="20% - 强调文字颜色 3 20 33" xfId="32852"/>
    <cellStyle name="20% - 强调文字颜色 3 20 4" xfId="2443"/>
    <cellStyle name="20% - 强调文字颜色 3 20 4 2" xfId="8416"/>
    <cellStyle name="20% - 强调文字颜色 3 20 4 3" xfId="14127"/>
    <cellStyle name="20% - 强调文字颜色 3 20 4 4" xfId="24282"/>
    <cellStyle name="20% - 强调文字颜色 3 20 4 5" xfId="27513"/>
    <cellStyle name="20% - 强调文字颜色 3 20 5" xfId="2444"/>
    <cellStyle name="20% - 强调文字颜色 3 20 5 2" xfId="8417"/>
    <cellStyle name="20% - 强调文字颜色 3 20 5 3" xfId="14128"/>
    <cellStyle name="20% - 强调文字颜色 3 20 5 4" xfId="24283"/>
    <cellStyle name="20% - 强调文字颜色 3 20 5 5" xfId="27514"/>
    <cellStyle name="20% - 强调文字颜色 3 20 6" xfId="2445"/>
    <cellStyle name="20% - 强调文字颜色 3 20 6 2" xfId="8418"/>
    <cellStyle name="20% - 强调文字颜色 3 20 6 3" xfId="14129"/>
    <cellStyle name="20% - 强调文字颜色 3 20 6 4" xfId="24284"/>
    <cellStyle name="20% - 强调文字颜色 3 20 6 5" xfId="27515"/>
    <cellStyle name="20% - 强调文字颜色 3 20 7" xfId="2446"/>
    <cellStyle name="20% - 强调文字颜色 3 20 7 2" xfId="8419"/>
    <cellStyle name="20% - 强调文字颜色 3 20 7 3" xfId="14130"/>
    <cellStyle name="20% - 强调文字颜色 3 20 7 4" xfId="24285"/>
    <cellStyle name="20% - 强调文字颜色 3 20 7 5" xfId="27516"/>
    <cellStyle name="20% - 强调文字颜色 3 20 8" xfId="2447"/>
    <cellStyle name="20% - 强调文字颜色 3 20 8 2" xfId="8420"/>
    <cellStyle name="20% - 强调文字颜色 3 20 8 3" xfId="14131"/>
    <cellStyle name="20% - 强调文字颜色 3 20 8 4" xfId="24286"/>
    <cellStyle name="20% - 强调文字颜色 3 20 8 5" xfId="27517"/>
    <cellStyle name="20% - 强调文字颜色 3 20 9" xfId="2448"/>
    <cellStyle name="20% - 强调文字颜色 3 20 9 2" xfId="8421"/>
    <cellStyle name="20% - 强调文字颜色 3 20 9 3" xfId="14132"/>
    <cellStyle name="20% - 强调文字颜色 3 20 9 4" xfId="24287"/>
    <cellStyle name="20% - 强调文字颜色 3 20 9 5" xfId="27518"/>
    <cellStyle name="20% - 强调文字颜色 3 21" xfId="315"/>
    <cellStyle name="20% - 强调文字颜色 3 21 10" xfId="2450"/>
    <cellStyle name="20% - 强调文字颜色 3 21 10 2" xfId="8422"/>
    <cellStyle name="20% - 强调文字颜色 3 21 10 3" xfId="14134"/>
    <cellStyle name="20% - 强调文字颜色 3 21 10 4" xfId="24288"/>
    <cellStyle name="20% - 强调文字颜色 3 21 10 5" xfId="27520"/>
    <cellStyle name="20% - 强调文字颜色 3 21 11" xfId="2451"/>
    <cellStyle name="20% - 强调文字颜色 3 21 11 2" xfId="8423"/>
    <cellStyle name="20% - 强调文字颜色 3 21 11 3" xfId="14135"/>
    <cellStyle name="20% - 强调文字颜色 3 21 11 4" xfId="24289"/>
    <cellStyle name="20% - 强调文字颜色 3 21 11 5" xfId="27521"/>
    <cellStyle name="20% - 强调文字颜色 3 21 12" xfId="2452"/>
    <cellStyle name="20% - 强调文字颜色 3 21 12 2" xfId="8424"/>
    <cellStyle name="20% - 强调文字颜色 3 21 12 3" xfId="14136"/>
    <cellStyle name="20% - 强调文字颜色 3 21 12 4" xfId="24290"/>
    <cellStyle name="20% - 强调文字颜色 3 21 12 5" xfId="27522"/>
    <cellStyle name="20% - 强调文字颜色 3 21 13" xfId="2453"/>
    <cellStyle name="20% - 强调文字颜色 3 21 13 2" xfId="8425"/>
    <cellStyle name="20% - 强调文字颜色 3 21 13 3" xfId="14137"/>
    <cellStyle name="20% - 强调文字颜色 3 21 13 4" xfId="24291"/>
    <cellStyle name="20% - 强调文字颜色 3 21 13 5" xfId="27523"/>
    <cellStyle name="20% - 强调文字颜色 3 21 14" xfId="2454"/>
    <cellStyle name="20% - 强调文字颜色 3 21 14 2" xfId="8426"/>
    <cellStyle name="20% - 强调文字颜色 3 21 14 3" xfId="14138"/>
    <cellStyle name="20% - 强调文字颜色 3 21 14 4" xfId="24292"/>
    <cellStyle name="20% - 强调文字颜色 3 21 14 5" xfId="27524"/>
    <cellStyle name="20% - 强调文字颜色 3 21 15" xfId="2455"/>
    <cellStyle name="20% - 强调文字颜色 3 21 15 2" xfId="8427"/>
    <cellStyle name="20% - 强调文字颜色 3 21 15 3" xfId="14139"/>
    <cellStyle name="20% - 强调文字颜色 3 21 15 4" xfId="24293"/>
    <cellStyle name="20% - 强调文字颜色 3 21 15 5" xfId="27525"/>
    <cellStyle name="20% - 强调文字颜色 3 21 16" xfId="2456"/>
    <cellStyle name="20% - 强调文字颜色 3 21 16 2" xfId="8428"/>
    <cellStyle name="20% - 强调文字颜色 3 21 16 3" xfId="14140"/>
    <cellStyle name="20% - 强调文字颜色 3 21 16 4" xfId="24294"/>
    <cellStyle name="20% - 强调文字颜色 3 21 16 5" xfId="27526"/>
    <cellStyle name="20% - 强调文字颜色 3 21 17" xfId="2457"/>
    <cellStyle name="20% - 强调文字颜色 3 21 17 2" xfId="8429"/>
    <cellStyle name="20% - 强调文字颜色 3 21 17 3" xfId="14141"/>
    <cellStyle name="20% - 强调文字颜色 3 21 17 4" xfId="24295"/>
    <cellStyle name="20% - 强调文字颜色 3 21 17 5" xfId="27527"/>
    <cellStyle name="20% - 强调文字颜色 3 21 18" xfId="2458"/>
    <cellStyle name="20% - 强调文字颜色 3 21 18 2" xfId="8430"/>
    <cellStyle name="20% - 强调文字颜色 3 21 18 3" xfId="14142"/>
    <cellStyle name="20% - 强调文字颜色 3 21 18 4" xfId="24296"/>
    <cellStyle name="20% - 强调文字颜色 3 21 18 5" xfId="27528"/>
    <cellStyle name="20% - 强调文字颜色 3 21 19" xfId="2459"/>
    <cellStyle name="20% - 强调文字颜色 3 21 19 2" xfId="8431"/>
    <cellStyle name="20% - 强调文字颜色 3 21 19 3" xfId="14143"/>
    <cellStyle name="20% - 强调文字颜色 3 21 19 4" xfId="24297"/>
    <cellStyle name="20% - 强调文字颜色 3 21 19 5" xfId="27529"/>
    <cellStyle name="20% - 强调文字颜色 3 21 2" xfId="2449"/>
    <cellStyle name="20% - 强调文字颜色 3 21 2 2" xfId="8432"/>
    <cellStyle name="20% - 强调文字颜色 3 21 2 3" xfId="14144"/>
    <cellStyle name="20% - 强调文字颜色 3 21 2 4" xfId="24298"/>
    <cellStyle name="20% - 强调文字颜色 3 21 2 5" xfId="27519"/>
    <cellStyle name="20% - 强调文字颜色 3 21 20" xfId="2461"/>
    <cellStyle name="20% - 强调文字颜色 3 21 20 2" xfId="8433"/>
    <cellStyle name="20% - 强调文字颜色 3 21 20 3" xfId="14145"/>
    <cellStyle name="20% - 强调文字颜色 3 21 20 4" xfId="24299"/>
    <cellStyle name="20% - 强调文字颜色 3 21 20 5" xfId="27530"/>
    <cellStyle name="20% - 强调文字颜色 3 21 21" xfId="2462"/>
    <cellStyle name="20% - 强调文字颜色 3 21 21 2" xfId="8434"/>
    <cellStyle name="20% - 强调文字颜色 3 21 21 3" xfId="14146"/>
    <cellStyle name="20% - 强调文字颜色 3 21 21 4" xfId="24300"/>
    <cellStyle name="20% - 强调文字颜色 3 21 21 5" xfId="27531"/>
    <cellStyle name="20% - 强调文字颜色 3 21 22" xfId="2463"/>
    <cellStyle name="20% - 强调文字颜色 3 21 22 2" xfId="8435"/>
    <cellStyle name="20% - 强调文字颜色 3 21 22 3" xfId="14147"/>
    <cellStyle name="20% - 强调文字颜色 3 21 22 4" xfId="24301"/>
    <cellStyle name="20% - 强调文字颜色 3 21 22 5" xfId="27532"/>
    <cellStyle name="20% - 强调文字颜色 3 21 23" xfId="2464"/>
    <cellStyle name="20% - 强调文字颜色 3 21 23 2" xfId="8436"/>
    <cellStyle name="20% - 强调文字颜色 3 21 23 3" xfId="14148"/>
    <cellStyle name="20% - 强调文字颜色 3 21 23 4" xfId="24302"/>
    <cellStyle name="20% - 强调文字颜色 3 21 23 5" xfId="27533"/>
    <cellStyle name="20% - 强调文字颜色 3 21 24" xfId="5867"/>
    <cellStyle name="20% - 强调文字颜色 3 21 25" xfId="10941"/>
    <cellStyle name="20% - 强调文字颜色 3 21 26" xfId="12019"/>
    <cellStyle name="20% - 强调文字颜色 3 21 27" xfId="14133"/>
    <cellStyle name="20% - 强调文字颜色 3 21 28" xfId="10491"/>
    <cellStyle name="20% - 强调文字颜色 3 21 29" xfId="18170"/>
    <cellStyle name="20% - 强调文字颜色 3 21 3" xfId="2465"/>
    <cellStyle name="20% - 强调文字颜色 3 21 3 2" xfId="8437"/>
    <cellStyle name="20% - 强调文字颜色 3 21 3 3" xfId="14149"/>
    <cellStyle name="20% - 强调文字颜色 3 21 3 4" xfId="24303"/>
    <cellStyle name="20% - 强调文字颜色 3 21 3 5" xfId="27534"/>
    <cellStyle name="20% - 强调文字颜色 3 21 30" xfId="23368"/>
    <cellStyle name="20% - 强调文字颜色 3 21 31" xfId="20059"/>
    <cellStyle name="20% - 强调文字颜色 3 21 32" xfId="29990"/>
    <cellStyle name="20% - 强调文字颜色 3 21 33" xfId="31350"/>
    <cellStyle name="20% - 强调文字颜色 3 21 4" xfId="2466"/>
    <cellStyle name="20% - 强调文字颜色 3 21 4 2" xfId="8438"/>
    <cellStyle name="20% - 强调文字颜色 3 21 4 3" xfId="14150"/>
    <cellStyle name="20% - 强调文字颜色 3 21 4 4" xfId="24304"/>
    <cellStyle name="20% - 强调文字颜色 3 21 4 5" xfId="27535"/>
    <cellStyle name="20% - 强调文字颜色 3 21 5" xfId="2467"/>
    <cellStyle name="20% - 强调文字颜色 3 21 5 2" xfId="8439"/>
    <cellStyle name="20% - 强调文字颜色 3 21 5 3" xfId="14151"/>
    <cellStyle name="20% - 强调文字颜色 3 21 5 4" xfId="24305"/>
    <cellStyle name="20% - 强调文字颜色 3 21 5 5" xfId="27536"/>
    <cellStyle name="20% - 强调文字颜色 3 21 6" xfId="2468"/>
    <cellStyle name="20% - 强调文字颜色 3 21 6 2" xfId="8440"/>
    <cellStyle name="20% - 强调文字颜色 3 21 6 3" xfId="14152"/>
    <cellStyle name="20% - 强调文字颜色 3 21 6 4" xfId="24306"/>
    <cellStyle name="20% - 强调文字颜色 3 21 6 5" xfId="27537"/>
    <cellStyle name="20% - 强调文字颜色 3 21 7" xfId="2469"/>
    <cellStyle name="20% - 强调文字颜色 3 21 7 2" xfId="8441"/>
    <cellStyle name="20% - 强调文字颜色 3 21 7 3" xfId="14153"/>
    <cellStyle name="20% - 强调文字颜色 3 21 7 4" xfId="24307"/>
    <cellStyle name="20% - 强调文字颜色 3 21 7 5" xfId="27538"/>
    <cellStyle name="20% - 强调文字颜色 3 21 8" xfId="2470"/>
    <cellStyle name="20% - 强调文字颜色 3 21 8 2" xfId="8442"/>
    <cellStyle name="20% - 强调文字颜色 3 21 8 3" xfId="14154"/>
    <cellStyle name="20% - 强调文字颜色 3 21 8 4" xfId="24308"/>
    <cellStyle name="20% - 强调文字颜色 3 21 8 5" xfId="27539"/>
    <cellStyle name="20% - 强调文字颜色 3 21 9" xfId="2471"/>
    <cellStyle name="20% - 强调文字颜色 3 21 9 2" xfId="8443"/>
    <cellStyle name="20% - 强调文字颜色 3 21 9 3" xfId="14155"/>
    <cellStyle name="20% - 强调文字颜色 3 21 9 4" xfId="24309"/>
    <cellStyle name="20% - 强调文字颜色 3 21 9 5" xfId="27540"/>
    <cellStyle name="20% - 强调文字颜色 3 22" xfId="316"/>
    <cellStyle name="20% - 强调文字颜色 3 22 10" xfId="2473"/>
    <cellStyle name="20% - 强调文字颜色 3 22 10 2" xfId="8444"/>
    <cellStyle name="20% - 强调文字颜色 3 22 10 3" xfId="14157"/>
    <cellStyle name="20% - 强调文字颜色 3 22 10 4" xfId="24310"/>
    <cellStyle name="20% - 强调文字颜色 3 22 10 5" xfId="27542"/>
    <cellStyle name="20% - 强调文字颜色 3 22 11" xfId="2474"/>
    <cellStyle name="20% - 强调文字颜色 3 22 11 2" xfId="8445"/>
    <cellStyle name="20% - 强调文字颜色 3 22 11 3" xfId="14158"/>
    <cellStyle name="20% - 强调文字颜色 3 22 11 4" xfId="24311"/>
    <cellStyle name="20% - 强调文字颜色 3 22 11 5" xfId="27543"/>
    <cellStyle name="20% - 强调文字颜色 3 22 12" xfId="2475"/>
    <cellStyle name="20% - 强调文字颜色 3 22 12 2" xfId="8446"/>
    <cellStyle name="20% - 强调文字颜色 3 22 12 3" xfId="14159"/>
    <cellStyle name="20% - 强调文字颜色 3 22 12 4" xfId="24312"/>
    <cellStyle name="20% - 强调文字颜色 3 22 12 5" xfId="27544"/>
    <cellStyle name="20% - 强调文字颜色 3 22 13" xfId="2476"/>
    <cellStyle name="20% - 强调文字颜色 3 22 13 2" xfId="8447"/>
    <cellStyle name="20% - 强调文字颜色 3 22 13 3" xfId="14160"/>
    <cellStyle name="20% - 强调文字颜色 3 22 13 4" xfId="24313"/>
    <cellStyle name="20% - 强调文字颜色 3 22 13 5" xfId="27545"/>
    <cellStyle name="20% - 强调文字颜色 3 22 14" xfId="2477"/>
    <cellStyle name="20% - 强调文字颜色 3 22 14 2" xfId="8448"/>
    <cellStyle name="20% - 强调文字颜色 3 22 14 3" xfId="14161"/>
    <cellStyle name="20% - 强调文字颜色 3 22 14 4" xfId="24314"/>
    <cellStyle name="20% - 强调文字颜色 3 22 14 5" xfId="27546"/>
    <cellStyle name="20% - 强调文字颜色 3 22 15" xfId="2478"/>
    <cellStyle name="20% - 强调文字颜色 3 22 15 2" xfId="8449"/>
    <cellStyle name="20% - 强调文字颜色 3 22 15 3" xfId="14162"/>
    <cellStyle name="20% - 强调文字颜色 3 22 15 4" xfId="24315"/>
    <cellStyle name="20% - 强调文字颜色 3 22 15 5" xfId="27547"/>
    <cellStyle name="20% - 强调文字颜色 3 22 16" xfId="2479"/>
    <cellStyle name="20% - 强调文字颜色 3 22 16 2" xfId="8450"/>
    <cellStyle name="20% - 强调文字颜色 3 22 16 3" xfId="14163"/>
    <cellStyle name="20% - 强调文字颜色 3 22 16 4" xfId="24316"/>
    <cellStyle name="20% - 强调文字颜色 3 22 16 5" xfId="27548"/>
    <cellStyle name="20% - 强调文字颜色 3 22 17" xfId="2480"/>
    <cellStyle name="20% - 强调文字颜色 3 22 17 2" xfId="8451"/>
    <cellStyle name="20% - 强调文字颜色 3 22 17 3" xfId="14164"/>
    <cellStyle name="20% - 强调文字颜色 3 22 17 4" xfId="24317"/>
    <cellStyle name="20% - 强调文字颜色 3 22 17 5" xfId="27549"/>
    <cellStyle name="20% - 强调文字颜色 3 22 18" xfId="2481"/>
    <cellStyle name="20% - 强调文字颜色 3 22 18 2" xfId="8452"/>
    <cellStyle name="20% - 强调文字颜色 3 22 18 3" xfId="14165"/>
    <cellStyle name="20% - 强调文字颜色 3 22 18 4" xfId="24318"/>
    <cellStyle name="20% - 强调文字颜色 3 22 18 5" xfId="27550"/>
    <cellStyle name="20% - 强调文字颜色 3 22 19" xfId="2482"/>
    <cellStyle name="20% - 强调文字颜色 3 22 19 2" xfId="8453"/>
    <cellStyle name="20% - 强调文字颜色 3 22 19 3" xfId="14166"/>
    <cellStyle name="20% - 强调文字颜色 3 22 19 4" xfId="24319"/>
    <cellStyle name="20% - 强调文字颜色 3 22 19 5" xfId="27551"/>
    <cellStyle name="20% - 强调文字颜色 3 22 2" xfId="2472"/>
    <cellStyle name="20% - 强调文字颜色 3 22 2 2" xfId="8454"/>
    <cellStyle name="20% - 强调文字颜色 3 22 2 3" xfId="14167"/>
    <cellStyle name="20% - 强调文字颜色 3 22 2 4" xfId="24320"/>
    <cellStyle name="20% - 强调文字颜色 3 22 2 5" xfId="27541"/>
    <cellStyle name="20% - 强调文字颜色 3 22 20" xfId="2484"/>
    <cellStyle name="20% - 强调文字颜色 3 22 20 2" xfId="8455"/>
    <cellStyle name="20% - 强调文字颜色 3 22 20 3" xfId="14168"/>
    <cellStyle name="20% - 强调文字颜色 3 22 20 4" xfId="24321"/>
    <cellStyle name="20% - 强调文字颜色 3 22 20 5" xfId="27552"/>
    <cellStyle name="20% - 强调文字颜色 3 22 21" xfId="2485"/>
    <cellStyle name="20% - 强调文字颜色 3 22 21 2" xfId="8456"/>
    <cellStyle name="20% - 强调文字颜色 3 22 21 3" xfId="14169"/>
    <cellStyle name="20% - 强调文字颜色 3 22 21 4" xfId="24322"/>
    <cellStyle name="20% - 强调文字颜色 3 22 21 5" xfId="27553"/>
    <cellStyle name="20% - 强调文字颜色 3 22 22" xfId="2486"/>
    <cellStyle name="20% - 强调文字颜色 3 22 22 2" xfId="8457"/>
    <cellStyle name="20% - 强调文字颜色 3 22 22 3" xfId="14170"/>
    <cellStyle name="20% - 强调文字颜色 3 22 22 4" xfId="24323"/>
    <cellStyle name="20% - 强调文字颜色 3 22 22 5" xfId="27554"/>
    <cellStyle name="20% - 强调文字颜色 3 22 23" xfId="2487"/>
    <cellStyle name="20% - 强调文字颜色 3 22 23 2" xfId="8458"/>
    <cellStyle name="20% - 强调文字颜色 3 22 23 3" xfId="14171"/>
    <cellStyle name="20% - 强调文字颜色 3 22 23 4" xfId="24324"/>
    <cellStyle name="20% - 强调文字颜色 3 22 23 5" xfId="27555"/>
    <cellStyle name="20% - 强调文字颜色 3 22 24" xfId="5868"/>
    <cellStyle name="20% - 强调文字颜色 3 22 25" xfId="10942"/>
    <cellStyle name="20% - 强调文字颜色 3 22 26" xfId="12020"/>
    <cellStyle name="20% - 强调文字颜色 3 22 27" xfId="14156"/>
    <cellStyle name="20% - 强调文字颜色 3 22 28" xfId="7850"/>
    <cellStyle name="20% - 强调文字颜色 3 22 29" xfId="18171"/>
    <cellStyle name="20% - 强调文字颜色 3 22 3" xfId="2488"/>
    <cellStyle name="20% - 强调文字颜色 3 22 3 2" xfId="8459"/>
    <cellStyle name="20% - 强调文字颜色 3 22 3 3" xfId="14172"/>
    <cellStyle name="20% - 强调文字颜色 3 22 3 4" xfId="24325"/>
    <cellStyle name="20% - 强调文字颜色 3 22 3 5" xfId="27556"/>
    <cellStyle name="20% - 强调文字颜色 3 22 30" xfId="22858"/>
    <cellStyle name="20% - 强调文字颜色 3 22 31" xfId="21288"/>
    <cellStyle name="20% - 强调文字颜色 3 22 32" xfId="29991"/>
    <cellStyle name="20% - 强调文字颜色 3 22 33" xfId="31984"/>
    <cellStyle name="20% - 强调文字颜色 3 22 4" xfId="2489"/>
    <cellStyle name="20% - 强调文字颜色 3 22 4 2" xfId="8460"/>
    <cellStyle name="20% - 强调文字颜色 3 22 4 3" xfId="14173"/>
    <cellStyle name="20% - 强调文字颜色 3 22 4 4" xfId="24326"/>
    <cellStyle name="20% - 强调文字颜色 3 22 4 5" xfId="27557"/>
    <cellStyle name="20% - 强调文字颜色 3 22 5" xfId="2490"/>
    <cellStyle name="20% - 强调文字颜色 3 22 5 2" xfId="8461"/>
    <cellStyle name="20% - 强调文字颜色 3 22 5 3" xfId="14174"/>
    <cellStyle name="20% - 强调文字颜色 3 22 5 4" xfId="24327"/>
    <cellStyle name="20% - 强调文字颜色 3 22 5 5" xfId="27558"/>
    <cellStyle name="20% - 强调文字颜色 3 22 6" xfId="2491"/>
    <cellStyle name="20% - 强调文字颜色 3 22 6 2" xfId="8462"/>
    <cellStyle name="20% - 强调文字颜色 3 22 6 3" xfId="14175"/>
    <cellStyle name="20% - 强调文字颜色 3 22 6 4" xfId="24328"/>
    <cellStyle name="20% - 强调文字颜色 3 22 6 5" xfId="27559"/>
    <cellStyle name="20% - 强调文字颜色 3 22 7" xfId="2492"/>
    <cellStyle name="20% - 强调文字颜色 3 22 7 2" xfId="8463"/>
    <cellStyle name="20% - 强调文字颜色 3 22 7 3" xfId="14176"/>
    <cellStyle name="20% - 强调文字颜色 3 22 7 4" xfId="24329"/>
    <cellStyle name="20% - 强调文字颜色 3 22 7 5" xfId="27560"/>
    <cellStyle name="20% - 强调文字颜色 3 22 8" xfId="2493"/>
    <cellStyle name="20% - 强调文字颜色 3 22 8 2" xfId="8464"/>
    <cellStyle name="20% - 强调文字颜色 3 22 8 3" xfId="14177"/>
    <cellStyle name="20% - 强调文字颜色 3 22 8 4" xfId="24330"/>
    <cellStyle name="20% - 强调文字颜色 3 22 8 5" xfId="27561"/>
    <cellStyle name="20% - 强调文字颜色 3 22 9" xfId="2494"/>
    <cellStyle name="20% - 强调文字颜色 3 22 9 2" xfId="8465"/>
    <cellStyle name="20% - 强调文字颜色 3 22 9 3" xfId="14178"/>
    <cellStyle name="20% - 强调文字颜色 3 22 9 4" xfId="24331"/>
    <cellStyle name="20% - 强调文字颜色 3 22 9 5" xfId="27562"/>
    <cellStyle name="20% - 强调文字颜色 3 23" xfId="317"/>
    <cellStyle name="20% - 强调文字颜色 3 23 10" xfId="2496"/>
    <cellStyle name="20% - 强调文字颜色 3 23 10 2" xfId="8466"/>
    <cellStyle name="20% - 强调文字颜色 3 23 10 3" xfId="14180"/>
    <cellStyle name="20% - 强调文字颜色 3 23 10 4" xfId="24332"/>
    <cellStyle name="20% - 强调文字颜色 3 23 10 5" xfId="27564"/>
    <cellStyle name="20% - 强调文字颜色 3 23 11" xfId="2497"/>
    <cellStyle name="20% - 强调文字颜色 3 23 11 2" xfId="8467"/>
    <cellStyle name="20% - 强调文字颜色 3 23 11 3" xfId="14181"/>
    <cellStyle name="20% - 强调文字颜色 3 23 11 4" xfId="24333"/>
    <cellStyle name="20% - 强调文字颜色 3 23 11 5" xfId="27565"/>
    <cellStyle name="20% - 强调文字颜色 3 23 12" xfId="2498"/>
    <cellStyle name="20% - 强调文字颜色 3 23 12 2" xfId="8468"/>
    <cellStyle name="20% - 强调文字颜色 3 23 12 3" xfId="14182"/>
    <cellStyle name="20% - 强调文字颜色 3 23 12 4" xfId="24334"/>
    <cellStyle name="20% - 强调文字颜色 3 23 12 5" xfId="27566"/>
    <cellStyle name="20% - 强调文字颜色 3 23 13" xfId="2499"/>
    <cellStyle name="20% - 强调文字颜色 3 23 13 2" xfId="8469"/>
    <cellStyle name="20% - 强调文字颜色 3 23 13 3" xfId="14183"/>
    <cellStyle name="20% - 强调文字颜色 3 23 13 4" xfId="24335"/>
    <cellStyle name="20% - 强调文字颜色 3 23 13 5" xfId="27567"/>
    <cellStyle name="20% - 强调文字颜色 3 23 14" xfId="2500"/>
    <cellStyle name="20% - 强调文字颜色 3 23 14 2" xfId="8470"/>
    <cellStyle name="20% - 强调文字颜色 3 23 14 3" xfId="14184"/>
    <cellStyle name="20% - 强调文字颜色 3 23 14 4" xfId="24336"/>
    <cellStyle name="20% - 强调文字颜色 3 23 14 5" xfId="27568"/>
    <cellStyle name="20% - 强调文字颜色 3 23 15" xfId="2501"/>
    <cellStyle name="20% - 强调文字颜色 3 23 15 2" xfId="8471"/>
    <cellStyle name="20% - 强调文字颜色 3 23 15 3" xfId="14185"/>
    <cellStyle name="20% - 强调文字颜色 3 23 15 4" xfId="24337"/>
    <cellStyle name="20% - 强调文字颜色 3 23 15 5" xfId="27569"/>
    <cellStyle name="20% - 强调文字颜色 3 23 16" xfId="2502"/>
    <cellStyle name="20% - 强调文字颜色 3 23 16 2" xfId="8472"/>
    <cellStyle name="20% - 强调文字颜色 3 23 16 3" xfId="14186"/>
    <cellStyle name="20% - 强调文字颜色 3 23 16 4" xfId="24338"/>
    <cellStyle name="20% - 强调文字颜色 3 23 16 5" xfId="27570"/>
    <cellStyle name="20% - 强调文字颜色 3 23 17" xfId="2503"/>
    <cellStyle name="20% - 强调文字颜色 3 23 17 2" xfId="8473"/>
    <cellStyle name="20% - 强调文字颜色 3 23 17 3" xfId="14187"/>
    <cellStyle name="20% - 强调文字颜色 3 23 17 4" xfId="24339"/>
    <cellStyle name="20% - 强调文字颜色 3 23 17 5" xfId="27571"/>
    <cellStyle name="20% - 强调文字颜色 3 23 18" xfId="2504"/>
    <cellStyle name="20% - 强调文字颜色 3 23 18 2" xfId="8474"/>
    <cellStyle name="20% - 强调文字颜色 3 23 18 3" xfId="14188"/>
    <cellStyle name="20% - 强调文字颜色 3 23 18 4" xfId="24340"/>
    <cellStyle name="20% - 强调文字颜色 3 23 18 5" xfId="27572"/>
    <cellStyle name="20% - 强调文字颜色 3 23 19" xfId="2505"/>
    <cellStyle name="20% - 强调文字颜色 3 23 19 2" xfId="8475"/>
    <cellStyle name="20% - 强调文字颜色 3 23 19 3" xfId="14189"/>
    <cellStyle name="20% - 强调文字颜色 3 23 19 4" xfId="24341"/>
    <cellStyle name="20% - 强调文字颜色 3 23 19 5" xfId="27573"/>
    <cellStyle name="20% - 强调文字颜色 3 23 2" xfId="2495"/>
    <cellStyle name="20% - 强调文字颜色 3 23 2 2" xfId="8476"/>
    <cellStyle name="20% - 强调文字颜色 3 23 2 3" xfId="14190"/>
    <cellStyle name="20% - 强调文字颜色 3 23 2 4" xfId="24342"/>
    <cellStyle name="20% - 强调文字颜色 3 23 2 5" xfId="27563"/>
    <cellStyle name="20% - 强调文字颜色 3 23 20" xfId="2507"/>
    <cellStyle name="20% - 强调文字颜色 3 23 20 2" xfId="8477"/>
    <cellStyle name="20% - 强调文字颜色 3 23 20 3" xfId="14191"/>
    <cellStyle name="20% - 强调文字颜色 3 23 20 4" xfId="24343"/>
    <cellStyle name="20% - 强调文字颜色 3 23 20 5" xfId="27574"/>
    <cellStyle name="20% - 强调文字颜色 3 23 21" xfId="2508"/>
    <cellStyle name="20% - 强调文字颜色 3 23 21 2" xfId="8478"/>
    <cellStyle name="20% - 强调文字颜色 3 23 21 3" xfId="14192"/>
    <cellStyle name="20% - 强调文字颜色 3 23 21 4" xfId="24344"/>
    <cellStyle name="20% - 强调文字颜色 3 23 21 5" xfId="27575"/>
    <cellStyle name="20% - 强调文字颜色 3 23 22" xfId="2509"/>
    <cellStyle name="20% - 强调文字颜色 3 23 22 2" xfId="8479"/>
    <cellStyle name="20% - 强调文字颜色 3 23 22 3" xfId="14193"/>
    <cellStyle name="20% - 强调文字颜色 3 23 22 4" xfId="24345"/>
    <cellStyle name="20% - 强调文字颜色 3 23 22 5" xfId="27576"/>
    <cellStyle name="20% - 强调文字颜色 3 23 23" xfId="2510"/>
    <cellStyle name="20% - 强调文字颜色 3 23 23 2" xfId="8480"/>
    <cellStyle name="20% - 强调文字颜色 3 23 23 3" xfId="14194"/>
    <cellStyle name="20% - 强调文字颜色 3 23 23 4" xfId="24346"/>
    <cellStyle name="20% - 强调文字颜色 3 23 23 5" xfId="27577"/>
    <cellStyle name="20% - 强调文字颜色 3 23 24" xfId="5869"/>
    <cellStyle name="20% - 强调文字颜色 3 23 25" xfId="10943"/>
    <cellStyle name="20% - 强调文字颜色 3 23 26" xfId="12021"/>
    <cellStyle name="20% - 强调文字颜色 3 23 27" xfId="14179"/>
    <cellStyle name="20% - 强调文字颜色 3 23 28" xfId="7849"/>
    <cellStyle name="20% - 强调文字颜色 3 23 29" xfId="18172"/>
    <cellStyle name="20% - 强调文字颜色 3 23 3" xfId="2511"/>
    <cellStyle name="20% - 强调文字颜色 3 23 3 2" xfId="8481"/>
    <cellStyle name="20% - 强调文字颜色 3 23 3 3" xfId="14195"/>
    <cellStyle name="20% - 强调文字颜色 3 23 3 4" xfId="24347"/>
    <cellStyle name="20% - 强调文字颜色 3 23 3 5" xfId="27578"/>
    <cellStyle name="20% - 强调文字颜色 3 23 30" xfId="22640"/>
    <cellStyle name="20% - 强调文字颜色 3 23 31" xfId="20698"/>
    <cellStyle name="20% - 强调文字颜色 3 23 32" xfId="29992"/>
    <cellStyle name="20% - 强调文字颜色 3 23 33" xfId="32851"/>
    <cellStyle name="20% - 强调文字颜色 3 23 4" xfId="2512"/>
    <cellStyle name="20% - 强调文字颜色 3 23 4 2" xfId="8482"/>
    <cellStyle name="20% - 强调文字颜色 3 23 4 3" xfId="14196"/>
    <cellStyle name="20% - 强调文字颜色 3 23 4 4" xfId="24348"/>
    <cellStyle name="20% - 强调文字颜色 3 23 4 5" xfId="27579"/>
    <cellStyle name="20% - 强调文字颜色 3 23 5" xfId="2513"/>
    <cellStyle name="20% - 强调文字颜色 3 23 5 2" xfId="8483"/>
    <cellStyle name="20% - 强调文字颜色 3 23 5 3" xfId="14197"/>
    <cellStyle name="20% - 强调文字颜色 3 23 5 4" xfId="24349"/>
    <cellStyle name="20% - 强调文字颜色 3 23 5 5" xfId="27580"/>
    <cellStyle name="20% - 强调文字颜色 3 23 6" xfId="2514"/>
    <cellStyle name="20% - 强调文字颜色 3 23 6 2" xfId="8484"/>
    <cellStyle name="20% - 强调文字颜色 3 23 6 3" xfId="14198"/>
    <cellStyle name="20% - 强调文字颜色 3 23 6 4" xfId="24350"/>
    <cellStyle name="20% - 强调文字颜色 3 23 6 5" xfId="27581"/>
    <cellStyle name="20% - 强调文字颜色 3 23 7" xfId="2515"/>
    <cellStyle name="20% - 强调文字颜色 3 23 7 2" xfId="8485"/>
    <cellStyle name="20% - 强调文字颜色 3 23 7 3" xfId="14199"/>
    <cellStyle name="20% - 强调文字颜色 3 23 7 4" xfId="24351"/>
    <cellStyle name="20% - 强调文字颜色 3 23 7 5" xfId="27582"/>
    <cellStyle name="20% - 强调文字颜色 3 23 8" xfId="2516"/>
    <cellStyle name="20% - 强调文字颜色 3 23 8 2" xfId="8486"/>
    <cellStyle name="20% - 强调文字颜色 3 23 8 3" xfId="14200"/>
    <cellStyle name="20% - 强调文字颜色 3 23 8 4" xfId="24352"/>
    <cellStyle name="20% - 强调文字颜色 3 23 8 5" xfId="27583"/>
    <cellStyle name="20% - 强调文字颜色 3 23 9" xfId="2517"/>
    <cellStyle name="20% - 强调文字颜色 3 23 9 2" xfId="8487"/>
    <cellStyle name="20% - 强调文字颜色 3 23 9 3" xfId="14201"/>
    <cellStyle name="20% - 强调文字颜色 3 23 9 4" xfId="24353"/>
    <cellStyle name="20% - 强调文字颜色 3 23 9 5" xfId="27584"/>
    <cellStyle name="20% - 强调文字颜色 3 24" xfId="2350"/>
    <cellStyle name="20% - 强调文字颜色 3 24 2" xfId="2518"/>
    <cellStyle name="20% - 强调文字颜色 3 24 3" xfId="7370"/>
    <cellStyle name="20% - 强调文字颜色 3 24 4" xfId="14202"/>
    <cellStyle name="20% - 强调文字颜色 3 24 5" xfId="9488"/>
    <cellStyle name="20% - 强调文字颜色 3 24 6" xfId="26683"/>
    <cellStyle name="20% - 强调文字颜色 3 24 7" xfId="27473"/>
    <cellStyle name="20% - 强调文字颜色 3 25" xfId="2519"/>
    <cellStyle name="20% - 强调文字颜色 3 25 2" xfId="8488"/>
    <cellStyle name="20% - 强调文字颜色 3 25 3" xfId="14203"/>
    <cellStyle name="20% - 强调文字颜色 3 25 4" xfId="24354"/>
    <cellStyle name="20% - 强调文字颜色 3 25 5" xfId="26539"/>
    <cellStyle name="20% - 强调文字颜色 3 25 6" xfId="26684"/>
    <cellStyle name="20% - 强调文字颜色 3 25 7" xfId="27585"/>
    <cellStyle name="20% - 强调文字颜色 3 26" xfId="2520"/>
    <cellStyle name="20% - 强调文字颜色 3 26 2" xfId="8489"/>
    <cellStyle name="20% - 强调文字颜色 3 26 3" xfId="14204"/>
    <cellStyle name="20% - 强调文字颜色 3 26 4" xfId="24355"/>
    <cellStyle name="20% - 强调文字颜色 3 26 5" xfId="26540"/>
    <cellStyle name="20% - 强调文字颜色 3 26 6" xfId="26685"/>
    <cellStyle name="20% - 强调文字颜色 3 26 7" xfId="27586"/>
    <cellStyle name="20% - 强调文字颜色 3 27" xfId="2521"/>
    <cellStyle name="20% - 强调文字颜色 3 27 2" xfId="8490"/>
    <cellStyle name="20% - 强调文字颜色 3 27 3" xfId="14205"/>
    <cellStyle name="20% - 强调文字颜色 3 27 4" xfId="24356"/>
    <cellStyle name="20% - 强调文字颜色 3 27 5" xfId="26686"/>
    <cellStyle name="20% - 强调文字颜色 3 27 6" xfId="27587"/>
    <cellStyle name="20% - 强调文字颜色 3 28" xfId="2522"/>
    <cellStyle name="20% - 强调文字颜色 3 28 2" xfId="8491"/>
    <cellStyle name="20% - 强调文字颜色 3 28 3" xfId="14206"/>
    <cellStyle name="20% - 强调文字颜色 3 28 4" xfId="24357"/>
    <cellStyle name="20% - 强调文字颜色 3 28 5" xfId="26687"/>
    <cellStyle name="20% - 强调文字颜色 3 28 6" xfId="27588"/>
    <cellStyle name="20% - 强调文字颜色 3 29" xfId="2523"/>
    <cellStyle name="20% - 强调文字颜色 3 29 2" xfId="8492"/>
    <cellStyle name="20% - 强调文字颜色 3 29 3" xfId="14207"/>
    <cellStyle name="20% - 强调文字颜色 3 29 4" xfId="24358"/>
    <cellStyle name="20% - 强调文字颜色 3 29 5" xfId="26688"/>
    <cellStyle name="20% - 强调文字颜色 3 29 6" xfId="27589"/>
    <cellStyle name="20% - 强调文字颜色 3 3" xfId="318"/>
    <cellStyle name="20% - 强调文字颜色 3 3 10" xfId="319"/>
    <cellStyle name="20% - 强调文字颜色 3 3 10 10" xfId="29994"/>
    <cellStyle name="20% - 强调文字颜色 3 3 10 11" xfId="32850"/>
    <cellStyle name="20% - 强调文字颜色 3 3 10 2" xfId="2525"/>
    <cellStyle name="20% - 强调文字颜色 3 3 10 3" xfId="5871"/>
    <cellStyle name="20% - 强调文字颜色 3 3 10 4" xfId="12023"/>
    <cellStyle name="20% - 强调文字颜色 3 3 10 5" xfId="14209"/>
    <cellStyle name="20% - 强调文字颜色 3 3 10 6" xfId="7847"/>
    <cellStyle name="20% - 强调文字颜色 3 3 10 7" xfId="18174"/>
    <cellStyle name="20% - 强调文字颜色 3 3 10 8" xfId="23367"/>
    <cellStyle name="20% - 强调文字颜色 3 3 10 9" xfId="21287"/>
    <cellStyle name="20% - 强调文字颜色 3 3 11" xfId="320"/>
    <cellStyle name="20% - 强调文字颜色 3 3 11 10" xfId="29995"/>
    <cellStyle name="20% - 强调文字颜色 3 3 11 11" xfId="31983"/>
    <cellStyle name="20% - 强调文字颜色 3 3 11 2" xfId="2526"/>
    <cellStyle name="20% - 强调文字颜色 3 3 11 3" xfId="5872"/>
    <cellStyle name="20% - 强调文字颜色 3 3 11 4" xfId="12024"/>
    <cellStyle name="20% - 强调文字颜色 3 3 11 5" xfId="14210"/>
    <cellStyle name="20% - 强调文字颜色 3 3 11 6" xfId="7846"/>
    <cellStyle name="20% - 强调文字颜色 3 3 11 7" xfId="18175"/>
    <cellStyle name="20% - 强调文字颜色 3 3 11 8" xfId="22857"/>
    <cellStyle name="20% - 强调文字颜色 3 3 11 9" xfId="20697"/>
    <cellStyle name="20% - 强调文字颜色 3 3 12" xfId="321"/>
    <cellStyle name="20% - 强调文字颜色 3 3 12 10" xfId="29996"/>
    <cellStyle name="20% - 强调文字颜色 3 3 12 11" xfId="31347"/>
    <cellStyle name="20% - 强调文字颜色 3 3 12 2" xfId="2527"/>
    <cellStyle name="20% - 强调文字颜色 3 3 12 3" xfId="5873"/>
    <cellStyle name="20% - 强调文字颜色 3 3 12 4" xfId="12025"/>
    <cellStyle name="20% - 强调文字颜色 3 3 12 5" xfId="14211"/>
    <cellStyle name="20% - 强调文字颜色 3 3 12 6" xfId="11644"/>
    <cellStyle name="20% - 强调文字颜色 3 3 12 7" xfId="18176"/>
    <cellStyle name="20% - 强调文字颜色 3 3 12 8" xfId="22639"/>
    <cellStyle name="20% - 强调文字颜色 3 3 12 9" xfId="20057"/>
    <cellStyle name="20% - 强调文字颜色 3 3 13" xfId="322"/>
    <cellStyle name="20% - 强调文字颜色 3 3 13 10" xfId="29997"/>
    <cellStyle name="20% - 强调文字颜色 3 3 13 11" xfId="32849"/>
    <cellStyle name="20% - 强调文字颜色 3 3 13 2" xfId="2528"/>
    <cellStyle name="20% - 强调文字颜色 3 3 13 3" xfId="5874"/>
    <cellStyle name="20% - 强调文字颜色 3 3 13 4" xfId="12026"/>
    <cellStyle name="20% - 强调文字颜色 3 3 13 5" xfId="14212"/>
    <cellStyle name="20% - 强调文字颜色 3 3 13 6" xfId="10630"/>
    <cellStyle name="20% - 强调文字颜色 3 3 13 7" xfId="18177"/>
    <cellStyle name="20% - 强调文字颜色 3 3 13 8" xfId="22384"/>
    <cellStyle name="20% - 强调文字颜色 3 3 13 9" xfId="21286"/>
    <cellStyle name="20% - 强调文字颜色 3 3 14" xfId="323"/>
    <cellStyle name="20% - 强调文字颜色 3 3 14 10" xfId="29998"/>
    <cellStyle name="20% - 强调文字颜色 3 3 14 11" xfId="31982"/>
    <cellStyle name="20% - 强调文字颜色 3 3 14 2" xfId="2529"/>
    <cellStyle name="20% - 强调文字颜色 3 3 14 3" xfId="5875"/>
    <cellStyle name="20% - 强调文字颜色 3 3 14 4" xfId="12027"/>
    <cellStyle name="20% - 强调文字颜色 3 3 14 5" xfId="14213"/>
    <cellStyle name="20% - 强调文字颜色 3 3 14 6" xfId="7845"/>
    <cellStyle name="20% - 强调文字颜色 3 3 14 7" xfId="18178"/>
    <cellStyle name="20% - 强调文字颜色 3 3 14 8" xfId="23366"/>
    <cellStyle name="20% - 强调文字颜色 3 3 14 9" xfId="20696"/>
    <cellStyle name="20% - 强调文字颜色 3 3 15" xfId="324"/>
    <cellStyle name="20% - 强调文字颜色 3 3 15 10" xfId="29999"/>
    <cellStyle name="20% - 强调文字颜色 3 3 15 11" xfId="31346"/>
    <cellStyle name="20% - 强调文字颜色 3 3 15 2" xfId="2530"/>
    <cellStyle name="20% - 强调文字颜色 3 3 15 3" xfId="5876"/>
    <cellStyle name="20% - 强调文字颜色 3 3 15 4" xfId="12028"/>
    <cellStyle name="20% - 强调文字颜色 3 3 15 5" xfId="14214"/>
    <cellStyle name="20% - 强调文字颜色 3 3 15 6" xfId="7844"/>
    <cellStyle name="20% - 强调文字颜色 3 3 15 7" xfId="18179"/>
    <cellStyle name="20% - 强调文字颜色 3 3 15 8" xfId="22856"/>
    <cellStyle name="20% - 强调文字颜色 3 3 15 9" xfId="20056"/>
    <cellStyle name="20% - 强调文字颜色 3 3 16" xfId="325"/>
    <cellStyle name="20% - 强调文字颜色 3 3 16 10" xfId="30000"/>
    <cellStyle name="20% - 强调文字颜色 3 3 16 11" xfId="32848"/>
    <cellStyle name="20% - 强调文字颜色 3 3 16 2" xfId="2531"/>
    <cellStyle name="20% - 强调文字颜色 3 3 16 3" xfId="5877"/>
    <cellStyle name="20% - 强调文字颜色 3 3 16 4" xfId="12029"/>
    <cellStyle name="20% - 强调文字颜色 3 3 16 5" xfId="14215"/>
    <cellStyle name="20% - 强调文字颜色 3 3 16 6" xfId="7843"/>
    <cellStyle name="20% - 强调文字颜色 3 3 16 7" xfId="18180"/>
    <cellStyle name="20% - 强调文字颜色 3 3 16 8" xfId="22638"/>
    <cellStyle name="20% - 强调文字颜色 3 3 16 9" xfId="21285"/>
    <cellStyle name="20% - 强调文字颜色 3 3 17" xfId="326"/>
    <cellStyle name="20% - 强调文字颜色 3 3 17 10" xfId="30001"/>
    <cellStyle name="20% - 强调文字颜色 3 3 17 11" xfId="31981"/>
    <cellStyle name="20% - 强调文字颜色 3 3 17 2" xfId="2532"/>
    <cellStyle name="20% - 强调文字颜色 3 3 17 3" xfId="5878"/>
    <cellStyle name="20% - 强调文字颜色 3 3 17 4" xfId="12030"/>
    <cellStyle name="20% - 强调文字颜色 3 3 17 5" xfId="14216"/>
    <cellStyle name="20% - 强调文字颜色 3 3 17 6" xfId="7842"/>
    <cellStyle name="20% - 强调文字颜色 3 3 17 7" xfId="18181"/>
    <cellStyle name="20% - 强调文字颜色 3 3 17 8" xfId="22383"/>
    <cellStyle name="20% - 强调文字颜色 3 3 17 9" xfId="20695"/>
    <cellStyle name="20% - 强调文字颜色 3 3 18" xfId="327"/>
    <cellStyle name="20% - 强调文字颜色 3 3 18 10" xfId="30002"/>
    <cellStyle name="20% - 强调文字颜色 3 3 18 11" xfId="31345"/>
    <cellStyle name="20% - 强调文字颜色 3 3 18 2" xfId="2533"/>
    <cellStyle name="20% - 强调文字颜色 3 3 18 3" xfId="5879"/>
    <cellStyle name="20% - 强调文字颜色 3 3 18 4" xfId="12031"/>
    <cellStyle name="20% - 强调文字颜色 3 3 18 5" xfId="14217"/>
    <cellStyle name="20% - 强调文字颜色 3 3 18 6" xfId="7841"/>
    <cellStyle name="20% - 强调文字颜色 3 3 18 7" xfId="18182"/>
    <cellStyle name="20% - 强调文字颜色 3 3 18 8" xfId="23364"/>
    <cellStyle name="20% - 强调文字颜色 3 3 18 9" xfId="20055"/>
    <cellStyle name="20% - 强调文字颜色 3 3 19" xfId="328"/>
    <cellStyle name="20% - 强调文字颜色 3 3 19 10" xfId="30003"/>
    <cellStyle name="20% - 强调文字颜色 3 3 19 11" xfId="32847"/>
    <cellStyle name="20% - 强调文字颜色 3 3 19 2" xfId="2534"/>
    <cellStyle name="20% - 强调文字颜色 3 3 19 3" xfId="5880"/>
    <cellStyle name="20% - 强调文字颜色 3 3 19 4" xfId="12032"/>
    <cellStyle name="20% - 强调文字颜色 3 3 19 5" xfId="14218"/>
    <cellStyle name="20% - 强调文字颜色 3 3 19 6" xfId="7840"/>
    <cellStyle name="20% - 强调文字颜色 3 3 19 7" xfId="18183"/>
    <cellStyle name="20% - 强调文字颜色 3 3 19 8" xfId="22381"/>
    <cellStyle name="20% - 强调文字颜色 3 3 19 9" xfId="21284"/>
    <cellStyle name="20% - 强调文字颜色 3 3 2" xfId="329"/>
    <cellStyle name="20% - 强调文字颜色 3 3 2 10" xfId="30004"/>
    <cellStyle name="20% - 强调文字颜色 3 3 2 11" xfId="31980"/>
    <cellStyle name="20% - 强调文字颜色 3 3 2 2" xfId="2535"/>
    <cellStyle name="20% - 强调文字颜色 3 3 2 3" xfId="5881"/>
    <cellStyle name="20% - 强调文字颜色 3 3 2 4" xfId="12033"/>
    <cellStyle name="20% - 强调文字颜色 3 3 2 5" xfId="14219"/>
    <cellStyle name="20% - 强调文字颜色 3 3 2 6" xfId="7839"/>
    <cellStyle name="20% - 强调文字颜色 3 3 2 7" xfId="18184"/>
    <cellStyle name="20% - 强调文字颜色 3 3 2 8" xfId="21853"/>
    <cellStyle name="20% - 强调文字颜色 3 3 2 9" xfId="20694"/>
    <cellStyle name="20% - 强调文字颜色 3 3 20" xfId="2524"/>
    <cellStyle name="20% - 强调文字颜色 3 3 20 2" xfId="8493"/>
    <cellStyle name="20% - 强调文字颜色 3 3 20 3" xfId="14220"/>
    <cellStyle name="20% - 强调文字颜色 3 3 20 4" xfId="24359"/>
    <cellStyle name="20% - 强调文字颜色 3 3 20 5" xfId="26689"/>
    <cellStyle name="20% - 强调文字颜色 3 3 20 6" xfId="27590"/>
    <cellStyle name="20% - 强调文字颜色 3 3 21" xfId="2537"/>
    <cellStyle name="20% - 强调文字颜色 3 3 21 2" xfId="8494"/>
    <cellStyle name="20% - 强调文字颜色 3 3 21 3" xfId="14221"/>
    <cellStyle name="20% - 强调文字颜色 3 3 21 4" xfId="24360"/>
    <cellStyle name="20% - 强调文字颜色 3 3 21 5" xfId="26690"/>
    <cellStyle name="20% - 强调文字颜色 3 3 21 6" xfId="27591"/>
    <cellStyle name="20% - 强调文字颜色 3 3 22" xfId="2538"/>
    <cellStyle name="20% - 强调文字颜色 3 3 22 2" xfId="8495"/>
    <cellStyle name="20% - 强调文字颜色 3 3 22 3" xfId="14222"/>
    <cellStyle name="20% - 强调文字颜色 3 3 22 4" xfId="24361"/>
    <cellStyle name="20% - 强调文字颜色 3 3 22 5" xfId="26691"/>
    <cellStyle name="20% - 强调文字颜色 3 3 22 6" xfId="27592"/>
    <cellStyle name="20% - 强调文字颜色 3 3 23" xfId="2539"/>
    <cellStyle name="20% - 强调文字颜色 3 3 23 2" xfId="8496"/>
    <cellStyle name="20% - 强调文字颜色 3 3 23 3" xfId="14223"/>
    <cellStyle name="20% - 强调文字颜色 3 3 23 4" xfId="24362"/>
    <cellStyle name="20% - 强调文字颜色 3 3 23 5" xfId="26692"/>
    <cellStyle name="20% - 强调文字颜色 3 3 23 6" xfId="27593"/>
    <cellStyle name="20% - 强调文字颜色 3 3 24" xfId="2540"/>
    <cellStyle name="20% - 强调文字颜色 3 3 24 2" xfId="8497"/>
    <cellStyle name="20% - 强调文字颜色 3 3 24 3" xfId="14224"/>
    <cellStyle name="20% - 强调文字颜色 3 3 24 4" xfId="24363"/>
    <cellStyle name="20% - 强调文字颜色 3 3 24 5" xfId="26693"/>
    <cellStyle name="20% - 强调文字颜色 3 3 24 6" xfId="27594"/>
    <cellStyle name="20% - 强调文字颜色 3 3 25" xfId="2541"/>
    <cellStyle name="20% - 强调文字颜色 3 3 25 2" xfId="8498"/>
    <cellStyle name="20% - 强调文字颜色 3 3 25 3" xfId="14225"/>
    <cellStyle name="20% - 强调文字颜色 3 3 25 4" xfId="24364"/>
    <cellStyle name="20% - 强调文字颜色 3 3 25 5" xfId="26694"/>
    <cellStyle name="20% - 强调文字颜色 3 3 25 6" xfId="27595"/>
    <cellStyle name="20% - 强调文字颜色 3 3 26" xfId="2542"/>
    <cellStyle name="20% - 强调文字颜色 3 3 26 2" xfId="8499"/>
    <cellStyle name="20% - 强调文字颜色 3 3 26 3" xfId="14226"/>
    <cellStyle name="20% - 强调文字颜色 3 3 26 4" xfId="24365"/>
    <cellStyle name="20% - 强调文字颜色 3 3 26 5" xfId="26695"/>
    <cellStyle name="20% - 强调文字颜色 3 3 26 6" xfId="27596"/>
    <cellStyle name="20% - 强调文字颜色 3 3 27" xfId="2543"/>
    <cellStyle name="20% - 强调文字颜色 3 3 27 2" xfId="8500"/>
    <cellStyle name="20% - 强调文字颜色 3 3 27 3" xfId="14227"/>
    <cellStyle name="20% - 强调文字颜色 3 3 27 4" xfId="24366"/>
    <cellStyle name="20% - 强调文字颜色 3 3 27 5" xfId="26696"/>
    <cellStyle name="20% - 强调文字颜色 3 3 27 6" xfId="27597"/>
    <cellStyle name="20% - 强调文字颜色 3 3 28" xfId="2544"/>
    <cellStyle name="20% - 强调文字颜色 3 3 28 2" xfId="8501"/>
    <cellStyle name="20% - 强调文字颜色 3 3 28 3" xfId="14228"/>
    <cellStyle name="20% - 强调文字颜色 3 3 28 4" xfId="24367"/>
    <cellStyle name="20% - 强调文字颜色 3 3 28 5" xfId="26697"/>
    <cellStyle name="20% - 强调文字颜色 3 3 28 6" xfId="27598"/>
    <cellStyle name="20% - 强调文字颜色 3 3 29" xfId="2545"/>
    <cellStyle name="20% - 强调文字颜色 3 3 29 2" xfId="8502"/>
    <cellStyle name="20% - 强调文字颜色 3 3 29 3" xfId="14229"/>
    <cellStyle name="20% - 强调文字颜色 3 3 29 4" xfId="24368"/>
    <cellStyle name="20% - 强调文字颜色 3 3 29 5" xfId="27599"/>
    <cellStyle name="20% - 强调文字颜色 3 3 3" xfId="330"/>
    <cellStyle name="20% - 强调文字颜色 3 3 3 10" xfId="30005"/>
    <cellStyle name="20% - 强调文字颜色 3 3 3 11" xfId="32846"/>
    <cellStyle name="20% - 强调文字颜色 3 3 3 2" xfId="2546"/>
    <cellStyle name="20% - 强调文字颜色 3 3 3 3" xfId="5882"/>
    <cellStyle name="20% - 强调文字颜色 3 3 3 4" xfId="12034"/>
    <cellStyle name="20% - 强调文字颜色 3 3 3 5" xfId="14230"/>
    <cellStyle name="20% - 强调文字颜色 3 3 3 6" xfId="7838"/>
    <cellStyle name="20% - 强调文字颜色 3 3 3 7" xfId="18185"/>
    <cellStyle name="20% - 强调文字颜色 3 3 3 8" xfId="23363"/>
    <cellStyle name="20% - 强调文字颜色 3 3 3 9" xfId="20054"/>
    <cellStyle name="20% - 强调文字颜色 3 3 30" xfId="2547"/>
    <cellStyle name="20% - 强调文字颜色 3 3 30 2" xfId="8503"/>
    <cellStyle name="20% - 强调文字颜色 3 3 30 3" xfId="14231"/>
    <cellStyle name="20% - 强调文字颜色 3 3 30 4" xfId="24369"/>
    <cellStyle name="20% - 强调文字颜色 3 3 30 5" xfId="27600"/>
    <cellStyle name="20% - 强调文字颜色 3 3 31" xfId="2548"/>
    <cellStyle name="20% - 强调文字颜色 3 3 31 2" xfId="8504"/>
    <cellStyle name="20% - 强调文字颜色 3 3 31 3" xfId="14232"/>
    <cellStyle name="20% - 强调文字颜色 3 3 31 4" xfId="24370"/>
    <cellStyle name="20% - 强调文字颜色 3 3 31 5" xfId="27601"/>
    <cellStyle name="20% - 强调文字颜色 3 3 32" xfId="2549"/>
    <cellStyle name="20% - 强调文字颜色 3 3 32 2" xfId="8505"/>
    <cellStyle name="20% - 强调文字颜色 3 3 32 3" xfId="14233"/>
    <cellStyle name="20% - 强调文字颜色 3 3 32 4" xfId="24371"/>
    <cellStyle name="20% - 强调文字颜色 3 3 32 5" xfId="27602"/>
    <cellStyle name="20% - 强调文字颜色 3 3 33" xfId="2550"/>
    <cellStyle name="20% - 强调文字颜色 3 3 33 2" xfId="8506"/>
    <cellStyle name="20% - 强调文字颜色 3 3 33 3" xfId="14234"/>
    <cellStyle name="20% - 强调文字颜色 3 3 33 4" xfId="24372"/>
    <cellStyle name="20% - 强调文字颜色 3 3 33 5" xfId="27603"/>
    <cellStyle name="20% - 强调文字颜色 3 3 34" xfId="2551"/>
    <cellStyle name="20% - 强调文字颜色 3 3 34 2" xfId="8507"/>
    <cellStyle name="20% - 强调文字颜色 3 3 34 3" xfId="14235"/>
    <cellStyle name="20% - 强调文字颜色 3 3 34 4" xfId="24373"/>
    <cellStyle name="20% - 强调文字颜色 3 3 34 5" xfId="27604"/>
    <cellStyle name="20% - 强调文字颜色 3 3 35" xfId="2552"/>
    <cellStyle name="20% - 强调文字颜色 3 3 35 2" xfId="8508"/>
    <cellStyle name="20% - 强调文字颜色 3 3 35 3" xfId="14236"/>
    <cellStyle name="20% - 强调文字颜色 3 3 35 4" xfId="24374"/>
    <cellStyle name="20% - 强调文字颜色 3 3 35 5" xfId="27605"/>
    <cellStyle name="20% - 强调文字颜色 3 3 36" xfId="2553"/>
    <cellStyle name="20% - 强调文字颜色 3 3 36 2" xfId="8509"/>
    <cellStyle name="20% - 强调文字颜色 3 3 36 3" xfId="14237"/>
    <cellStyle name="20% - 强调文字颜色 3 3 36 4" xfId="24375"/>
    <cellStyle name="20% - 强调文字颜色 3 3 36 5" xfId="27606"/>
    <cellStyle name="20% - 强调文字颜色 3 3 37" xfId="2554"/>
    <cellStyle name="20% - 强调文字颜色 3 3 37 2" xfId="8510"/>
    <cellStyle name="20% - 强调文字颜色 3 3 37 3" xfId="14238"/>
    <cellStyle name="20% - 强调文字颜色 3 3 37 4" xfId="24376"/>
    <cellStyle name="20% - 强调文字颜色 3 3 37 5" xfId="27607"/>
    <cellStyle name="20% - 强调文字颜色 3 3 38" xfId="2555"/>
    <cellStyle name="20% - 强调文字颜色 3 3 38 2" xfId="8511"/>
    <cellStyle name="20% - 强调文字颜色 3 3 38 3" xfId="14239"/>
    <cellStyle name="20% - 强调文字颜色 3 3 38 4" xfId="24377"/>
    <cellStyle name="20% - 强调文字颜色 3 3 38 5" xfId="27608"/>
    <cellStyle name="20% - 强调文字颜色 3 3 39" xfId="2556"/>
    <cellStyle name="20% - 强调文字颜色 3 3 39 2" xfId="8512"/>
    <cellStyle name="20% - 强调文字颜色 3 3 39 3" xfId="14240"/>
    <cellStyle name="20% - 强调文字颜色 3 3 39 4" xfId="24378"/>
    <cellStyle name="20% - 强调文字颜色 3 3 39 5" xfId="27609"/>
    <cellStyle name="20% - 强调文字颜色 3 3 4" xfId="331"/>
    <cellStyle name="20% - 强调文字颜色 3 3 4 10" xfId="30006"/>
    <cellStyle name="20% - 强调文字颜色 3 3 4 11" xfId="31344"/>
    <cellStyle name="20% - 强调文字颜色 3 3 4 2" xfId="2557"/>
    <cellStyle name="20% - 强调文字颜色 3 3 4 3" xfId="5883"/>
    <cellStyle name="20% - 强调文字颜色 3 3 4 4" xfId="12035"/>
    <cellStyle name="20% - 强调文字颜色 3 3 4 5" xfId="14241"/>
    <cellStyle name="20% - 强调文字颜色 3 3 4 6" xfId="7837"/>
    <cellStyle name="20% - 强调文字颜色 3 3 4 7" xfId="18186"/>
    <cellStyle name="20% - 强调文字颜色 3 3 4 8" xfId="22380"/>
    <cellStyle name="20% - 强调文字颜色 3 3 4 9" xfId="21283"/>
    <cellStyle name="20% - 强调文字颜色 3 3 40" xfId="2558"/>
    <cellStyle name="20% - 强调文字颜色 3 3 40 2" xfId="8513"/>
    <cellStyle name="20% - 强调文字颜色 3 3 40 3" xfId="14242"/>
    <cellStyle name="20% - 强调文字颜色 3 3 40 4" xfId="24379"/>
    <cellStyle name="20% - 强调文字颜色 3 3 40 5" xfId="27610"/>
    <cellStyle name="20% - 强调文字颜色 3 3 41" xfId="2559"/>
    <cellStyle name="20% - 强调文字颜色 3 3 41 2" xfId="8514"/>
    <cellStyle name="20% - 强调文字颜色 3 3 41 3" xfId="14243"/>
    <cellStyle name="20% - 强调文字颜色 3 3 41 4" xfId="24380"/>
    <cellStyle name="20% - 强调文字颜色 3 3 41 5" xfId="27611"/>
    <cellStyle name="20% - 强调文字颜色 3 3 42" xfId="5870"/>
    <cellStyle name="20% - 强调文字颜色 3 3 42 2" xfId="23560"/>
    <cellStyle name="20% - 强调文字颜色 3 3 42 3" xfId="26145"/>
    <cellStyle name="20% - 强调文字颜色 3 3 43" xfId="10944"/>
    <cellStyle name="20% - 强调文字颜色 3 3 43 2" xfId="23747"/>
    <cellStyle name="20% - 强调文字颜色 3 3 43 3" xfId="26332"/>
    <cellStyle name="20% - 强调文字颜色 3 3 44" xfId="12022"/>
    <cellStyle name="20% - 强调文字颜色 3 3 44 2" xfId="23847"/>
    <cellStyle name="20% - 强调文字颜色 3 3 44 3" xfId="26432"/>
    <cellStyle name="20% - 强调文字颜色 3 3 45" xfId="14208"/>
    <cellStyle name="20% - 强调文字颜色 3 3 45 2" xfId="23903"/>
    <cellStyle name="20% - 强调文字颜色 3 3 45 3" xfId="26488"/>
    <cellStyle name="20% - 强调文字颜色 3 3 46" xfId="7848"/>
    <cellStyle name="20% - 强调文字颜色 3 3 47" xfId="18173"/>
    <cellStyle name="20% - 强调文字颜色 3 3 48" xfId="22385"/>
    <cellStyle name="20% - 强调文字颜色 3 3 49" xfId="20058"/>
    <cellStyle name="20% - 强调文字颜色 3 3 5" xfId="332"/>
    <cellStyle name="20% - 强调文字颜色 3 3 5 10" xfId="30007"/>
    <cellStyle name="20% - 强调文字颜色 3 3 5 11" xfId="31343"/>
    <cellStyle name="20% - 强调文字颜色 3 3 5 2" xfId="2560"/>
    <cellStyle name="20% - 强调文字颜色 3 3 5 3" xfId="5884"/>
    <cellStyle name="20% - 强调文字颜色 3 3 5 4" xfId="12036"/>
    <cellStyle name="20% - 强调文字颜色 3 3 5 5" xfId="14244"/>
    <cellStyle name="20% - 强调文字颜色 3 3 5 6" xfId="7836"/>
    <cellStyle name="20% - 强调文字颜色 3 3 5 7" xfId="18187"/>
    <cellStyle name="20% - 强调文字颜色 3 3 5 8" xfId="21852"/>
    <cellStyle name="20% - 强调文字颜色 3 3 5 9" xfId="20693"/>
    <cellStyle name="20% - 强调文字颜色 3 3 50" xfId="29993"/>
    <cellStyle name="20% - 强调文字颜色 3 3 51" xfId="31348"/>
    <cellStyle name="20% - 强调文字颜色 3 3 6" xfId="333"/>
    <cellStyle name="20% - 强调文字颜色 3 3 6 10" xfId="30008"/>
    <cellStyle name="20% - 强调文字颜色 3 3 6 11" xfId="33423"/>
    <cellStyle name="20% - 强调文字颜色 3 3 6 2" xfId="2561"/>
    <cellStyle name="20% - 强调文字颜色 3 3 6 3" xfId="5885"/>
    <cellStyle name="20% - 强调文字颜色 3 3 6 4" xfId="12037"/>
    <cellStyle name="20% - 强调文字颜色 3 3 6 5" xfId="14245"/>
    <cellStyle name="20% - 强调文字颜色 3 3 6 6" xfId="11643"/>
    <cellStyle name="20% - 强调文字颜色 3 3 6 7" xfId="18188"/>
    <cellStyle name="20% - 强调文字颜色 3 3 6 8" xfId="23362"/>
    <cellStyle name="20% - 强调文字颜色 3 3 6 9" xfId="20053"/>
    <cellStyle name="20% - 强调文字颜色 3 3 7" xfId="334"/>
    <cellStyle name="20% - 强调文字颜色 3 3 7 10" xfId="30009"/>
    <cellStyle name="20% - 强调文字颜色 3 3 7 11" xfId="33184"/>
    <cellStyle name="20% - 强调文字颜色 3 3 7 2" xfId="2562"/>
    <cellStyle name="20% - 强调文字颜色 3 3 7 3" xfId="5886"/>
    <cellStyle name="20% - 强调文字颜色 3 3 7 4" xfId="12038"/>
    <cellStyle name="20% - 强调文字颜色 3 3 7 5" xfId="14246"/>
    <cellStyle name="20% - 强调文字颜色 3 3 7 6" xfId="10619"/>
    <cellStyle name="20% - 强调文字颜色 3 3 7 7" xfId="18189"/>
    <cellStyle name="20% - 强调文字颜色 3 3 7 8" xfId="22379"/>
    <cellStyle name="20% - 强调文字颜色 3 3 7 9" xfId="21504"/>
    <cellStyle name="20% - 强调文字颜色 3 3 8" xfId="335"/>
    <cellStyle name="20% - 强调文字颜色 3 3 8 10" xfId="30010"/>
    <cellStyle name="20% - 强调文字颜色 3 3 8 11" xfId="32845"/>
    <cellStyle name="20% - 强调文字颜色 3 3 8 2" xfId="2563"/>
    <cellStyle name="20% - 强调文字颜色 3 3 8 3" xfId="5887"/>
    <cellStyle name="20% - 强调文字颜色 3 3 8 4" xfId="12039"/>
    <cellStyle name="20% - 强调文字颜色 3 3 8 5" xfId="14247"/>
    <cellStyle name="20% - 强调文字颜色 3 3 8 6" xfId="7835"/>
    <cellStyle name="20% - 强调文字颜色 3 3 8 7" xfId="18190"/>
    <cellStyle name="20% - 强调文字颜色 3 3 8 8" xfId="21851"/>
    <cellStyle name="20% - 强调文字颜色 3 3 8 9" xfId="20286"/>
    <cellStyle name="20% - 强调文字颜色 3 3 9" xfId="336"/>
    <cellStyle name="20% - 强调文字颜色 3 3 9 10" xfId="30011"/>
    <cellStyle name="20% - 强调文字颜色 3 3 9 11" xfId="32515"/>
    <cellStyle name="20% - 强调文字颜色 3 3 9 2" xfId="2564"/>
    <cellStyle name="20% - 强调文字颜色 3 3 9 3" xfId="5888"/>
    <cellStyle name="20% - 强调文字颜色 3 3 9 4" xfId="12040"/>
    <cellStyle name="20% - 强调文字颜色 3 3 9 5" xfId="14248"/>
    <cellStyle name="20% - 强调文字颜色 3 3 9 6" xfId="7834"/>
    <cellStyle name="20% - 强调文字颜色 3 3 9 7" xfId="18191"/>
    <cellStyle name="20% - 强调文字颜色 3 3 9 8" xfId="23361"/>
    <cellStyle name="20% - 强调文字颜色 3 3 9 9" xfId="21282"/>
    <cellStyle name="20% - 强调文字颜色 3 30" xfId="2565"/>
    <cellStyle name="20% - 强调文字颜色 3 30 2" xfId="8515"/>
    <cellStyle name="20% - 强调文字颜色 3 30 3" xfId="14249"/>
    <cellStyle name="20% - 强调文字颜色 3 30 4" xfId="24381"/>
    <cellStyle name="20% - 强调文字颜色 3 30 5" xfId="26698"/>
    <cellStyle name="20% - 强调文字颜色 3 30 6" xfId="27612"/>
    <cellStyle name="20% - 强调文字颜色 3 31" xfId="2566"/>
    <cellStyle name="20% - 强调文字颜色 3 31 2" xfId="8516"/>
    <cellStyle name="20% - 强调文字颜色 3 31 3" xfId="14250"/>
    <cellStyle name="20% - 强调文字颜色 3 31 4" xfId="24382"/>
    <cellStyle name="20% - 强调文字颜色 3 31 5" xfId="26699"/>
    <cellStyle name="20% - 强调文字颜色 3 31 6" xfId="27613"/>
    <cellStyle name="20% - 强调文字颜色 3 32" xfId="2567"/>
    <cellStyle name="20% - 强调文字颜色 3 32 2" xfId="8517"/>
    <cellStyle name="20% - 强调文字颜色 3 32 3" xfId="14251"/>
    <cellStyle name="20% - 强调文字颜色 3 32 4" xfId="24383"/>
    <cellStyle name="20% - 强调文字颜色 3 32 5" xfId="26700"/>
    <cellStyle name="20% - 强调文字颜色 3 32 6" xfId="27614"/>
    <cellStyle name="20% - 强调文字颜色 3 33" xfId="2568"/>
    <cellStyle name="20% - 强调文字颜色 3 33 2" xfId="8518"/>
    <cellStyle name="20% - 强调文字颜色 3 33 3" xfId="14252"/>
    <cellStyle name="20% - 强调文字颜色 3 33 4" xfId="24384"/>
    <cellStyle name="20% - 强调文字颜色 3 33 5" xfId="27615"/>
    <cellStyle name="20% - 强调文字颜色 3 34" xfId="2569"/>
    <cellStyle name="20% - 强调文字颜色 3 34 2" xfId="8519"/>
    <cellStyle name="20% - 强调文字颜色 3 34 3" xfId="14253"/>
    <cellStyle name="20% - 强调文字颜色 3 34 4" xfId="24385"/>
    <cellStyle name="20% - 强调文字颜色 3 34 5" xfId="27616"/>
    <cellStyle name="20% - 强调文字颜色 3 35" xfId="2570"/>
    <cellStyle name="20% - 强调文字颜色 3 35 2" xfId="8520"/>
    <cellStyle name="20% - 强调文字颜色 3 35 3" xfId="14254"/>
    <cellStyle name="20% - 强调文字颜色 3 35 4" xfId="24386"/>
    <cellStyle name="20% - 强调文字颜色 3 35 5" xfId="27617"/>
    <cellStyle name="20% - 强调文字颜色 3 36" xfId="2571"/>
    <cellStyle name="20% - 强调文字颜色 3 36 2" xfId="8521"/>
    <cellStyle name="20% - 强调文字颜色 3 36 3" xfId="14255"/>
    <cellStyle name="20% - 强调文字颜色 3 36 4" xfId="24387"/>
    <cellStyle name="20% - 强调文字颜色 3 36 5" xfId="27618"/>
    <cellStyle name="20% - 强调文字颜色 3 37" xfId="2572"/>
    <cellStyle name="20% - 强调文字颜色 3 37 2" xfId="8522"/>
    <cellStyle name="20% - 强调文字颜色 3 37 3" xfId="14256"/>
    <cellStyle name="20% - 强调文字颜色 3 37 4" xfId="24388"/>
    <cellStyle name="20% - 强调文字颜色 3 37 5" xfId="27619"/>
    <cellStyle name="20% - 强调文字颜色 3 38" xfId="2573"/>
    <cellStyle name="20% - 强调文字颜色 3 38 2" xfId="8523"/>
    <cellStyle name="20% - 强调文字颜色 3 38 3" xfId="14257"/>
    <cellStyle name="20% - 强调文字颜色 3 38 4" xfId="24389"/>
    <cellStyle name="20% - 强调文字颜色 3 38 5" xfId="27620"/>
    <cellStyle name="20% - 强调文字颜色 3 39" xfId="2574"/>
    <cellStyle name="20% - 强调文字颜色 3 39 2" xfId="8524"/>
    <cellStyle name="20% - 强调文字颜色 3 39 3" xfId="14258"/>
    <cellStyle name="20% - 强调文字颜色 3 39 4" xfId="24390"/>
    <cellStyle name="20% - 强调文字颜色 3 39 5" xfId="27621"/>
    <cellStyle name="20% - 强调文字颜色 3 4" xfId="337"/>
    <cellStyle name="20% - 强调文字颜色 3 4 10" xfId="12041"/>
    <cellStyle name="20% - 强调文字颜色 3 4 11" xfId="14259"/>
    <cellStyle name="20% - 强调文字颜色 3 4 12" xfId="7833"/>
    <cellStyle name="20% - 强调文字颜色 3 4 13" xfId="18192"/>
    <cellStyle name="20% - 强调文字颜色 3 4 14" xfId="22378"/>
    <cellStyle name="20% - 强调文字颜色 3 4 15" xfId="20853"/>
    <cellStyle name="20% - 强调文字颜色 3 4 16" xfId="30012"/>
    <cellStyle name="20% - 强调文字颜色 3 4 17" xfId="31340"/>
    <cellStyle name="20% - 强调文字颜色 3 4 2" xfId="338"/>
    <cellStyle name="20% - 强调文字颜色 3 4 2 10" xfId="30013"/>
    <cellStyle name="20% - 强调文字颜色 3 4 2 11" xfId="32844"/>
    <cellStyle name="20% - 强调文字颜色 3 4 2 2" xfId="2576"/>
    <cellStyle name="20% - 强调文字颜色 3 4 2 3" xfId="5890"/>
    <cellStyle name="20% - 强调文字颜色 3 4 2 4" xfId="12042"/>
    <cellStyle name="20% - 强调文字颜色 3 4 2 5" xfId="14260"/>
    <cellStyle name="20% - 强调文字颜色 3 4 2 6" xfId="7832"/>
    <cellStyle name="20% - 强调文字颜色 3 4 2 7" xfId="18193"/>
    <cellStyle name="20% - 强调文字颜色 3 4 2 8" xfId="21850"/>
    <cellStyle name="20% - 强调文字颜色 3 4 2 9" xfId="20212"/>
    <cellStyle name="20% - 强调文字颜色 3 4 3" xfId="339"/>
    <cellStyle name="20% - 强调文字颜色 3 4 3 10" xfId="30014"/>
    <cellStyle name="20% - 强调文字颜色 3 4 3 11" xfId="31979"/>
    <cellStyle name="20% - 强调文字颜色 3 4 3 2" xfId="2577"/>
    <cellStyle name="20% - 强调文字颜色 3 4 3 3" xfId="5891"/>
    <cellStyle name="20% - 强调文字颜色 3 4 3 4" xfId="12043"/>
    <cellStyle name="20% - 强调文字颜色 3 4 3 5" xfId="14261"/>
    <cellStyle name="20% - 强调文字颜色 3 4 3 6" xfId="7831"/>
    <cellStyle name="20% - 强调文字颜色 3 4 3 7" xfId="18194"/>
    <cellStyle name="20% - 强调文字颜色 3 4 3 8" xfId="23360"/>
    <cellStyle name="20% - 强调文字颜色 3 4 3 9" xfId="20052"/>
    <cellStyle name="20% - 强调文字颜色 3 4 4" xfId="340"/>
    <cellStyle name="20% - 强调文字颜色 3 4 4 10" xfId="30015"/>
    <cellStyle name="20% - 强调文字颜色 3 4 4 11" xfId="31339"/>
    <cellStyle name="20% - 强调文字颜色 3 4 4 2" xfId="2578"/>
    <cellStyle name="20% - 强调文字颜色 3 4 4 3" xfId="5892"/>
    <cellStyle name="20% - 强调文字颜色 3 4 4 4" xfId="12044"/>
    <cellStyle name="20% - 强调文字颜色 3 4 4 5" xfId="14262"/>
    <cellStyle name="20% - 强调文字颜色 3 4 4 6" xfId="7830"/>
    <cellStyle name="20% - 强调文字颜色 3 4 4 7" xfId="18195"/>
    <cellStyle name="20% - 强调文字颜色 3 4 4 8" xfId="22377"/>
    <cellStyle name="20% - 强调文字颜色 3 4 4 9" xfId="21281"/>
    <cellStyle name="20% - 强调文字颜色 3 4 5" xfId="341"/>
    <cellStyle name="20% - 强调文字颜色 3 4 5 10" xfId="30016"/>
    <cellStyle name="20% - 强调文字颜色 3 4 5 11" xfId="32843"/>
    <cellStyle name="20% - 强调文字颜色 3 4 5 2" xfId="2579"/>
    <cellStyle name="20% - 强调文字颜色 3 4 5 3" xfId="5893"/>
    <cellStyle name="20% - 强调文字颜色 3 4 5 4" xfId="12045"/>
    <cellStyle name="20% - 强调文字颜色 3 4 5 5" xfId="14263"/>
    <cellStyle name="20% - 强调文字颜色 3 4 5 6" xfId="7733"/>
    <cellStyle name="20% - 强调文字颜色 3 4 5 7" xfId="18196"/>
    <cellStyle name="20% - 强调文字颜色 3 4 5 8" xfId="21849"/>
    <cellStyle name="20% - 强调文字颜色 3 4 5 9" xfId="20692"/>
    <cellStyle name="20% - 强调文字颜色 3 4 6" xfId="342"/>
    <cellStyle name="20% - 强调文字颜色 3 4 6 10" xfId="30017"/>
    <cellStyle name="20% - 强调文字颜色 3 4 6 11" xfId="31978"/>
    <cellStyle name="20% - 强调文字颜色 3 4 6 2" xfId="2580"/>
    <cellStyle name="20% - 强调文字颜色 3 4 6 3" xfId="5894"/>
    <cellStyle name="20% - 强调文字颜色 3 4 6 4" xfId="12046"/>
    <cellStyle name="20% - 强调文字颜色 3 4 6 5" xfId="14264"/>
    <cellStyle name="20% - 强调文字颜色 3 4 6 6" xfId="11642"/>
    <cellStyle name="20% - 强调文字颜色 3 4 6 7" xfId="18197"/>
    <cellStyle name="20% - 强调文字颜色 3 4 6 8" xfId="23359"/>
    <cellStyle name="20% - 强调文字颜色 3 4 6 9" xfId="20051"/>
    <cellStyle name="20% - 强调文字颜色 3 4 7" xfId="343"/>
    <cellStyle name="20% - 强调文字颜色 3 4 7 10" xfId="30018"/>
    <cellStyle name="20% - 强调文字颜色 3 4 7 11" xfId="31338"/>
    <cellStyle name="20% - 强调文字颜色 3 4 7 2" xfId="2581"/>
    <cellStyle name="20% - 强调文字颜色 3 4 7 3" xfId="5895"/>
    <cellStyle name="20% - 强调文字颜色 3 4 7 4" xfId="12047"/>
    <cellStyle name="20% - 强调文字颜色 3 4 7 5" xfId="14265"/>
    <cellStyle name="20% - 强调文字颜色 3 4 7 6" xfId="10611"/>
    <cellStyle name="20% - 强调文字颜色 3 4 7 7" xfId="18198"/>
    <cellStyle name="20% - 强调文字颜色 3 4 7 8" xfId="22376"/>
    <cellStyle name="20% - 强调文字颜色 3 4 7 9" xfId="21280"/>
    <cellStyle name="20% - 强调文字颜色 3 4 8" xfId="2575"/>
    <cellStyle name="20% - 强调文字颜色 3 4 9" xfId="5889"/>
    <cellStyle name="20% - 强调文字颜色 3 40" xfId="2582"/>
    <cellStyle name="20% - 强调文字颜色 3 40 2" xfId="8525"/>
    <cellStyle name="20% - 强调文字颜色 3 40 3" xfId="14266"/>
    <cellStyle name="20% - 强调文字颜色 3 40 4" xfId="24391"/>
    <cellStyle name="20% - 强调文字颜色 3 40 5" xfId="27622"/>
    <cellStyle name="20% - 强调文字颜色 3 41" xfId="2583"/>
    <cellStyle name="20% - 强调文字颜色 3 41 2" xfId="8526"/>
    <cellStyle name="20% - 强调文字颜色 3 41 3" xfId="14267"/>
    <cellStyle name="20% - 强调文字颜色 3 41 4" xfId="24392"/>
    <cellStyle name="20% - 强调文字颜色 3 41 5" xfId="27623"/>
    <cellStyle name="20% - 强调文字颜色 3 42" xfId="2584"/>
    <cellStyle name="20% - 强调文字颜色 3 42 2" xfId="8527"/>
    <cellStyle name="20% - 强调文字颜色 3 42 3" xfId="14268"/>
    <cellStyle name="20% - 强调文字颜色 3 42 4" xfId="24393"/>
    <cellStyle name="20% - 强调文字颜色 3 42 5" xfId="27624"/>
    <cellStyle name="20% - 强调文字颜色 3 43" xfId="2585"/>
    <cellStyle name="20% - 强调文字颜色 3 43 2" xfId="8528"/>
    <cellStyle name="20% - 强调文字颜色 3 43 3" xfId="14269"/>
    <cellStyle name="20% - 强调文字颜色 3 43 4" xfId="24394"/>
    <cellStyle name="20% - 强调文字颜色 3 43 5" xfId="27625"/>
    <cellStyle name="20% - 强调文字颜色 3 44" xfId="2586"/>
    <cellStyle name="20% - 强调文字颜色 3 44 2" xfId="8529"/>
    <cellStyle name="20% - 强调文字颜色 3 44 3" xfId="14270"/>
    <cellStyle name="20% - 强调文字颜色 3 44 4" xfId="24395"/>
    <cellStyle name="20% - 强调文字颜色 3 44 5" xfId="27626"/>
    <cellStyle name="20% - 强调文字颜色 3 45" xfId="2587"/>
    <cellStyle name="20% - 强调文字颜色 3 45 2" xfId="8530"/>
    <cellStyle name="20% - 强调文字颜色 3 45 3" xfId="14271"/>
    <cellStyle name="20% - 强调文字颜色 3 45 4" xfId="24396"/>
    <cellStyle name="20% - 强调文字颜色 3 45 5" xfId="27627"/>
    <cellStyle name="20% - 强调文字颜色 3 46" xfId="5800"/>
    <cellStyle name="20% - 强调文字颜色 3 46 2" xfId="8371"/>
    <cellStyle name="20% - 强调文字颜色 3 46 3" xfId="11989"/>
    <cellStyle name="20% - 强调文字颜色 3 47" xfId="10929"/>
    <cellStyle name="20% - 强调文字颜色 3 47 2" xfId="23739"/>
    <cellStyle name="20% - 强调文字颜色 3 47 3" xfId="26324"/>
    <cellStyle name="20% - 强调文字颜色 3 48" xfId="11952"/>
    <cellStyle name="20% - 强调文字颜色 3 48 2" xfId="23843"/>
    <cellStyle name="20% - 强调文字颜色 3 48 3" xfId="26428"/>
    <cellStyle name="20% - 强调文字颜色 3 49" xfId="14034"/>
    <cellStyle name="20% - 强调文字颜色 3 49 2" xfId="23902"/>
    <cellStyle name="20% - 强调文字颜色 3 49 3" xfId="26487"/>
    <cellStyle name="20% - 强调文字颜色 3 5" xfId="344"/>
    <cellStyle name="20% - 强调文字颜色 3 5 10" xfId="12048"/>
    <cellStyle name="20% - 强调文字颜色 3 5 11" xfId="14272"/>
    <cellStyle name="20% - 强调文字颜色 3 5 12" xfId="11641"/>
    <cellStyle name="20% - 强调文字颜色 3 5 13" xfId="18199"/>
    <cellStyle name="20% - 强调文字颜色 3 5 14" xfId="21848"/>
    <cellStyle name="20% - 强调文字颜色 3 5 15" xfId="20691"/>
    <cellStyle name="20% - 强调文字颜色 3 5 16" xfId="30019"/>
    <cellStyle name="20% - 强调文字颜色 3 5 17" xfId="32842"/>
    <cellStyle name="20% - 强调文字颜色 3 5 2" xfId="345"/>
    <cellStyle name="20% - 强调文字颜色 3 5 2 10" xfId="30020"/>
    <cellStyle name="20% - 强调文字颜色 3 5 2 11" xfId="31977"/>
    <cellStyle name="20% - 强调文字颜色 3 5 2 2" xfId="2589"/>
    <cellStyle name="20% - 强调文字颜色 3 5 2 3" xfId="5897"/>
    <cellStyle name="20% - 强调文字颜色 3 5 2 4" xfId="12049"/>
    <cellStyle name="20% - 强调文字颜色 3 5 2 5" xfId="14273"/>
    <cellStyle name="20% - 强调文字颜色 3 5 2 6" xfId="10610"/>
    <cellStyle name="20% - 强调文字颜色 3 5 2 7" xfId="18200"/>
    <cellStyle name="20% - 强调文字颜色 3 5 2 8" xfId="21553"/>
    <cellStyle name="20% - 强调文字颜色 3 5 2 9" xfId="20050"/>
    <cellStyle name="20% - 强调文字颜色 3 5 3" xfId="346"/>
    <cellStyle name="20% - 强调文字颜色 3 5 3 10" xfId="30021"/>
    <cellStyle name="20% - 强调文字颜色 3 5 3 11" xfId="31337"/>
    <cellStyle name="20% - 强调文字颜色 3 5 3 2" xfId="2590"/>
    <cellStyle name="20% - 强调文字颜色 3 5 3 3" xfId="5898"/>
    <cellStyle name="20% - 强调文字颜色 3 5 3 4" xfId="12050"/>
    <cellStyle name="20% - 强调文字颜色 3 5 3 5" xfId="14274"/>
    <cellStyle name="20% - 强调文字颜色 3 5 3 6" xfId="11640"/>
    <cellStyle name="20% - 强调文字颜色 3 5 3 7" xfId="18201"/>
    <cellStyle name="20% - 强调文字颜色 3 5 3 8" xfId="23358"/>
    <cellStyle name="20% - 强调文字颜色 3 5 3 9" xfId="21279"/>
    <cellStyle name="20% - 强调文字颜色 3 5 4" xfId="347"/>
    <cellStyle name="20% - 强调文字颜色 3 5 4 10" xfId="30022"/>
    <cellStyle name="20% - 强调文字颜色 3 5 4 11" xfId="32841"/>
    <cellStyle name="20% - 强调文字颜色 3 5 4 2" xfId="2591"/>
    <cellStyle name="20% - 强调文字颜色 3 5 4 3" xfId="5899"/>
    <cellStyle name="20% - 强调文字颜色 3 5 4 4" xfId="12051"/>
    <cellStyle name="20% - 强调文字颜色 3 5 4 5" xfId="14275"/>
    <cellStyle name="20% - 强调文字颜色 3 5 4 6" xfId="10609"/>
    <cellStyle name="20% - 强调文字颜色 3 5 4 7" xfId="18202"/>
    <cellStyle name="20% - 强调文字颜色 3 5 4 8" xfId="22375"/>
    <cellStyle name="20% - 强调文字颜色 3 5 4 9" xfId="20690"/>
    <cellStyle name="20% - 强调文字颜色 3 5 5" xfId="348"/>
    <cellStyle name="20% - 强调文字颜色 3 5 5 10" xfId="30023"/>
    <cellStyle name="20% - 强调文字颜色 3 5 5 11" xfId="31976"/>
    <cellStyle name="20% - 强调文字颜色 3 5 5 2" xfId="2592"/>
    <cellStyle name="20% - 强调文字颜色 3 5 5 3" xfId="5900"/>
    <cellStyle name="20% - 强调文字颜色 3 5 5 4" xfId="12052"/>
    <cellStyle name="20% - 强调文字颜色 3 5 5 5" xfId="14276"/>
    <cellStyle name="20% - 强调文字颜色 3 5 5 6" xfId="11629"/>
    <cellStyle name="20% - 强调文字颜色 3 5 5 7" xfId="18203"/>
    <cellStyle name="20% - 强调文字颜色 3 5 5 8" xfId="21847"/>
    <cellStyle name="20% - 强调文字颜色 3 5 5 9" xfId="20049"/>
    <cellStyle name="20% - 强调文字颜色 3 5 6" xfId="349"/>
    <cellStyle name="20% - 强调文字颜色 3 5 6 10" xfId="30024"/>
    <cellStyle name="20% - 强调文字颜色 3 5 6 11" xfId="31336"/>
    <cellStyle name="20% - 强调文字颜色 3 5 6 2" xfId="2593"/>
    <cellStyle name="20% - 强调文字颜色 3 5 6 3" xfId="5901"/>
    <cellStyle name="20% - 强调文字颜色 3 5 6 4" xfId="12053"/>
    <cellStyle name="20% - 强调文字颜色 3 5 6 5" xfId="14277"/>
    <cellStyle name="20% - 强调文字颜色 3 5 6 6" xfId="10534"/>
    <cellStyle name="20% - 强调文字颜色 3 5 6 7" xfId="18204"/>
    <cellStyle name="20% - 强调文字颜色 3 5 6 8" xfId="23357"/>
    <cellStyle name="20% - 强调文字颜色 3 5 6 9" xfId="21278"/>
    <cellStyle name="20% - 强调文字颜色 3 5 7" xfId="350"/>
    <cellStyle name="20% - 强调文字颜色 3 5 7 10" xfId="30025"/>
    <cellStyle name="20% - 强调文字颜色 3 5 7 11" xfId="32832"/>
    <cellStyle name="20% - 强调文字颜色 3 5 7 2" xfId="2594"/>
    <cellStyle name="20% - 强调文字颜色 3 5 7 3" xfId="5902"/>
    <cellStyle name="20% - 强调文字颜色 3 5 7 4" xfId="12054"/>
    <cellStyle name="20% - 强调文字颜色 3 5 7 5" xfId="14278"/>
    <cellStyle name="20% - 强调文字颜色 3 5 7 6" xfId="7829"/>
    <cellStyle name="20% - 强调文字颜色 3 5 7 7" xfId="18205"/>
    <cellStyle name="20% - 强调文字颜色 3 5 7 8" xfId="22374"/>
    <cellStyle name="20% - 强调文字颜色 3 5 7 9" xfId="20689"/>
    <cellStyle name="20% - 强调文字颜色 3 5 8" xfId="2588"/>
    <cellStyle name="20% - 强调文字颜色 3 5 9" xfId="5896"/>
    <cellStyle name="20% - 强调文字颜色 3 50" xfId="7911"/>
    <cellStyle name="20% - 强调文字颜色 3 50 2" xfId="27010"/>
    <cellStyle name="20% - 强调文字颜色 3 51" xfId="17431"/>
    <cellStyle name="20% - 强调文字颜色 3 52" xfId="17517"/>
    <cellStyle name="20% - 强调文字颜色 3 52 2" xfId="27140"/>
    <cellStyle name="20% - 强调文字颜色 3 53" xfId="17603"/>
    <cellStyle name="20% - 强调文字颜色 3 54" xfId="17689"/>
    <cellStyle name="20% - 强调文字颜色 3 55" xfId="17775"/>
    <cellStyle name="20% - 强调文字颜色 3 56" xfId="18102"/>
    <cellStyle name="20% - 强调文字颜色 3 56 2" xfId="21372"/>
    <cellStyle name="20% - 强调文字颜色 3 56 3" xfId="23455"/>
    <cellStyle name="20% - 强调文字颜色 3 57" xfId="21864"/>
    <cellStyle name="20% - 强调文字颜色 3 58" xfId="21303"/>
    <cellStyle name="20% - 强调文字颜色 3 6" xfId="351"/>
    <cellStyle name="20% - 强调文字颜色 3 6 10" xfId="14279"/>
    <cellStyle name="20% - 强调文字颜色 3 6 11" xfId="7828"/>
    <cellStyle name="20% - 强调文字颜色 3 6 12" xfId="18206"/>
    <cellStyle name="20% - 强调文字颜色 3 6 13" xfId="21846"/>
    <cellStyle name="20% - 强调文字颜色 3 6 14" xfId="20048"/>
    <cellStyle name="20% - 强调文字颜色 3 6 15" xfId="30026"/>
    <cellStyle name="20% - 强调文字颜色 3 6 16" xfId="32514"/>
    <cellStyle name="20% - 强调文字颜色 3 6 2" xfId="352"/>
    <cellStyle name="20% - 强调文字颜色 3 6 2 10" xfId="30027"/>
    <cellStyle name="20% - 强调文字颜色 3 6 2 11" xfId="32840"/>
    <cellStyle name="20% - 强调文字颜色 3 6 2 2" xfId="2596"/>
    <cellStyle name="20% - 强调文字颜色 3 6 2 3" xfId="5904"/>
    <cellStyle name="20% - 强调文字颜色 3 6 2 4" xfId="12056"/>
    <cellStyle name="20% - 强调文字颜色 3 6 2 5" xfId="14280"/>
    <cellStyle name="20% - 强调文字颜色 3 6 2 6" xfId="7827"/>
    <cellStyle name="20% - 强调文字颜色 3 6 2 7" xfId="18207"/>
    <cellStyle name="20% - 强调文字颜色 3 6 2 8" xfId="23356"/>
    <cellStyle name="20% - 强调文字颜色 3 6 2 9" xfId="21277"/>
    <cellStyle name="20% - 强调文字颜色 3 6 3" xfId="353"/>
    <cellStyle name="20% - 强调文字颜色 3 6 3 10" xfId="30028"/>
    <cellStyle name="20% - 强调文字颜色 3 6 3 11" xfId="31967"/>
    <cellStyle name="20% - 强调文字颜色 3 6 3 2" xfId="2597"/>
    <cellStyle name="20% - 强调文字颜色 3 6 3 3" xfId="5905"/>
    <cellStyle name="20% - 强调文字颜色 3 6 3 4" xfId="12057"/>
    <cellStyle name="20% - 强调文字颜色 3 6 3 5" xfId="14281"/>
    <cellStyle name="20% - 强调文字颜色 3 6 3 6" xfId="7826"/>
    <cellStyle name="20% - 强调文字颜色 3 6 3 7" xfId="18208"/>
    <cellStyle name="20% - 强调文字颜色 3 6 3 8" xfId="22373"/>
    <cellStyle name="20% - 强调文字颜色 3 6 3 9" xfId="20688"/>
    <cellStyle name="20% - 强调文字颜色 3 6 4" xfId="354"/>
    <cellStyle name="20% - 强调文字颜色 3 6 4 10" xfId="30029"/>
    <cellStyle name="20% - 强调文字颜色 3 6 4 11" xfId="31335"/>
    <cellStyle name="20% - 强调文字颜色 3 6 4 2" xfId="2598"/>
    <cellStyle name="20% - 强调文字颜色 3 6 4 3" xfId="5906"/>
    <cellStyle name="20% - 强调文字颜色 3 6 4 4" xfId="12058"/>
    <cellStyle name="20% - 强调文字颜色 3 6 4 5" xfId="14282"/>
    <cellStyle name="20% - 强调文字颜色 3 6 4 6" xfId="7825"/>
    <cellStyle name="20% - 强调文字颜色 3 6 4 7" xfId="18209"/>
    <cellStyle name="20% - 强调文字颜色 3 6 4 8" xfId="21845"/>
    <cellStyle name="20% - 强调文字颜色 3 6 4 9" xfId="20047"/>
    <cellStyle name="20% - 强调文字颜色 3 6 5" xfId="355"/>
    <cellStyle name="20% - 强调文字颜色 3 6 5 10" xfId="30030"/>
    <cellStyle name="20% - 强调文字颜色 3 6 5 11" xfId="32283"/>
    <cellStyle name="20% - 强调文字颜色 3 6 5 2" xfId="2599"/>
    <cellStyle name="20% - 强调文字颜色 3 6 5 3" xfId="5907"/>
    <cellStyle name="20% - 强调文字颜色 3 6 5 4" xfId="12059"/>
    <cellStyle name="20% - 强调文字颜色 3 6 5 5" xfId="14283"/>
    <cellStyle name="20% - 强调文字颜色 3 6 5 6" xfId="7824"/>
    <cellStyle name="20% - 强调文字颜色 3 6 5 7" xfId="18210"/>
    <cellStyle name="20% - 强调文字颜色 3 6 5 8" xfId="23355"/>
    <cellStyle name="20% - 强调文字颜色 3 6 5 9" xfId="21276"/>
    <cellStyle name="20% - 强调文字颜色 3 6 6" xfId="356"/>
    <cellStyle name="20% - 强调文字颜色 3 6 6 10" xfId="30031"/>
    <cellStyle name="20% - 强调文字颜色 3 6 6 11" xfId="33465"/>
    <cellStyle name="20% - 强调文字颜色 3 6 6 2" xfId="2600"/>
    <cellStyle name="20% - 强调文字颜色 3 6 6 3" xfId="5908"/>
    <cellStyle name="20% - 强调文字颜色 3 6 6 4" xfId="12060"/>
    <cellStyle name="20% - 强调文字颜色 3 6 6 5" xfId="14284"/>
    <cellStyle name="20% - 强调文字颜色 3 6 6 6" xfId="7823"/>
    <cellStyle name="20% - 强调文字颜色 3 6 6 7" xfId="18211"/>
    <cellStyle name="20% - 强调文字颜色 3 6 6 8" xfId="22372"/>
    <cellStyle name="20% - 强调文字颜色 3 6 6 9" xfId="20687"/>
    <cellStyle name="20% - 强调文字颜色 3 6 7" xfId="2595"/>
    <cellStyle name="20% - 强调文字颜色 3 6 8" xfId="5903"/>
    <cellStyle name="20% - 强调文字颜色 3 6 9" xfId="12055"/>
    <cellStyle name="20% - 强调文字颜色 3 7" xfId="357"/>
    <cellStyle name="20% - 强调文字颜色 3 7 10" xfId="21844"/>
    <cellStyle name="20% - 强调文字颜色 3 7 11" xfId="20046"/>
    <cellStyle name="20% - 强调文字颜色 3 7 12" xfId="30032"/>
    <cellStyle name="20% - 强调文字颜色 3 7 13" xfId="32077"/>
    <cellStyle name="20% - 强调文字颜色 3 7 2" xfId="358"/>
    <cellStyle name="20% - 强调文字颜色 3 7 2 10" xfId="30033"/>
    <cellStyle name="20% - 强调文字颜色 3 7 2 11" xfId="31823"/>
    <cellStyle name="20% - 强调文字颜色 3 7 2 2" xfId="2602"/>
    <cellStyle name="20% - 强调文字颜色 3 7 2 3" xfId="5910"/>
    <cellStyle name="20% - 强调文字颜色 3 7 2 4" xfId="12062"/>
    <cellStyle name="20% - 强调文字颜色 3 7 2 5" xfId="14286"/>
    <cellStyle name="20% - 强调文字颜色 3 7 2 6" xfId="7822"/>
    <cellStyle name="20% - 强调文字颜色 3 7 2 7" xfId="18213"/>
    <cellStyle name="20% - 强调文字颜色 3 7 2 8" xfId="23354"/>
    <cellStyle name="20% - 强调文字颜色 3 7 2 9" xfId="21275"/>
    <cellStyle name="20% - 强调文字颜色 3 7 3" xfId="359"/>
    <cellStyle name="20% - 强调文字颜色 3 7 3 10" xfId="30034"/>
    <cellStyle name="20% - 强调文字颜色 3 7 3 11" xfId="32839"/>
    <cellStyle name="20% - 强调文字颜色 3 7 3 2" xfId="2603"/>
    <cellStyle name="20% - 强调文字颜色 3 7 3 3" xfId="5911"/>
    <cellStyle name="20% - 强调文字颜色 3 7 3 4" xfId="12063"/>
    <cellStyle name="20% - 强调文字颜色 3 7 3 5" xfId="14287"/>
    <cellStyle name="20% - 强调文字颜色 3 7 3 6" xfId="7821"/>
    <cellStyle name="20% - 强调文字颜色 3 7 3 7" xfId="18214"/>
    <cellStyle name="20% - 强调文字颜色 3 7 3 8" xfId="22371"/>
    <cellStyle name="20% - 强调文字颜色 3 7 3 9" xfId="20686"/>
    <cellStyle name="20% - 强调文字颜色 3 7 4" xfId="2601"/>
    <cellStyle name="20% - 强调文字颜色 3 7 5" xfId="5909"/>
    <cellStyle name="20% - 强调文字颜色 3 7 6" xfId="12061"/>
    <cellStyle name="20% - 强调文字颜色 3 7 7" xfId="14285"/>
    <cellStyle name="20% - 强调文字颜色 3 7 8" xfId="7814"/>
    <cellStyle name="20% - 强调文字颜色 3 7 9" xfId="18212"/>
    <cellStyle name="20% - 强调文字颜色 3 8" xfId="360"/>
    <cellStyle name="20% - 强调文字颜色 3 8 10" xfId="14288"/>
    <cellStyle name="20% - 强调文字颜色 3 8 11" xfId="7820"/>
    <cellStyle name="20% - 强调文字颜色 3 8 12" xfId="18215"/>
    <cellStyle name="20% - 强调文字颜色 3 8 13" xfId="21843"/>
    <cellStyle name="20% - 强调文字颜色 3 8 14" xfId="20045"/>
    <cellStyle name="20% - 强调文字颜色 3 8 15" xfId="30035"/>
    <cellStyle name="20% - 强调文字颜色 3 8 16" xfId="31975"/>
    <cellStyle name="20% - 强调文字颜色 3 8 2" xfId="361"/>
    <cellStyle name="20% - 强调文字颜色 3 8 2 10" xfId="30036"/>
    <cellStyle name="20% - 强调文字颜色 3 8 2 11" xfId="31334"/>
    <cellStyle name="20% - 强调文字颜色 3 8 2 2" xfId="2605"/>
    <cellStyle name="20% - 强调文字颜色 3 8 2 3" xfId="5913"/>
    <cellStyle name="20% - 强调文字颜色 3 8 2 4" xfId="12065"/>
    <cellStyle name="20% - 强调文字颜色 3 8 2 5" xfId="14289"/>
    <cellStyle name="20% - 强调文字颜色 3 8 2 6" xfId="7819"/>
    <cellStyle name="20% - 强调文字颜色 3 8 2 7" xfId="18216"/>
    <cellStyle name="20% - 强调文字颜色 3 8 2 8" xfId="23353"/>
    <cellStyle name="20% - 强调文字颜色 3 8 2 9" xfId="21274"/>
    <cellStyle name="20% - 强调文字颜色 3 8 3" xfId="362"/>
    <cellStyle name="20% - 强调文字颜色 3 8 3 10" xfId="30037"/>
    <cellStyle name="20% - 强调文字颜色 3 8 3 11" xfId="32838"/>
    <cellStyle name="20% - 强调文字颜色 3 8 3 2" xfId="2606"/>
    <cellStyle name="20% - 强调文字颜色 3 8 3 3" xfId="5914"/>
    <cellStyle name="20% - 强调文字颜色 3 8 3 4" xfId="12066"/>
    <cellStyle name="20% - 强调文字颜色 3 8 3 5" xfId="14290"/>
    <cellStyle name="20% - 强调文字颜色 3 8 3 6" xfId="7818"/>
    <cellStyle name="20% - 强调文字颜色 3 8 3 7" xfId="18217"/>
    <cellStyle name="20% - 强调文字颜色 3 8 3 8" xfId="22370"/>
    <cellStyle name="20% - 强调文字颜色 3 8 3 9" xfId="20685"/>
    <cellStyle name="20% - 强调文字颜色 3 8 4" xfId="363"/>
    <cellStyle name="20% - 强调文字颜色 3 8 4 10" xfId="30038"/>
    <cellStyle name="20% - 强调文字颜色 3 8 4 11" xfId="31974"/>
    <cellStyle name="20% - 强调文字颜色 3 8 4 2" xfId="2607"/>
    <cellStyle name="20% - 强调文字颜色 3 8 4 3" xfId="5915"/>
    <cellStyle name="20% - 强调文字颜色 3 8 4 4" xfId="12067"/>
    <cellStyle name="20% - 强调文字颜色 3 8 4 5" xfId="14291"/>
    <cellStyle name="20% - 强调文字颜色 3 8 4 6" xfId="7817"/>
    <cellStyle name="20% - 强调文字颜色 3 8 4 7" xfId="18218"/>
    <cellStyle name="20% - 强调文字颜色 3 8 4 8" xfId="21842"/>
    <cellStyle name="20% - 强调文字颜色 3 8 4 9" xfId="20044"/>
    <cellStyle name="20% - 强调文字颜色 3 8 5" xfId="364"/>
    <cellStyle name="20% - 强调文字颜色 3 8 5 2" xfId="5916"/>
    <cellStyle name="20% - 强调文字颜色 3 8 5 3" xfId="12068"/>
    <cellStyle name="20% - 强调文字颜色 3 8 5 4" xfId="7816"/>
    <cellStyle name="20% - 强调文字颜色 3 8 5 5" xfId="18219"/>
    <cellStyle name="20% - 强调文字颜色 3 8 5 6" xfId="23352"/>
    <cellStyle name="20% - 强调文字颜色 3 8 5 7" xfId="21273"/>
    <cellStyle name="20% - 强调文字颜色 3 8 5 8" xfId="31496"/>
    <cellStyle name="20% - 强调文字颜色 3 8 5 9" xfId="32582"/>
    <cellStyle name="20% - 强调文字颜色 3 8 6" xfId="2604"/>
    <cellStyle name="20% - 强调文字颜色 3 8 7" xfId="5912"/>
    <cellStyle name="20% - 强调文字颜色 3 8 8" xfId="10946"/>
    <cellStyle name="20% - 强调文字颜色 3 8 9" xfId="12064"/>
    <cellStyle name="20% - 强调文字颜色 3 9" xfId="365"/>
    <cellStyle name="20% - 强调文字颜色 3 9 10" xfId="14292"/>
    <cellStyle name="20% - 强调文字颜色 3 9 11" xfId="7815"/>
    <cellStyle name="20% - 强调文字颜色 3 9 12" xfId="18220"/>
    <cellStyle name="20% - 强调文字颜色 3 9 13" xfId="22369"/>
    <cellStyle name="20% - 强调文字颜色 3 9 14" xfId="20684"/>
    <cellStyle name="20% - 强调文字颜色 3 9 15" xfId="30039"/>
    <cellStyle name="20% - 强调文字颜色 3 9 16" xfId="31333"/>
    <cellStyle name="20% - 强调文字颜色 3 9 2" xfId="366"/>
    <cellStyle name="20% - 强调文字颜色 3 9 2 10" xfId="30040"/>
    <cellStyle name="20% - 强调文字颜色 3 9 2 11" xfId="32837"/>
    <cellStyle name="20% - 强调文字颜色 3 9 2 2" xfId="2609"/>
    <cellStyle name="20% - 强调文字颜色 3 9 2 3" xfId="5918"/>
    <cellStyle name="20% - 强调文字颜色 3 9 2 4" xfId="12070"/>
    <cellStyle name="20% - 强调文字颜色 3 9 2 5" xfId="14293"/>
    <cellStyle name="20% - 强调文字颜色 3 9 2 6" xfId="7813"/>
    <cellStyle name="20% - 强调文字颜色 3 9 2 7" xfId="18221"/>
    <cellStyle name="20% - 强调文字颜色 3 9 2 8" xfId="21841"/>
    <cellStyle name="20% - 强调文字颜色 3 9 2 9" xfId="20043"/>
    <cellStyle name="20% - 强调文字颜色 3 9 3" xfId="367"/>
    <cellStyle name="20% - 强调文字颜色 3 9 3 10" xfId="30041"/>
    <cellStyle name="20% - 强调文字颜色 3 9 3 11" xfId="31973"/>
    <cellStyle name="20% - 强调文字颜色 3 9 3 2" xfId="2610"/>
    <cellStyle name="20% - 强调文字颜色 3 9 3 3" xfId="5919"/>
    <cellStyle name="20% - 强调文字颜色 3 9 3 4" xfId="12071"/>
    <cellStyle name="20% - 强调文字颜色 3 9 3 5" xfId="14294"/>
    <cellStyle name="20% - 强调文字颜色 3 9 3 6" xfId="7812"/>
    <cellStyle name="20% - 强调文字颜色 3 9 3 7" xfId="18222"/>
    <cellStyle name="20% - 强调文字颜色 3 9 3 8" xfId="23336"/>
    <cellStyle name="20% - 强调文字颜色 3 9 3 9" xfId="21272"/>
    <cellStyle name="20% - 强调文字颜色 3 9 4" xfId="368"/>
    <cellStyle name="20% - 强调文字颜色 3 9 4 10" xfId="30042"/>
    <cellStyle name="20% - 强调文字颜色 3 9 4 11" xfId="31332"/>
    <cellStyle name="20% - 强调文字颜色 3 9 4 2" xfId="2611"/>
    <cellStyle name="20% - 强调文字颜色 3 9 4 3" xfId="5920"/>
    <cellStyle name="20% - 强调文字颜色 3 9 4 4" xfId="12072"/>
    <cellStyle name="20% - 强调文字颜色 3 9 4 5" xfId="14295"/>
    <cellStyle name="20% - 强调文字颜色 3 9 4 6" xfId="7811"/>
    <cellStyle name="20% - 强调文字颜色 3 9 4 7" xfId="18223"/>
    <cellStyle name="20% - 强调文字颜色 3 9 4 8" xfId="22854"/>
    <cellStyle name="20% - 强调文字颜色 3 9 4 9" xfId="20683"/>
    <cellStyle name="20% - 强调文字颜色 3 9 5" xfId="369"/>
    <cellStyle name="20% - 强调文字颜色 3 9 5 2" xfId="5921"/>
    <cellStyle name="20% - 强调文字颜色 3 9 5 3" xfId="12073"/>
    <cellStyle name="20% - 强调文字颜色 3 9 5 4" xfId="7810"/>
    <cellStyle name="20% - 强调文字颜色 3 9 5 5" xfId="18224"/>
    <cellStyle name="20% - 强调文字颜色 3 9 5 6" xfId="22636"/>
    <cellStyle name="20% - 强调文字颜色 3 9 5 7" xfId="20031"/>
    <cellStyle name="20% - 强调文字颜色 3 9 5 8" xfId="31497"/>
    <cellStyle name="20% - 强调文字颜色 3 9 5 9" xfId="33233"/>
    <cellStyle name="20% - 强调文字颜色 3 9 6" xfId="2608"/>
    <cellStyle name="20% - 强调文字颜色 3 9 7" xfId="5917"/>
    <cellStyle name="20% - 强调文字颜色 3 9 8" xfId="10947"/>
    <cellStyle name="20% - 强调文字颜色 3 9 9" xfId="12069"/>
    <cellStyle name="20% - 强调文字颜色 4" xfId="370" builtinId="42" customBuiltin="1"/>
    <cellStyle name="20% - 强调文字颜色 4 10" xfId="371"/>
    <cellStyle name="20% - 强调文字颜色 4 10 10" xfId="14297"/>
    <cellStyle name="20% - 强调文字颜色 4 10 11" xfId="7808"/>
    <cellStyle name="20% - 强调文字颜色 4 10 12" xfId="18226"/>
    <cellStyle name="20% - 强调文字颜色 4 10 13" xfId="23351"/>
    <cellStyle name="20% - 强调文字颜色 4 10 14" xfId="20287"/>
    <cellStyle name="20% - 强调文字颜色 4 10 15" xfId="30043"/>
    <cellStyle name="20% - 强调文字颜色 4 10 16" xfId="31972"/>
    <cellStyle name="20% - 强调文字颜色 4 10 2" xfId="372"/>
    <cellStyle name="20% - 强调文字颜色 4 10 2 10" xfId="30044"/>
    <cellStyle name="20% - 强调文字颜色 4 10 2 11" xfId="31331"/>
    <cellStyle name="20% - 强调文字颜色 4 10 2 2" xfId="2614"/>
    <cellStyle name="20% - 强调文字颜色 4 10 2 3" xfId="5924"/>
    <cellStyle name="20% - 强调文字颜色 4 10 2 4" xfId="12076"/>
    <cellStyle name="20% - 强调文字颜色 4 10 2 5" xfId="14298"/>
    <cellStyle name="20% - 强调文字颜色 4 10 2 6" xfId="7807"/>
    <cellStyle name="20% - 强调文字颜色 4 10 2 7" xfId="18227"/>
    <cellStyle name="20% - 强调文字颜色 4 10 2 8" xfId="22368"/>
    <cellStyle name="20% - 强调文字颜色 4 10 2 9" xfId="21271"/>
    <cellStyle name="20% - 强调文字颜色 4 10 3" xfId="373"/>
    <cellStyle name="20% - 强调文字颜色 4 10 3 10" xfId="30045"/>
    <cellStyle name="20% - 强调文字颜色 4 10 3 11" xfId="32836"/>
    <cellStyle name="20% - 强调文字颜色 4 10 3 2" xfId="2615"/>
    <cellStyle name="20% - 强调文字颜色 4 10 3 3" xfId="5925"/>
    <cellStyle name="20% - 强调文字颜色 4 10 3 4" xfId="12077"/>
    <cellStyle name="20% - 强调文字颜色 4 10 3 5" xfId="14299"/>
    <cellStyle name="20% - 强调文字颜色 4 10 3 6" xfId="7798"/>
    <cellStyle name="20% - 强调文字颜色 4 10 3 7" xfId="18228"/>
    <cellStyle name="20% - 强调文字颜色 4 10 3 8" xfId="21840"/>
    <cellStyle name="20% - 强调文字颜色 4 10 3 9" xfId="20852"/>
    <cellStyle name="20% - 强调文字颜色 4 10 4" xfId="374"/>
    <cellStyle name="20% - 强调文字颜色 4 10 4 10" xfId="30046"/>
    <cellStyle name="20% - 强调文字颜色 4 10 4 11" xfId="31971"/>
    <cellStyle name="20% - 强调文字颜色 4 10 4 2" xfId="2616"/>
    <cellStyle name="20% - 强调文字颜色 4 10 4 3" xfId="5926"/>
    <cellStyle name="20% - 强调文字颜色 4 10 4 4" xfId="12078"/>
    <cellStyle name="20% - 强调文字颜色 4 10 4 5" xfId="14300"/>
    <cellStyle name="20% - 强调文字颜色 4 10 4 6" xfId="7806"/>
    <cellStyle name="20% - 强调文字颜色 4 10 4 7" xfId="18229"/>
    <cellStyle name="20% - 强调文字颜色 4 10 4 8" xfId="23350"/>
    <cellStyle name="20% - 强调文字颜色 4 10 4 9" xfId="20211"/>
    <cellStyle name="20% - 强调文字颜色 4 10 5" xfId="375"/>
    <cellStyle name="20% - 强调文字颜色 4 10 5 2" xfId="5927"/>
    <cellStyle name="20% - 强调文字颜色 4 10 5 3" xfId="12079"/>
    <cellStyle name="20% - 强调文字颜色 4 10 5 4" xfId="7805"/>
    <cellStyle name="20% - 强调文字颜色 4 10 5 5" xfId="18230"/>
    <cellStyle name="20% - 强调文字颜色 4 10 5 6" xfId="22367"/>
    <cellStyle name="20% - 强调文字颜色 4 10 5 7" xfId="20042"/>
    <cellStyle name="20% - 强调文字颜色 4 10 5 8" xfId="31498"/>
    <cellStyle name="20% - 强调文字颜色 4 10 5 9" xfId="32321"/>
    <cellStyle name="20% - 强调文字颜色 4 10 6" xfId="2613"/>
    <cellStyle name="20% - 强调文字颜色 4 10 7" xfId="5923"/>
    <cellStyle name="20% - 强调文字颜色 4 10 8" xfId="10949"/>
    <cellStyle name="20% - 强调文字颜色 4 10 9" xfId="12075"/>
    <cellStyle name="20% - 强调文字颜色 4 11" xfId="376"/>
    <cellStyle name="20% - 强调文字颜色 4 11 10" xfId="14301"/>
    <cellStyle name="20% - 强调文字颜色 4 11 11" xfId="7804"/>
    <cellStyle name="20% - 强调文字颜色 4 11 12" xfId="18231"/>
    <cellStyle name="20% - 强调文字颜色 4 11 13" xfId="21839"/>
    <cellStyle name="20% - 强调文字颜色 4 11 14" xfId="21502"/>
    <cellStyle name="20% - 强调文字颜色 4 11 15" xfId="30047"/>
    <cellStyle name="20% - 强调文字颜色 4 11 16" xfId="31330"/>
    <cellStyle name="20% - 强调文字颜色 4 11 2" xfId="377"/>
    <cellStyle name="20% - 强调文字颜色 4 11 2 10" xfId="30048"/>
    <cellStyle name="20% - 强调文字颜色 4 11 2 11" xfId="32835"/>
    <cellStyle name="20% - 强调文字颜色 4 11 2 2" xfId="2618"/>
    <cellStyle name="20% - 强调文字颜色 4 11 2 3" xfId="5929"/>
    <cellStyle name="20% - 强调文字颜色 4 11 2 4" xfId="12081"/>
    <cellStyle name="20% - 强调文字颜色 4 11 2 5" xfId="14302"/>
    <cellStyle name="20% - 强调文字颜色 4 11 2 6" xfId="7803"/>
    <cellStyle name="20% - 强调文字颜色 4 11 2 7" xfId="18232"/>
    <cellStyle name="20% - 强调文字颜色 4 11 2 8" xfId="23349"/>
    <cellStyle name="20% - 强调文字颜色 4 11 2 9" xfId="20288"/>
    <cellStyle name="20% - 强调文字颜色 4 11 3" xfId="378"/>
    <cellStyle name="20% - 强调文字颜色 4 11 3 10" xfId="30049"/>
    <cellStyle name="20% - 强调文字颜色 4 11 3 11" xfId="31970"/>
    <cellStyle name="20% - 强调文字颜色 4 11 3 2" xfId="2619"/>
    <cellStyle name="20% - 强调文字颜色 4 11 3 3" xfId="5930"/>
    <cellStyle name="20% - 强调文字颜色 4 11 3 4" xfId="12082"/>
    <cellStyle name="20% - 强调文字颜色 4 11 3 5" xfId="14303"/>
    <cellStyle name="20% - 强调文字颜色 4 11 3 6" xfId="7802"/>
    <cellStyle name="20% - 强调文字颜色 4 11 3 7" xfId="18233"/>
    <cellStyle name="20% - 强调文字颜色 4 11 3 8" xfId="22366"/>
    <cellStyle name="20% - 强调文字颜色 4 11 3 9" xfId="21270"/>
    <cellStyle name="20% - 强调文字颜色 4 11 4" xfId="379"/>
    <cellStyle name="20% - 强调文字颜色 4 11 4 10" xfId="30050"/>
    <cellStyle name="20% - 强调文字颜色 4 11 4 11" xfId="31329"/>
    <cellStyle name="20% - 强调文字颜色 4 11 4 2" xfId="2620"/>
    <cellStyle name="20% - 强调文字颜色 4 11 4 3" xfId="5931"/>
    <cellStyle name="20% - 强调文字颜色 4 11 4 4" xfId="12083"/>
    <cellStyle name="20% - 强调文字颜色 4 11 4 5" xfId="14304"/>
    <cellStyle name="20% - 强调文字颜色 4 11 4 6" xfId="7801"/>
    <cellStyle name="20% - 强调文字颜色 4 11 4 7" xfId="18234"/>
    <cellStyle name="20% - 强调文字颜色 4 11 4 8" xfId="21838"/>
    <cellStyle name="20% - 强调文字颜色 4 11 4 9" xfId="20851"/>
    <cellStyle name="20% - 强调文字颜色 4 11 5" xfId="380"/>
    <cellStyle name="20% - 强调文字颜色 4 11 5 2" xfId="5932"/>
    <cellStyle name="20% - 强调文字颜色 4 11 5 3" xfId="12084"/>
    <cellStyle name="20% - 强调文字颜色 4 11 5 4" xfId="7800"/>
    <cellStyle name="20% - 强调文字颜色 4 11 5 5" xfId="18235"/>
    <cellStyle name="20% - 强调文字颜色 4 11 5 6" xfId="23348"/>
    <cellStyle name="20% - 强调文字颜色 4 11 5 7" xfId="20210"/>
    <cellStyle name="20% - 强调文字颜色 4 11 5 8" xfId="31499"/>
    <cellStyle name="20% - 强调文字颜色 4 11 5 9" xfId="31613"/>
    <cellStyle name="20% - 强调文字颜色 4 11 6" xfId="2617"/>
    <cellStyle name="20% - 强调文字颜色 4 11 6 2" xfId="23623"/>
    <cellStyle name="20% - 强调文字颜色 4 11 6 3" xfId="26208"/>
    <cellStyle name="20% - 强调文字颜色 4 11 7" xfId="5928"/>
    <cellStyle name="20% - 强调文字颜色 4 11 7 2" xfId="23672"/>
    <cellStyle name="20% - 强调文字颜色 4 11 7 3" xfId="26257"/>
    <cellStyle name="20% - 强调文字颜色 4 11 8" xfId="10950"/>
    <cellStyle name="20% - 强调文字颜色 4 11 8 2" xfId="23749"/>
    <cellStyle name="20% - 强调文字颜色 4 11 8 3" xfId="26334"/>
    <cellStyle name="20% - 强调文字颜色 4 11 9" xfId="12080"/>
    <cellStyle name="20% - 强调文字颜色 4 12" xfId="381"/>
    <cellStyle name="20% - 强调文字颜色 4 12 10" xfId="14305"/>
    <cellStyle name="20% - 强调文字颜色 4 12 11" xfId="7799"/>
    <cellStyle name="20% - 强调文字颜色 4 12 12" xfId="18236"/>
    <cellStyle name="20% - 强调文字颜色 4 12 13" xfId="22365"/>
    <cellStyle name="20% - 强调文字颜色 4 12 14" xfId="20041"/>
    <cellStyle name="20% - 强调文字颜色 4 12 15" xfId="30051"/>
    <cellStyle name="20% - 强调文字颜色 4 12 16" xfId="32834"/>
    <cellStyle name="20% - 强调文字颜色 4 12 2" xfId="382"/>
    <cellStyle name="20% - 强调文字颜色 4 12 2 10" xfId="30052"/>
    <cellStyle name="20% - 强调文字颜色 4 12 2 11" xfId="31969"/>
    <cellStyle name="20% - 强调文字颜色 4 12 2 2" xfId="2622"/>
    <cellStyle name="20% - 强调文字颜色 4 12 2 3" xfId="5934"/>
    <cellStyle name="20% - 强调文字颜色 4 12 2 4" xfId="12086"/>
    <cellStyle name="20% - 强调文字颜色 4 12 2 5" xfId="14306"/>
    <cellStyle name="20% - 强调文字颜色 4 12 2 6" xfId="7797"/>
    <cellStyle name="20% - 强调文字颜色 4 12 2 7" xfId="18237"/>
    <cellStyle name="20% - 强调文字颜色 4 12 2 8" xfId="21837"/>
    <cellStyle name="20% - 强调文字颜色 4 12 2 9" xfId="21501"/>
    <cellStyle name="20% - 强调文字颜色 4 12 3" xfId="383"/>
    <cellStyle name="20% - 强调文字颜色 4 12 3 10" xfId="30053"/>
    <cellStyle name="20% - 强调文字颜色 4 12 3 11" xfId="31328"/>
    <cellStyle name="20% - 强调文字颜色 4 12 3 2" xfId="2623"/>
    <cellStyle name="20% - 强调文字颜色 4 12 3 3" xfId="5935"/>
    <cellStyle name="20% - 强调文字颜色 4 12 3 4" xfId="12087"/>
    <cellStyle name="20% - 强调文字颜色 4 12 3 5" xfId="14307"/>
    <cellStyle name="20% - 强调文字颜色 4 12 3 6" xfId="7796"/>
    <cellStyle name="20% - 强调文字颜色 4 12 3 7" xfId="18238"/>
    <cellStyle name="20% - 强调文字颜色 4 12 3 8" xfId="23347"/>
    <cellStyle name="20% - 强调文字颜色 4 12 3 9" xfId="20289"/>
    <cellStyle name="20% - 强调文字颜色 4 12 4" xfId="384"/>
    <cellStyle name="20% - 强调文字颜色 4 12 4 10" xfId="30054"/>
    <cellStyle name="20% - 强调文字颜色 4 12 4 11" xfId="32833"/>
    <cellStyle name="20% - 强调文字颜色 4 12 4 2" xfId="2624"/>
    <cellStyle name="20% - 强调文字颜色 4 12 4 3" xfId="5936"/>
    <cellStyle name="20% - 强调文字颜色 4 12 4 4" xfId="12088"/>
    <cellStyle name="20% - 强调文字颜色 4 12 4 5" xfId="14308"/>
    <cellStyle name="20% - 强调文字颜色 4 12 4 6" xfId="7795"/>
    <cellStyle name="20% - 强调文字颜色 4 12 4 7" xfId="18239"/>
    <cellStyle name="20% - 强调文字颜色 4 12 4 8" xfId="22364"/>
    <cellStyle name="20% - 强调文字颜色 4 12 4 9" xfId="21269"/>
    <cellStyle name="20% - 强调文字颜色 4 12 5" xfId="385"/>
    <cellStyle name="20% - 强调文字颜色 4 12 5 2" xfId="5937"/>
    <cellStyle name="20% - 强调文字颜色 4 12 5 3" xfId="12089"/>
    <cellStyle name="20% - 强调文字颜色 4 12 5 4" xfId="7794"/>
    <cellStyle name="20% - 强调文字颜色 4 12 5 5" xfId="18240"/>
    <cellStyle name="20% - 强调文字颜色 4 12 5 6" xfId="21836"/>
    <cellStyle name="20% - 强调文字颜色 4 12 5 7" xfId="20850"/>
    <cellStyle name="20% - 强调文字颜色 4 12 5 8" xfId="31500"/>
    <cellStyle name="20% - 强调文字颜色 4 12 5 9" xfId="32581"/>
    <cellStyle name="20% - 强调文字颜色 4 12 6" xfId="2621"/>
    <cellStyle name="20% - 强调文字颜色 4 12 6 2" xfId="23624"/>
    <cellStyle name="20% - 强调文字颜色 4 12 6 3" xfId="26209"/>
    <cellStyle name="20% - 强调文字颜色 4 12 7" xfId="5933"/>
    <cellStyle name="20% - 强调文字颜色 4 12 7 2" xfId="23673"/>
    <cellStyle name="20% - 强调文字颜色 4 12 7 3" xfId="26258"/>
    <cellStyle name="20% - 强调文字颜色 4 12 8" xfId="10951"/>
    <cellStyle name="20% - 强调文字颜色 4 12 8 2" xfId="23750"/>
    <cellStyle name="20% - 强调文字颜色 4 12 8 3" xfId="26335"/>
    <cellStyle name="20% - 强调文字颜色 4 12 9" xfId="12085"/>
    <cellStyle name="20% - 强调文字颜色 4 13" xfId="386"/>
    <cellStyle name="20% - 强调文字颜色 4 13 10" xfId="7793"/>
    <cellStyle name="20% - 强调文字颜色 4 13 11" xfId="18241"/>
    <cellStyle name="20% - 强调文字颜色 4 13 12" xfId="23346"/>
    <cellStyle name="20% - 强调文字颜色 4 13 13" xfId="20209"/>
    <cellStyle name="20% - 强调文字颜色 4 13 14" xfId="30055"/>
    <cellStyle name="20% - 强调文字颜色 4 13 15" xfId="31968"/>
    <cellStyle name="20% - 强调文字颜色 4 13 2" xfId="387"/>
    <cellStyle name="20% - 强调文字颜色 4 13 2 10" xfId="30056"/>
    <cellStyle name="20% - 强调文字颜色 4 13 2 11" xfId="31327"/>
    <cellStyle name="20% - 强调文字颜色 4 13 2 2" xfId="2626"/>
    <cellStyle name="20% - 强调文字颜色 4 13 2 3" xfId="5939"/>
    <cellStyle name="20% - 强调文字颜色 4 13 2 4" xfId="12091"/>
    <cellStyle name="20% - 强调文字颜色 4 13 2 5" xfId="14310"/>
    <cellStyle name="20% - 强调文字颜色 4 13 2 6" xfId="7792"/>
    <cellStyle name="20% - 强调文字颜色 4 13 2 7" xfId="18242"/>
    <cellStyle name="20% - 强调文字颜色 4 13 2 8" xfId="22363"/>
    <cellStyle name="20% - 强调文字颜色 4 13 2 9" xfId="20040"/>
    <cellStyle name="20% - 强调文字颜色 4 13 3" xfId="388"/>
    <cellStyle name="20% - 强调文字颜色 4 13 3 10" xfId="30057"/>
    <cellStyle name="20% - 强调文字颜色 4 13 3 11" xfId="32831"/>
    <cellStyle name="20% - 强调文字颜色 4 13 3 2" xfId="2627"/>
    <cellStyle name="20% - 强调文字颜色 4 13 3 3" xfId="5940"/>
    <cellStyle name="20% - 强调文字颜色 4 13 3 4" xfId="12092"/>
    <cellStyle name="20% - 强调文字颜色 4 13 3 5" xfId="14311"/>
    <cellStyle name="20% - 强调文字颜色 4 13 3 6" xfId="7791"/>
    <cellStyle name="20% - 强调文字颜色 4 13 3 7" xfId="18243"/>
    <cellStyle name="20% - 强调文字颜色 4 13 3 8" xfId="21835"/>
    <cellStyle name="20% - 强调文字颜色 4 13 3 9" xfId="21500"/>
    <cellStyle name="20% - 强调文字颜色 4 13 4" xfId="389"/>
    <cellStyle name="20% - 强调文字颜色 4 13 4 10" xfId="30058"/>
    <cellStyle name="20% - 强调文字颜色 4 13 4 11" xfId="31966"/>
    <cellStyle name="20% - 强调文字颜色 4 13 4 2" xfId="2628"/>
    <cellStyle name="20% - 强调文字颜色 4 13 4 3" xfId="5941"/>
    <cellStyle name="20% - 强调文字颜色 4 13 4 4" xfId="12093"/>
    <cellStyle name="20% - 强调文字颜色 4 13 4 5" xfId="14312"/>
    <cellStyle name="20% - 强调文字颜色 4 13 4 6" xfId="7782"/>
    <cellStyle name="20% - 强调文字颜色 4 13 4 7" xfId="18244"/>
    <cellStyle name="20% - 强调文字颜色 4 13 4 8" xfId="23345"/>
    <cellStyle name="20% - 强调文字颜色 4 13 4 9" xfId="20290"/>
    <cellStyle name="20% - 强调文字颜色 4 13 5" xfId="390"/>
    <cellStyle name="20% - 强调文字颜色 4 13 5 2" xfId="5942"/>
    <cellStyle name="20% - 强调文字颜色 4 13 5 3" xfId="12094"/>
    <cellStyle name="20% - 强调文字颜色 4 13 5 4" xfId="7790"/>
    <cellStyle name="20% - 强调文字颜色 4 13 5 5" xfId="18245"/>
    <cellStyle name="20% - 强调文字颜色 4 13 5 6" xfId="22362"/>
    <cellStyle name="20% - 强调文字颜色 4 13 5 7" xfId="21268"/>
    <cellStyle name="20% - 强调文字颜色 4 13 5 8" xfId="31501"/>
    <cellStyle name="20% - 强调文字颜色 4 13 5 9" xfId="31887"/>
    <cellStyle name="20% - 强调文字颜色 4 13 6" xfId="2625"/>
    <cellStyle name="20% - 强调文字颜色 4 13 6 2" xfId="23674"/>
    <cellStyle name="20% - 强调文字颜色 4 13 6 3" xfId="26259"/>
    <cellStyle name="20% - 强调文字颜色 4 13 7" xfId="5938"/>
    <cellStyle name="20% - 强调文字颜色 4 13 7 2" xfId="23751"/>
    <cellStyle name="20% - 强调文字颜色 4 13 7 3" xfId="26336"/>
    <cellStyle name="20% - 强调文字颜色 4 13 8" xfId="12090"/>
    <cellStyle name="20% - 强调文字颜色 4 13 8 2" xfId="23849"/>
    <cellStyle name="20% - 强调文字颜色 4 13 8 3" xfId="26434"/>
    <cellStyle name="20% - 强调文字颜色 4 13 9" xfId="14309"/>
    <cellStyle name="20% - 强调文字颜色 4 14" xfId="391"/>
    <cellStyle name="20% - 强调文字颜色 4 14 10" xfId="7789"/>
    <cellStyle name="20% - 强调文字颜色 4 14 11" xfId="18246"/>
    <cellStyle name="20% - 强调文字颜色 4 14 12" xfId="21834"/>
    <cellStyle name="20% - 强调文字颜色 4 14 13" xfId="20849"/>
    <cellStyle name="20% - 强调文字颜色 4 14 14" xfId="30059"/>
    <cellStyle name="20% - 强调文字颜色 4 14 15" xfId="31325"/>
    <cellStyle name="20% - 强调文字颜色 4 14 2" xfId="392"/>
    <cellStyle name="20% - 强调文字颜色 4 14 2 10" xfId="30060"/>
    <cellStyle name="20% - 强调文字颜色 4 14 2 11" xfId="32830"/>
    <cellStyle name="20% - 强调文字颜色 4 14 2 2" xfId="2630"/>
    <cellStyle name="20% - 强调文字颜色 4 14 2 3" xfId="5944"/>
    <cellStyle name="20% - 强调文字颜色 4 14 2 4" xfId="12096"/>
    <cellStyle name="20% - 强调文字颜色 4 14 2 5" xfId="14314"/>
    <cellStyle name="20% - 强调文字颜色 4 14 2 6" xfId="7788"/>
    <cellStyle name="20% - 强调文字颜色 4 14 2 7" xfId="18247"/>
    <cellStyle name="20% - 强调文字颜色 4 14 2 8" xfId="23344"/>
    <cellStyle name="20% - 强调文字颜色 4 14 2 9" xfId="20208"/>
    <cellStyle name="20% - 强调文字颜色 4 14 3" xfId="393"/>
    <cellStyle name="20% - 强调文字颜色 4 14 3 10" xfId="30061"/>
    <cellStyle name="20% - 强调文字颜色 4 14 3 11" xfId="31965"/>
    <cellStyle name="20% - 强调文字颜色 4 14 3 2" xfId="2631"/>
    <cellStyle name="20% - 强调文字颜色 4 14 3 3" xfId="5945"/>
    <cellStyle name="20% - 强调文字颜色 4 14 3 4" xfId="12097"/>
    <cellStyle name="20% - 强调文字颜色 4 14 3 5" xfId="14315"/>
    <cellStyle name="20% - 强调文字颜色 4 14 3 6" xfId="7787"/>
    <cellStyle name="20% - 强调文字颜色 4 14 3 7" xfId="18248"/>
    <cellStyle name="20% - 强调文字颜色 4 14 3 8" xfId="22361"/>
    <cellStyle name="20% - 强调文字颜色 4 14 3 9" xfId="20039"/>
    <cellStyle name="20% - 强调文字颜色 4 14 4" xfId="394"/>
    <cellStyle name="20% - 强调文字颜色 4 14 4 10" xfId="30062"/>
    <cellStyle name="20% - 强调文字颜色 4 14 4 11" xfId="31324"/>
    <cellStyle name="20% - 强调文字颜色 4 14 4 2" xfId="2632"/>
    <cellStyle name="20% - 强调文字颜色 4 14 4 3" xfId="5946"/>
    <cellStyle name="20% - 强调文字颜色 4 14 4 4" xfId="12098"/>
    <cellStyle name="20% - 强调文字颜色 4 14 4 5" xfId="14316"/>
    <cellStyle name="20% - 强调文字颜色 4 14 4 6" xfId="7786"/>
    <cellStyle name="20% - 强调文字颜色 4 14 4 7" xfId="18249"/>
    <cellStyle name="20% - 强调文字颜色 4 14 4 8" xfId="21833"/>
    <cellStyle name="20% - 强调文字颜色 4 14 4 9" xfId="21499"/>
    <cellStyle name="20% - 强调文字颜色 4 14 5" xfId="395"/>
    <cellStyle name="20% - 强调文字颜色 4 14 5 2" xfId="5947"/>
    <cellStyle name="20% - 强调文字颜色 4 14 5 3" xfId="12099"/>
    <cellStyle name="20% - 强调文字颜色 4 14 5 4" xfId="7785"/>
    <cellStyle name="20% - 强调文字颜色 4 14 5 5" xfId="18250"/>
    <cellStyle name="20% - 强调文字颜色 4 14 5 6" xfId="23343"/>
    <cellStyle name="20% - 强调文字颜色 4 14 5 7" xfId="20291"/>
    <cellStyle name="20% - 强调文字颜色 4 14 5 8" xfId="31502"/>
    <cellStyle name="20% - 强调文字颜色 4 14 5 9" xfId="30862"/>
    <cellStyle name="20% - 强调文字颜色 4 14 6" xfId="2629"/>
    <cellStyle name="20% - 强调文字颜色 4 14 6 2" xfId="23675"/>
    <cellStyle name="20% - 强调文字颜色 4 14 6 3" xfId="26260"/>
    <cellStyle name="20% - 强调文字颜色 4 14 7" xfId="5943"/>
    <cellStyle name="20% - 强调文字颜色 4 14 7 2" xfId="23752"/>
    <cellStyle name="20% - 强调文字颜色 4 14 7 3" xfId="26337"/>
    <cellStyle name="20% - 强调文字颜色 4 14 8" xfId="12095"/>
    <cellStyle name="20% - 强调文字颜色 4 14 8 2" xfId="23850"/>
    <cellStyle name="20% - 强调文字颜色 4 14 8 3" xfId="26435"/>
    <cellStyle name="20% - 强调文字颜色 4 14 9" xfId="14313"/>
    <cellStyle name="20% - 强调文字颜色 4 15" xfId="396"/>
    <cellStyle name="20% - 强调文字颜色 4 15 10" xfId="18251"/>
    <cellStyle name="20% - 强调文字颜色 4 15 11" xfId="22360"/>
    <cellStyle name="20% - 强调文字颜色 4 15 12" xfId="21267"/>
    <cellStyle name="20% - 强调文字颜色 4 15 13" xfId="30063"/>
    <cellStyle name="20% - 强调文字颜色 4 15 14" xfId="32829"/>
    <cellStyle name="20% - 强调文字颜色 4 15 2" xfId="397"/>
    <cellStyle name="20% - 强调文字颜色 4 15 2 10" xfId="30064"/>
    <cellStyle name="20% - 强调文字颜色 4 15 2 11" xfId="31964"/>
    <cellStyle name="20% - 强调文字颜色 4 15 2 2" xfId="2634"/>
    <cellStyle name="20% - 强调文字颜色 4 15 2 3" xfId="5949"/>
    <cellStyle name="20% - 强调文字颜色 4 15 2 4" xfId="12101"/>
    <cellStyle name="20% - 强调文字颜色 4 15 2 5" xfId="14318"/>
    <cellStyle name="20% - 强调文字颜色 4 15 2 6" xfId="7783"/>
    <cellStyle name="20% - 强调文字颜色 4 15 2 7" xfId="18252"/>
    <cellStyle name="20% - 强调文字颜色 4 15 2 8" xfId="21832"/>
    <cellStyle name="20% - 强调文字颜色 4 15 2 9" xfId="20848"/>
    <cellStyle name="20% - 强调文字颜色 4 15 3" xfId="398"/>
    <cellStyle name="20% - 强调文字颜色 4 15 3 10" xfId="30065"/>
    <cellStyle name="20% - 强调文字颜色 4 15 3 11" xfId="31323"/>
    <cellStyle name="20% - 强调文字颜色 4 15 3 2" xfId="2635"/>
    <cellStyle name="20% - 强调文字颜色 4 15 3 3" xfId="5950"/>
    <cellStyle name="20% - 强调文字颜色 4 15 3 4" xfId="12102"/>
    <cellStyle name="20% - 强调文字颜色 4 15 3 5" xfId="14319"/>
    <cellStyle name="20% - 强调文字颜色 4 15 3 6" xfId="11636"/>
    <cellStyle name="20% - 强调文字颜色 4 15 3 7" xfId="18253"/>
    <cellStyle name="20% - 强调文字颜色 4 15 3 8" xfId="23342"/>
    <cellStyle name="20% - 强调文字颜色 4 15 3 9" xfId="20207"/>
    <cellStyle name="20% - 强调文字颜色 4 15 4" xfId="399"/>
    <cellStyle name="20% - 强调文字颜色 4 15 4 2" xfId="5951"/>
    <cellStyle name="20% - 强调文字颜色 4 15 4 3" xfId="12103"/>
    <cellStyle name="20% - 强调文字颜色 4 15 4 4" xfId="10557"/>
    <cellStyle name="20% - 强调文字颜色 4 15 4 5" xfId="18254"/>
    <cellStyle name="20% - 强调文字颜色 4 15 4 6" xfId="22359"/>
    <cellStyle name="20% - 强调文字颜色 4 15 4 7" xfId="20038"/>
    <cellStyle name="20% - 强调文字颜色 4 15 4 8" xfId="31503"/>
    <cellStyle name="20% - 强调文字颜色 4 15 4 9" xfId="32580"/>
    <cellStyle name="20% - 强调文字颜色 4 15 5" xfId="2633"/>
    <cellStyle name="20% - 强调文字颜色 4 15 6" xfId="5948"/>
    <cellStyle name="20% - 强调文字颜色 4 15 7" xfId="12100"/>
    <cellStyle name="20% - 强调文字颜色 4 15 8" xfId="14317"/>
    <cellStyle name="20% - 强调文字颜色 4 15 9" xfId="7784"/>
    <cellStyle name="20% - 强调文字颜色 4 16" xfId="400"/>
    <cellStyle name="20% - 强调文字颜色 4 16 10" xfId="18255"/>
    <cellStyle name="20% - 强调文字颜色 4 16 11" xfId="21831"/>
    <cellStyle name="20% - 强调文字颜色 4 16 12" xfId="21498"/>
    <cellStyle name="20% - 强调文字颜色 4 16 13" xfId="30066"/>
    <cellStyle name="20% - 强调文字颜色 4 16 14" xfId="32828"/>
    <cellStyle name="20% - 强调文字颜色 4 16 2" xfId="401"/>
    <cellStyle name="20% - 强调文字颜色 4 16 2 10" xfId="30067"/>
    <cellStyle name="20% - 强调文字颜色 4 16 2 11" xfId="31963"/>
    <cellStyle name="20% - 强调文字颜色 4 16 2 2" xfId="2637"/>
    <cellStyle name="20% - 强调文字颜色 4 16 2 3" xfId="5953"/>
    <cellStyle name="20% - 强调文字颜色 4 16 2 4" xfId="12105"/>
    <cellStyle name="20% - 强调文字颜色 4 16 2 5" xfId="14321"/>
    <cellStyle name="20% - 强调文字颜色 4 16 2 6" xfId="10556"/>
    <cellStyle name="20% - 强调文字颜色 4 16 2 7" xfId="18256"/>
    <cellStyle name="20% - 强调文字颜色 4 16 2 8" xfId="23341"/>
    <cellStyle name="20% - 强调文字颜色 4 16 2 9" xfId="20292"/>
    <cellStyle name="20% - 强调文字颜色 4 16 3" xfId="402"/>
    <cellStyle name="20% - 强调文字颜色 4 16 3 10" xfId="30068"/>
    <cellStyle name="20% - 强调文字颜色 4 16 3 11" xfId="31322"/>
    <cellStyle name="20% - 强调文字颜色 4 16 3 2" xfId="2638"/>
    <cellStyle name="20% - 强调文字颜色 4 16 3 3" xfId="5954"/>
    <cellStyle name="20% - 强调文字颜色 4 16 3 4" xfId="12106"/>
    <cellStyle name="20% - 强调文字颜色 4 16 3 5" xfId="14322"/>
    <cellStyle name="20% - 强调文字颜色 4 16 3 6" xfId="7781"/>
    <cellStyle name="20% - 强调文字颜色 4 16 3 7" xfId="18257"/>
    <cellStyle name="20% - 强调文字颜色 4 16 3 8" xfId="22358"/>
    <cellStyle name="20% - 强调文字颜色 4 16 3 9" xfId="21266"/>
    <cellStyle name="20% - 强调文字颜色 4 16 4" xfId="403"/>
    <cellStyle name="20% - 强调文字颜色 4 16 4 2" xfId="5955"/>
    <cellStyle name="20% - 强调文字颜色 4 16 4 3" xfId="12107"/>
    <cellStyle name="20% - 强调文字颜色 4 16 4 4" xfId="7780"/>
    <cellStyle name="20% - 强调文字颜色 4 16 4 5" xfId="18258"/>
    <cellStyle name="20% - 强调文字颜色 4 16 4 6" xfId="21830"/>
    <cellStyle name="20% - 强调文字颜色 4 16 4 7" xfId="20847"/>
    <cellStyle name="20% - 强调文字颜色 4 16 4 8" xfId="31504"/>
    <cellStyle name="20% - 强调文字颜色 4 16 4 9" xfId="32105"/>
    <cellStyle name="20% - 强调文字颜色 4 16 5" xfId="2636"/>
    <cellStyle name="20% - 强调文字颜色 4 16 6" xfId="5952"/>
    <cellStyle name="20% - 强调文字颜色 4 16 7" xfId="12104"/>
    <cellStyle name="20% - 强调文字颜色 4 16 8" xfId="14320"/>
    <cellStyle name="20% - 强调文字颜色 4 16 9" xfId="11635"/>
    <cellStyle name="20% - 强调文字颜色 4 17" xfId="404"/>
    <cellStyle name="20% - 强调文字颜色 4 17 10" xfId="23340"/>
    <cellStyle name="20% - 强调文字颜色 4 17 11" xfId="20206"/>
    <cellStyle name="20% - 强调文字颜色 4 17 12" xfId="30069"/>
    <cellStyle name="20% - 强调文字颜色 4 17 13" xfId="32827"/>
    <cellStyle name="20% - 强调文字颜色 4 17 2" xfId="405"/>
    <cellStyle name="20% - 强调文字颜色 4 17 2 2" xfId="5957"/>
    <cellStyle name="20% - 强调文字颜色 4 17 2 3" xfId="12109"/>
    <cellStyle name="20% - 强调文字颜色 4 17 2 4" xfId="7766"/>
    <cellStyle name="20% - 强调文字颜色 4 17 2 5" xfId="18260"/>
    <cellStyle name="20% - 强调文字颜色 4 17 2 6" xfId="22357"/>
    <cellStyle name="20% - 强调文字颜色 4 17 2 7" xfId="20037"/>
    <cellStyle name="20% - 强调文字颜色 4 17 2 8" xfId="31505"/>
    <cellStyle name="20% - 强调文字颜色 4 17 2 9" xfId="32969"/>
    <cellStyle name="20% - 强调文字颜色 4 17 3" xfId="406"/>
    <cellStyle name="20% - 强调文字颜色 4 17 3 2" xfId="5958"/>
    <cellStyle name="20% - 强调文字颜色 4 17 3 3" xfId="12110"/>
    <cellStyle name="20% - 强调文字颜色 4 17 3 4" xfId="11634"/>
    <cellStyle name="20% - 强调文字颜色 4 17 3 5" xfId="18261"/>
    <cellStyle name="20% - 强调文字颜色 4 17 3 6" xfId="21829"/>
    <cellStyle name="20% - 强调文字颜色 4 17 3 7" xfId="21497"/>
    <cellStyle name="20% - 强调文字颜色 4 17 3 8" xfId="31506"/>
    <cellStyle name="20% - 强调文字颜色 4 17 3 9" xfId="32579"/>
    <cellStyle name="20% - 强调文字颜色 4 17 4" xfId="2639"/>
    <cellStyle name="20% - 强调文字颜色 4 17 5" xfId="5956"/>
    <cellStyle name="20% - 强调文字颜色 4 17 6" xfId="12108"/>
    <cellStyle name="20% - 强调文字颜色 4 17 7" xfId="14323"/>
    <cellStyle name="20% - 强调文字颜色 4 17 8" xfId="7779"/>
    <cellStyle name="20% - 强调文字颜色 4 17 9" xfId="18259"/>
    <cellStyle name="20% - 强调文字颜色 4 18" xfId="407"/>
    <cellStyle name="20% - 强调文字颜色 4 18 10" xfId="30070"/>
    <cellStyle name="20% - 强调文字颜色 4 18 11" xfId="31962"/>
    <cellStyle name="20% - 强调文字颜色 4 18 2" xfId="408"/>
    <cellStyle name="20% - 强调文字颜色 4 18 2 2" xfId="8532"/>
    <cellStyle name="20% - 强调文字颜色 4 18 2 3" xfId="7368"/>
    <cellStyle name="20% - 强调文字颜色 4 18 2 4" xfId="18263"/>
    <cellStyle name="20% - 强调文字颜色 4 18 2 5" xfId="22916"/>
    <cellStyle name="20% - 强调文字颜色 4 18 2 6" xfId="21265"/>
    <cellStyle name="20% - 强调文字颜色 4 18 2 7" xfId="31507"/>
    <cellStyle name="20% - 强调文字颜色 4 18 2 8" xfId="32334"/>
    <cellStyle name="20% - 强调文字颜色 4 18 3" xfId="2640"/>
    <cellStyle name="20% - 强调文字颜色 4 18 4" xfId="5959"/>
    <cellStyle name="20% - 强调文字颜色 4 18 5" xfId="14324"/>
    <cellStyle name="20% - 强调文字颜色 4 18 6" xfId="10551"/>
    <cellStyle name="20% - 强调文字颜色 4 18 7" xfId="18262"/>
    <cellStyle name="20% - 强调文字颜色 4 18 8" xfId="23339"/>
    <cellStyle name="20% - 强调文字颜色 4 18 9" xfId="20362"/>
    <cellStyle name="20% - 强调文字颜色 4 19" xfId="409"/>
    <cellStyle name="20% - 强调文字颜色 4 19 10" xfId="2642"/>
    <cellStyle name="20% - 强调文字颜色 4 19 10 2" xfId="8533"/>
    <cellStyle name="20% - 强调文字颜色 4 19 10 3" xfId="14326"/>
    <cellStyle name="20% - 强调文字颜色 4 19 10 4" xfId="24397"/>
    <cellStyle name="20% - 强调文字颜色 4 19 10 5" xfId="27630"/>
    <cellStyle name="20% - 强调文字颜色 4 19 11" xfId="2643"/>
    <cellStyle name="20% - 强调文字颜色 4 19 11 2" xfId="8534"/>
    <cellStyle name="20% - 强调文字颜色 4 19 11 3" xfId="14327"/>
    <cellStyle name="20% - 强调文字颜色 4 19 11 4" xfId="24398"/>
    <cellStyle name="20% - 强调文字颜色 4 19 11 5" xfId="27631"/>
    <cellStyle name="20% - 强调文字颜色 4 19 12" xfId="2644"/>
    <cellStyle name="20% - 强调文字颜色 4 19 12 2" xfId="8535"/>
    <cellStyle name="20% - 强调文字颜色 4 19 12 3" xfId="14328"/>
    <cellStyle name="20% - 强调文字颜色 4 19 12 4" xfId="24399"/>
    <cellStyle name="20% - 强调文字颜色 4 19 12 5" xfId="27632"/>
    <cellStyle name="20% - 强调文字颜色 4 19 13" xfId="2645"/>
    <cellStyle name="20% - 强调文字颜色 4 19 13 2" xfId="8536"/>
    <cellStyle name="20% - 强调文字颜色 4 19 13 3" xfId="14329"/>
    <cellStyle name="20% - 强调文字颜色 4 19 13 4" xfId="24400"/>
    <cellStyle name="20% - 强调文字颜色 4 19 13 5" xfId="27633"/>
    <cellStyle name="20% - 强调文字颜色 4 19 14" xfId="2646"/>
    <cellStyle name="20% - 强调文字颜色 4 19 14 2" xfId="8537"/>
    <cellStyle name="20% - 强调文字颜色 4 19 14 3" xfId="14330"/>
    <cellStyle name="20% - 强调文字颜色 4 19 14 4" xfId="24401"/>
    <cellStyle name="20% - 强调文字颜色 4 19 14 5" xfId="27634"/>
    <cellStyle name="20% - 强调文字颜色 4 19 15" xfId="2647"/>
    <cellStyle name="20% - 强调文字颜色 4 19 15 2" xfId="8538"/>
    <cellStyle name="20% - 强调文字颜色 4 19 15 3" xfId="14331"/>
    <cellStyle name="20% - 强调文字颜色 4 19 15 4" xfId="24402"/>
    <cellStyle name="20% - 强调文字颜色 4 19 15 5" xfId="27635"/>
    <cellStyle name="20% - 强调文字颜色 4 19 16" xfId="2648"/>
    <cellStyle name="20% - 强调文字颜色 4 19 16 2" xfId="8539"/>
    <cellStyle name="20% - 强调文字颜色 4 19 16 3" xfId="14332"/>
    <cellStyle name="20% - 强调文字颜色 4 19 16 4" xfId="24403"/>
    <cellStyle name="20% - 强调文字颜色 4 19 16 5" xfId="27636"/>
    <cellStyle name="20% - 强调文字颜色 4 19 17" xfId="2649"/>
    <cellStyle name="20% - 强调文字颜色 4 19 17 2" xfId="8540"/>
    <cellStyle name="20% - 强调文字颜色 4 19 17 3" xfId="14333"/>
    <cellStyle name="20% - 强调文字颜色 4 19 17 4" xfId="24404"/>
    <cellStyle name="20% - 强调文字颜色 4 19 17 5" xfId="27637"/>
    <cellStyle name="20% - 强调文字颜色 4 19 18" xfId="2650"/>
    <cellStyle name="20% - 强调文字颜色 4 19 18 2" xfId="8541"/>
    <cellStyle name="20% - 强调文字颜色 4 19 18 3" xfId="14334"/>
    <cellStyle name="20% - 强调文字颜色 4 19 18 4" xfId="24405"/>
    <cellStyle name="20% - 强调文字颜色 4 19 18 5" xfId="27638"/>
    <cellStyle name="20% - 强调文字颜色 4 19 19" xfId="2651"/>
    <cellStyle name="20% - 强调文字颜色 4 19 19 2" xfId="8542"/>
    <cellStyle name="20% - 强调文字颜色 4 19 19 3" xfId="14335"/>
    <cellStyle name="20% - 强调文字颜色 4 19 19 4" xfId="24406"/>
    <cellStyle name="20% - 强调文字颜色 4 19 19 5" xfId="27639"/>
    <cellStyle name="20% - 强调文字颜色 4 19 2" xfId="410"/>
    <cellStyle name="20% - 强调文字颜色 4 19 2 10" xfId="30072"/>
    <cellStyle name="20% - 强调文字颜色 4 19 2 11" xfId="31320"/>
    <cellStyle name="20% - 强调文字颜色 4 19 2 2" xfId="2652"/>
    <cellStyle name="20% - 强调文字颜色 4 19 2 3" xfId="5961"/>
    <cellStyle name="20% - 强调文字颜色 4 19 2 4" xfId="12112"/>
    <cellStyle name="20% - 强调文字颜色 4 19 2 5" xfId="14336"/>
    <cellStyle name="20% - 强调文字颜色 4 19 2 6" xfId="10550"/>
    <cellStyle name="20% - 强调文字颜色 4 19 2 7" xfId="18265"/>
    <cellStyle name="20% - 强调文字颜色 4 19 2 8" xfId="21828"/>
    <cellStyle name="20% - 强调文字颜色 4 19 2 9" xfId="20205"/>
    <cellStyle name="20% - 强调文字颜色 4 19 20" xfId="2653"/>
    <cellStyle name="20% - 强调文字颜色 4 19 20 2" xfId="8543"/>
    <cellStyle name="20% - 强调文字颜色 4 19 20 3" xfId="14337"/>
    <cellStyle name="20% - 强调文字颜色 4 19 20 4" xfId="24407"/>
    <cellStyle name="20% - 强调文字颜色 4 19 20 5" xfId="27640"/>
    <cellStyle name="20% - 强调文字颜色 4 19 21" xfId="2654"/>
    <cellStyle name="20% - 强调文字颜色 4 19 21 2" xfId="8544"/>
    <cellStyle name="20% - 强调文字颜色 4 19 21 3" xfId="14338"/>
    <cellStyle name="20% - 强调文字颜色 4 19 21 4" xfId="24408"/>
    <cellStyle name="20% - 强调文字颜色 4 19 21 5" xfId="27641"/>
    <cellStyle name="20% - 强调文字颜色 4 19 22" xfId="2655"/>
    <cellStyle name="20% - 强调文字颜色 4 19 22 2" xfId="8545"/>
    <cellStyle name="20% - 强调文字颜色 4 19 22 3" xfId="14339"/>
    <cellStyle name="20% - 强调文字颜色 4 19 22 4" xfId="24409"/>
    <cellStyle name="20% - 强调文字颜色 4 19 22 5" xfId="27642"/>
    <cellStyle name="20% - 强调文字颜色 4 19 23" xfId="2656"/>
    <cellStyle name="20% - 强调文字颜色 4 19 23 2" xfId="8546"/>
    <cellStyle name="20% - 强调文字颜色 4 19 23 3" xfId="14340"/>
    <cellStyle name="20% - 强调文字颜色 4 19 23 4" xfId="24410"/>
    <cellStyle name="20% - 强调文字颜色 4 19 23 5" xfId="27643"/>
    <cellStyle name="20% - 强调文字颜色 4 19 24" xfId="5960"/>
    <cellStyle name="20% - 强调文字颜色 4 19 25" xfId="10952"/>
    <cellStyle name="20% - 强调文字颜色 4 19 26" xfId="12111"/>
    <cellStyle name="20% - 强调文字颜色 4 19 27" xfId="14325"/>
    <cellStyle name="20% - 强调文字颜色 4 19 28" xfId="11633"/>
    <cellStyle name="20% - 强调文字颜色 4 19 29" xfId="18264"/>
    <cellStyle name="20% - 强调文字颜色 4 19 3" xfId="2641"/>
    <cellStyle name="20% - 强调文字颜色 4 19 3 2" xfId="8547"/>
    <cellStyle name="20% - 强调文字颜色 4 19 3 3" xfId="14341"/>
    <cellStyle name="20% - 强调文字颜色 4 19 3 4" xfId="24411"/>
    <cellStyle name="20% - 强调文字颜色 4 19 3 5" xfId="27629"/>
    <cellStyle name="20% - 强调文字颜色 4 19 30" xfId="22356"/>
    <cellStyle name="20% - 强调文字颜色 4 19 31" xfId="20846"/>
    <cellStyle name="20% - 强调文字颜色 4 19 32" xfId="30071"/>
    <cellStyle name="20% - 强调文字颜色 4 19 33" xfId="31321"/>
    <cellStyle name="20% - 强调文字颜色 4 19 4" xfId="2658"/>
    <cellStyle name="20% - 强调文字颜色 4 19 4 2" xfId="8548"/>
    <cellStyle name="20% - 强调文字颜色 4 19 4 3" xfId="14342"/>
    <cellStyle name="20% - 强调文字颜色 4 19 4 4" xfId="24412"/>
    <cellStyle name="20% - 强调文字颜色 4 19 4 5" xfId="27644"/>
    <cellStyle name="20% - 强调文字颜色 4 19 5" xfId="2659"/>
    <cellStyle name="20% - 强调文字颜色 4 19 5 2" xfId="8549"/>
    <cellStyle name="20% - 强调文字颜色 4 19 5 3" xfId="14343"/>
    <cellStyle name="20% - 强调文字颜色 4 19 5 4" xfId="24413"/>
    <cellStyle name="20% - 强调文字颜色 4 19 5 5" xfId="27645"/>
    <cellStyle name="20% - 强调文字颜色 4 19 6" xfId="2660"/>
    <cellStyle name="20% - 强调文字颜色 4 19 6 2" xfId="8550"/>
    <cellStyle name="20% - 强调文字颜色 4 19 6 3" xfId="14344"/>
    <cellStyle name="20% - 强调文字颜色 4 19 6 4" xfId="24414"/>
    <cellStyle name="20% - 强调文字颜色 4 19 6 5" xfId="27646"/>
    <cellStyle name="20% - 强调文字颜色 4 19 7" xfId="2661"/>
    <cellStyle name="20% - 强调文字颜色 4 19 7 2" xfId="8551"/>
    <cellStyle name="20% - 强调文字颜色 4 19 7 3" xfId="14345"/>
    <cellStyle name="20% - 强调文字颜色 4 19 7 4" xfId="24415"/>
    <cellStyle name="20% - 强调文字颜色 4 19 7 5" xfId="27647"/>
    <cellStyle name="20% - 强调文字颜色 4 19 8" xfId="2662"/>
    <cellStyle name="20% - 强调文字颜色 4 19 8 2" xfId="8552"/>
    <cellStyle name="20% - 强调文字颜色 4 19 8 3" xfId="14346"/>
    <cellStyle name="20% - 强调文字颜色 4 19 8 4" xfId="24416"/>
    <cellStyle name="20% - 强调文字颜色 4 19 8 5" xfId="27648"/>
    <cellStyle name="20% - 强调文字颜色 4 19 9" xfId="2663"/>
    <cellStyle name="20% - 强调文字颜色 4 19 9 2" xfId="8553"/>
    <cellStyle name="20% - 强调文字颜色 4 19 9 3" xfId="14347"/>
    <cellStyle name="20% - 强调文字颜色 4 19 9 4" xfId="24417"/>
    <cellStyle name="20% - 强调文字颜色 4 19 9 5" xfId="27649"/>
    <cellStyle name="20% - 强调文字颜色 4 2" xfId="411"/>
    <cellStyle name="20% - 强调文字颜色 4 2 10" xfId="412"/>
    <cellStyle name="20% - 强调文字颜色 4 2 10 10" xfId="30073"/>
    <cellStyle name="20% - 强调文字颜色 4 2 10 11" xfId="31319"/>
    <cellStyle name="20% - 强调文字颜色 4 2 10 2" xfId="2665"/>
    <cellStyle name="20% - 强调文字颜色 4 2 10 3" xfId="5963"/>
    <cellStyle name="20% - 强调文字颜色 4 2 10 4" xfId="12114"/>
    <cellStyle name="20% - 强调文字颜色 4 2 10 5" xfId="14349"/>
    <cellStyle name="20% - 强调文字颜色 4 2 10 6" xfId="10549"/>
    <cellStyle name="20% - 强调文字颜色 4 2 10 7" xfId="18267"/>
    <cellStyle name="20% - 强调文字颜色 4 2 10 8" xfId="22355"/>
    <cellStyle name="20% - 强调文字颜色 4 2 10 9" xfId="21496"/>
    <cellStyle name="20% - 强调文字颜色 4 2 11" xfId="413"/>
    <cellStyle name="20% - 强调文字颜色 4 2 11 10" xfId="30074"/>
    <cellStyle name="20% - 强调文字颜色 4 2 11 11" xfId="32826"/>
    <cellStyle name="20% - 强调文字颜色 4 2 11 2" xfId="2666"/>
    <cellStyle name="20% - 强调文字颜色 4 2 11 3" xfId="5964"/>
    <cellStyle name="20% - 强调文字颜色 4 2 11 4" xfId="12115"/>
    <cellStyle name="20% - 强调文字颜色 4 2 11 5" xfId="14350"/>
    <cellStyle name="20% - 强调文字颜色 4 2 11 6" xfId="7778"/>
    <cellStyle name="20% - 强调文字颜色 4 2 11 7" xfId="18268"/>
    <cellStyle name="20% - 强调文字颜色 4 2 11 8" xfId="21827"/>
    <cellStyle name="20% - 强调文字颜色 4 2 11 9" xfId="20293"/>
    <cellStyle name="20% - 强调文字颜色 4 2 12" xfId="414"/>
    <cellStyle name="20% - 强调文字颜色 4 2 12 10" xfId="30075"/>
    <cellStyle name="20% - 强调文字颜色 4 2 12 11" xfId="31961"/>
    <cellStyle name="20% - 强调文字颜色 4 2 12 2" xfId="2667"/>
    <cellStyle name="20% - 强调文字颜色 4 2 12 3" xfId="5965"/>
    <cellStyle name="20% - 强调文字颜色 4 2 12 4" xfId="12116"/>
    <cellStyle name="20% - 强调文字颜色 4 2 12 5" xfId="14351"/>
    <cellStyle name="20% - 强调文字颜色 4 2 12 6" xfId="7777"/>
    <cellStyle name="20% - 强调文字颜色 4 2 12 7" xfId="18269"/>
    <cellStyle name="20% - 强调文字颜色 4 2 12 8" xfId="23337"/>
    <cellStyle name="20% - 强调文字颜色 4 2 12 9" xfId="21264"/>
    <cellStyle name="20% - 强调文字颜色 4 2 13" xfId="415"/>
    <cellStyle name="20% - 强调文字颜色 4 2 13 10" xfId="30076"/>
    <cellStyle name="20% - 强调文字颜色 4 2 13 11" xfId="31318"/>
    <cellStyle name="20% - 强调文字颜色 4 2 13 2" xfId="2668"/>
    <cellStyle name="20% - 强调文字颜色 4 2 13 3" xfId="5966"/>
    <cellStyle name="20% - 强调文字颜色 4 2 13 4" xfId="12117"/>
    <cellStyle name="20% - 强调文字颜色 4 2 13 5" xfId="14352"/>
    <cellStyle name="20% - 强调文字颜色 4 2 13 6" xfId="11631"/>
    <cellStyle name="20% - 强调文字颜色 4 2 13 7" xfId="18270"/>
    <cellStyle name="20% - 强调文字颜色 4 2 13 8" xfId="22354"/>
    <cellStyle name="20% - 强调文字颜色 4 2 13 9" xfId="20845"/>
    <cellStyle name="20% - 强调文字颜色 4 2 14" xfId="416"/>
    <cellStyle name="20% - 强调文字颜色 4 2 14 10" xfId="21826"/>
    <cellStyle name="20% - 强调文字颜色 4 2 14 10 2" xfId="29506"/>
    <cellStyle name="20% - 强调文字颜色 4 2 14 11" xfId="20204"/>
    <cellStyle name="20% - 强调文字颜色 4 2 14 11 2" xfId="29582"/>
    <cellStyle name="20% - 强调文字颜色 4 2 14 12" xfId="30077"/>
    <cellStyle name="20% - 强调文字颜色 4 2 14 13" xfId="32825"/>
    <cellStyle name="20% - 强调文字颜色 4 2 14 2" xfId="417"/>
    <cellStyle name="20% - 强调文字颜色 4 2 14 2 2" xfId="5968"/>
    <cellStyle name="20% - 强调文字颜色 4 2 14 2 2 2" xfId="23563"/>
    <cellStyle name="20% - 强调文字颜色 4 2 14 2 2 3" xfId="26148"/>
    <cellStyle name="20% - 强调文字颜色 4 2 14 2 2 4" xfId="23562"/>
    <cellStyle name="20% - 强调文字颜色 4 2 14 2 3" xfId="12119"/>
    <cellStyle name="20% - 强调文字颜色 4 2 14 2 4" xfId="7776"/>
    <cellStyle name="20% - 强调文字颜色 4 2 14 2 4 2" xfId="26544"/>
    <cellStyle name="20% - 强调文字颜色 4 2 14 2 4 2 2" xfId="27042"/>
    <cellStyle name="20% - 强调文字颜色 4 2 14 2 4 3" xfId="26147"/>
    <cellStyle name="20% - 强调文字颜色 4 2 14 2 5" xfId="18272"/>
    <cellStyle name="20% - 强调文字颜色 4 2 14 2 6" xfId="23335"/>
    <cellStyle name="20% - 强调文字颜色 4 2 14 2 6 2" xfId="29600"/>
    <cellStyle name="20% - 强调文字颜色 4 2 14 2 7" xfId="20035"/>
    <cellStyle name="20% - 强调文字颜色 4 2 14 2 7 2" xfId="29529"/>
    <cellStyle name="20% - 强调文字颜色 4 2 14 2 8" xfId="31509"/>
    <cellStyle name="20% - 强调文字颜色 4 2 14 2 9" xfId="31631"/>
    <cellStyle name="20% - 强调文字颜色 4 2 14 3" xfId="2669"/>
    <cellStyle name="20% - 强调文字颜色 4 2 14 4" xfId="5967"/>
    <cellStyle name="20% - 强调文字颜色 4 2 14 4 2" xfId="8555"/>
    <cellStyle name="20% - 强调文字颜色 4 2 14 4 2 2" xfId="29429"/>
    <cellStyle name="20% - 强调文字颜色 4 2 14 4 2 3" xfId="29362"/>
    <cellStyle name="20% - 强调文字颜色 4 2 14 4 3" xfId="8238"/>
    <cellStyle name="20% - 强调文字颜色 4 2 14 4 4" xfId="21907"/>
    <cellStyle name="20% - 强调文字颜色 4 2 14 4 5" xfId="21923"/>
    <cellStyle name="20% - 强调文字颜色 4 2 14 4 6" xfId="29697"/>
    <cellStyle name="20% - 强调文字颜色 4 2 14 4 7" xfId="32046"/>
    <cellStyle name="20% - 强调文字颜色 4 2 14 4 8" xfId="31579"/>
    <cellStyle name="20% - 强调文字颜色 4 2 14 5" xfId="10954"/>
    <cellStyle name="20% - 强调文字颜色 4 2 14 6" xfId="12118"/>
    <cellStyle name="20% - 强调文字颜色 4 2 14 7" xfId="14353"/>
    <cellStyle name="20% - 强调文字颜色 4 2 14 8" xfId="10546"/>
    <cellStyle name="20% - 强调文字颜色 4 2 14 8 2" xfId="26543"/>
    <cellStyle name="20% - 强调文字颜色 4 2 14 8 3" xfId="24419"/>
    <cellStyle name="20% - 强调文字颜色 4 2 14 9" xfId="18271"/>
    <cellStyle name="20% - 强调文字颜色 4 2 14 9 2" xfId="29477"/>
    <cellStyle name="20% - 强调文字颜色 4 2 14 9 2 2" xfId="33211"/>
    <cellStyle name="20% - 强调文字颜色 4 2 14 9 3" xfId="33546"/>
    <cellStyle name="20% - 强调文字颜色 4 2 14 9 4" xfId="26702"/>
    <cellStyle name="20% - 强调文字颜色 4 2 15" xfId="418"/>
    <cellStyle name="20% - 强调文字颜色 4 2 15 10" xfId="30078"/>
    <cellStyle name="20% - 强调文字颜色 4 2 15 11" xfId="31960"/>
    <cellStyle name="20% - 强调文字颜色 4 2 15 2" xfId="2670"/>
    <cellStyle name="20% - 强调文字颜色 4 2 15 3" xfId="5969"/>
    <cellStyle name="20% - 强调文字颜色 4 2 15 4" xfId="12120"/>
    <cellStyle name="20% - 强调文字颜色 4 2 15 5" xfId="14354"/>
    <cellStyle name="20% - 强调文字颜色 4 2 15 6" xfId="7775"/>
    <cellStyle name="20% - 强调文字颜色 4 2 15 7" xfId="18273"/>
    <cellStyle name="20% - 强调文字颜色 4 2 15 8" xfId="22352"/>
    <cellStyle name="20% - 强调文字颜色 4 2 15 9" xfId="21495"/>
    <cellStyle name="20% - 强调文字颜色 4 2 16" xfId="419"/>
    <cellStyle name="20% - 强调文字颜色 4 2 16 10" xfId="30079"/>
    <cellStyle name="20% - 强调文字颜色 4 2 16 11" xfId="31317"/>
    <cellStyle name="20% - 强调文字颜色 4 2 16 2" xfId="2671"/>
    <cellStyle name="20% - 强调文字颜色 4 2 16 3" xfId="5970"/>
    <cellStyle name="20% - 强调文字颜色 4 2 16 4" xfId="12121"/>
    <cellStyle name="20% - 强调文字颜色 4 2 16 5" xfId="14355"/>
    <cellStyle name="20% - 强调文字颜色 4 2 16 6" xfId="7774"/>
    <cellStyle name="20% - 强调文字颜色 4 2 16 7" xfId="18274"/>
    <cellStyle name="20% - 强调文字颜色 4 2 16 8" xfId="21825"/>
    <cellStyle name="20% - 强调文字颜色 4 2 16 9" xfId="20294"/>
    <cellStyle name="20% - 强调文字颜色 4 2 17" xfId="420"/>
    <cellStyle name="20% - 强调文字颜色 4 2 17 10" xfId="30080"/>
    <cellStyle name="20% - 强调文字颜色 4 2 17 11" xfId="32824"/>
    <cellStyle name="20% - 强调文字颜色 4 2 17 2" xfId="2672"/>
    <cellStyle name="20% - 强调文字颜色 4 2 17 3" xfId="5971"/>
    <cellStyle name="20% - 强调文字颜色 4 2 17 4" xfId="12122"/>
    <cellStyle name="20% - 强调文字颜色 4 2 17 5" xfId="14356"/>
    <cellStyle name="20% - 强调文字颜色 4 2 17 6" xfId="7773"/>
    <cellStyle name="20% - 强调文字颜色 4 2 17 7" xfId="18275"/>
    <cellStyle name="20% - 强调文字颜色 4 2 17 8" xfId="23334"/>
    <cellStyle name="20% - 强调文字颜色 4 2 17 9" xfId="21263"/>
    <cellStyle name="20% - 强调文字颜色 4 2 18" xfId="421"/>
    <cellStyle name="20% - 强调文字颜色 4 2 18 10" xfId="30081"/>
    <cellStyle name="20% - 强调文字颜色 4 2 18 11" xfId="31959"/>
    <cellStyle name="20% - 强调文字颜色 4 2 18 2" xfId="2673"/>
    <cellStyle name="20% - 强调文字颜色 4 2 18 3" xfId="5972"/>
    <cellStyle name="20% - 强调文字颜色 4 2 18 4" xfId="12123"/>
    <cellStyle name="20% - 强调文字颜色 4 2 18 5" xfId="14357"/>
    <cellStyle name="20% - 强调文字颜色 4 2 18 6" xfId="7772"/>
    <cellStyle name="20% - 强调文字颜色 4 2 18 7" xfId="18276"/>
    <cellStyle name="20% - 强调文字颜色 4 2 18 8" xfId="22351"/>
    <cellStyle name="20% - 强调文字颜色 4 2 18 9" xfId="20844"/>
    <cellStyle name="20% - 强调文字颜色 4 2 19" xfId="2664"/>
    <cellStyle name="20% - 强调文字颜色 4 2 19 2" xfId="23561"/>
    <cellStyle name="20% - 强调文字颜色 4 2 19 2 2" xfId="23625"/>
    <cellStyle name="20% - 强调文字颜色 4 2 19 2 2 2" xfId="29599"/>
    <cellStyle name="20% - 强调文字颜色 4 2 19 2 2 2 2" xfId="29636"/>
    <cellStyle name="20% - 强调文字颜色 4 2 19 2 3" xfId="26210"/>
    <cellStyle name="20% - 强调文字颜色 4 2 19 2 4" xfId="31860"/>
    <cellStyle name="20% - 强调文字颜色 4 2 19 2 5" xfId="33220"/>
    <cellStyle name="20% - 强调文字颜色 4 2 19 3" xfId="26146"/>
    <cellStyle name="20% - 强调文字颜色 4 2 19 3 2" xfId="26975"/>
    <cellStyle name="20% - 强调文字颜色 4 2 19 3 2 2" xfId="27041"/>
    <cellStyle name="20% - 强调文字颜色 4 2 19 3 2 2 2" xfId="33452"/>
    <cellStyle name="20% - 强调文字颜色 4 2 19 3 2 2 2 2" xfId="33472"/>
    <cellStyle name="20% - 强调文字颜色 4 2 19 3 2 3" xfId="33590"/>
    <cellStyle name="20% - 强调文字颜色 4 2 19 3 3" xfId="29689"/>
    <cellStyle name="20% - 强调文字颜色 4 2 19 3 3 2" xfId="33573"/>
    <cellStyle name="20% - 强调文字颜色 4 2 19 4" xfId="27650"/>
    <cellStyle name="20% - 强调文字颜色 4 2 19 4 2" xfId="31508"/>
    <cellStyle name="20% - 强调文字颜色 4 2 19 5" xfId="33232"/>
    <cellStyle name="20% - 强调文字颜色 4 2 2" xfId="422"/>
    <cellStyle name="20% - 强调文字颜色 4 2 2 10" xfId="10955"/>
    <cellStyle name="20% - 强调文字颜色 4 2 2 10 2" xfId="23754"/>
    <cellStyle name="20% - 强调文字颜色 4 2 2 10 2 2" xfId="26973"/>
    <cellStyle name="20% - 强调文字颜色 4 2 2 10 2 2 2" xfId="27114"/>
    <cellStyle name="20% - 强调文字颜色 4 2 2 10 3" xfId="26339"/>
    <cellStyle name="20% - 强调文字颜色 4 2 2 10 4" xfId="23509"/>
    <cellStyle name="20% - 强调文字颜色 4 2 2 11" xfId="12124"/>
    <cellStyle name="20% - 强调文字颜色 4 2 2 12" xfId="14358"/>
    <cellStyle name="20% - 强调文字颜色 4 2 2 13" xfId="7771"/>
    <cellStyle name="20% - 强调文字颜色 4 2 2 13 2" xfId="29404"/>
    <cellStyle name="20% - 强调文字颜色 4 2 2 13 2 2" xfId="32942"/>
    <cellStyle name="20% - 强调文字颜色 4 2 2 13 3" xfId="29797"/>
    <cellStyle name="20% - 强调文字颜色 4 2 2 13 4" xfId="24420"/>
    <cellStyle name="20% - 强调文字颜色 4 2 2 14" xfId="18277"/>
    <cellStyle name="20% - 强调文字颜色 4 2 2 15" xfId="21824"/>
    <cellStyle name="20% - 强调文字颜色 4 2 2 15 2" xfId="29507"/>
    <cellStyle name="20% - 强调文字颜色 4 2 2 16" xfId="20203"/>
    <cellStyle name="20% - 强调文字颜色 4 2 2 16 2" xfId="29691"/>
    <cellStyle name="20% - 强调文字颜色 4 2 2 17" xfId="30082"/>
    <cellStyle name="20% - 强调文字颜色 4 2 2 18" xfId="31316"/>
    <cellStyle name="20% - 强调文字颜色 4 2 2 2" xfId="423"/>
    <cellStyle name="20% - 强调文字颜色 4 2 2 2 10" xfId="23333"/>
    <cellStyle name="20% - 强调文字颜色 4 2 2 2 10 2" xfId="29508"/>
    <cellStyle name="20% - 强调文字颜色 4 2 2 2 11" xfId="20034"/>
    <cellStyle name="20% - 强调文字颜色 4 2 2 2 11 2" xfId="29681"/>
    <cellStyle name="20% - 强调文字颜色 4 2 2 2 12" xfId="30083"/>
    <cellStyle name="20% - 强调文字颜色 4 2 2 2 13" xfId="32823"/>
    <cellStyle name="20% - 强调文字颜色 4 2 2 2 2" xfId="424"/>
    <cellStyle name="20% - 强调文字颜色 4 2 2 2 2 2" xfId="5975"/>
    <cellStyle name="20% - 强调文字颜色 4 2 2 2 2 3" xfId="12126"/>
    <cellStyle name="20% - 强调文字颜色 4 2 2 2 2 3 2" xfId="23851"/>
    <cellStyle name="20% - 强调文字颜色 4 2 2 2 2 3 3" xfId="26436"/>
    <cellStyle name="20% - 强调文字颜色 4 2 2 2 2 3 4" xfId="23565"/>
    <cellStyle name="20% - 强调文字颜色 4 2 2 2 2 4" xfId="7769"/>
    <cellStyle name="20% - 强调文字颜色 4 2 2 2 2 4 2" xfId="26545"/>
    <cellStyle name="20% - 强调文字颜色 4 2 2 2 2 4 2 2" xfId="27044"/>
    <cellStyle name="20% - 强调文字颜色 4 2 2 2 2 4 3" xfId="26150"/>
    <cellStyle name="20% - 强调文字颜色 4 2 2 2 2 5" xfId="18279"/>
    <cellStyle name="20% - 强调文字颜色 4 2 2 2 2 6" xfId="22350"/>
    <cellStyle name="20% - 强调文字颜色 4 2 2 2 2 6 2" xfId="29602"/>
    <cellStyle name="20% - 强调文字颜色 4 2 2 2 2 6 2 2" xfId="33212"/>
    <cellStyle name="20% - 强调文字颜色 4 2 2 2 2 6 3" xfId="33547"/>
    <cellStyle name="20% - 强调文字颜色 4 2 2 2 2 7" xfId="21494"/>
    <cellStyle name="20% - 强调文字颜色 4 2 2 2 2 7 2" xfId="29704"/>
    <cellStyle name="20% - 强调文字颜色 4 2 2 2 2 8" xfId="31511"/>
    <cellStyle name="20% - 强调文字颜色 4 2 2 2 2 9" xfId="33231"/>
    <cellStyle name="20% - 强调文字颜色 4 2 2 2 3" xfId="2675"/>
    <cellStyle name="20% - 强调文字颜色 4 2 2 2 3 2" xfId="23627"/>
    <cellStyle name="20% - 强调文字颜色 4 2 2 2 3 2 2" xfId="26546"/>
    <cellStyle name="20% - 强调文字颜色 4 2 2 2 3 2 2 2" xfId="27075"/>
    <cellStyle name="20% - 强调文字颜色 4 2 2 2 3 3" xfId="26212"/>
    <cellStyle name="20% - 强调文字颜色 4 2 2 2 4" xfId="5974"/>
    <cellStyle name="20% - 强调文字颜色 4 2 2 2 4 2" xfId="8557"/>
    <cellStyle name="20% - 强调文字颜色 4 2 2 2 4 2 2" xfId="26547"/>
    <cellStyle name="20% - 强调文字颜色 4 2 2 2 4 2 2 2" xfId="27091"/>
    <cellStyle name="20% - 强调文字颜色 4 2 2 2 4 2 2 2 2" xfId="32944"/>
    <cellStyle name="20% - 强调文字颜色 4 2 2 2 4 2 2 2 2 2" xfId="33496"/>
    <cellStyle name="20% - 强调文字颜色 4 2 2 2 4 2 2 3" xfId="33612"/>
    <cellStyle name="20% - 强调文字颜色 4 2 2 2 4 2 3" xfId="29431"/>
    <cellStyle name="20% - 强调文字颜色 4 2 2 2 4 2 3 2" xfId="29796"/>
    <cellStyle name="20% - 强调文字颜色 4 2 2 2 4 3" xfId="8237"/>
    <cellStyle name="20% - 强调文字颜色 4 2 2 2 4 3 2" xfId="29364"/>
    <cellStyle name="20% - 强调文字颜色 4 2 2 2 4 3 2 2" xfId="29421"/>
    <cellStyle name="20% - 强调文字颜色 4 2 2 2 4 4" xfId="21909"/>
    <cellStyle name="20% - 强调文字颜色 4 2 2 2 4 5" xfId="21922"/>
    <cellStyle name="20% - 强调文字颜色 4 2 2 2 4 6" xfId="29513"/>
    <cellStyle name="20% - 强调文字颜色 4 2 2 2 4 7" xfId="32048"/>
    <cellStyle name="20% - 强调文字颜色 4 2 2 2 4 8" xfId="32954"/>
    <cellStyle name="20% - 强调文字颜色 4 2 2 2 5" xfId="10956"/>
    <cellStyle name="20% - 强调文字颜色 4 2 2 2 5 2" xfId="23755"/>
    <cellStyle name="20% - 强调文字颜色 4 2 2 2 5 2 2" xfId="26974"/>
    <cellStyle name="20% - 强调文字颜色 4 2 2 2 5 2 2 2" xfId="27115"/>
    <cellStyle name="20% - 强调文字颜色 4 2 2 2 5 3" xfId="26340"/>
    <cellStyle name="20% - 强调文字颜色 4 2 2 2 5 4" xfId="23510"/>
    <cellStyle name="20% - 强调文字颜色 4 2 2 2 6" xfId="12125"/>
    <cellStyle name="20% - 强调文字颜色 4 2 2 2 7" xfId="14359"/>
    <cellStyle name="20% - 强调文字颜色 4 2 2 2 8" xfId="7770"/>
    <cellStyle name="20% - 强调文字颜色 4 2 2 2 8 2" xfId="29403"/>
    <cellStyle name="20% - 强调文字颜色 4 2 2 2 8 2 2" xfId="32943"/>
    <cellStyle name="20% - 强调文字颜色 4 2 2 2 8 3" xfId="31853"/>
    <cellStyle name="20% - 强调文字颜色 4 2 2 2 8 4" xfId="24421"/>
    <cellStyle name="20% - 强调文字颜色 4 2 2 2 9" xfId="18278"/>
    <cellStyle name="20% - 强调文字颜色 4 2 2 3" xfId="425"/>
    <cellStyle name="20% - 强调文字颜色 4 2 2 3 10" xfId="30084"/>
    <cellStyle name="20% - 强调文字颜色 4 2 2 3 11" xfId="31958"/>
    <cellStyle name="20% - 强调文字颜色 4 2 2 3 2" xfId="2676"/>
    <cellStyle name="20% - 强调文字颜色 4 2 2 3 3" xfId="5976"/>
    <cellStyle name="20% - 强调文字颜色 4 2 2 3 4" xfId="12127"/>
    <cellStyle name="20% - 强调文字颜色 4 2 2 3 5" xfId="14360"/>
    <cellStyle name="20% - 强调文字颜色 4 2 2 3 6" xfId="7768"/>
    <cellStyle name="20% - 强调文字颜色 4 2 2 3 7" xfId="18280"/>
    <cellStyle name="20% - 强调文字颜色 4 2 2 3 8" xfId="21823"/>
    <cellStyle name="20% - 强调文字颜色 4 2 2 3 9" xfId="20295"/>
    <cellStyle name="20% - 强调文字颜色 4 2 2 4" xfId="426"/>
    <cellStyle name="20% - 强调文字颜色 4 2 2 4 10" xfId="30085"/>
    <cellStyle name="20% - 强调文字颜色 4 2 2 4 11" xfId="31315"/>
    <cellStyle name="20% - 强调文字颜色 4 2 2 4 2" xfId="2677"/>
    <cellStyle name="20% - 强调文字颜色 4 2 2 4 3" xfId="5977"/>
    <cellStyle name="20% - 强调文字颜色 4 2 2 4 4" xfId="12128"/>
    <cellStyle name="20% - 强调文字颜色 4 2 2 4 5" xfId="14361"/>
    <cellStyle name="20% - 强调文字颜色 4 2 2 4 6" xfId="7767"/>
    <cellStyle name="20% - 强调文字颜色 4 2 2 4 7" xfId="18281"/>
    <cellStyle name="20% - 强调文字颜色 4 2 2 4 8" xfId="23332"/>
    <cellStyle name="20% - 强调文字颜色 4 2 2 4 9" xfId="21262"/>
    <cellStyle name="20% - 强调文字颜色 4 2 2 5" xfId="427"/>
    <cellStyle name="20% - 强调文字颜色 4 2 2 5 10" xfId="30086"/>
    <cellStyle name="20% - 强调文字颜色 4 2 2 5 11" xfId="32822"/>
    <cellStyle name="20% - 强调文字颜色 4 2 2 5 2" xfId="2678"/>
    <cellStyle name="20% - 强调文字颜色 4 2 2 5 3" xfId="5978"/>
    <cellStyle name="20% - 强调文字颜色 4 2 2 5 4" xfId="12129"/>
    <cellStyle name="20% - 强调文字颜色 4 2 2 5 5" xfId="14362"/>
    <cellStyle name="20% - 强调文字颜色 4 2 2 5 6" xfId="11628"/>
    <cellStyle name="20% - 强调文字颜色 4 2 2 5 7" xfId="18282"/>
    <cellStyle name="20% - 强调文字颜色 4 2 2 5 8" xfId="22349"/>
    <cellStyle name="20% - 强调文字颜色 4 2 2 5 9" xfId="20843"/>
    <cellStyle name="20% - 强调文字颜色 4 2 2 6" xfId="428"/>
    <cellStyle name="20% - 强调文字颜色 4 2 2 6 10" xfId="30087"/>
    <cellStyle name="20% - 强调文字颜色 4 2 2 6 11" xfId="31957"/>
    <cellStyle name="20% - 强调文字颜色 4 2 2 6 2" xfId="2679"/>
    <cellStyle name="20% - 强调文字颜色 4 2 2 6 3" xfId="5979"/>
    <cellStyle name="20% - 强调文字颜色 4 2 2 6 4" xfId="12130"/>
    <cellStyle name="20% - 强调文字颜色 4 2 2 6 5" xfId="14363"/>
    <cellStyle name="20% - 强调文字颜色 4 2 2 6 6" xfId="10533"/>
    <cellStyle name="20% - 强调文字颜色 4 2 2 6 7" xfId="18283"/>
    <cellStyle name="20% - 强调文字颜色 4 2 2 6 8" xfId="21822"/>
    <cellStyle name="20% - 强调文字颜色 4 2 2 6 9" xfId="20202"/>
    <cellStyle name="20% - 强调文字颜色 4 2 2 7" xfId="429"/>
    <cellStyle name="20% - 强调文字颜色 4 2 2 7 10" xfId="30088"/>
    <cellStyle name="20% - 强调文字颜色 4 2 2 7 11" xfId="31314"/>
    <cellStyle name="20% - 强调文字颜色 4 2 2 7 2" xfId="2680"/>
    <cellStyle name="20% - 强调文字颜色 4 2 2 7 3" xfId="5980"/>
    <cellStyle name="20% - 强调文字颜色 4 2 2 7 4" xfId="12131"/>
    <cellStyle name="20% - 强调文字颜色 4 2 2 7 5" xfId="14364"/>
    <cellStyle name="20% - 强调文字颜色 4 2 2 7 6" xfId="11627"/>
    <cellStyle name="20% - 强调文字颜色 4 2 2 7 7" xfId="18284"/>
    <cellStyle name="20% - 强调文字颜色 4 2 2 7 8" xfId="23331"/>
    <cellStyle name="20% - 强调文字颜色 4 2 2 7 9" xfId="20033"/>
    <cellStyle name="20% - 强调文字颜色 4 2 2 8" xfId="2674"/>
    <cellStyle name="20% - 强调文字颜色 4 2 2 8 2" xfId="23564"/>
    <cellStyle name="20% - 强调文字颜色 4 2 2 8 2 2" xfId="23626"/>
    <cellStyle name="20% - 强调文字颜色 4 2 2 8 2 2 2" xfId="29601"/>
    <cellStyle name="20% - 强调文字颜色 4 2 2 8 2 2 2 2" xfId="29637"/>
    <cellStyle name="20% - 强调文字颜色 4 2 2 8 2 3" xfId="26211"/>
    <cellStyle name="20% - 强调文字颜色 4 2 2 8 2 4" xfId="31861"/>
    <cellStyle name="20% - 强调文字颜色 4 2 2 8 2 5" xfId="32548"/>
    <cellStyle name="20% - 强调文字颜色 4 2 2 8 3" xfId="26149"/>
    <cellStyle name="20% - 强调文字颜色 4 2 2 8 3 2" xfId="26976"/>
    <cellStyle name="20% - 强调文字颜色 4 2 2 8 3 2 2" xfId="27043"/>
    <cellStyle name="20% - 强调文字颜色 4 2 2 8 3 2 2 2" xfId="33453"/>
    <cellStyle name="20% - 强调文字颜色 4 2 2 8 3 2 2 2 2" xfId="33473"/>
    <cellStyle name="20% - 强调文字颜色 4 2 2 8 3 2 3" xfId="33591"/>
    <cellStyle name="20% - 强调文字颜色 4 2 2 8 3 3" xfId="29528"/>
    <cellStyle name="20% - 强调文字颜色 4 2 2 8 3 3 2" xfId="33574"/>
    <cellStyle name="20% - 强调文字颜色 4 2 2 8 4" xfId="27651"/>
    <cellStyle name="20% - 强调文字颜色 4 2 2 8 4 2" xfId="31510"/>
    <cellStyle name="20% - 强调文字颜色 4 2 2 8 5" xfId="31630"/>
    <cellStyle name="20% - 强调文字颜色 4 2 2 9" xfId="5973"/>
    <cellStyle name="20% - 强调文字颜色 4 2 2 9 2" xfId="8556"/>
    <cellStyle name="20% - 强调文字颜色 4 2 2 9 2 2" xfId="26548"/>
    <cellStyle name="20% - 强调文字颜色 4 2 2 9 2 2 2" xfId="27090"/>
    <cellStyle name="20% - 强调文字颜色 4 2 2 9 2 2 2 2" xfId="32945"/>
    <cellStyle name="20% - 强调文字颜色 4 2 2 9 2 2 2 2 2" xfId="33495"/>
    <cellStyle name="20% - 强调文字颜色 4 2 2 9 2 2 3" xfId="33611"/>
    <cellStyle name="20% - 强调文字颜色 4 2 2 9 2 3" xfId="29430"/>
    <cellStyle name="20% - 强调文字颜色 4 2 2 9 2 3 2" xfId="31852"/>
    <cellStyle name="20% - 强调文字颜色 4 2 2 9 3" xfId="10921"/>
    <cellStyle name="20% - 强调文字颜色 4 2 2 9 3 2" xfId="29363"/>
    <cellStyle name="20% - 强调文字颜色 4 2 2 9 3 2 2" xfId="29454"/>
    <cellStyle name="20% - 强调文字颜色 4 2 2 9 4" xfId="21908"/>
    <cellStyle name="20% - 强调文字颜色 4 2 2 9 5" xfId="22915"/>
    <cellStyle name="20% - 强调文字颜色 4 2 2 9 6" xfId="29641"/>
    <cellStyle name="20% - 强调文字颜色 4 2 2 9 7" xfId="32047"/>
    <cellStyle name="20% - 强调文字颜色 4 2 2 9 8" xfId="33218"/>
    <cellStyle name="20% - 强调文字颜色 4 2 20" xfId="5962"/>
    <cellStyle name="20% - 强调文字颜色 4 2 20 2" xfId="8554"/>
    <cellStyle name="20% - 强调文字颜色 4 2 20 2 2" xfId="26549"/>
    <cellStyle name="20% - 强调文字颜色 4 2 20 2 2 2" xfId="27089"/>
    <cellStyle name="20% - 强调文字颜色 4 2 20 2 2 2 2" xfId="32946"/>
    <cellStyle name="20% - 强调文字颜色 4 2 20 2 2 2 2 2" xfId="33494"/>
    <cellStyle name="20% - 强调文字颜色 4 2 20 2 2 3" xfId="33610"/>
    <cellStyle name="20% - 强调文字颜色 4 2 20 2 3" xfId="29428"/>
    <cellStyle name="20% - 强调文字颜色 4 2 20 2 3 2" xfId="29795"/>
    <cellStyle name="20% - 强调文字颜色 4 2 20 3" xfId="8239"/>
    <cellStyle name="20% - 强调文字颜色 4 2 20 3 2" xfId="29361"/>
    <cellStyle name="20% - 强调文字颜色 4 2 20 3 2 2" xfId="29422"/>
    <cellStyle name="20% - 强调文字颜色 4 2 20 4" xfId="21906"/>
    <cellStyle name="20% - 强调文字颜色 4 2 20 5" xfId="21549"/>
    <cellStyle name="20% - 强调文字颜色 4 2 20 6" xfId="29514"/>
    <cellStyle name="20% - 强调文字颜色 4 2 20 7" xfId="32045"/>
    <cellStyle name="20% - 强调文字颜色 4 2 20 8" xfId="32092"/>
    <cellStyle name="20% - 强调文字颜色 4 2 21" xfId="10953"/>
    <cellStyle name="20% - 强调文字颜色 4 2 21 2" xfId="23753"/>
    <cellStyle name="20% - 强调文字颜色 4 2 21 2 2" xfId="26972"/>
    <cellStyle name="20% - 强调文字颜色 4 2 21 2 2 2" xfId="27113"/>
    <cellStyle name="20% - 强调文字颜色 4 2 21 3" xfId="26338"/>
    <cellStyle name="20% - 强调文字颜色 4 2 21 4" xfId="23508"/>
    <cellStyle name="20% - 强调文字颜色 4 2 22" xfId="12113"/>
    <cellStyle name="20% - 强调文字颜色 4 2 23" xfId="14348"/>
    <cellStyle name="20% - 强调文字颜色 4 2 24" xfId="11632"/>
    <cellStyle name="20% - 强调文字颜色 4 2 24 2" xfId="29461"/>
    <cellStyle name="20% - 强调文字颜色 4 2 24 2 2" xfId="32941"/>
    <cellStyle name="20% - 强调文字颜色 4 2 24 3" xfId="32307"/>
    <cellStyle name="20% - 强调文字颜色 4 2 24 4" xfId="24418"/>
    <cellStyle name="20% - 强调文字颜色 4 2 25" xfId="17434"/>
    <cellStyle name="20% - 强调文字颜色 4 2 25 2" xfId="26701"/>
    <cellStyle name="20% - 强调文字颜色 4 2 26" xfId="17520"/>
    <cellStyle name="20% - 强调文字颜色 4 2 26 2" xfId="29505"/>
    <cellStyle name="20% - 强调文字颜色 4 2 26 3" xfId="27143"/>
    <cellStyle name="20% - 强调文字颜色 4 2 27" xfId="17606"/>
    <cellStyle name="20% - 强调文字颜色 4 2 28" xfId="17692"/>
    <cellStyle name="20% - 强调文字颜色 4 2 29" xfId="17778"/>
    <cellStyle name="20% - 强调文字颜色 4 2 3" xfId="430"/>
    <cellStyle name="20% - 强调文字颜色 4 2 3 10" xfId="30089"/>
    <cellStyle name="20% - 强调文字颜色 4 2 3 11" xfId="33418"/>
    <cellStyle name="20% - 强调文字颜色 4 2 3 2" xfId="2681"/>
    <cellStyle name="20% - 强调文字颜色 4 2 3 3" xfId="5981"/>
    <cellStyle name="20% - 强调文字颜色 4 2 3 4" xfId="12132"/>
    <cellStyle name="20% - 强调文字颜色 4 2 3 5" xfId="14365"/>
    <cellStyle name="20% - 强调文字颜色 4 2 3 6" xfId="10532"/>
    <cellStyle name="20% - 强调文字颜色 4 2 3 7" xfId="18285"/>
    <cellStyle name="20% - 强调文字颜色 4 2 3 8" xfId="22348"/>
    <cellStyle name="20% - 强调文字颜色 4 2 3 9" xfId="21493"/>
    <cellStyle name="20% - 强调文字颜色 4 2 30" xfId="18266"/>
    <cellStyle name="20% - 强调文字颜色 4 2 31" xfId="23338"/>
    <cellStyle name="20% - 强调文字颜色 4 2 32" xfId="20036"/>
    <cellStyle name="20% - 强调文字颜色 4 2 4" xfId="431"/>
    <cellStyle name="20% - 强调文字颜色 4 2 4 10" xfId="30090"/>
    <cellStyle name="20% - 强调文字颜色 4 2 4 11" xfId="33179"/>
    <cellStyle name="20% - 强调文字颜色 4 2 4 2" xfId="2682"/>
    <cellStyle name="20% - 强调文字颜色 4 2 4 3" xfId="5982"/>
    <cellStyle name="20% - 强调文字颜色 4 2 4 4" xfId="12133"/>
    <cellStyle name="20% - 强调文字颜色 4 2 4 5" xfId="14366"/>
    <cellStyle name="20% - 强调文字颜色 4 2 4 6" xfId="7765"/>
    <cellStyle name="20% - 强调文字颜色 4 2 4 7" xfId="18286"/>
    <cellStyle name="20% - 强调文字颜色 4 2 4 8" xfId="21821"/>
    <cellStyle name="20% - 强调文字颜色 4 2 4 9" xfId="20296"/>
    <cellStyle name="20% - 强调文字颜色 4 2 5" xfId="432"/>
    <cellStyle name="20% - 强调文字颜色 4 2 5 10" xfId="30091"/>
    <cellStyle name="20% - 强调文字颜色 4 2 5 11" xfId="32817"/>
    <cellStyle name="20% - 强调文字颜色 4 2 5 2" xfId="2683"/>
    <cellStyle name="20% - 强调文字颜色 4 2 5 3" xfId="5983"/>
    <cellStyle name="20% - 强调文字颜色 4 2 5 4" xfId="12134"/>
    <cellStyle name="20% - 强调文字颜色 4 2 5 5" xfId="14367"/>
    <cellStyle name="20% - 强调文字颜色 4 2 5 6" xfId="7764"/>
    <cellStyle name="20% - 强调文字颜色 4 2 5 7" xfId="18287"/>
    <cellStyle name="20% - 强调文字颜色 4 2 5 8" xfId="23330"/>
    <cellStyle name="20% - 强调文字颜色 4 2 5 9" xfId="21261"/>
    <cellStyle name="20% - 强调文字颜色 4 2 6" xfId="433"/>
    <cellStyle name="20% - 强调文字颜色 4 2 6 10" xfId="30092"/>
    <cellStyle name="20% - 强调文字颜色 4 2 6 11" xfId="32513"/>
    <cellStyle name="20% - 强调文字颜色 4 2 6 2" xfId="2684"/>
    <cellStyle name="20% - 强调文字颜色 4 2 6 3" xfId="5984"/>
    <cellStyle name="20% - 强调文字颜色 4 2 6 4" xfId="12135"/>
    <cellStyle name="20% - 强调文字颜色 4 2 6 5" xfId="14368"/>
    <cellStyle name="20% - 强调文字颜色 4 2 6 6" xfId="7763"/>
    <cellStyle name="20% - 强调文字颜色 4 2 6 7" xfId="18288"/>
    <cellStyle name="20% - 强调文字颜色 4 2 6 8" xfId="22347"/>
    <cellStyle name="20% - 强调文字颜色 4 2 6 9" xfId="20842"/>
    <cellStyle name="20% - 强调文字颜色 4 2 7" xfId="434"/>
    <cellStyle name="20% - 强调文字颜色 4 2 7 10" xfId="30093"/>
    <cellStyle name="20% - 强调文字颜色 4 2 7 11" xfId="32282"/>
    <cellStyle name="20% - 强调文字颜色 4 2 7 2" xfId="2685"/>
    <cellStyle name="20% - 强调文字颜色 4 2 7 3" xfId="5985"/>
    <cellStyle name="20% - 强调文字颜色 4 2 7 4" xfId="12136"/>
    <cellStyle name="20% - 强调文字颜色 4 2 7 5" xfId="14369"/>
    <cellStyle name="20% - 强调文字颜色 4 2 7 6" xfId="7762"/>
    <cellStyle name="20% - 强调文字颜色 4 2 7 7" xfId="18289"/>
    <cellStyle name="20% - 强调文字颜色 4 2 7 8" xfId="21820"/>
    <cellStyle name="20% - 强调文字颜色 4 2 7 9" xfId="20201"/>
    <cellStyle name="20% - 强调文字颜色 4 2 8" xfId="435"/>
    <cellStyle name="20% - 强调文字颜色 4 2 8 10" xfId="30094"/>
    <cellStyle name="20% - 强调文字颜色 4 2 8 11" xfId="31822"/>
    <cellStyle name="20% - 强调文字颜色 4 2 8 2" xfId="2686"/>
    <cellStyle name="20% - 强调文字颜色 4 2 8 3" xfId="5986"/>
    <cellStyle name="20% - 强调文字颜色 4 2 8 4" xfId="12137"/>
    <cellStyle name="20% - 强调文字颜色 4 2 8 5" xfId="14370"/>
    <cellStyle name="20% - 强调文字颜色 4 2 8 6" xfId="7761"/>
    <cellStyle name="20% - 强调文字颜色 4 2 8 7" xfId="18290"/>
    <cellStyle name="20% - 强调文字颜色 4 2 8 8" xfId="23329"/>
    <cellStyle name="20% - 强调文字颜色 4 2 8 9" xfId="20032"/>
    <cellStyle name="20% - 强调文字颜色 4 2 9" xfId="436"/>
    <cellStyle name="20% - 强调文字颜色 4 2 9 10" xfId="30095"/>
    <cellStyle name="20% - 强调文字颜色 4 2 9 11" xfId="32821"/>
    <cellStyle name="20% - 强调文字颜色 4 2 9 2" xfId="2687"/>
    <cellStyle name="20% - 强调文字颜色 4 2 9 3" xfId="5987"/>
    <cellStyle name="20% - 强调文字颜色 4 2 9 4" xfId="12138"/>
    <cellStyle name="20% - 强调文字颜色 4 2 9 5" xfId="14371"/>
    <cellStyle name="20% - 强调文字颜色 4 2 9 6" xfId="7760"/>
    <cellStyle name="20% - 强调文字颜色 4 2 9 7" xfId="18291"/>
    <cellStyle name="20% - 强调文字颜色 4 2 9 8" xfId="22346"/>
    <cellStyle name="20% - 强调文字颜色 4 2 9 9" xfId="21259"/>
    <cellStyle name="20% - 强调文字颜色 4 20" xfId="437"/>
    <cellStyle name="20% - 强调文字颜色 4 20 10" xfId="2689"/>
    <cellStyle name="20% - 强调文字颜色 4 20 10 2" xfId="8558"/>
    <cellStyle name="20% - 强调文字颜色 4 20 10 3" xfId="14373"/>
    <cellStyle name="20% - 强调文字颜色 4 20 10 4" xfId="24422"/>
    <cellStyle name="20% - 强调文字颜色 4 20 10 5" xfId="27653"/>
    <cellStyle name="20% - 强调文字颜色 4 20 11" xfId="2690"/>
    <cellStyle name="20% - 强调文字颜色 4 20 11 2" xfId="8559"/>
    <cellStyle name="20% - 强调文字颜色 4 20 11 3" xfId="14374"/>
    <cellStyle name="20% - 强调文字颜色 4 20 11 4" xfId="24423"/>
    <cellStyle name="20% - 强调文字颜色 4 20 11 5" xfId="27654"/>
    <cellStyle name="20% - 强调文字颜色 4 20 12" xfId="2691"/>
    <cellStyle name="20% - 强调文字颜色 4 20 12 2" xfId="8560"/>
    <cellStyle name="20% - 强调文字颜色 4 20 12 3" xfId="14375"/>
    <cellStyle name="20% - 强调文字颜色 4 20 12 4" xfId="24424"/>
    <cellStyle name="20% - 强调文字颜色 4 20 12 5" xfId="27655"/>
    <cellStyle name="20% - 强调文字颜色 4 20 13" xfId="2692"/>
    <cellStyle name="20% - 强调文字颜色 4 20 13 2" xfId="8561"/>
    <cellStyle name="20% - 强调文字颜色 4 20 13 3" xfId="14376"/>
    <cellStyle name="20% - 强调文字颜色 4 20 13 4" xfId="24425"/>
    <cellStyle name="20% - 强调文字颜色 4 20 13 5" xfId="27656"/>
    <cellStyle name="20% - 强调文字颜色 4 20 14" xfId="2693"/>
    <cellStyle name="20% - 强调文字颜色 4 20 14 2" xfId="8562"/>
    <cellStyle name="20% - 强调文字颜色 4 20 14 3" xfId="14377"/>
    <cellStyle name="20% - 强调文字颜色 4 20 14 4" xfId="24426"/>
    <cellStyle name="20% - 强调文字颜色 4 20 14 5" xfId="27657"/>
    <cellStyle name="20% - 强调文字颜色 4 20 15" xfId="2694"/>
    <cellStyle name="20% - 强调文字颜色 4 20 15 2" xfId="8563"/>
    <cellStyle name="20% - 强调文字颜色 4 20 15 3" xfId="14378"/>
    <cellStyle name="20% - 强调文字颜色 4 20 15 4" xfId="24427"/>
    <cellStyle name="20% - 强调文字颜色 4 20 15 5" xfId="27658"/>
    <cellStyle name="20% - 强调文字颜色 4 20 16" xfId="2695"/>
    <cellStyle name="20% - 强调文字颜色 4 20 16 2" xfId="8564"/>
    <cellStyle name="20% - 强调文字颜色 4 20 16 3" xfId="14379"/>
    <cellStyle name="20% - 强调文字颜色 4 20 16 4" xfId="24428"/>
    <cellStyle name="20% - 强调文字颜色 4 20 16 5" xfId="27659"/>
    <cellStyle name="20% - 强调文字颜色 4 20 17" xfId="2696"/>
    <cellStyle name="20% - 强调文字颜色 4 20 17 2" xfId="8565"/>
    <cellStyle name="20% - 强调文字颜色 4 20 17 3" xfId="14380"/>
    <cellStyle name="20% - 强调文字颜色 4 20 17 4" xfId="24429"/>
    <cellStyle name="20% - 强调文字颜色 4 20 17 5" xfId="27660"/>
    <cellStyle name="20% - 强调文字颜色 4 20 18" xfId="2697"/>
    <cellStyle name="20% - 强调文字颜色 4 20 18 2" xfId="8566"/>
    <cellStyle name="20% - 强调文字颜色 4 20 18 3" xfId="14381"/>
    <cellStyle name="20% - 强调文字颜色 4 20 18 4" xfId="24430"/>
    <cellStyle name="20% - 强调文字颜色 4 20 18 5" xfId="27661"/>
    <cellStyle name="20% - 强调文字颜色 4 20 19" xfId="2698"/>
    <cellStyle name="20% - 强调文字颜色 4 20 19 2" xfId="8567"/>
    <cellStyle name="20% - 强调文字颜色 4 20 19 3" xfId="14382"/>
    <cellStyle name="20% - 强调文字颜色 4 20 19 4" xfId="24431"/>
    <cellStyle name="20% - 强调文字颜色 4 20 19 5" xfId="27662"/>
    <cellStyle name="20% - 强调文字颜色 4 20 2" xfId="2688"/>
    <cellStyle name="20% - 强调文字颜色 4 20 2 2" xfId="8568"/>
    <cellStyle name="20% - 强调文字颜色 4 20 2 3" xfId="14383"/>
    <cellStyle name="20% - 强调文字颜色 4 20 2 4" xfId="24432"/>
    <cellStyle name="20% - 强调文字颜色 4 20 2 5" xfId="27652"/>
    <cellStyle name="20% - 强调文字颜色 4 20 20" xfId="2700"/>
    <cellStyle name="20% - 强调文字颜色 4 20 20 2" xfId="8569"/>
    <cellStyle name="20% - 强调文字颜色 4 20 20 3" xfId="14384"/>
    <cellStyle name="20% - 强调文字颜色 4 20 20 4" xfId="24433"/>
    <cellStyle name="20% - 强调文字颜色 4 20 20 5" xfId="27663"/>
    <cellStyle name="20% - 强调文字颜色 4 20 21" xfId="2701"/>
    <cellStyle name="20% - 强调文字颜色 4 20 21 2" xfId="8570"/>
    <cellStyle name="20% - 强调文字颜色 4 20 21 3" xfId="14385"/>
    <cellStyle name="20% - 强调文字颜色 4 20 21 4" xfId="24434"/>
    <cellStyle name="20% - 强调文字颜色 4 20 21 5" xfId="27664"/>
    <cellStyle name="20% - 强调文字颜色 4 20 22" xfId="2702"/>
    <cellStyle name="20% - 强调文字颜色 4 20 22 2" xfId="8571"/>
    <cellStyle name="20% - 强调文字颜色 4 20 22 3" xfId="14386"/>
    <cellStyle name="20% - 强调文字颜色 4 20 22 4" xfId="24435"/>
    <cellStyle name="20% - 强调文字颜色 4 20 22 5" xfId="27665"/>
    <cellStyle name="20% - 强调文字颜色 4 20 23" xfId="2703"/>
    <cellStyle name="20% - 强调文字颜色 4 20 23 2" xfId="8572"/>
    <cellStyle name="20% - 强调文字颜色 4 20 23 3" xfId="14387"/>
    <cellStyle name="20% - 强调文字颜色 4 20 23 4" xfId="24436"/>
    <cellStyle name="20% - 强调文字颜色 4 20 23 5" xfId="27666"/>
    <cellStyle name="20% - 强调文字颜色 4 20 24" xfId="5988"/>
    <cellStyle name="20% - 强调文字颜色 4 20 25" xfId="10957"/>
    <cellStyle name="20% - 强调文字颜色 4 20 26" xfId="12139"/>
    <cellStyle name="20% - 强调文字颜色 4 20 27" xfId="14372"/>
    <cellStyle name="20% - 强调文字颜色 4 20 28" xfId="7759"/>
    <cellStyle name="20% - 强调文字颜色 4 20 29" xfId="18292"/>
    <cellStyle name="20% - 强调文字颜色 4 20 3" xfId="2704"/>
    <cellStyle name="20% - 强调文字颜色 4 20 3 2" xfId="8573"/>
    <cellStyle name="20% - 强调文字颜色 4 20 3 3" xfId="14388"/>
    <cellStyle name="20% - 强调文字颜色 4 20 3 4" xfId="24437"/>
    <cellStyle name="20% - 强调文字颜色 4 20 3 5" xfId="27667"/>
    <cellStyle name="20% - 强调文字颜色 4 20 30" xfId="21819"/>
    <cellStyle name="20% - 强调文字颜色 4 20 31" xfId="20682"/>
    <cellStyle name="20% - 强调文字颜色 4 20 32" xfId="30096"/>
    <cellStyle name="20% - 强调文字颜色 4 20 33" xfId="31956"/>
    <cellStyle name="20% - 强调文字颜色 4 20 4" xfId="2705"/>
    <cellStyle name="20% - 强调文字颜色 4 20 4 2" xfId="8574"/>
    <cellStyle name="20% - 强调文字颜色 4 20 4 3" xfId="14389"/>
    <cellStyle name="20% - 强调文字颜色 4 20 4 4" xfId="24438"/>
    <cellStyle name="20% - 强调文字颜色 4 20 4 5" xfId="27668"/>
    <cellStyle name="20% - 强调文字颜色 4 20 5" xfId="2706"/>
    <cellStyle name="20% - 强调文字颜色 4 20 5 2" xfId="8575"/>
    <cellStyle name="20% - 强调文字颜色 4 20 5 3" xfId="14390"/>
    <cellStyle name="20% - 强调文字颜色 4 20 5 4" xfId="24439"/>
    <cellStyle name="20% - 强调文字颜色 4 20 5 5" xfId="27669"/>
    <cellStyle name="20% - 强调文字颜色 4 20 6" xfId="2707"/>
    <cellStyle name="20% - 强调文字颜色 4 20 6 2" xfId="8576"/>
    <cellStyle name="20% - 强调文字颜色 4 20 6 3" xfId="14391"/>
    <cellStyle name="20% - 强调文字颜色 4 20 6 4" xfId="24440"/>
    <cellStyle name="20% - 强调文字颜色 4 20 6 5" xfId="27670"/>
    <cellStyle name="20% - 强调文字颜色 4 20 7" xfId="2708"/>
    <cellStyle name="20% - 强调文字颜色 4 20 7 2" xfId="8577"/>
    <cellStyle name="20% - 强调文字颜色 4 20 7 3" xfId="14392"/>
    <cellStyle name="20% - 强调文字颜色 4 20 7 4" xfId="24441"/>
    <cellStyle name="20% - 强调文字颜色 4 20 7 5" xfId="27671"/>
    <cellStyle name="20% - 强调文字颜色 4 20 8" xfId="2709"/>
    <cellStyle name="20% - 强调文字颜色 4 20 8 2" xfId="8578"/>
    <cellStyle name="20% - 强调文字颜色 4 20 8 3" xfId="14393"/>
    <cellStyle name="20% - 强调文字颜色 4 20 8 4" xfId="24442"/>
    <cellStyle name="20% - 强调文字颜色 4 20 8 5" xfId="27672"/>
    <cellStyle name="20% - 强调文字颜色 4 20 9" xfId="2710"/>
    <cellStyle name="20% - 强调文字颜色 4 20 9 2" xfId="8579"/>
    <cellStyle name="20% - 强调文字颜色 4 20 9 3" xfId="14394"/>
    <cellStyle name="20% - 强调文字颜色 4 20 9 4" xfId="24443"/>
    <cellStyle name="20% - 强调文字颜色 4 20 9 5" xfId="27673"/>
    <cellStyle name="20% - 强调文字颜色 4 21" xfId="438"/>
    <cellStyle name="20% - 强调文字颜色 4 21 10" xfId="2712"/>
    <cellStyle name="20% - 强调文字颜色 4 21 10 2" xfId="8580"/>
    <cellStyle name="20% - 强调文字颜色 4 21 10 3" xfId="14396"/>
    <cellStyle name="20% - 强调文字颜色 4 21 10 4" xfId="24444"/>
    <cellStyle name="20% - 强调文字颜色 4 21 10 5" xfId="27675"/>
    <cellStyle name="20% - 强调文字颜色 4 21 11" xfId="2713"/>
    <cellStyle name="20% - 强调文字颜色 4 21 11 2" xfId="8581"/>
    <cellStyle name="20% - 强调文字颜色 4 21 11 3" xfId="14397"/>
    <cellStyle name="20% - 强调文字颜色 4 21 11 4" xfId="24445"/>
    <cellStyle name="20% - 强调文字颜色 4 21 11 5" xfId="27676"/>
    <cellStyle name="20% - 强调文字颜色 4 21 12" xfId="2714"/>
    <cellStyle name="20% - 强调文字颜色 4 21 12 2" xfId="8582"/>
    <cellStyle name="20% - 强调文字颜色 4 21 12 3" xfId="14398"/>
    <cellStyle name="20% - 强调文字颜色 4 21 12 4" xfId="24446"/>
    <cellStyle name="20% - 强调文字颜色 4 21 12 5" xfId="27677"/>
    <cellStyle name="20% - 强调文字颜色 4 21 13" xfId="2715"/>
    <cellStyle name="20% - 强调文字颜色 4 21 13 2" xfId="8583"/>
    <cellStyle name="20% - 强调文字颜色 4 21 13 3" xfId="14399"/>
    <cellStyle name="20% - 强调文字颜色 4 21 13 4" xfId="24447"/>
    <cellStyle name="20% - 强调文字颜色 4 21 13 5" xfId="27678"/>
    <cellStyle name="20% - 强调文字颜色 4 21 14" xfId="2716"/>
    <cellStyle name="20% - 强调文字颜色 4 21 14 2" xfId="8584"/>
    <cellStyle name="20% - 强调文字颜色 4 21 14 3" xfId="14400"/>
    <cellStyle name="20% - 强调文字颜色 4 21 14 4" xfId="24448"/>
    <cellStyle name="20% - 强调文字颜色 4 21 14 5" xfId="27679"/>
    <cellStyle name="20% - 强调文字颜色 4 21 15" xfId="2717"/>
    <cellStyle name="20% - 强调文字颜色 4 21 15 2" xfId="8585"/>
    <cellStyle name="20% - 强调文字颜色 4 21 15 3" xfId="14401"/>
    <cellStyle name="20% - 强调文字颜色 4 21 15 4" xfId="24449"/>
    <cellStyle name="20% - 强调文字颜色 4 21 15 5" xfId="27680"/>
    <cellStyle name="20% - 强调文字颜色 4 21 16" xfId="2718"/>
    <cellStyle name="20% - 强调文字颜色 4 21 16 2" xfId="8586"/>
    <cellStyle name="20% - 强调文字颜色 4 21 16 3" xfId="14402"/>
    <cellStyle name="20% - 强调文字颜色 4 21 16 4" xfId="24450"/>
    <cellStyle name="20% - 强调文字颜色 4 21 16 5" xfId="27681"/>
    <cellStyle name="20% - 强调文字颜色 4 21 17" xfId="2719"/>
    <cellStyle name="20% - 强调文字颜色 4 21 17 2" xfId="8587"/>
    <cellStyle name="20% - 强调文字颜色 4 21 17 3" xfId="14403"/>
    <cellStyle name="20% - 强调文字颜色 4 21 17 4" xfId="24451"/>
    <cellStyle name="20% - 强调文字颜色 4 21 17 5" xfId="27682"/>
    <cellStyle name="20% - 强调文字颜色 4 21 18" xfId="2720"/>
    <cellStyle name="20% - 强调文字颜色 4 21 18 2" xfId="8588"/>
    <cellStyle name="20% - 强调文字颜色 4 21 18 3" xfId="14404"/>
    <cellStyle name="20% - 强调文字颜色 4 21 18 4" xfId="24452"/>
    <cellStyle name="20% - 强调文字颜色 4 21 18 5" xfId="27683"/>
    <cellStyle name="20% - 强调文字颜色 4 21 19" xfId="2721"/>
    <cellStyle name="20% - 强调文字颜色 4 21 19 2" xfId="8589"/>
    <cellStyle name="20% - 强调文字颜色 4 21 19 3" xfId="14405"/>
    <cellStyle name="20% - 强调文字颜色 4 21 19 4" xfId="24453"/>
    <cellStyle name="20% - 强调文字颜色 4 21 19 5" xfId="27684"/>
    <cellStyle name="20% - 强调文字颜色 4 21 2" xfId="2711"/>
    <cellStyle name="20% - 强调文字颜色 4 21 2 2" xfId="8590"/>
    <cellStyle name="20% - 强调文字颜色 4 21 2 3" xfId="14406"/>
    <cellStyle name="20% - 强调文字颜色 4 21 2 4" xfId="24454"/>
    <cellStyle name="20% - 强调文字颜色 4 21 2 5" xfId="27674"/>
    <cellStyle name="20% - 强调文字颜色 4 21 20" xfId="2723"/>
    <cellStyle name="20% - 强调文字颜色 4 21 20 2" xfId="8591"/>
    <cellStyle name="20% - 强调文字颜色 4 21 20 3" xfId="14407"/>
    <cellStyle name="20% - 强调文字颜色 4 21 20 4" xfId="24455"/>
    <cellStyle name="20% - 强调文字颜色 4 21 20 5" xfId="27685"/>
    <cellStyle name="20% - 强调文字颜色 4 21 21" xfId="2724"/>
    <cellStyle name="20% - 强调文字颜色 4 21 21 2" xfId="8592"/>
    <cellStyle name="20% - 强调文字颜色 4 21 21 3" xfId="14408"/>
    <cellStyle name="20% - 强调文字颜色 4 21 21 4" xfId="24456"/>
    <cellStyle name="20% - 强调文字颜色 4 21 21 5" xfId="27686"/>
    <cellStyle name="20% - 强调文字颜色 4 21 22" xfId="2725"/>
    <cellStyle name="20% - 强调文字颜色 4 21 22 2" xfId="8593"/>
    <cellStyle name="20% - 强调文字颜色 4 21 22 3" xfId="14409"/>
    <cellStyle name="20% - 强调文字颜色 4 21 22 4" xfId="24457"/>
    <cellStyle name="20% - 强调文字颜色 4 21 22 5" xfId="27687"/>
    <cellStyle name="20% - 强调文字颜色 4 21 23" xfId="2726"/>
    <cellStyle name="20% - 强调文字颜色 4 21 23 2" xfId="8594"/>
    <cellStyle name="20% - 强调文字颜色 4 21 23 3" xfId="14410"/>
    <cellStyle name="20% - 强调文字颜色 4 21 23 4" xfId="24458"/>
    <cellStyle name="20% - 强调文字颜色 4 21 23 5" xfId="27688"/>
    <cellStyle name="20% - 强调文字颜色 4 21 24" xfId="5989"/>
    <cellStyle name="20% - 强调文字颜色 4 21 25" xfId="10958"/>
    <cellStyle name="20% - 强调文字颜色 4 21 26" xfId="12140"/>
    <cellStyle name="20% - 强调文字颜色 4 21 27" xfId="14395"/>
    <cellStyle name="20% - 强调文字颜色 4 21 28" xfId="7750"/>
    <cellStyle name="20% - 强调文字颜色 4 21 29" xfId="18293"/>
    <cellStyle name="20% - 强调文字颜色 4 21 3" xfId="2727"/>
    <cellStyle name="20% - 强调文字颜色 4 21 3 2" xfId="8595"/>
    <cellStyle name="20% - 强调文字颜色 4 21 3 3" xfId="14411"/>
    <cellStyle name="20% - 强调文字颜色 4 21 3 4" xfId="24459"/>
    <cellStyle name="20% - 强调文字颜色 4 21 3 5" xfId="27689"/>
    <cellStyle name="20% - 强调文字颜色 4 21 30" xfId="23313"/>
    <cellStyle name="20% - 强调文字颜色 4 21 31" xfId="20030"/>
    <cellStyle name="20% - 强调文字颜色 4 21 32" xfId="30097"/>
    <cellStyle name="20% - 强调文字颜色 4 21 33" xfId="31955"/>
    <cellStyle name="20% - 强调文字颜色 4 21 4" xfId="2728"/>
    <cellStyle name="20% - 强调文字颜色 4 21 4 2" xfId="8596"/>
    <cellStyle name="20% - 强调文字颜色 4 21 4 3" xfId="14412"/>
    <cellStyle name="20% - 强调文字颜色 4 21 4 4" xfId="24460"/>
    <cellStyle name="20% - 强调文字颜色 4 21 4 5" xfId="27690"/>
    <cellStyle name="20% - 强调文字颜色 4 21 5" xfId="2729"/>
    <cellStyle name="20% - 强调文字颜色 4 21 5 2" xfId="8597"/>
    <cellStyle name="20% - 强调文字颜色 4 21 5 3" xfId="14413"/>
    <cellStyle name="20% - 强调文字颜色 4 21 5 4" xfId="24461"/>
    <cellStyle name="20% - 强调文字颜色 4 21 5 5" xfId="27691"/>
    <cellStyle name="20% - 强调文字颜色 4 21 6" xfId="2730"/>
    <cellStyle name="20% - 强调文字颜色 4 21 6 2" xfId="8598"/>
    <cellStyle name="20% - 强调文字颜色 4 21 6 3" xfId="14414"/>
    <cellStyle name="20% - 强调文字颜色 4 21 6 4" xfId="24462"/>
    <cellStyle name="20% - 强调文字颜色 4 21 6 5" xfId="27692"/>
    <cellStyle name="20% - 强调文字颜色 4 21 7" xfId="2731"/>
    <cellStyle name="20% - 强调文字颜色 4 21 7 2" xfId="8599"/>
    <cellStyle name="20% - 强调文字颜色 4 21 7 3" xfId="14415"/>
    <cellStyle name="20% - 强调文字颜色 4 21 7 4" xfId="24463"/>
    <cellStyle name="20% - 强调文字颜色 4 21 7 5" xfId="27693"/>
    <cellStyle name="20% - 强调文字颜色 4 21 8" xfId="2732"/>
    <cellStyle name="20% - 强调文字颜色 4 21 8 2" xfId="8600"/>
    <cellStyle name="20% - 强调文字颜色 4 21 8 3" xfId="14416"/>
    <cellStyle name="20% - 强调文字颜色 4 21 8 4" xfId="24464"/>
    <cellStyle name="20% - 强调文字颜色 4 21 8 5" xfId="27694"/>
    <cellStyle name="20% - 强调文字颜色 4 21 9" xfId="2733"/>
    <cellStyle name="20% - 强调文字颜色 4 21 9 2" xfId="8601"/>
    <cellStyle name="20% - 强调文字颜色 4 21 9 3" xfId="14417"/>
    <cellStyle name="20% - 强调文字颜色 4 21 9 4" xfId="24465"/>
    <cellStyle name="20% - 强调文字颜色 4 21 9 5" xfId="27695"/>
    <cellStyle name="20% - 强调文字颜色 4 22" xfId="439"/>
    <cellStyle name="20% - 强调文字颜色 4 22 10" xfId="2735"/>
    <cellStyle name="20% - 强调文字颜色 4 22 10 2" xfId="8602"/>
    <cellStyle name="20% - 强调文字颜色 4 22 10 3" xfId="14419"/>
    <cellStyle name="20% - 强调文字颜色 4 22 10 4" xfId="24466"/>
    <cellStyle name="20% - 强调文字颜色 4 22 10 5" xfId="27697"/>
    <cellStyle name="20% - 强调文字颜色 4 22 11" xfId="2736"/>
    <cellStyle name="20% - 强调文字颜色 4 22 11 2" xfId="8603"/>
    <cellStyle name="20% - 强调文字颜色 4 22 11 3" xfId="14420"/>
    <cellStyle name="20% - 强调文字颜色 4 22 11 4" xfId="24467"/>
    <cellStyle name="20% - 强调文字颜色 4 22 11 5" xfId="27698"/>
    <cellStyle name="20% - 强调文字颜色 4 22 12" xfId="2737"/>
    <cellStyle name="20% - 强调文字颜色 4 22 12 2" xfId="8604"/>
    <cellStyle name="20% - 强调文字颜色 4 22 12 3" xfId="14421"/>
    <cellStyle name="20% - 强调文字颜色 4 22 12 4" xfId="24468"/>
    <cellStyle name="20% - 强调文字颜色 4 22 12 5" xfId="27699"/>
    <cellStyle name="20% - 强调文字颜色 4 22 13" xfId="2738"/>
    <cellStyle name="20% - 强调文字颜色 4 22 13 2" xfId="8605"/>
    <cellStyle name="20% - 强调文字颜色 4 22 13 3" xfId="14422"/>
    <cellStyle name="20% - 强调文字颜色 4 22 13 4" xfId="24469"/>
    <cellStyle name="20% - 强调文字颜色 4 22 13 5" xfId="27700"/>
    <cellStyle name="20% - 强调文字颜色 4 22 14" xfId="2739"/>
    <cellStyle name="20% - 强调文字颜色 4 22 14 2" xfId="8606"/>
    <cellStyle name="20% - 强调文字颜色 4 22 14 3" xfId="14423"/>
    <cellStyle name="20% - 强调文字颜色 4 22 14 4" xfId="24470"/>
    <cellStyle name="20% - 强调文字颜色 4 22 14 5" xfId="27701"/>
    <cellStyle name="20% - 强调文字颜色 4 22 15" xfId="2740"/>
    <cellStyle name="20% - 强调文字颜色 4 22 15 2" xfId="8607"/>
    <cellStyle name="20% - 强调文字颜色 4 22 15 3" xfId="14424"/>
    <cellStyle name="20% - 强调文字颜色 4 22 15 4" xfId="24471"/>
    <cellStyle name="20% - 强调文字颜色 4 22 15 5" xfId="27702"/>
    <cellStyle name="20% - 强调文字颜色 4 22 16" xfId="2741"/>
    <cellStyle name="20% - 强调文字颜色 4 22 16 2" xfId="8608"/>
    <cellStyle name="20% - 强调文字颜色 4 22 16 3" xfId="14425"/>
    <cellStyle name="20% - 强调文字颜色 4 22 16 4" xfId="24472"/>
    <cellStyle name="20% - 强调文字颜色 4 22 16 5" xfId="27703"/>
    <cellStyle name="20% - 强调文字颜色 4 22 17" xfId="2742"/>
    <cellStyle name="20% - 强调文字颜色 4 22 17 2" xfId="8609"/>
    <cellStyle name="20% - 强调文字颜色 4 22 17 3" xfId="14426"/>
    <cellStyle name="20% - 强调文字颜色 4 22 17 4" xfId="24473"/>
    <cellStyle name="20% - 强调文字颜色 4 22 17 5" xfId="27704"/>
    <cellStyle name="20% - 强调文字颜色 4 22 18" xfId="2743"/>
    <cellStyle name="20% - 强调文字颜色 4 22 18 2" xfId="8610"/>
    <cellStyle name="20% - 强调文字颜色 4 22 18 3" xfId="14427"/>
    <cellStyle name="20% - 强调文字颜色 4 22 18 4" xfId="24474"/>
    <cellStyle name="20% - 强调文字颜色 4 22 18 5" xfId="27705"/>
    <cellStyle name="20% - 强调文字颜色 4 22 19" xfId="2744"/>
    <cellStyle name="20% - 强调文字颜色 4 22 19 2" xfId="8611"/>
    <cellStyle name="20% - 强调文字颜色 4 22 19 3" xfId="14428"/>
    <cellStyle name="20% - 强调文字颜色 4 22 19 4" xfId="24475"/>
    <cellStyle name="20% - 强调文字颜色 4 22 19 5" xfId="27706"/>
    <cellStyle name="20% - 强调文字颜色 4 22 2" xfId="2734"/>
    <cellStyle name="20% - 强调文字颜色 4 22 2 2" xfId="8612"/>
    <cellStyle name="20% - 强调文字颜色 4 22 2 3" xfId="14429"/>
    <cellStyle name="20% - 强调文字颜色 4 22 2 4" xfId="24476"/>
    <cellStyle name="20% - 强调文字颜色 4 22 2 5" xfId="27696"/>
    <cellStyle name="20% - 强调文字颜色 4 22 20" xfId="2746"/>
    <cellStyle name="20% - 强调文字颜色 4 22 20 2" xfId="8613"/>
    <cellStyle name="20% - 强调文字颜色 4 22 20 3" xfId="14430"/>
    <cellStyle name="20% - 强调文字颜色 4 22 20 4" xfId="24477"/>
    <cellStyle name="20% - 强调文字颜色 4 22 20 5" xfId="27707"/>
    <cellStyle name="20% - 强调文字颜色 4 22 21" xfId="2747"/>
    <cellStyle name="20% - 强调文字颜色 4 22 21 2" xfId="8614"/>
    <cellStyle name="20% - 强调文字颜色 4 22 21 3" xfId="14431"/>
    <cellStyle name="20% - 强调文字颜色 4 22 21 4" xfId="24478"/>
    <cellStyle name="20% - 强调文字颜色 4 22 21 5" xfId="27708"/>
    <cellStyle name="20% - 强调文字颜色 4 22 22" xfId="2748"/>
    <cellStyle name="20% - 强调文字颜色 4 22 22 2" xfId="8615"/>
    <cellStyle name="20% - 强调文字颜色 4 22 22 3" xfId="14432"/>
    <cellStyle name="20% - 强调文字颜色 4 22 22 4" xfId="24479"/>
    <cellStyle name="20% - 强调文字颜色 4 22 22 5" xfId="27709"/>
    <cellStyle name="20% - 强调文字颜色 4 22 23" xfId="2749"/>
    <cellStyle name="20% - 强调文字颜色 4 22 23 2" xfId="8616"/>
    <cellStyle name="20% - 强调文字颜色 4 22 23 3" xfId="14433"/>
    <cellStyle name="20% - 强调文字颜色 4 22 23 4" xfId="24480"/>
    <cellStyle name="20% - 强调文字颜色 4 22 23 5" xfId="27710"/>
    <cellStyle name="20% - 强调文字颜色 4 22 24" xfId="5990"/>
    <cellStyle name="20% - 强调文字颜色 4 22 25" xfId="10959"/>
    <cellStyle name="20% - 强调文字颜色 4 22 26" xfId="12141"/>
    <cellStyle name="20% - 强调文字颜色 4 22 27" xfId="14418"/>
    <cellStyle name="20% - 强调文字颜色 4 22 28" xfId="7758"/>
    <cellStyle name="20% - 强调文字颜色 4 22 29" xfId="18294"/>
    <cellStyle name="20% - 强调文字颜色 4 22 3" xfId="2750"/>
    <cellStyle name="20% - 强调文字颜色 4 22 3 2" xfId="8617"/>
    <cellStyle name="20% - 强调文字颜色 4 22 3 3" xfId="14434"/>
    <cellStyle name="20% - 强调文字颜色 4 22 3 4" xfId="24481"/>
    <cellStyle name="20% - 强调文字颜色 4 22 3 5" xfId="27711"/>
    <cellStyle name="20% - 强调文字颜色 4 22 30" xfId="22853"/>
    <cellStyle name="20% - 强调文字颜色 4 22 31" xfId="21258"/>
    <cellStyle name="20% - 强调文字颜色 4 22 32" xfId="30098"/>
    <cellStyle name="20% - 强调文字颜色 4 22 33" xfId="31311"/>
    <cellStyle name="20% - 强调文字颜色 4 22 4" xfId="2751"/>
    <cellStyle name="20% - 强调文字颜色 4 22 4 2" xfId="8618"/>
    <cellStyle name="20% - 强调文字颜色 4 22 4 3" xfId="14435"/>
    <cellStyle name="20% - 强调文字颜色 4 22 4 4" xfId="24482"/>
    <cellStyle name="20% - 强调文字颜色 4 22 4 5" xfId="27712"/>
    <cellStyle name="20% - 强调文字颜色 4 22 5" xfId="2752"/>
    <cellStyle name="20% - 强调文字颜色 4 22 5 2" xfId="8619"/>
    <cellStyle name="20% - 强调文字颜色 4 22 5 3" xfId="14436"/>
    <cellStyle name="20% - 强调文字颜色 4 22 5 4" xfId="24483"/>
    <cellStyle name="20% - 强调文字颜色 4 22 5 5" xfId="27713"/>
    <cellStyle name="20% - 强调文字颜色 4 22 6" xfId="2753"/>
    <cellStyle name="20% - 强调文字颜色 4 22 6 2" xfId="8620"/>
    <cellStyle name="20% - 强调文字颜色 4 22 6 3" xfId="14437"/>
    <cellStyle name="20% - 强调文字颜色 4 22 6 4" xfId="24484"/>
    <cellStyle name="20% - 强调文字颜色 4 22 6 5" xfId="27714"/>
    <cellStyle name="20% - 强调文字颜色 4 22 7" xfId="2754"/>
    <cellStyle name="20% - 强调文字颜色 4 22 7 2" xfId="8621"/>
    <cellStyle name="20% - 强调文字颜色 4 22 7 3" xfId="14438"/>
    <cellStyle name="20% - 强调文字颜色 4 22 7 4" xfId="24485"/>
    <cellStyle name="20% - 强调文字颜色 4 22 7 5" xfId="27715"/>
    <cellStyle name="20% - 强调文字颜色 4 22 8" xfId="2755"/>
    <cellStyle name="20% - 强调文字颜色 4 22 8 2" xfId="8622"/>
    <cellStyle name="20% - 强调文字颜色 4 22 8 3" xfId="14439"/>
    <cellStyle name="20% - 强调文字颜色 4 22 8 4" xfId="24486"/>
    <cellStyle name="20% - 强调文字颜色 4 22 8 5" xfId="27716"/>
    <cellStyle name="20% - 强调文字颜色 4 22 9" xfId="2756"/>
    <cellStyle name="20% - 强调文字颜色 4 22 9 2" xfId="8623"/>
    <cellStyle name="20% - 强调文字颜色 4 22 9 3" xfId="14440"/>
    <cellStyle name="20% - 强调文字颜色 4 22 9 4" xfId="24487"/>
    <cellStyle name="20% - 强调文字颜色 4 22 9 5" xfId="27717"/>
    <cellStyle name="20% - 强调文字颜色 4 23" xfId="440"/>
    <cellStyle name="20% - 强调文字颜色 4 23 10" xfId="2758"/>
    <cellStyle name="20% - 强调文字颜色 4 23 10 2" xfId="8624"/>
    <cellStyle name="20% - 强调文字颜色 4 23 10 3" xfId="14442"/>
    <cellStyle name="20% - 强调文字颜色 4 23 10 4" xfId="24488"/>
    <cellStyle name="20% - 强调文字颜色 4 23 10 5" xfId="27719"/>
    <cellStyle name="20% - 强调文字颜色 4 23 11" xfId="2759"/>
    <cellStyle name="20% - 强调文字颜色 4 23 11 2" xfId="8625"/>
    <cellStyle name="20% - 强调文字颜色 4 23 11 3" xfId="14443"/>
    <cellStyle name="20% - 强调文字颜色 4 23 11 4" xfId="24489"/>
    <cellStyle name="20% - 强调文字颜色 4 23 11 5" xfId="27720"/>
    <cellStyle name="20% - 强调文字颜色 4 23 12" xfId="2760"/>
    <cellStyle name="20% - 强调文字颜色 4 23 12 2" xfId="8626"/>
    <cellStyle name="20% - 强调文字颜色 4 23 12 3" xfId="14444"/>
    <cellStyle name="20% - 强调文字颜色 4 23 12 4" xfId="24490"/>
    <cellStyle name="20% - 强调文字颜色 4 23 12 5" xfId="27721"/>
    <cellStyle name="20% - 强调文字颜色 4 23 13" xfId="2761"/>
    <cellStyle name="20% - 强调文字颜色 4 23 13 2" xfId="8627"/>
    <cellStyle name="20% - 强调文字颜色 4 23 13 3" xfId="14445"/>
    <cellStyle name="20% - 强调文字颜色 4 23 13 4" xfId="24491"/>
    <cellStyle name="20% - 强调文字颜色 4 23 13 5" xfId="27722"/>
    <cellStyle name="20% - 强调文字颜色 4 23 14" xfId="2762"/>
    <cellStyle name="20% - 强调文字颜色 4 23 14 2" xfId="8628"/>
    <cellStyle name="20% - 强调文字颜色 4 23 14 3" xfId="14446"/>
    <cellStyle name="20% - 强调文字颜色 4 23 14 4" xfId="24492"/>
    <cellStyle name="20% - 强调文字颜色 4 23 14 5" xfId="27723"/>
    <cellStyle name="20% - 强调文字颜色 4 23 15" xfId="2763"/>
    <cellStyle name="20% - 强调文字颜色 4 23 15 2" xfId="8629"/>
    <cellStyle name="20% - 强调文字颜色 4 23 15 3" xfId="14447"/>
    <cellStyle name="20% - 强调文字颜色 4 23 15 4" xfId="24493"/>
    <cellStyle name="20% - 强调文字颜色 4 23 15 5" xfId="27724"/>
    <cellStyle name="20% - 强调文字颜色 4 23 16" xfId="2764"/>
    <cellStyle name="20% - 强调文字颜色 4 23 16 2" xfId="8630"/>
    <cellStyle name="20% - 强调文字颜色 4 23 16 3" xfId="14448"/>
    <cellStyle name="20% - 强调文字颜色 4 23 16 4" xfId="24494"/>
    <cellStyle name="20% - 强调文字颜色 4 23 16 5" xfId="27725"/>
    <cellStyle name="20% - 强调文字颜色 4 23 17" xfId="2765"/>
    <cellStyle name="20% - 强调文字颜色 4 23 17 2" xfId="8631"/>
    <cellStyle name="20% - 强调文字颜色 4 23 17 3" xfId="14449"/>
    <cellStyle name="20% - 强调文字颜色 4 23 17 4" xfId="24495"/>
    <cellStyle name="20% - 强调文字颜色 4 23 17 5" xfId="27726"/>
    <cellStyle name="20% - 强调文字颜色 4 23 18" xfId="2766"/>
    <cellStyle name="20% - 强调文字颜色 4 23 18 2" xfId="8632"/>
    <cellStyle name="20% - 强调文字颜色 4 23 18 3" xfId="14450"/>
    <cellStyle name="20% - 强调文字颜色 4 23 18 4" xfId="24496"/>
    <cellStyle name="20% - 强调文字颜色 4 23 18 5" xfId="27727"/>
    <cellStyle name="20% - 强调文字颜色 4 23 19" xfId="2767"/>
    <cellStyle name="20% - 强调文字颜色 4 23 19 2" xfId="8633"/>
    <cellStyle name="20% - 强调文字颜色 4 23 19 3" xfId="14451"/>
    <cellStyle name="20% - 强调文字颜色 4 23 19 4" xfId="24497"/>
    <cellStyle name="20% - 强调文字颜色 4 23 19 5" xfId="27728"/>
    <cellStyle name="20% - 强调文字颜色 4 23 2" xfId="2757"/>
    <cellStyle name="20% - 强调文字颜色 4 23 2 2" xfId="8634"/>
    <cellStyle name="20% - 强调文字颜色 4 23 2 3" xfId="14452"/>
    <cellStyle name="20% - 强调文字颜色 4 23 2 4" xfId="24498"/>
    <cellStyle name="20% - 强调文字颜色 4 23 2 5" xfId="27718"/>
    <cellStyle name="20% - 强调文字颜色 4 23 20" xfId="2769"/>
    <cellStyle name="20% - 强调文字颜色 4 23 20 2" xfId="8635"/>
    <cellStyle name="20% - 强调文字颜色 4 23 20 3" xfId="14453"/>
    <cellStyle name="20% - 强调文字颜色 4 23 20 4" xfId="24499"/>
    <cellStyle name="20% - 强调文字颜色 4 23 20 5" xfId="27729"/>
    <cellStyle name="20% - 强调文字颜色 4 23 21" xfId="2770"/>
    <cellStyle name="20% - 强调文字颜色 4 23 21 2" xfId="8636"/>
    <cellStyle name="20% - 强调文字颜色 4 23 21 3" xfId="14454"/>
    <cellStyle name="20% - 强调文字颜色 4 23 21 4" xfId="24500"/>
    <cellStyle name="20% - 强调文字颜色 4 23 21 5" xfId="27730"/>
    <cellStyle name="20% - 强调文字颜色 4 23 22" xfId="2771"/>
    <cellStyle name="20% - 强调文字颜色 4 23 22 2" xfId="8637"/>
    <cellStyle name="20% - 强调文字颜色 4 23 22 3" xfId="14455"/>
    <cellStyle name="20% - 强调文字颜色 4 23 22 4" xfId="24501"/>
    <cellStyle name="20% - 强调文字颜色 4 23 22 5" xfId="27731"/>
    <cellStyle name="20% - 强调文字颜色 4 23 23" xfId="2772"/>
    <cellStyle name="20% - 强调文字颜色 4 23 23 2" xfId="8638"/>
    <cellStyle name="20% - 强调文字颜色 4 23 23 3" xfId="14456"/>
    <cellStyle name="20% - 强调文字颜色 4 23 23 4" xfId="24502"/>
    <cellStyle name="20% - 强调文字颜色 4 23 23 5" xfId="27732"/>
    <cellStyle name="20% - 强调文字颜色 4 23 24" xfId="5991"/>
    <cellStyle name="20% - 强调文字颜色 4 23 25" xfId="10960"/>
    <cellStyle name="20% - 强调文字颜色 4 23 26" xfId="12142"/>
    <cellStyle name="20% - 强调文字颜色 4 23 27" xfId="14441"/>
    <cellStyle name="20% - 强调文字颜色 4 23 28" xfId="7757"/>
    <cellStyle name="20% - 强调文字颜色 4 23 29" xfId="18295"/>
    <cellStyle name="20% - 强调文字颜色 4 23 3" xfId="2773"/>
    <cellStyle name="20% - 强调文字颜色 4 23 3 2" xfId="8639"/>
    <cellStyle name="20% - 强调文字颜色 4 23 3 3" xfId="14457"/>
    <cellStyle name="20% - 强调文字颜色 4 23 3 4" xfId="24503"/>
    <cellStyle name="20% - 强调文字颜色 4 23 3 5" xfId="27733"/>
    <cellStyle name="20% - 强调文字颜色 4 23 30" xfId="22635"/>
    <cellStyle name="20% - 强调文字颜色 4 23 31" xfId="20681"/>
    <cellStyle name="20% - 强调文字颜色 4 23 32" xfId="30099"/>
    <cellStyle name="20% - 强调文字颜色 4 23 33" xfId="31954"/>
    <cellStyle name="20% - 强调文字颜色 4 23 4" xfId="2774"/>
    <cellStyle name="20% - 强调文字颜色 4 23 4 2" xfId="8640"/>
    <cellStyle name="20% - 强调文字颜色 4 23 4 3" xfId="14458"/>
    <cellStyle name="20% - 强调文字颜色 4 23 4 4" xfId="24504"/>
    <cellStyle name="20% - 强调文字颜色 4 23 4 5" xfId="27734"/>
    <cellStyle name="20% - 强调文字颜色 4 23 5" xfId="2775"/>
    <cellStyle name="20% - 强调文字颜色 4 23 5 2" xfId="8641"/>
    <cellStyle name="20% - 强调文字颜色 4 23 5 3" xfId="14459"/>
    <cellStyle name="20% - 强调文字颜色 4 23 5 4" xfId="24505"/>
    <cellStyle name="20% - 强调文字颜色 4 23 5 5" xfId="27735"/>
    <cellStyle name="20% - 强调文字颜色 4 23 6" xfId="2776"/>
    <cellStyle name="20% - 强调文字颜色 4 23 6 2" xfId="8642"/>
    <cellStyle name="20% - 强调文字颜色 4 23 6 3" xfId="14460"/>
    <cellStyle name="20% - 强调文字颜色 4 23 6 4" xfId="24506"/>
    <cellStyle name="20% - 强调文字颜色 4 23 6 5" xfId="27736"/>
    <cellStyle name="20% - 强调文字颜色 4 23 7" xfId="2777"/>
    <cellStyle name="20% - 强调文字颜色 4 23 7 2" xfId="8643"/>
    <cellStyle name="20% - 强调文字颜色 4 23 7 3" xfId="14461"/>
    <cellStyle name="20% - 强调文字颜色 4 23 7 4" xfId="24507"/>
    <cellStyle name="20% - 强调文字颜色 4 23 7 5" xfId="27737"/>
    <cellStyle name="20% - 强调文字颜色 4 23 8" xfId="2778"/>
    <cellStyle name="20% - 强调文字颜色 4 23 8 2" xfId="8644"/>
    <cellStyle name="20% - 强调文字颜色 4 23 8 3" xfId="14462"/>
    <cellStyle name="20% - 强调文字颜色 4 23 8 4" xfId="24508"/>
    <cellStyle name="20% - 强调文字颜色 4 23 8 5" xfId="27738"/>
    <cellStyle name="20% - 强调文字颜色 4 23 9" xfId="2779"/>
    <cellStyle name="20% - 强调文字颜色 4 23 9 2" xfId="8645"/>
    <cellStyle name="20% - 强调文字颜色 4 23 9 3" xfId="14463"/>
    <cellStyle name="20% - 强调文字颜色 4 23 9 4" xfId="24509"/>
    <cellStyle name="20% - 强调文字颜色 4 23 9 5" xfId="27739"/>
    <cellStyle name="20% - 强调文字颜色 4 24" xfId="2612"/>
    <cellStyle name="20% - 强调文字颜色 4 24 2" xfId="2780"/>
    <cellStyle name="20% - 强调文字颜色 4 24 3" xfId="7377"/>
    <cellStyle name="20% - 强调文字颜色 4 24 4" xfId="14464"/>
    <cellStyle name="20% - 强调文字颜色 4 24 5" xfId="9458"/>
    <cellStyle name="20% - 强调文字颜色 4 24 6" xfId="26703"/>
    <cellStyle name="20% - 强调文字颜色 4 24 7" xfId="27628"/>
    <cellStyle name="20% - 强调文字颜色 4 25" xfId="2781"/>
    <cellStyle name="20% - 强调文字颜色 4 25 2" xfId="8646"/>
    <cellStyle name="20% - 强调文字颜色 4 25 3" xfId="14465"/>
    <cellStyle name="20% - 强调文字颜色 4 25 4" xfId="24510"/>
    <cellStyle name="20% - 强调文字颜色 4 25 5" xfId="26550"/>
    <cellStyle name="20% - 强调文字颜色 4 25 6" xfId="26704"/>
    <cellStyle name="20% - 强调文字颜色 4 25 7" xfId="27740"/>
    <cellStyle name="20% - 强调文字颜色 4 26" xfId="2782"/>
    <cellStyle name="20% - 强调文字颜色 4 26 2" xfId="8647"/>
    <cellStyle name="20% - 强调文字颜色 4 26 3" xfId="14466"/>
    <cellStyle name="20% - 强调文字颜色 4 26 4" xfId="24511"/>
    <cellStyle name="20% - 强调文字颜色 4 26 5" xfId="26551"/>
    <cellStyle name="20% - 强调文字颜色 4 26 6" xfId="26705"/>
    <cellStyle name="20% - 强调文字颜色 4 26 7" xfId="27741"/>
    <cellStyle name="20% - 强调文字颜色 4 27" xfId="2783"/>
    <cellStyle name="20% - 强调文字颜色 4 27 2" xfId="8648"/>
    <cellStyle name="20% - 强调文字颜色 4 27 3" xfId="14467"/>
    <cellStyle name="20% - 强调文字颜色 4 27 4" xfId="24512"/>
    <cellStyle name="20% - 强调文字颜色 4 27 5" xfId="26706"/>
    <cellStyle name="20% - 强调文字颜色 4 27 6" xfId="27742"/>
    <cellStyle name="20% - 强调文字颜色 4 28" xfId="2784"/>
    <cellStyle name="20% - 强调文字颜色 4 28 2" xfId="8649"/>
    <cellStyle name="20% - 强调文字颜色 4 28 3" xfId="14468"/>
    <cellStyle name="20% - 强调文字颜色 4 28 4" xfId="24513"/>
    <cellStyle name="20% - 强调文字颜色 4 28 5" xfId="26707"/>
    <cellStyle name="20% - 强调文字颜色 4 28 6" xfId="27743"/>
    <cellStyle name="20% - 强调文字颜色 4 29" xfId="2785"/>
    <cellStyle name="20% - 强调文字颜色 4 29 2" xfId="8650"/>
    <cellStyle name="20% - 强调文字颜色 4 29 3" xfId="14469"/>
    <cellStyle name="20% - 强调文字颜色 4 29 4" xfId="24514"/>
    <cellStyle name="20% - 强调文字颜色 4 29 5" xfId="26708"/>
    <cellStyle name="20% - 强调文字颜色 4 29 6" xfId="27744"/>
    <cellStyle name="20% - 强调文字颜色 4 3" xfId="441"/>
    <cellStyle name="20% - 强调文字颜色 4 3 10" xfId="442"/>
    <cellStyle name="20% - 强调文字颜色 4 3 10 10" xfId="30101"/>
    <cellStyle name="20% - 强调文字颜色 4 3 10 11" xfId="31953"/>
    <cellStyle name="20% - 强调文字颜色 4 3 10 2" xfId="2787"/>
    <cellStyle name="20% - 强调文字颜色 4 3 10 3" xfId="5993"/>
    <cellStyle name="20% - 强调文字颜色 4 3 10 4" xfId="12144"/>
    <cellStyle name="20% - 强调文字颜色 4 3 10 5" xfId="14471"/>
    <cellStyle name="20% - 强调文字颜色 4 3 10 6" xfId="7755"/>
    <cellStyle name="20% - 强调文字颜色 4 3 10 7" xfId="18297"/>
    <cellStyle name="20% - 强调文字颜色 4 3 10 8" xfId="23328"/>
    <cellStyle name="20% - 强调文字颜色 4 3 10 9" xfId="21257"/>
    <cellStyle name="20% - 强调文字颜色 4 3 11" xfId="443"/>
    <cellStyle name="20% - 强调文字颜色 4 3 11 10" xfId="30102"/>
    <cellStyle name="20% - 强调文字颜色 4 3 11 11" xfId="31309"/>
    <cellStyle name="20% - 强调文字颜色 4 3 11 2" xfId="2788"/>
    <cellStyle name="20% - 强调文字颜色 4 3 11 3" xfId="5994"/>
    <cellStyle name="20% - 强调文字颜色 4 3 11 4" xfId="12145"/>
    <cellStyle name="20% - 强调文字颜色 4 3 11 5" xfId="14472"/>
    <cellStyle name="20% - 强调文字颜色 4 3 11 6" xfId="7754"/>
    <cellStyle name="20% - 强调文字颜色 4 3 11 7" xfId="18298"/>
    <cellStyle name="20% - 强调文字颜色 4 3 11 8" xfId="22345"/>
    <cellStyle name="20% - 强调文字颜色 4 3 11 9" xfId="20680"/>
    <cellStyle name="20% - 强调文字颜色 4 3 12" xfId="444"/>
    <cellStyle name="20% - 强调文字颜色 4 3 12 10" xfId="30103"/>
    <cellStyle name="20% - 强调文字颜色 4 3 12 11" xfId="32819"/>
    <cellStyle name="20% - 强调文字颜色 4 3 12 2" xfId="2789"/>
    <cellStyle name="20% - 强调文字颜色 4 3 12 3" xfId="5995"/>
    <cellStyle name="20% - 强调文字颜色 4 3 12 4" xfId="12146"/>
    <cellStyle name="20% - 强调文字颜色 4 3 12 5" xfId="14473"/>
    <cellStyle name="20% - 强调文字颜色 4 3 12 6" xfId="7753"/>
    <cellStyle name="20% - 强调文字颜色 4 3 12 7" xfId="18299"/>
    <cellStyle name="20% - 强调文字颜色 4 3 12 8" xfId="21818"/>
    <cellStyle name="20% - 强调文字颜色 4 3 12 9" xfId="20028"/>
    <cellStyle name="20% - 强调文字颜色 4 3 13" xfId="445"/>
    <cellStyle name="20% - 强调文字颜色 4 3 13 10" xfId="30104"/>
    <cellStyle name="20% - 强调文字颜色 4 3 13 11" xfId="31952"/>
    <cellStyle name="20% - 强调文字颜色 4 3 13 2" xfId="2790"/>
    <cellStyle name="20% - 强调文字颜色 4 3 13 3" xfId="5996"/>
    <cellStyle name="20% - 强调文字颜色 4 3 13 4" xfId="12147"/>
    <cellStyle name="20% - 强调文字颜色 4 3 13 5" xfId="14474"/>
    <cellStyle name="20% - 强调文字颜色 4 3 13 6" xfId="7752"/>
    <cellStyle name="20% - 强调文字颜色 4 3 13 7" xfId="18300"/>
    <cellStyle name="20% - 强调文字颜色 4 3 13 8" xfId="23327"/>
    <cellStyle name="20% - 强调文字颜色 4 3 13 9" xfId="21256"/>
    <cellStyle name="20% - 强调文字颜色 4 3 14" xfId="446"/>
    <cellStyle name="20% - 强调文字颜色 4 3 14 10" xfId="30105"/>
    <cellStyle name="20% - 强调文字颜色 4 3 14 11" xfId="31308"/>
    <cellStyle name="20% - 强调文字颜色 4 3 14 2" xfId="2791"/>
    <cellStyle name="20% - 强调文字颜色 4 3 14 3" xfId="5997"/>
    <cellStyle name="20% - 强调文字颜色 4 3 14 4" xfId="12148"/>
    <cellStyle name="20% - 强调文字颜色 4 3 14 5" xfId="14475"/>
    <cellStyle name="20% - 强调文字颜色 4 3 14 6" xfId="7751"/>
    <cellStyle name="20% - 强调文字颜色 4 3 14 7" xfId="18301"/>
    <cellStyle name="20% - 强调文字颜色 4 3 14 8" xfId="22344"/>
    <cellStyle name="20% - 强调文字颜色 4 3 14 9" xfId="20679"/>
    <cellStyle name="20% - 强调文字颜色 4 3 15" xfId="447"/>
    <cellStyle name="20% - 强调文字颜色 4 3 15 10" xfId="30106"/>
    <cellStyle name="20% - 强调文字颜色 4 3 15 11" xfId="32818"/>
    <cellStyle name="20% - 强调文字颜色 4 3 15 2" xfId="2792"/>
    <cellStyle name="20% - 强调文字颜色 4 3 15 3" xfId="5998"/>
    <cellStyle name="20% - 强调文字颜色 4 3 15 4" xfId="12149"/>
    <cellStyle name="20% - 强调文字颜色 4 3 15 5" xfId="14476"/>
    <cellStyle name="20% - 强调文字颜色 4 3 15 6" xfId="7749"/>
    <cellStyle name="20% - 强调文字颜色 4 3 15 7" xfId="18302"/>
    <cellStyle name="20% - 强调文字颜色 4 3 15 8" xfId="21817"/>
    <cellStyle name="20% - 强调文字颜色 4 3 15 9" xfId="20027"/>
    <cellStyle name="20% - 强调文字颜色 4 3 16" xfId="448"/>
    <cellStyle name="20% - 强调文字颜色 4 3 16 10" xfId="30107"/>
    <cellStyle name="20% - 强调文字颜色 4 3 16 11" xfId="31951"/>
    <cellStyle name="20% - 强调文字颜色 4 3 16 2" xfId="2793"/>
    <cellStyle name="20% - 强调文字颜色 4 3 16 3" xfId="5999"/>
    <cellStyle name="20% - 强调文字颜色 4 3 16 4" xfId="12150"/>
    <cellStyle name="20% - 强调文字颜色 4 3 16 5" xfId="14477"/>
    <cellStyle name="20% - 强调文字颜色 4 3 16 6" xfId="7748"/>
    <cellStyle name="20% - 强调文字颜色 4 3 16 7" xfId="18303"/>
    <cellStyle name="20% - 强调文字颜色 4 3 16 8" xfId="23326"/>
    <cellStyle name="20% - 强调文字颜色 4 3 16 9" xfId="21255"/>
    <cellStyle name="20% - 强调文字颜色 4 3 17" xfId="449"/>
    <cellStyle name="20% - 强调文字颜色 4 3 17 10" xfId="30108"/>
    <cellStyle name="20% - 强调文字颜色 4 3 17 11" xfId="31307"/>
    <cellStyle name="20% - 强调文字颜色 4 3 17 2" xfId="2794"/>
    <cellStyle name="20% - 强调文字颜色 4 3 17 3" xfId="6000"/>
    <cellStyle name="20% - 强调文字颜色 4 3 17 4" xfId="12151"/>
    <cellStyle name="20% - 强调文字颜色 4 3 17 5" xfId="14478"/>
    <cellStyle name="20% - 强调文字颜色 4 3 17 6" xfId="7747"/>
    <cellStyle name="20% - 强调文字颜色 4 3 17 7" xfId="18304"/>
    <cellStyle name="20% - 强调文字颜色 4 3 17 8" xfId="22343"/>
    <cellStyle name="20% - 强调文字颜色 4 3 17 9" xfId="20678"/>
    <cellStyle name="20% - 强调文字颜色 4 3 18" xfId="450"/>
    <cellStyle name="20% - 强调文字颜色 4 3 18 10" xfId="30109"/>
    <cellStyle name="20% - 强调文字颜色 4 3 18 11" xfId="33417"/>
    <cellStyle name="20% - 强调文字颜色 4 3 18 2" xfId="2795"/>
    <cellStyle name="20% - 强调文字颜色 4 3 18 3" xfId="6001"/>
    <cellStyle name="20% - 强调文字颜色 4 3 18 4" xfId="12152"/>
    <cellStyle name="20% - 强调文字颜色 4 3 18 5" xfId="14479"/>
    <cellStyle name="20% - 强调文字颜色 4 3 18 6" xfId="7746"/>
    <cellStyle name="20% - 强调文字颜色 4 3 18 7" xfId="18305"/>
    <cellStyle name="20% - 强调文字颜色 4 3 18 8" xfId="21816"/>
    <cellStyle name="20% - 强调文字颜色 4 3 18 9" xfId="20026"/>
    <cellStyle name="20% - 强调文字颜色 4 3 19" xfId="451"/>
    <cellStyle name="20% - 强调文字颜色 4 3 19 10" xfId="30110"/>
    <cellStyle name="20% - 强调文字颜色 4 3 19 11" xfId="33178"/>
    <cellStyle name="20% - 强调文字颜色 4 3 19 2" xfId="2796"/>
    <cellStyle name="20% - 强调文字颜色 4 3 19 3" xfId="6002"/>
    <cellStyle name="20% - 强调文字颜色 4 3 19 4" xfId="12153"/>
    <cellStyle name="20% - 强调文字颜色 4 3 19 5" xfId="14480"/>
    <cellStyle name="20% - 强调文字颜色 4 3 19 6" xfId="7745"/>
    <cellStyle name="20% - 强调文字颜色 4 3 19 7" xfId="18306"/>
    <cellStyle name="20% - 强调文字颜色 4 3 19 8" xfId="23325"/>
    <cellStyle name="20% - 强调文字颜色 4 3 19 9" xfId="20253"/>
    <cellStyle name="20% - 强调文字颜色 4 3 2" xfId="452"/>
    <cellStyle name="20% - 强调文字颜色 4 3 2 10" xfId="30111"/>
    <cellStyle name="20% - 强调文字颜色 4 3 2 11" xfId="32816"/>
    <cellStyle name="20% - 强调文字颜色 4 3 2 2" xfId="2797"/>
    <cellStyle name="20% - 强调文字颜色 4 3 2 3" xfId="6003"/>
    <cellStyle name="20% - 强调文字颜色 4 3 2 4" xfId="12154"/>
    <cellStyle name="20% - 强调文字颜色 4 3 2 5" xfId="14481"/>
    <cellStyle name="20% - 强调文字颜色 4 3 2 6" xfId="7744"/>
    <cellStyle name="20% - 强调文字颜色 4 3 2 7" xfId="18307"/>
    <cellStyle name="20% - 强调文字颜色 4 3 2 8" xfId="22342"/>
    <cellStyle name="20% - 强调文字颜色 4 3 2 9" xfId="21254"/>
    <cellStyle name="20% - 强调文字颜色 4 3 20" xfId="2786"/>
    <cellStyle name="20% - 强调文字颜色 4 3 20 2" xfId="8651"/>
    <cellStyle name="20% - 强调文字颜色 4 3 20 3" xfId="14482"/>
    <cellStyle name="20% - 强调文字颜色 4 3 20 4" xfId="24515"/>
    <cellStyle name="20% - 强调文字颜色 4 3 20 5" xfId="26709"/>
    <cellStyle name="20% - 强调文字颜色 4 3 20 6" xfId="27745"/>
    <cellStyle name="20% - 强调文字颜色 4 3 21" xfId="2799"/>
    <cellStyle name="20% - 强调文字颜色 4 3 21 2" xfId="8652"/>
    <cellStyle name="20% - 强调文字颜色 4 3 21 3" xfId="14483"/>
    <cellStyle name="20% - 强调文字颜色 4 3 21 4" xfId="24516"/>
    <cellStyle name="20% - 强调文字颜色 4 3 21 5" xfId="26710"/>
    <cellStyle name="20% - 强调文字颜色 4 3 21 6" xfId="27746"/>
    <cellStyle name="20% - 强调文字颜色 4 3 22" xfId="2800"/>
    <cellStyle name="20% - 强调文字颜色 4 3 22 2" xfId="8653"/>
    <cellStyle name="20% - 强调文字颜色 4 3 22 3" xfId="14484"/>
    <cellStyle name="20% - 强调文字颜色 4 3 22 4" xfId="24517"/>
    <cellStyle name="20% - 强调文字颜色 4 3 22 5" xfId="26711"/>
    <cellStyle name="20% - 强调文字颜色 4 3 22 6" xfId="27747"/>
    <cellStyle name="20% - 强调文字颜色 4 3 23" xfId="2801"/>
    <cellStyle name="20% - 强调文字颜色 4 3 23 2" xfId="8654"/>
    <cellStyle name="20% - 强调文字颜色 4 3 23 3" xfId="14485"/>
    <cellStyle name="20% - 强调文字颜色 4 3 23 4" xfId="24518"/>
    <cellStyle name="20% - 强调文字颜色 4 3 23 5" xfId="26712"/>
    <cellStyle name="20% - 强调文字颜色 4 3 23 6" xfId="27748"/>
    <cellStyle name="20% - 强调文字颜色 4 3 24" xfId="2802"/>
    <cellStyle name="20% - 强调文字颜色 4 3 24 2" xfId="8655"/>
    <cellStyle name="20% - 强调文字颜色 4 3 24 3" xfId="14486"/>
    <cellStyle name="20% - 强调文字颜色 4 3 24 4" xfId="24519"/>
    <cellStyle name="20% - 强调文字颜色 4 3 24 5" xfId="26713"/>
    <cellStyle name="20% - 强调文字颜色 4 3 24 6" xfId="27749"/>
    <cellStyle name="20% - 强调文字颜色 4 3 25" xfId="2803"/>
    <cellStyle name="20% - 强调文字颜色 4 3 25 2" xfId="8656"/>
    <cellStyle name="20% - 强调文字颜色 4 3 25 3" xfId="14487"/>
    <cellStyle name="20% - 强调文字颜色 4 3 25 4" xfId="24520"/>
    <cellStyle name="20% - 强调文字颜色 4 3 25 5" xfId="26714"/>
    <cellStyle name="20% - 强调文字颜色 4 3 25 6" xfId="27750"/>
    <cellStyle name="20% - 强调文字颜色 4 3 26" xfId="2804"/>
    <cellStyle name="20% - 强调文字颜色 4 3 26 2" xfId="8657"/>
    <cellStyle name="20% - 强调文字颜色 4 3 26 3" xfId="14488"/>
    <cellStyle name="20% - 强调文字颜色 4 3 26 4" xfId="24521"/>
    <cellStyle name="20% - 强调文字颜色 4 3 26 5" xfId="26715"/>
    <cellStyle name="20% - 强调文字颜色 4 3 26 6" xfId="27751"/>
    <cellStyle name="20% - 强调文字颜色 4 3 27" xfId="2805"/>
    <cellStyle name="20% - 强调文字颜色 4 3 27 2" xfId="8658"/>
    <cellStyle name="20% - 强调文字颜色 4 3 27 3" xfId="14489"/>
    <cellStyle name="20% - 强调文字颜色 4 3 27 4" xfId="24522"/>
    <cellStyle name="20% - 强调文字颜色 4 3 27 5" xfId="26716"/>
    <cellStyle name="20% - 强调文字颜色 4 3 27 6" xfId="27752"/>
    <cellStyle name="20% - 强调文字颜色 4 3 28" xfId="2806"/>
    <cellStyle name="20% - 强调文字颜色 4 3 28 2" xfId="8659"/>
    <cellStyle name="20% - 强调文字颜色 4 3 28 3" xfId="14490"/>
    <cellStyle name="20% - 强调文字颜色 4 3 28 4" xfId="24523"/>
    <cellStyle name="20% - 强调文字颜色 4 3 28 5" xfId="26717"/>
    <cellStyle name="20% - 强调文字颜色 4 3 28 6" xfId="27753"/>
    <cellStyle name="20% - 强调文字颜色 4 3 29" xfId="2807"/>
    <cellStyle name="20% - 强调文字颜色 4 3 29 2" xfId="8660"/>
    <cellStyle name="20% - 强调文字颜色 4 3 29 3" xfId="14491"/>
    <cellStyle name="20% - 强调文字颜色 4 3 29 4" xfId="24524"/>
    <cellStyle name="20% - 强调文字颜色 4 3 29 5" xfId="27754"/>
    <cellStyle name="20% - 强调文字颜色 4 3 3" xfId="453"/>
    <cellStyle name="20% - 强调文字颜色 4 3 3 10" xfId="30112"/>
    <cellStyle name="20% - 强调文字颜色 4 3 3 11" xfId="33155"/>
    <cellStyle name="20% - 强调文字颜色 4 3 3 2" xfId="2808"/>
    <cellStyle name="20% - 强调文字颜色 4 3 3 3" xfId="6004"/>
    <cellStyle name="20% - 强调文字颜色 4 3 3 4" xfId="12155"/>
    <cellStyle name="20% - 强调文字颜色 4 3 3 5" xfId="14492"/>
    <cellStyle name="20% - 强调文字颜色 4 3 3 6" xfId="7743"/>
    <cellStyle name="20% - 强调文字颜色 4 3 3 7" xfId="18308"/>
    <cellStyle name="20% - 强调文字颜色 4 3 3 8" xfId="21815"/>
    <cellStyle name="20% - 强调文字颜色 4 3 3 9" xfId="20356"/>
    <cellStyle name="20% - 强调文字颜色 4 3 30" xfId="2809"/>
    <cellStyle name="20% - 强调文字颜色 4 3 30 2" xfId="8661"/>
    <cellStyle name="20% - 强调文字颜色 4 3 30 3" xfId="14493"/>
    <cellStyle name="20% - 强调文字颜色 4 3 30 4" xfId="24525"/>
    <cellStyle name="20% - 强调文字颜色 4 3 30 5" xfId="27755"/>
    <cellStyle name="20% - 强调文字颜色 4 3 31" xfId="2810"/>
    <cellStyle name="20% - 强调文字颜色 4 3 31 2" xfId="8662"/>
    <cellStyle name="20% - 强调文字颜色 4 3 31 3" xfId="14494"/>
    <cellStyle name="20% - 强调文字颜色 4 3 31 4" xfId="24526"/>
    <cellStyle name="20% - 强调文字颜色 4 3 31 5" xfId="27756"/>
    <cellStyle name="20% - 强调文字颜色 4 3 32" xfId="2811"/>
    <cellStyle name="20% - 强调文字颜色 4 3 32 2" xfId="8663"/>
    <cellStyle name="20% - 强调文字颜色 4 3 32 3" xfId="14495"/>
    <cellStyle name="20% - 强调文字颜色 4 3 32 4" xfId="24527"/>
    <cellStyle name="20% - 强调文字颜色 4 3 32 5" xfId="27757"/>
    <cellStyle name="20% - 强调文字颜色 4 3 33" xfId="2812"/>
    <cellStyle name="20% - 强调文字颜色 4 3 33 2" xfId="8664"/>
    <cellStyle name="20% - 强调文字颜色 4 3 33 3" xfId="14496"/>
    <cellStyle name="20% - 强调文字颜色 4 3 33 4" xfId="24528"/>
    <cellStyle name="20% - 强调文字颜色 4 3 33 5" xfId="27758"/>
    <cellStyle name="20% - 强调文字颜色 4 3 34" xfId="2813"/>
    <cellStyle name="20% - 强调文字颜色 4 3 34 2" xfId="8665"/>
    <cellStyle name="20% - 强调文字颜色 4 3 34 3" xfId="14497"/>
    <cellStyle name="20% - 强调文字颜色 4 3 34 4" xfId="24529"/>
    <cellStyle name="20% - 强调文字颜色 4 3 34 5" xfId="27759"/>
    <cellStyle name="20% - 强调文字颜色 4 3 35" xfId="2814"/>
    <cellStyle name="20% - 强调文字颜色 4 3 35 2" xfId="8666"/>
    <cellStyle name="20% - 强调文字颜色 4 3 35 3" xfId="14498"/>
    <cellStyle name="20% - 强调文字颜色 4 3 35 4" xfId="24530"/>
    <cellStyle name="20% - 强调文字颜色 4 3 35 5" xfId="27760"/>
    <cellStyle name="20% - 强调文字颜色 4 3 36" xfId="2815"/>
    <cellStyle name="20% - 强调文字颜色 4 3 36 2" xfId="8667"/>
    <cellStyle name="20% - 强调文字颜色 4 3 36 3" xfId="14499"/>
    <cellStyle name="20% - 强调文字颜色 4 3 36 4" xfId="24531"/>
    <cellStyle name="20% - 强调文字颜色 4 3 36 5" xfId="27761"/>
    <cellStyle name="20% - 强调文字颜色 4 3 37" xfId="2816"/>
    <cellStyle name="20% - 强调文字颜色 4 3 37 2" xfId="8668"/>
    <cellStyle name="20% - 强调文字颜色 4 3 37 3" xfId="14500"/>
    <cellStyle name="20% - 强调文字颜色 4 3 37 4" xfId="24532"/>
    <cellStyle name="20% - 强调文字颜色 4 3 37 5" xfId="27762"/>
    <cellStyle name="20% - 强调文字颜色 4 3 38" xfId="2817"/>
    <cellStyle name="20% - 强调文字颜色 4 3 38 2" xfId="8669"/>
    <cellStyle name="20% - 强调文字颜色 4 3 38 3" xfId="14501"/>
    <cellStyle name="20% - 强调文字颜色 4 3 38 4" xfId="24533"/>
    <cellStyle name="20% - 强调文字颜色 4 3 38 5" xfId="27763"/>
    <cellStyle name="20% - 强调文字颜色 4 3 39" xfId="2818"/>
    <cellStyle name="20% - 强调文字颜色 4 3 39 2" xfId="8670"/>
    <cellStyle name="20% - 强调文字颜色 4 3 39 3" xfId="14502"/>
    <cellStyle name="20% - 强调文字颜色 4 3 39 4" xfId="24534"/>
    <cellStyle name="20% - 强调文字颜色 4 3 39 5" xfId="27764"/>
    <cellStyle name="20% - 强调文字颜色 4 3 4" xfId="454"/>
    <cellStyle name="20% - 强调文字颜色 4 3 4 10" xfId="30113"/>
    <cellStyle name="20% - 强调文字颜色 4 3 4 11" xfId="32815"/>
    <cellStyle name="20% - 强调文字颜色 4 3 4 2" xfId="2819"/>
    <cellStyle name="20% - 强调文字颜色 4 3 4 3" xfId="6005"/>
    <cellStyle name="20% - 强调文字颜色 4 3 4 4" xfId="12156"/>
    <cellStyle name="20% - 强调文字颜色 4 3 4 5" xfId="14503"/>
    <cellStyle name="20% - 强调文字颜色 4 3 4 6" xfId="11624"/>
    <cellStyle name="20% - 强调文字颜色 4 3 4 7" xfId="18309"/>
    <cellStyle name="20% - 强调文字颜色 4 3 4 8" xfId="23324"/>
    <cellStyle name="20% - 强调文字颜色 4 3 4 9" xfId="20025"/>
    <cellStyle name="20% - 强调文字颜色 4 3 40" xfId="2820"/>
    <cellStyle name="20% - 强调文字颜色 4 3 40 2" xfId="8671"/>
    <cellStyle name="20% - 强调文字颜色 4 3 40 3" xfId="14504"/>
    <cellStyle name="20% - 强调文字颜色 4 3 40 4" xfId="24535"/>
    <cellStyle name="20% - 强调文字颜色 4 3 40 5" xfId="27765"/>
    <cellStyle name="20% - 强调文字颜色 4 3 41" xfId="2821"/>
    <cellStyle name="20% - 强调文字颜色 4 3 41 2" xfId="8672"/>
    <cellStyle name="20% - 强调文字颜色 4 3 41 3" xfId="14505"/>
    <cellStyle name="20% - 强调文字颜色 4 3 41 4" xfId="24536"/>
    <cellStyle name="20% - 强调文字颜色 4 3 41 5" xfId="27766"/>
    <cellStyle name="20% - 强调文字颜色 4 3 42" xfId="5992"/>
    <cellStyle name="20% - 强调文字颜色 4 3 42 2" xfId="23566"/>
    <cellStyle name="20% - 强调文字颜色 4 3 42 3" xfId="26151"/>
    <cellStyle name="20% - 强调文字颜色 4 3 43" xfId="10961"/>
    <cellStyle name="20% - 强调文字颜色 4 3 43 2" xfId="23756"/>
    <cellStyle name="20% - 强调文字颜色 4 3 43 3" xfId="26341"/>
    <cellStyle name="20% - 强调文字颜色 4 3 44" xfId="12143"/>
    <cellStyle name="20% - 强调文字颜色 4 3 44 2" xfId="23852"/>
    <cellStyle name="20% - 强调文字颜色 4 3 44 3" xfId="26437"/>
    <cellStyle name="20% - 强调文字颜色 4 3 45" xfId="14470"/>
    <cellStyle name="20% - 强调文字颜色 4 3 45 2" xfId="23905"/>
    <cellStyle name="20% - 强调文字颜色 4 3 45 3" xfId="26490"/>
    <cellStyle name="20% - 强调文字颜色 4 3 46" xfId="7756"/>
    <cellStyle name="20% - 强调文字颜色 4 3 47" xfId="18296"/>
    <cellStyle name="20% - 强调文字颜色 4 3 48" xfId="22330"/>
    <cellStyle name="20% - 强调文字颜色 4 3 49" xfId="20029"/>
    <cellStyle name="20% - 强调文字颜色 4 3 5" xfId="455"/>
    <cellStyle name="20% - 强调文字颜色 4 3 5 10" xfId="30114"/>
    <cellStyle name="20% - 强调文字颜色 4 3 5 11" xfId="32814"/>
    <cellStyle name="20% - 强调文字颜色 4 3 5 2" xfId="2822"/>
    <cellStyle name="20% - 强调文字颜色 4 3 5 3" xfId="6006"/>
    <cellStyle name="20% - 强调文字颜色 4 3 5 4" xfId="12157"/>
    <cellStyle name="20% - 强调文字颜色 4 3 5 5" xfId="14506"/>
    <cellStyle name="20% - 强调文字颜色 4 3 5 6" xfId="10507"/>
    <cellStyle name="20% - 强调文字颜色 4 3 5 7" xfId="18310"/>
    <cellStyle name="20% - 强调文字颜色 4 3 5 8" xfId="22341"/>
    <cellStyle name="20% - 强调文字颜色 4 3 5 9" xfId="19679"/>
    <cellStyle name="20% - 强调文字颜色 4 3 50" xfId="30100"/>
    <cellStyle name="20% - 强调文字颜色 4 3 51" xfId="32820"/>
    <cellStyle name="20% - 强调文字颜色 4 3 6" xfId="456"/>
    <cellStyle name="20% - 强调文字颜色 4 3 6 10" xfId="30115"/>
    <cellStyle name="20% - 强调文字颜色 4 3 6 11" xfId="31950"/>
    <cellStyle name="20% - 强调文字颜色 4 3 6 2" xfId="2823"/>
    <cellStyle name="20% - 强调文字颜色 4 3 6 3" xfId="6007"/>
    <cellStyle name="20% - 强调文字颜色 4 3 6 4" xfId="12158"/>
    <cellStyle name="20% - 强调文字颜色 4 3 6 5" xfId="14507"/>
    <cellStyle name="20% - 强调文字颜色 4 3 6 6" xfId="10498"/>
    <cellStyle name="20% - 强调文字颜色 4 3 6 7" xfId="18311"/>
    <cellStyle name="20% - 强调文字颜色 4 3 6 8" xfId="21814"/>
    <cellStyle name="20% - 强调文字颜色 4 3 6 9" xfId="21253"/>
    <cellStyle name="20% - 强调文字颜色 4 3 7" xfId="457"/>
    <cellStyle name="20% - 强调文字颜色 4 3 7 10" xfId="30116"/>
    <cellStyle name="20% - 强调文字颜色 4 3 7 11" xfId="31302"/>
    <cellStyle name="20% - 强调文字颜色 4 3 7 2" xfId="2824"/>
    <cellStyle name="20% - 强调文字颜色 4 3 7 3" xfId="6008"/>
    <cellStyle name="20% - 强调文字颜色 4 3 7 4" xfId="12159"/>
    <cellStyle name="20% - 强调文字颜色 4 3 7 5" xfId="14508"/>
    <cellStyle name="20% - 强调文字颜色 4 3 7 6" xfId="7741"/>
    <cellStyle name="20% - 强调文字颜色 4 3 7 7" xfId="18312"/>
    <cellStyle name="20% - 强调文字颜色 4 3 7 8" xfId="23323"/>
    <cellStyle name="20% - 强调文字颜色 4 3 7 9" xfId="20677"/>
    <cellStyle name="20% - 强调文字颜色 4 3 8" xfId="458"/>
    <cellStyle name="20% - 强调文字颜色 4 3 8 10" xfId="30117"/>
    <cellStyle name="20% - 强调文字颜色 4 3 8 11" xfId="32813"/>
    <cellStyle name="20% - 强调文字颜色 4 3 8 2" xfId="2825"/>
    <cellStyle name="20% - 强调文字颜色 4 3 8 3" xfId="6009"/>
    <cellStyle name="20% - 强调文字颜色 4 3 8 4" xfId="12160"/>
    <cellStyle name="20% - 强调文字颜色 4 3 8 5" xfId="14509"/>
    <cellStyle name="20% - 强调文字颜色 4 3 8 6" xfId="7740"/>
    <cellStyle name="20% - 强调文字颜色 4 3 8 7" xfId="18313"/>
    <cellStyle name="20% - 强调文字颜色 4 3 8 8" xfId="22340"/>
    <cellStyle name="20% - 强调文字颜色 4 3 8 9" xfId="20024"/>
    <cellStyle name="20% - 强调文字颜色 4 3 9" xfId="459"/>
    <cellStyle name="20% - 强调文字颜色 4 3 9 10" xfId="30118"/>
    <cellStyle name="20% - 强调文字颜色 4 3 9 11" xfId="31949"/>
    <cellStyle name="20% - 强调文字颜色 4 3 9 2" xfId="2826"/>
    <cellStyle name="20% - 强调文字颜色 4 3 9 3" xfId="6010"/>
    <cellStyle name="20% - 强调文字颜色 4 3 9 4" xfId="12161"/>
    <cellStyle name="20% - 强调文字颜色 4 3 9 5" xfId="14510"/>
    <cellStyle name="20% - 强调文字颜色 4 3 9 6" xfId="7739"/>
    <cellStyle name="20% - 强调文字颜色 4 3 9 7" xfId="18314"/>
    <cellStyle name="20% - 强调文字颜色 4 3 9 8" xfId="21813"/>
    <cellStyle name="20% - 强调文字颜色 4 3 9 9" xfId="21252"/>
    <cellStyle name="20% - 强调文字颜色 4 30" xfId="2827"/>
    <cellStyle name="20% - 强调文字颜色 4 30 2" xfId="8673"/>
    <cellStyle name="20% - 强调文字颜色 4 30 3" xfId="14511"/>
    <cellStyle name="20% - 强调文字颜色 4 30 4" xfId="24537"/>
    <cellStyle name="20% - 强调文字颜色 4 30 5" xfId="26718"/>
    <cellStyle name="20% - 强调文字颜色 4 30 6" xfId="27767"/>
    <cellStyle name="20% - 强调文字颜色 4 31" xfId="2828"/>
    <cellStyle name="20% - 强调文字颜色 4 31 2" xfId="8674"/>
    <cellStyle name="20% - 强调文字颜色 4 31 3" xfId="14512"/>
    <cellStyle name="20% - 强调文字颜色 4 31 4" xfId="24538"/>
    <cellStyle name="20% - 强调文字颜色 4 31 5" xfId="26719"/>
    <cellStyle name="20% - 强调文字颜色 4 31 6" xfId="27768"/>
    <cellStyle name="20% - 强调文字颜色 4 32" xfId="2829"/>
    <cellStyle name="20% - 强调文字颜色 4 32 2" xfId="8675"/>
    <cellStyle name="20% - 强调文字颜色 4 32 3" xfId="14513"/>
    <cellStyle name="20% - 强调文字颜色 4 32 4" xfId="24539"/>
    <cellStyle name="20% - 强调文字颜色 4 32 5" xfId="26720"/>
    <cellStyle name="20% - 强调文字颜色 4 32 6" xfId="27769"/>
    <cellStyle name="20% - 强调文字颜色 4 33" xfId="2830"/>
    <cellStyle name="20% - 强调文字颜色 4 33 2" xfId="8676"/>
    <cellStyle name="20% - 强调文字颜色 4 33 3" xfId="14514"/>
    <cellStyle name="20% - 强调文字颜色 4 33 4" xfId="24540"/>
    <cellStyle name="20% - 强调文字颜色 4 33 5" xfId="27770"/>
    <cellStyle name="20% - 强调文字颜色 4 34" xfId="2831"/>
    <cellStyle name="20% - 强调文字颜色 4 34 2" xfId="8677"/>
    <cellStyle name="20% - 强调文字颜色 4 34 3" xfId="14515"/>
    <cellStyle name="20% - 强调文字颜色 4 34 4" xfId="24541"/>
    <cellStyle name="20% - 强调文字颜色 4 34 5" xfId="27771"/>
    <cellStyle name="20% - 强调文字颜色 4 35" xfId="2832"/>
    <cellStyle name="20% - 强调文字颜色 4 35 2" xfId="8678"/>
    <cellStyle name="20% - 强调文字颜色 4 35 3" xfId="14516"/>
    <cellStyle name="20% - 强调文字颜色 4 35 4" xfId="24542"/>
    <cellStyle name="20% - 强调文字颜色 4 35 5" xfId="27772"/>
    <cellStyle name="20% - 强调文字颜色 4 36" xfId="2833"/>
    <cellStyle name="20% - 强调文字颜色 4 36 2" xfId="8679"/>
    <cellStyle name="20% - 强调文字颜色 4 36 3" xfId="14517"/>
    <cellStyle name="20% - 强调文字颜色 4 36 4" xfId="24543"/>
    <cellStyle name="20% - 强调文字颜色 4 36 5" xfId="27773"/>
    <cellStyle name="20% - 强调文字颜色 4 37" xfId="2834"/>
    <cellStyle name="20% - 强调文字颜色 4 37 2" xfId="8680"/>
    <cellStyle name="20% - 强调文字颜色 4 37 3" xfId="14518"/>
    <cellStyle name="20% - 强调文字颜色 4 37 4" xfId="24544"/>
    <cellStyle name="20% - 强调文字颜色 4 37 5" xfId="27774"/>
    <cellStyle name="20% - 强调文字颜色 4 38" xfId="2835"/>
    <cellStyle name="20% - 强调文字颜色 4 38 2" xfId="8681"/>
    <cellStyle name="20% - 强调文字颜色 4 38 3" xfId="14519"/>
    <cellStyle name="20% - 强调文字颜色 4 38 4" xfId="24545"/>
    <cellStyle name="20% - 强调文字颜色 4 38 5" xfId="27775"/>
    <cellStyle name="20% - 强调文字颜色 4 39" xfId="2836"/>
    <cellStyle name="20% - 强调文字颜色 4 39 2" xfId="8682"/>
    <cellStyle name="20% - 强调文字颜色 4 39 3" xfId="14520"/>
    <cellStyle name="20% - 强调文字颜色 4 39 4" xfId="24546"/>
    <cellStyle name="20% - 强调文字颜色 4 39 5" xfId="27776"/>
    <cellStyle name="20% - 强调文字颜色 4 4" xfId="460"/>
    <cellStyle name="20% - 强调文字颜色 4 4 10" xfId="12162"/>
    <cellStyle name="20% - 强调文字颜色 4 4 11" xfId="14521"/>
    <cellStyle name="20% - 强调文字颜色 4 4 12" xfId="7738"/>
    <cellStyle name="20% - 强调文字颜色 4 4 13" xfId="18315"/>
    <cellStyle name="20% - 强调文字颜色 4 4 14" xfId="23322"/>
    <cellStyle name="20% - 强调文字颜色 4 4 15" xfId="20676"/>
    <cellStyle name="20% - 强调文字颜色 4 4 16" xfId="30119"/>
    <cellStyle name="20% - 强调文字颜色 4 4 17" xfId="32812"/>
    <cellStyle name="20% - 强调文字颜色 4 4 2" xfId="461"/>
    <cellStyle name="20% - 强调文字颜色 4 4 2 10" xfId="30120"/>
    <cellStyle name="20% - 强调文字颜色 4 4 2 11" xfId="31948"/>
    <cellStyle name="20% - 强调文字颜色 4 4 2 2" xfId="2838"/>
    <cellStyle name="20% - 强调文字颜色 4 4 2 3" xfId="6012"/>
    <cellStyle name="20% - 强调文字颜色 4 4 2 4" xfId="12163"/>
    <cellStyle name="20% - 强调文字颜色 4 4 2 5" xfId="14522"/>
    <cellStyle name="20% - 强调文字颜色 4 4 2 6" xfId="7737"/>
    <cellStyle name="20% - 强调文字颜色 4 4 2 7" xfId="18316"/>
    <cellStyle name="20% - 强调文字颜色 4 4 2 8" xfId="22339"/>
    <cellStyle name="20% - 强调文字颜色 4 4 2 9" xfId="20023"/>
    <cellStyle name="20% - 强调文字颜色 4 4 3" xfId="462"/>
    <cellStyle name="20% - 强调文字颜色 4 4 3 10" xfId="30121"/>
    <cellStyle name="20% - 强调文字颜色 4 4 3 11" xfId="31300"/>
    <cellStyle name="20% - 强调文字颜色 4 4 3 2" xfId="2839"/>
    <cellStyle name="20% - 强调文字颜色 4 4 3 3" xfId="6013"/>
    <cellStyle name="20% - 强调文字颜色 4 4 3 4" xfId="12164"/>
    <cellStyle name="20% - 强调文字颜色 4 4 3 5" xfId="14523"/>
    <cellStyle name="20% - 强调文字颜色 4 4 3 6" xfId="7736"/>
    <cellStyle name="20% - 强调文字颜色 4 4 3 7" xfId="18317"/>
    <cellStyle name="20% - 强调文字颜色 4 4 3 8" xfId="21812"/>
    <cellStyle name="20% - 强调文字颜色 4 4 3 9" xfId="21251"/>
    <cellStyle name="20% - 强调文字颜色 4 4 4" xfId="463"/>
    <cellStyle name="20% - 强调文字颜色 4 4 4 10" xfId="30122"/>
    <cellStyle name="20% - 强调文字颜色 4 4 4 11" xfId="32811"/>
    <cellStyle name="20% - 强调文字颜色 4 4 4 2" xfId="2840"/>
    <cellStyle name="20% - 强调文字颜色 4 4 4 3" xfId="6014"/>
    <cellStyle name="20% - 强调文字颜色 4 4 4 4" xfId="12165"/>
    <cellStyle name="20% - 强调文字颜色 4 4 4 5" xfId="14524"/>
    <cellStyle name="20% - 强调文字颜色 4 4 4 6" xfId="7735"/>
    <cellStyle name="20% - 强调文字颜色 4 4 4 7" xfId="18318"/>
    <cellStyle name="20% - 强调文字颜色 4 4 4 8" xfId="23321"/>
    <cellStyle name="20% - 强调文字颜色 4 4 4 9" xfId="20675"/>
    <cellStyle name="20% - 强调文字颜色 4 4 5" xfId="464"/>
    <cellStyle name="20% - 强调文字颜色 4 4 5 10" xfId="30123"/>
    <cellStyle name="20% - 强调文字颜色 4 4 5 11" xfId="31947"/>
    <cellStyle name="20% - 强调文字颜色 4 4 5 2" xfId="2841"/>
    <cellStyle name="20% - 强调文字颜色 4 4 5 3" xfId="6015"/>
    <cellStyle name="20% - 强调文字颜色 4 4 5 4" xfId="12166"/>
    <cellStyle name="20% - 强调文字颜色 4 4 5 5" xfId="14525"/>
    <cellStyle name="20% - 强调文字颜色 4 4 5 6" xfId="7734"/>
    <cellStyle name="20% - 强调文字颜色 4 4 5 7" xfId="18319"/>
    <cellStyle name="20% - 强调文字颜色 4 4 5 8" xfId="22338"/>
    <cellStyle name="20% - 强调文字颜色 4 4 5 9" xfId="20022"/>
    <cellStyle name="20% - 强调文字颜色 4 4 6" xfId="465"/>
    <cellStyle name="20% - 强调文字颜色 4 4 6 10" xfId="30124"/>
    <cellStyle name="20% - 强调文字颜色 4 4 6 11" xfId="31299"/>
    <cellStyle name="20% - 强调文字颜色 4 4 6 2" xfId="2842"/>
    <cellStyle name="20% - 强调文字颜色 4 4 6 3" xfId="6016"/>
    <cellStyle name="20% - 强调文字颜色 4 4 6 4" xfId="12167"/>
    <cellStyle name="20% - 强调文字颜色 4 4 6 5" xfId="14526"/>
    <cellStyle name="20% - 强调文字颜色 4 4 6 6" xfId="11622"/>
    <cellStyle name="20% - 强调文字颜色 4 4 6 7" xfId="18320"/>
    <cellStyle name="20% - 强调文字颜色 4 4 6 8" xfId="21811"/>
    <cellStyle name="20% - 强调文字颜色 4 4 6 9" xfId="21250"/>
    <cellStyle name="20% - 强调文字颜色 4 4 7" xfId="466"/>
    <cellStyle name="20% - 强调文字颜色 4 4 7 10" xfId="30125"/>
    <cellStyle name="20% - 强调文字颜色 4 4 7 11" xfId="32810"/>
    <cellStyle name="20% - 强调文字颜色 4 4 7 2" xfId="2843"/>
    <cellStyle name="20% - 强调文字颜色 4 4 7 3" xfId="6017"/>
    <cellStyle name="20% - 强调文字颜色 4 4 7 4" xfId="12168"/>
    <cellStyle name="20% - 强调文字颜色 4 4 7 5" xfId="14527"/>
    <cellStyle name="20% - 强调文字颜色 4 4 7 6" xfId="10497"/>
    <cellStyle name="20% - 强调文字颜色 4 4 7 7" xfId="18321"/>
    <cellStyle name="20% - 强调文字颜色 4 4 7 8" xfId="23320"/>
    <cellStyle name="20% - 强调文字颜色 4 4 7 9" xfId="20674"/>
    <cellStyle name="20% - 强调文字颜色 4 4 8" xfId="2837"/>
    <cellStyle name="20% - 强调文字颜色 4 4 9" xfId="6011"/>
    <cellStyle name="20% - 强调文字颜色 4 40" xfId="2844"/>
    <cellStyle name="20% - 强调文字颜色 4 40 2" xfId="8683"/>
    <cellStyle name="20% - 强调文字颜色 4 40 3" xfId="14528"/>
    <cellStyle name="20% - 强调文字颜色 4 40 4" xfId="24547"/>
    <cellStyle name="20% - 强调文字颜色 4 40 5" xfId="27777"/>
    <cellStyle name="20% - 强调文字颜色 4 41" xfId="2845"/>
    <cellStyle name="20% - 强调文字颜色 4 41 2" xfId="8684"/>
    <cellStyle name="20% - 强调文字颜色 4 41 3" xfId="14529"/>
    <cellStyle name="20% - 强调文字颜色 4 41 4" xfId="24548"/>
    <cellStyle name="20% - 强调文字颜色 4 41 5" xfId="27778"/>
    <cellStyle name="20% - 强调文字颜色 4 42" xfId="2846"/>
    <cellStyle name="20% - 强调文字颜色 4 42 2" xfId="8685"/>
    <cellStyle name="20% - 强调文字颜色 4 42 3" xfId="14530"/>
    <cellStyle name="20% - 强调文字颜色 4 42 4" xfId="24549"/>
    <cellStyle name="20% - 强调文字颜色 4 42 5" xfId="27779"/>
    <cellStyle name="20% - 强调文字颜色 4 43" xfId="2847"/>
    <cellStyle name="20% - 强调文字颜色 4 43 2" xfId="8686"/>
    <cellStyle name="20% - 强调文字颜色 4 43 3" xfId="14531"/>
    <cellStyle name="20% - 强调文字颜色 4 43 4" xfId="24550"/>
    <cellStyle name="20% - 强调文字颜色 4 43 5" xfId="27780"/>
    <cellStyle name="20% - 强调文字颜色 4 44" xfId="2848"/>
    <cellStyle name="20% - 强调文字颜色 4 44 2" xfId="8687"/>
    <cellStyle name="20% - 强调文字颜色 4 44 3" xfId="14532"/>
    <cellStyle name="20% - 强调文字颜色 4 44 4" xfId="24551"/>
    <cellStyle name="20% - 强调文字颜色 4 44 5" xfId="27781"/>
    <cellStyle name="20% - 强调文字颜色 4 45" xfId="2849"/>
    <cellStyle name="20% - 强调文字颜色 4 45 2" xfId="8688"/>
    <cellStyle name="20% - 强调文字颜色 4 45 3" xfId="14533"/>
    <cellStyle name="20% - 强调文字颜色 4 45 4" xfId="24552"/>
    <cellStyle name="20% - 强调文字颜色 4 45 5" xfId="27782"/>
    <cellStyle name="20% - 强调文字颜色 4 46" xfId="5922"/>
    <cellStyle name="20% - 强调文字颜色 4 46 2" xfId="8531"/>
    <cellStyle name="20% - 强调文字颜色 4 46 3" xfId="7369"/>
    <cellStyle name="20% - 强调文字颜色 4 47" xfId="10948"/>
    <cellStyle name="20% - 强调文字颜色 4 47 2" xfId="23748"/>
    <cellStyle name="20% - 强调文字颜色 4 47 3" xfId="26333"/>
    <cellStyle name="20% - 强调文字颜色 4 48" xfId="12074"/>
    <cellStyle name="20% - 强调文字颜色 4 48 2" xfId="23848"/>
    <cellStyle name="20% - 强调文字颜色 4 48 3" xfId="26433"/>
    <cellStyle name="20% - 强调文字颜色 4 49" xfId="14296"/>
    <cellStyle name="20% - 强调文字颜色 4 49 2" xfId="23904"/>
    <cellStyle name="20% - 强调文字颜色 4 49 3" xfId="26489"/>
    <cellStyle name="20% - 强调文字颜色 4 5" xfId="467"/>
    <cellStyle name="20% - 强调文字颜色 4 5 10" xfId="12169"/>
    <cellStyle name="20% - 强调文字颜色 4 5 11" xfId="14534"/>
    <cellStyle name="20% - 强调文字颜色 4 5 12" xfId="11621"/>
    <cellStyle name="20% - 强调文字颜色 4 5 13" xfId="18322"/>
    <cellStyle name="20% - 强调文字颜色 4 5 14" xfId="22337"/>
    <cellStyle name="20% - 强调文字颜色 4 5 15" xfId="20021"/>
    <cellStyle name="20% - 强调文字颜色 4 5 16" xfId="30126"/>
    <cellStyle name="20% - 强调文字颜色 4 5 17" xfId="31946"/>
    <cellStyle name="20% - 强调文字颜色 4 5 2" xfId="468"/>
    <cellStyle name="20% - 强调文字颜色 4 5 2 10" xfId="30127"/>
    <cellStyle name="20% - 强调文字颜色 4 5 2 11" xfId="31298"/>
    <cellStyle name="20% - 强调文字颜色 4 5 2 2" xfId="2851"/>
    <cellStyle name="20% - 强调文字颜色 4 5 2 3" xfId="6019"/>
    <cellStyle name="20% - 强调文字颜色 4 5 2 4" xfId="12170"/>
    <cellStyle name="20% - 强调文字颜色 4 5 2 5" xfId="14535"/>
    <cellStyle name="20% - 强调文字颜色 4 5 2 6" xfId="10496"/>
    <cellStyle name="20% - 强调文字颜色 4 5 2 7" xfId="18323"/>
    <cellStyle name="20% - 强调文字颜色 4 5 2 8" xfId="21810"/>
    <cellStyle name="20% - 强调文字颜色 4 5 2 9" xfId="21249"/>
    <cellStyle name="20% - 强调文字颜色 4 5 3" xfId="469"/>
    <cellStyle name="20% - 强调文字颜色 4 5 3 10" xfId="30128"/>
    <cellStyle name="20% - 强调文字颜色 4 5 3 11" xfId="32809"/>
    <cellStyle name="20% - 强调文字颜色 4 5 3 2" xfId="2852"/>
    <cellStyle name="20% - 强调文字颜色 4 5 3 3" xfId="6020"/>
    <cellStyle name="20% - 强调文字颜色 4 5 3 4" xfId="12171"/>
    <cellStyle name="20% - 强调文字颜色 4 5 3 5" xfId="14536"/>
    <cellStyle name="20% - 强调文字颜色 4 5 3 6" xfId="11620"/>
    <cellStyle name="20% - 强调文字颜色 4 5 3 7" xfId="18324"/>
    <cellStyle name="20% - 强调文字颜色 4 5 3 8" xfId="23319"/>
    <cellStyle name="20% - 强调文字颜色 4 5 3 9" xfId="20673"/>
    <cellStyle name="20% - 强调文字颜色 4 5 4" xfId="470"/>
    <cellStyle name="20% - 强调文字颜色 4 5 4 10" xfId="30129"/>
    <cellStyle name="20% - 强调文字颜色 4 5 4 11" xfId="31945"/>
    <cellStyle name="20% - 强调文字颜色 4 5 4 2" xfId="2853"/>
    <cellStyle name="20% - 强调文字颜色 4 5 4 3" xfId="6021"/>
    <cellStyle name="20% - 强调文字颜色 4 5 4 4" xfId="12172"/>
    <cellStyle name="20% - 强调文字颜色 4 5 4 5" xfId="14537"/>
    <cellStyle name="20% - 强调文字颜色 4 5 4 6" xfId="10495"/>
    <cellStyle name="20% - 强调文字颜色 4 5 4 7" xfId="18325"/>
    <cellStyle name="20% - 强调文字颜色 4 5 4 8" xfId="22336"/>
    <cellStyle name="20% - 强调文字颜色 4 5 4 9" xfId="20020"/>
    <cellStyle name="20% - 强调文字颜色 4 5 5" xfId="471"/>
    <cellStyle name="20% - 强调文字颜色 4 5 5 10" xfId="30130"/>
    <cellStyle name="20% - 强调文字颜色 4 5 5 11" xfId="31297"/>
    <cellStyle name="20% - 强调文字颜色 4 5 5 2" xfId="2854"/>
    <cellStyle name="20% - 强调文字颜色 4 5 5 3" xfId="6022"/>
    <cellStyle name="20% - 强调文字颜色 4 5 5 4" xfId="12173"/>
    <cellStyle name="20% - 强调文字颜色 4 5 5 5" xfId="14538"/>
    <cellStyle name="20% - 强调文字颜色 4 5 5 6" xfId="11619"/>
    <cellStyle name="20% - 强调文字颜色 4 5 5 7" xfId="18326"/>
    <cellStyle name="20% - 强调文字颜色 4 5 5 8" xfId="21809"/>
    <cellStyle name="20% - 强调文字颜色 4 5 5 9" xfId="21248"/>
    <cellStyle name="20% - 强调文字颜色 4 5 6" xfId="472"/>
    <cellStyle name="20% - 强调文字颜色 4 5 6 10" xfId="30131"/>
    <cellStyle name="20% - 强调文字颜色 4 5 6 11" xfId="32808"/>
    <cellStyle name="20% - 强调文字颜色 4 5 6 2" xfId="2855"/>
    <cellStyle name="20% - 强调文字颜色 4 5 6 3" xfId="6023"/>
    <cellStyle name="20% - 强调文字颜色 4 5 6 4" xfId="12174"/>
    <cellStyle name="20% - 强调文字颜色 4 5 6 5" xfId="14539"/>
    <cellStyle name="20% - 强调文字颜色 4 5 6 6" xfId="10494"/>
    <cellStyle name="20% - 强调文字颜色 4 5 6 7" xfId="18327"/>
    <cellStyle name="20% - 强调文字颜色 4 5 6 8" xfId="23318"/>
    <cellStyle name="20% - 强调文字颜色 4 5 6 9" xfId="20672"/>
    <cellStyle name="20% - 强调文字颜色 4 5 7" xfId="473"/>
    <cellStyle name="20% - 强调文字颜色 4 5 7 10" xfId="30132"/>
    <cellStyle name="20% - 强调文字颜色 4 5 7 11" xfId="31944"/>
    <cellStyle name="20% - 强调文字颜色 4 5 7 2" xfId="2856"/>
    <cellStyle name="20% - 强调文字颜色 4 5 7 3" xfId="6024"/>
    <cellStyle name="20% - 强调文字颜色 4 5 7 4" xfId="12175"/>
    <cellStyle name="20% - 强调文字颜色 4 5 7 5" xfId="14540"/>
    <cellStyle name="20% - 强调文字颜色 4 5 7 6" xfId="11618"/>
    <cellStyle name="20% - 强调文字颜色 4 5 7 7" xfId="18328"/>
    <cellStyle name="20% - 强调文字颜色 4 5 7 8" xfId="22335"/>
    <cellStyle name="20% - 强调文字颜色 4 5 7 9" xfId="20019"/>
    <cellStyle name="20% - 强调文字颜色 4 5 8" xfId="2850"/>
    <cellStyle name="20% - 强调文字颜色 4 5 9" xfId="6018"/>
    <cellStyle name="20% - 强调文字颜色 4 50" xfId="7809"/>
    <cellStyle name="20% - 强调文字颜色 4 50 2" xfId="27011"/>
    <cellStyle name="20% - 强调文字颜色 4 51" xfId="17433"/>
    <cellStyle name="20% - 强调文字颜色 4 52" xfId="17519"/>
    <cellStyle name="20% - 强调文字颜色 4 52 2" xfId="27142"/>
    <cellStyle name="20% - 强调文字颜色 4 53" xfId="17605"/>
    <cellStyle name="20% - 强调文字颜色 4 54" xfId="17691"/>
    <cellStyle name="20% - 强调文字颜色 4 55" xfId="17777"/>
    <cellStyle name="20% - 强调文字颜色 4 56" xfId="18225"/>
    <cellStyle name="20% - 强调文字颜色 4 56 2" xfId="21373"/>
    <cellStyle name="20% - 强调文字颜色 4 56 3" xfId="23456"/>
    <cellStyle name="20% - 强调文字颜色 4 57" xfId="22353"/>
    <cellStyle name="20% - 强调文字颜色 4 58" xfId="21503"/>
    <cellStyle name="20% - 强调文字颜色 4 6" xfId="474"/>
    <cellStyle name="20% - 强调文字颜色 4 6 10" xfId="14541"/>
    <cellStyle name="20% - 强调文字颜色 4 6 11" xfId="10493"/>
    <cellStyle name="20% - 强调文字颜色 4 6 12" xfId="18329"/>
    <cellStyle name="20% - 强调文字颜色 4 6 13" xfId="21808"/>
    <cellStyle name="20% - 强调文字颜色 4 6 14" xfId="21247"/>
    <cellStyle name="20% - 强调文字颜色 4 6 15" xfId="30133"/>
    <cellStyle name="20% - 强调文字颜色 4 6 16" xfId="31296"/>
    <cellStyle name="20% - 强调文字颜色 4 6 2" xfId="475"/>
    <cellStyle name="20% - 强调文字颜色 4 6 2 10" xfId="30134"/>
    <cellStyle name="20% - 强调文字颜色 4 6 2 11" xfId="32807"/>
    <cellStyle name="20% - 强调文字颜色 4 6 2 2" xfId="2858"/>
    <cellStyle name="20% - 强调文字颜色 4 6 2 3" xfId="6026"/>
    <cellStyle name="20% - 强调文字颜色 4 6 2 4" xfId="12177"/>
    <cellStyle name="20% - 强调文字颜色 4 6 2 5" xfId="14542"/>
    <cellStyle name="20% - 强调文字颜色 4 6 2 6" xfId="11617"/>
    <cellStyle name="20% - 强调文字颜色 4 6 2 7" xfId="18330"/>
    <cellStyle name="20% - 强调文字颜色 4 6 2 8" xfId="23317"/>
    <cellStyle name="20% - 强调文字颜色 4 6 2 9" xfId="20671"/>
    <cellStyle name="20% - 强调文字颜色 4 6 3" xfId="476"/>
    <cellStyle name="20% - 强调文字颜色 4 6 3 10" xfId="30135"/>
    <cellStyle name="20% - 强调文字颜色 4 6 3 11" xfId="31943"/>
    <cellStyle name="20% - 强调文字颜色 4 6 3 2" xfId="2859"/>
    <cellStyle name="20% - 强调文字颜色 4 6 3 3" xfId="6027"/>
    <cellStyle name="20% - 强调文字颜色 4 6 3 4" xfId="12178"/>
    <cellStyle name="20% - 强调文字颜色 4 6 3 5" xfId="14543"/>
    <cellStyle name="20% - 强调文字颜色 4 6 3 6" xfId="10492"/>
    <cellStyle name="20% - 强调文字颜色 4 6 3 7" xfId="18331"/>
    <cellStyle name="20% - 强调文字颜色 4 6 3 8" xfId="22334"/>
    <cellStyle name="20% - 强调文字颜色 4 6 3 9" xfId="20018"/>
    <cellStyle name="20% - 强调文字颜色 4 6 4" xfId="477"/>
    <cellStyle name="20% - 强调文字颜色 4 6 4 10" xfId="30136"/>
    <cellStyle name="20% - 强调文字颜色 4 6 4 11" xfId="31295"/>
    <cellStyle name="20% - 强调文字颜色 4 6 4 2" xfId="2860"/>
    <cellStyle name="20% - 强调文字颜色 4 6 4 3" xfId="6028"/>
    <cellStyle name="20% - 强调文字颜色 4 6 4 4" xfId="12179"/>
    <cellStyle name="20% - 强调文字颜色 4 6 4 5" xfId="14544"/>
    <cellStyle name="20% - 强调文字颜色 4 6 4 6" xfId="7732"/>
    <cellStyle name="20% - 强调文字颜色 4 6 4 7" xfId="18332"/>
    <cellStyle name="20% - 强调文字颜色 4 6 4 8" xfId="21807"/>
    <cellStyle name="20% - 强调文字颜色 4 6 4 9" xfId="21491"/>
    <cellStyle name="20% - 强调文字颜色 4 6 5" xfId="478"/>
    <cellStyle name="20% - 强调文字颜色 4 6 5 10" xfId="30137"/>
    <cellStyle name="20% - 强调文字颜色 4 6 5 11" xfId="32806"/>
    <cellStyle name="20% - 强调文字颜色 4 6 5 2" xfId="2861"/>
    <cellStyle name="20% - 强调文字颜色 4 6 5 3" xfId="6029"/>
    <cellStyle name="20% - 强调文字颜色 4 6 5 4" xfId="12180"/>
    <cellStyle name="20% - 强调文字颜色 4 6 5 5" xfId="14545"/>
    <cellStyle name="20% - 强调文字颜色 4 6 5 6" xfId="7731"/>
    <cellStyle name="20% - 强调文字颜色 4 6 5 7" xfId="18333"/>
    <cellStyle name="20% - 强调文字颜色 4 6 5 8" xfId="23316"/>
    <cellStyle name="20% - 强调文字颜色 4 6 5 9" xfId="20298"/>
    <cellStyle name="20% - 强调文字颜色 4 6 6" xfId="479"/>
    <cellStyle name="20% - 强调文字颜色 4 6 6 10" xfId="30138"/>
    <cellStyle name="20% - 强调文字颜色 4 6 6 11" xfId="31942"/>
    <cellStyle name="20% - 强调文字颜色 4 6 6 2" xfId="2862"/>
    <cellStyle name="20% - 强调文字颜色 4 6 6 3" xfId="6030"/>
    <cellStyle name="20% - 强调文字颜色 4 6 6 4" xfId="12181"/>
    <cellStyle name="20% - 强调文字颜色 4 6 6 5" xfId="14546"/>
    <cellStyle name="20% - 强调文字颜色 4 6 6 6" xfId="7730"/>
    <cellStyle name="20% - 强调文字颜色 4 6 6 7" xfId="18334"/>
    <cellStyle name="20% - 强调文字颜色 4 6 6 8" xfId="22333"/>
    <cellStyle name="20% - 强调文字颜色 4 6 6 9" xfId="21231"/>
    <cellStyle name="20% - 强调文字颜色 4 6 7" xfId="2857"/>
    <cellStyle name="20% - 强调文字颜色 4 6 8" xfId="6025"/>
    <cellStyle name="20% - 强调文字颜色 4 6 9" xfId="12176"/>
    <cellStyle name="20% - 强调文字颜色 4 7" xfId="480"/>
    <cellStyle name="20% - 强调文字颜色 4 7 10" xfId="21806"/>
    <cellStyle name="20% - 强调文字颜色 4 7 11" xfId="20840"/>
    <cellStyle name="20% - 强调文字颜色 4 7 12" xfId="30139"/>
    <cellStyle name="20% - 强调文字颜色 4 7 13" xfId="31294"/>
    <cellStyle name="20% - 强调文字颜色 4 7 2" xfId="481"/>
    <cellStyle name="20% - 强调文字颜色 4 7 2 10" xfId="30140"/>
    <cellStyle name="20% - 强调文字颜色 4 7 2 11" xfId="33416"/>
    <cellStyle name="20% - 强调文字颜色 4 7 2 2" xfId="2864"/>
    <cellStyle name="20% - 强调文字颜色 4 7 2 3" xfId="6032"/>
    <cellStyle name="20% - 强调文字颜色 4 7 2 4" xfId="12183"/>
    <cellStyle name="20% - 强调文字颜色 4 7 2 5" xfId="14548"/>
    <cellStyle name="20% - 强调文字颜色 4 7 2 6" xfId="7728"/>
    <cellStyle name="20% - 强调文字颜色 4 7 2 7" xfId="18336"/>
    <cellStyle name="20% - 强调文字颜色 4 7 2 8" xfId="23315"/>
    <cellStyle name="20% - 强调文字颜色 4 7 2 9" xfId="20755"/>
    <cellStyle name="20% - 强调文字颜色 4 7 3" xfId="482"/>
    <cellStyle name="20% - 强调文字颜色 4 7 3 10" xfId="30141"/>
    <cellStyle name="20% - 强调文字颜色 4 7 3 11" xfId="33177"/>
    <cellStyle name="20% - 强调文字颜色 4 7 3 2" xfId="2865"/>
    <cellStyle name="20% - 强调文字颜色 4 7 3 3" xfId="6033"/>
    <cellStyle name="20% - 强调文字颜色 4 7 3 4" xfId="12184"/>
    <cellStyle name="20% - 强调文字颜色 4 7 3 5" xfId="14549"/>
    <cellStyle name="20% - 强调文字颜色 4 7 3 6" xfId="7727"/>
    <cellStyle name="20% - 强调文字颜色 4 7 3 7" xfId="18337"/>
    <cellStyle name="20% - 强调文字颜色 4 7 3 8" xfId="22332"/>
    <cellStyle name="20% - 强调文字颜色 4 7 3 9" xfId="20199"/>
    <cellStyle name="20% - 强调文字颜色 4 7 4" xfId="2863"/>
    <cellStyle name="20% - 强调文字颜色 4 7 5" xfId="6031"/>
    <cellStyle name="20% - 强调文字颜色 4 7 6" xfId="12182"/>
    <cellStyle name="20% - 强调文字颜色 4 7 7" xfId="14547"/>
    <cellStyle name="20% - 强调文字颜色 4 7 8" xfId="7729"/>
    <cellStyle name="20% - 强调文字颜色 4 7 9" xfId="18335"/>
    <cellStyle name="20% - 强调文字颜色 4 8" xfId="483"/>
    <cellStyle name="20% - 强调文字颜色 4 8 10" xfId="14550"/>
    <cellStyle name="20% - 强调文字颜色 4 8 11" xfId="7712"/>
    <cellStyle name="20% - 强调文字颜色 4 8 12" xfId="18338"/>
    <cellStyle name="20% - 强调文字颜色 4 8 13" xfId="21805"/>
    <cellStyle name="20% - 强调文字颜色 4 8 14" xfId="21246"/>
    <cellStyle name="20% - 强调文字颜色 4 8 15" xfId="30142"/>
    <cellStyle name="20% - 强调文字颜色 4 8 16" xfId="32805"/>
    <cellStyle name="20% - 强调文字颜色 4 8 2" xfId="484"/>
    <cellStyle name="20% - 强调文字颜色 4 8 2 10" xfId="30143"/>
    <cellStyle name="20% - 强调文字颜色 4 8 2 11" xfId="32512"/>
    <cellStyle name="20% - 强调文字颜色 4 8 2 2" xfId="2867"/>
    <cellStyle name="20% - 强调文字颜色 4 8 2 3" xfId="6035"/>
    <cellStyle name="20% - 强调文字颜色 4 8 2 4" xfId="12186"/>
    <cellStyle name="20% - 强调文字颜色 4 8 2 5" xfId="14551"/>
    <cellStyle name="20% - 强调文字颜色 4 8 2 6" xfId="10468"/>
    <cellStyle name="20% - 强调文字颜色 4 8 2 7" xfId="18339"/>
    <cellStyle name="20% - 强调文字颜色 4 8 2 8" xfId="23314"/>
    <cellStyle name="20% - 强调文字颜色 4 8 2 9" xfId="20670"/>
    <cellStyle name="20% - 强调文字颜色 4 8 3" xfId="485"/>
    <cellStyle name="20% - 强调文字颜色 4 8 3 10" xfId="30144"/>
    <cellStyle name="20% - 强调文字颜色 4 8 3 11" xfId="32281"/>
    <cellStyle name="20% - 强调文字颜色 4 8 3 2" xfId="2868"/>
    <cellStyle name="20% - 强调文字颜色 4 8 3 3" xfId="6036"/>
    <cellStyle name="20% - 强调文字颜色 4 8 3 4" xfId="12187"/>
    <cellStyle name="20% - 强调文字颜色 4 8 3 5" xfId="14552"/>
    <cellStyle name="20% - 强调文字颜色 4 8 3 6" xfId="7726"/>
    <cellStyle name="20% - 强调文字颜色 4 8 3 7" xfId="18340"/>
    <cellStyle name="20% - 强调文字颜色 4 8 3 8" xfId="22331"/>
    <cellStyle name="20% - 强调文字颜色 4 8 3 9" xfId="20017"/>
    <cellStyle name="20% - 强调文字颜色 4 8 4" xfId="486"/>
    <cellStyle name="20% - 强调文字颜色 4 8 4 10" xfId="30145"/>
    <cellStyle name="20% - 强调文字颜色 4 8 4 11" xfId="31821"/>
    <cellStyle name="20% - 强调文字颜色 4 8 4 2" xfId="2869"/>
    <cellStyle name="20% - 强调文字颜色 4 8 4 3" xfId="6037"/>
    <cellStyle name="20% - 强调文字颜色 4 8 4 4" xfId="12188"/>
    <cellStyle name="20% - 强调文字颜色 4 8 4 5" xfId="14553"/>
    <cellStyle name="20% - 强调文字颜色 4 8 4 6" xfId="7725"/>
    <cellStyle name="20% - 强调文字颜色 4 8 4 7" xfId="18341"/>
    <cellStyle name="20% - 强调文字颜色 4 8 4 8" xfId="21804"/>
    <cellStyle name="20% - 强调文字颜色 4 8 4 9" xfId="21245"/>
    <cellStyle name="20% - 强调文字颜色 4 8 5" xfId="487"/>
    <cellStyle name="20% - 强调文字颜色 4 8 5 2" xfId="6038"/>
    <cellStyle name="20% - 强调文字颜色 4 8 5 3" xfId="12189"/>
    <cellStyle name="20% - 强调文字颜色 4 8 5 4" xfId="7724"/>
    <cellStyle name="20% - 强调文字颜色 4 8 5 5" xfId="18342"/>
    <cellStyle name="20% - 强调文字颜色 4 8 5 6" xfId="23312"/>
    <cellStyle name="20% - 强调文字颜色 4 8 5 7" xfId="20669"/>
    <cellStyle name="20% - 强调文字颜色 4 8 5 8" xfId="31512"/>
    <cellStyle name="20% - 强调文字颜色 4 8 5 9" xfId="32578"/>
    <cellStyle name="20% - 强调文字颜色 4 8 6" xfId="2866"/>
    <cellStyle name="20% - 强调文字颜色 4 8 7" xfId="6034"/>
    <cellStyle name="20% - 强调文字颜色 4 8 8" xfId="10962"/>
    <cellStyle name="20% - 强调文字颜色 4 8 9" xfId="12185"/>
    <cellStyle name="20% - 强调文字颜色 4 9" xfId="488"/>
    <cellStyle name="20% - 强调文字颜色 4 9 10" xfId="14554"/>
    <cellStyle name="20% - 强调文字颜色 4 9 11" xfId="7723"/>
    <cellStyle name="20% - 强调文字颜色 4 9 12" xfId="18343"/>
    <cellStyle name="20% - 强调文字颜色 4 9 13" xfId="22329"/>
    <cellStyle name="20% - 强调文字颜色 4 9 14" xfId="20016"/>
    <cellStyle name="20% - 强调文字颜色 4 9 15" xfId="30146"/>
    <cellStyle name="20% - 强调文字颜色 4 9 16" xfId="32804"/>
    <cellStyle name="20% - 强调文字颜色 4 9 2" xfId="489"/>
    <cellStyle name="20% - 强调文字颜色 4 9 2 10" xfId="30147"/>
    <cellStyle name="20% - 强调文字颜色 4 9 2 11" xfId="31941"/>
    <cellStyle name="20% - 强调文字颜色 4 9 2 2" xfId="2871"/>
    <cellStyle name="20% - 强调文字颜色 4 9 2 3" xfId="6040"/>
    <cellStyle name="20% - 强调文字颜色 4 9 2 4" xfId="12191"/>
    <cellStyle name="20% - 强调文字颜色 4 9 2 5" xfId="14555"/>
    <cellStyle name="20% - 强调文字颜色 4 9 2 6" xfId="11615"/>
    <cellStyle name="20% - 强调文字颜色 4 9 2 7" xfId="18344"/>
    <cellStyle name="20% - 强调文字颜色 4 9 2 8" xfId="21803"/>
    <cellStyle name="20% - 强调文字颜色 4 9 2 9" xfId="21244"/>
    <cellStyle name="20% - 强调文字颜色 4 9 3" xfId="490"/>
    <cellStyle name="20% - 强调文字颜色 4 9 3 10" xfId="30148"/>
    <cellStyle name="20% - 强调文字颜色 4 9 3 11" xfId="31292"/>
    <cellStyle name="20% - 强调文字颜色 4 9 3 2" xfId="2872"/>
    <cellStyle name="20% - 强调文字颜色 4 9 3 3" xfId="6041"/>
    <cellStyle name="20% - 强调文字颜色 4 9 3 4" xfId="12192"/>
    <cellStyle name="20% - 强调文字颜色 4 9 3 5" xfId="14556"/>
    <cellStyle name="20% - 强调文字颜色 4 9 3 6" xfId="10479"/>
    <cellStyle name="20% - 强调文字颜色 4 9 3 7" xfId="18345"/>
    <cellStyle name="20% - 强调文字颜色 4 9 3 8" xfId="23311"/>
    <cellStyle name="20% - 强调文字颜色 4 9 3 9" xfId="20668"/>
    <cellStyle name="20% - 强调文字颜色 4 9 4" xfId="491"/>
    <cellStyle name="20% - 强调文字颜色 4 9 4 10" xfId="30149"/>
    <cellStyle name="20% - 强调文字颜色 4 9 4 11" xfId="32803"/>
    <cellStyle name="20% - 强调文字颜色 4 9 4 2" xfId="2873"/>
    <cellStyle name="20% - 强调文字颜色 4 9 4 3" xfId="6042"/>
    <cellStyle name="20% - 强调文字颜色 4 9 4 4" xfId="12193"/>
    <cellStyle name="20% - 强调文字颜色 4 9 4 5" xfId="14557"/>
    <cellStyle name="20% - 强调文字颜色 4 9 4 6" xfId="7722"/>
    <cellStyle name="20% - 强调文字颜色 4 9 4 7" xfId="18346"/>
    <cellStyle name="20% - 强调文字颜色 4 9 4 8" xfId="22328"/>
    <cellStyle name="20% - 强调文字颜色 4 9 4 9" xfId="20015"/>
    <cellStyle name="20% - 强调文字颜色 4 9 5" xfId="492"/>
    <cellStyle name="20% - 强调文字颜色 4 9 5 2" xfId="6043"/>
    <cellStyle name="20% - 强调文字颜色 4 9 5 3" xfId="12194"/>
    <cellStyle name="20% - 强调文字颜色 4 9 5 4" xfId="7721"/>
    <cellStyle name="20% - 强调文字颜色 4 9 5 5" xfId="18347"/>
    <cellStyle name="20% - 强调文字颜色 4 9 5 6" xfId="21802"/>
    <cellStyle name="20% - 强调文字颜色 4 9 5 7" xfId="21243"/>
    <cellStyle name="20% - 强调文字颜色 4 9 5 8" xfId="31513"/>
    <cellStyle name="20% - 强调文字颜色 4 9 5 9" xfId="33230"/>
    <cellStyle name="20% - 强调文字颜色 4 9 6" xfId="2870"/>
    <cellStyle name="20% - 强调文字颜色 4 9 7" xfId="6039"/>
    <cellStyle name="20% - 强调文字颜色 4 9 8" xfId="10963"/>
    <cellStyle name="20% - 强调文字颜色 4 9 9" xfId="12190"/>
    <cellStyle name="20% - 强调文字颜色 5" xfId="493" builtinId="46" customBuiltin="1"/>
    <cellStyle name="20% - 强调文字颜色 5 10" xfId="494"/>
    <cellStyle name="20% - 强调文字颜色 5 10 10" xfId="14559"/>
    <cellStyle name="20% - 强调文字颜色 5 10 11" xfId="7719"/>
    <cellStyle name="20% - 强调文字颜色 5 10 12" xfId="18349"/>
    <cellStyle name="20% - 强调文字颜色 5 10 13" xfId="22327"/>
    <cellStyle name="20% - 强调文字颜色 5 10 14" xfId="20014"/>
    <cellStyle name="20% - 强调文字颜色 5 10 15" xfId="30150"/>
    <cellStyle name="20% - 强调文字颜色 5 10 16" xfId="31291"/>
    <cellStyle name="20% - 强调文字颜色 5 10 2" xfId="495"/>
    <cellStyle name="20% - 强调文字颜色 5 10 2 10" xfId="30151"/>
    <cellStyle name="20% - 强调文字颜色 5 10 2 11" xfId="32802"/>
    <cellStyle name="20% - 强调文字颜色 5 10 2 2" xfId="2876"/>
    <cellStyle name="20% - 强调文字颜色 5 10 2 3" xfId="6046"/>
    <cellStyle name="20% - 强调文字颜色 5 10 2 4" xfId="12197"/>
    <cellStyle name="20% - 强调文字颜色 5 10 2 5" xfId="14560"/>
    <cellStyle name="20% - 强调文字颜色 5 10 2 6" xfId="7718"/>
    <cellStyle name="20% - 强调文字颜色 5 10 2 7" xfId="18350"/>
    <cellStyle name="20% - 强调文字颜色 5 10 2 8" xfId="21801"/>
    <cellStyle name="20% - 强调文字颜色 5 10 2 9" xfId="21242"/>
    <cellStyle name="20% - 强调文字颜色 5 10 3" xfId="496"/>
    <cellStyle name="20% - 强调文字颜色 5 10 3 10" xfId="30152"/>
    <cellStyle name="20% - 强调文字颜色 5 10 3 11" xfId="31940"/>
    <cellStyle name="20% - 强调文字颜色 5 10 3 2" xfId="2877"/>
    <cellStyle name="20% - 强调文字颜色 5 10 3 3" xfId="6047"/>
    <cellStyle name="20% - 强调文字颜色 5 10 3 4" xfId="12198"/>
    <cellStyle name="20% - 强调文字颜色 5 10 3 5" xfId="14561"/>
    <cellStyle name="20% - 强调文字颜色 5 10 3 6" xfId="7717"/>
    <cellStyle name="20% - 强调文字颜色 5 10 3 7" xfId="18351"/>
    <cellStyle name="20% - 强调文字颜色 5 10 3 8" xfId="23309"/>
    <cellStyle name="20% - 强调文字颜色 5 10 3 9" xfId="20666"/>
    <cellStyle name="20% - 强调文字颜色 5 10 4" xfId="497"/>
    <cellStyle name="20% - 强调文字颜色 5 10 4 10" xfId="30153"/>
    <cellStyle name="20% - 强调文字颜色 5 10 4 11" xfId="31290"/>
    <cellStyle name="20% - 强调文字颜色 5 10 4 2" xfId="2878"/>
    <cellStyle name="20% - 强调文字颜色 5 10 4 3" xfId="6048"/>
    <cellStyle name="20% - 强调文字颜色 5 10 4 4" xfId="12199"/>
    <cellStyle name="20% - 强调文字颜色 5 10 4 5" xfId="14562"/>
    <cellStyle name="20% - 强调文字颜色 5 10 4 6" xfId="7716"/>
    <cellStyle name="20% - 强调文字颜色 5 10 4 7" xfId="18352"/>
    <cellStyle name="20% - 强调文字颜色 5 10 4 8" xfId="22326"/>
    <cellStyle name="20% - 强调文字颜色 5 10 4 9" xfId="20003"/>
    <cellStyle name="20% - 强调文字颜色 5 10 5" xfId="498"/>
    <cellStyle name="20% - 强调文字颜色 5 10 5 2" xfId="6049"/>
    <cellStyle name="20% - 强调文字颜色 5 10 5 3" xfId="12200"/>
    <cellStyle name="20% - 强调文字颜色 5 10 5 4" xfId="7715"/>
    <cellStyle name="20% - 强调文字颜色 5 10 5 5" xfId="18353"/>
    <cellStyle name="20% - 强调文字颜色 5 10 5 6" xfId="21800"/>
    <cellStyle name="20% - 强调文字颜色 5 10 5 7" xfId="21241"/>
    <cellStyle name="20% - 强调文字颜色 5 10 5 8" xfId="31514"/>
    <cellStyle name="20% - 强调文字颜色 5 10 5 9" xfId="31629"/>
    <cellStyle name="20% - 强调文字颜色 5 10 6" xfId="2875"/>
    <cellStyle name="20% - 强调文字颜色 5 10 7" xfId="6045"/>
    <cellStyle name="20% - 强调文字颜色 5 10 8" xfId="10965"/>
    <cellStyle name="20% - 强调文字颜色 5 10 9" xfId="12196"/>
    <cellStyle name="20% - 强调文字颜色 5 11" xfId="499"/>
    <cellStyle name="20% - 强调文字颜色 5 11 10" xfId="14563"/>
    <cellStyle name="20% - 强调文字颜色 5 11 11" xfId="7714"/>
    <cellStyle name="20% - 强调文字颜色 5 11 12" xfId="18354"/>
    <cellStyle name="20% - 强调文字颜色 5 11 13" xfId="23308"/>
    <cellStyle name="20% - 强调文字颜色 5 11 14" xfId="20665"/>
    <cellStyle name="20% - 强调文字颜色 5 11 15" xfId="30154"/>
    <cellStyle name="20% - 强调文字颜色 5 11 16" xfId="32801"/>
    <cellStyle name="20% - 强调文字颜色 5 11 2" xfId="500"/>
    <cellStyle name="20% - 强调文字颜色 5 11 2 10" xfId="30155"/>
    <cellStyle name="20% - 强调文字颜色 5 11 2 11" xfId="31939"/>
    <cellStyle name="20% - 强调文字颜色 5 11 2 2" xfId="2880"/>
    <cellStyle name="20% - 强调文字颜色 5 11 2 3" xfId="6051"/>
    <cellStyle name="20% - 强调文字颜色 5 11 2 4" xfId="12202"/>
    <cellStyle name="20% - 强调文字颜色 5 11 2 5" xfId="14564"/>
    <cellStyle name="20% - 强调文字颜色 5 11 2 6" xfId="7713"/>
    <cellStyle name="20% - 强调文字颜色 5 11 2 7" xfId="18355"/>
    <cellStyle name="20% - 强调文字颜色 5 11 2 8" xfId="22325"/>
    <cellStyle name="20% - 强调文字颜色 5 11 2 9" xfId="20013"/>
    <cellStyle name="20% - 强调文字颜色 5 11 3" xfId="501"/>
    <cellStyle name="20% - 强调文字颜色 5 11 3 10" xfId="30156"/>
    <cellStyle name="20% - 强调文字颜色 5 11 3 11" xfId="31289"/>
    <cellStyle name="20% - 强调文字颜色 5 11 3 2" xfId="2881"/>
    <cellStyle name="20% - 强调文字颜色 5 11 3 3" xfId="6052"/>
    <cellStyle name="20% - 强调文字颜色 5 11 3 4" xfId="12203"/>
    <cellStyle name="20% - 强调文字颜色 5 11 3 5" xfId="14565"/>
    <cellStyle name="20% - 强调文字颜色 5 11 3 6" xfId="13412"/>
    <cellStyle name="20% - 强调文字颜色 5 11 3 7" xfId="18356"/>
    <cellStyle name="20% - 强调文字颜色 5 11 3 8" xfId="21799"/>
    <cellStyle name="20% - 强调文字颜色 5 11 3 9" xfId="21240"/>
    <cellStyle name="20% - 强调文字颜色 5 11 4" xfId="502"/>
    <cellStyle name="20% - 强调文字颜色 5 11 4 10" xfId="30157"/>
    <cellStyle name="20% - 强调文字颜色 5 11 4 11" xfId="32800"/>
    <cellStyle name="20% - 强调文字颜色 5 11 4 2" xfId="2882"/>
    <cellStyle name="20% - 强调文字颜色 5 11 4 3" xfId="6053"/>
    <cellStyle name="20% - 强调文字颜色 5 11 4 4" xfId="12204"/>
    <cellStyle name="20% - 强调文字颜色 5 11 4 5" xfId="14566"/>
    <cellStyle name="20% - 强调文字颜色 5 11 4 6" xfId="11613"/>
    <cellStyle name="20% - 强调文字颜色 5 11 4 7" xfId="18357"/>
    <cellStyle name="20% - 强调文字颜色 5 11 4 8" xfId="23307"/>
    <cellStyle name="20% - 强调文字颜色 5 11 4 9" xfId="20664"/>
    <cellStyle name="20% - 强调文字颜色 5 11 5" xfId="503"/>
    <cellStyle name="20% - 强调文字颜色 5 11 5 2" xfId="6054"/>
    <cellStyle name="20% - 强调文字颜色 5 11 5 3" xfId="12205"/>
    <cellStyle name="20% - 强调文字颜色 5 11 5 4" xfId="11610"/>
    <cellStyle name="20% - 强调文字颜色 5 11 5 5" xfId="18358"/>
    <cellStyle name="20% - 强调文字颜色 5 11 5 6" xfId="22324"/>
    <cellStyle name="20% - 强调文字颜色 5 11 5 7" xfId="20012"/>
    <cellStyle name="20% - 强调文字颜色 5 11 5 8" xfId="31515"/>
    <cellStyle name="20% - 强调文字颜色 5 11 5 9" xfId="32333"/>
    <cellStyle name="20% - 强调文字颜色 5 11 6" xfId="2879"/>
    <cellStyle name="20% - 强调文字颜色 5 11 6 2" xfId="23628"/>
    <cellStyle name="20% - 强调文字颜色 5 11 6 3" xfId="26213"/>
    <cellStyle name="20% - 强调文字颜色 5 11 7" xfId="6050"/>
    <cellStyle name="20% - 强调文字颜色 5 11 7 2" xfId="23676"/>
    <cellStyle name="20% - 强调文字颜色 5 11 7 3" xfId="26261"/>
    <cellStyle name="20% - 强调文字颜色 5 11 8" xfId="10966"/>
    <cellStyle name="20% - 强调文字颜色 5 11 8 2" xfId="23758"/>
    <cellStyle name="20% - 强调文字颜色 5 11 8 3" xfId="26343"/>
    <cellStyle name="20% - 强调文字颜色 5 11 9" xfId="12201"/>
    <cellStyle name="20% - 强调文字颜色 5 12" xfId="504"/>
    <cellStyle name="20% - 强调文字颜色 5 12 10" xfId="14567"/>
    <cellStyle name="20% - 强调文字颜色 5 12 11" xfId="10466"/>
    <cellStyle name="20% - 强调文字颜色 5 12 12" xfId="18359"/>
    <cellStyle name="20% - 强调文字颜色 5 12 13" xfId="21798"/>
    <cellStyle name="20% - 强调文字颜色 5 12 14" xfId="21239"/>
    <cellStyle name="20% - 强调文字颜色 5 12 15" xfId="30158"/>
    <cellStyle name="20% - 强调文字颜色 5 12 16" xfId="31938"/>
    <cellStyle name="20% - 强调文字颜色 5 12 2" xfId="505"/>
    <cellStyle name="20% - 强调文字颜色 5 12 2 10" xfId="30159"/>
    <cellStyle name="20% - 强调文字颜色 5 12 2 11" xfId="31288"/>
    <cellStyle name="20% - 强调文字颜色 5 12 2 2" xfId="2884"/>
    <cellStyle name="20% - 强调文字颜色 5 12 2 3" xfId="6056"/>
    <cellStyle name="20% - 强调文字颜色 5 12 2 4" xfId="12207"/>
    <cellStyle name="20% - 强调文字颜色 5 12 2 5" xfId="14568"/>
    <cellStyle name="20% - 强调文字颜色 5 12 2 6" xfId="11612"/>
    <cellStyle name="20% - 强调文字颜色 5 12 2 7" xfId="18360"/>
    <cellStyle name="20% - 强调文字颜色 5 12 2 8" xfId="23306"/>
    <cellStyle name="20% - 强调文字颜色 5 12 2 9" xfId="20663"/>
    <cellStyle name="20% - 强调文字颜色 5 12 3" xfId="506"/>
    <cellStyle name="20% - 强调文字颜色 5 12 3 10" xfId="30160"/>
    <cellStyle name="20% - 强调文字颜色 5 12 3 11" xfId="32799"/>
    <cellStyle name="20% - 强调文字颜色 5 12 3 2" xfId="2885"/>
    <cellStyle name="20% - 强调文字颜色 5 12 3 3" xfId="6057"/>
    <cellStyle name="20% - 强调文字颜色 5 12 3 4" xfId="12208"/>
    <cellStyle name="20% - 强调文字颜色 5 12 3 5" xfId="14569"/>
    <cellStyle name="20% - 强调文字颜色 5 12 3 6" xfId="11611"/>
    <cellStyle name="20% - 强调文字颜色 5 12 3 7" xfId="18361"/>
    <cellStyle name="20% - 强调文字颜色 5 12 3 8" xfId="22323"/>
    <cellStyle name="20% - 强调文字颜色 5 12 3 9" xfId="20011"/>
    <cellStyle name="20% - 强调文字颜色 5 12 4" xfId="507"/>
    <cellStyle name="20% - 强调文字颜色 5 12 4 10" xfId="30161"/>
    <cellStyle name="20% - 强调文字颜色 5 12 4 11" xfId="31937"/>
    <cellStyle name="20% - 强调文字颜色 5 12 4 2" xfId="2886"/>
    <cellStyle name="20% - 强调文字颜色 5 12 4 3" xfId="6058"/>
    <cellStyle name="20% - 强调文字颜色 5 12 4 4" xfId="12209"/>
    <cellStyle name="20% - 强调文字颜色 5 12 4 5" xfId="14570"/>
    <cellStyle name="20% - 强调文字颜色 5 12 4 6" xfId="11606"/>
    <cellStyle name="20% - 强调文字颜色 5 12 4 7" xfId="18362"/>
    <cellStyle name="20% - 强调文字颜色 5 12 4 8" xfId="21797"/>
    <cellStyle name="20% - 强调文字颜色 5 12 4 9" xfId="21238"/>
    <cellStyle name="20% - 强调文字颜色 5 12 5" xfId="508"/>
    <cellStyle name="20% - 强调文字颜色 5 12 5 2" xfId="6059"/>
    <cellStyle name="20% - 强调文字颜色 5 12 5 3" xfId="12210"/>
    <cellStyle name="20% - 强调文字颜色 5 12 5 4" xfId="10463"/>
    <cellStyle name="20% - 强调文字颜色 5 12 5 5" xfId="18363"/>
    <cellStyle name="20% - 强调文字颜色 5 12 5 6" xfId="23290"/>
    <cellStyle name="20% - 强调文字颜色 5 12 5 7" xfId="20662"/>
    <cellStyle name="20% - 强调文字颜色 5 12 5 8" xfId="31516"/>
    <cellStyle name="20% - 强调文字颜色 5 12 5 9" xfId="32968"/>
    <cellStyle name="20% - 强调文字颜色 5 12 6" xfId="2883"/>
    <cellStyle name="20% - 强调文字颜色 5 12 6 2" xfId="23629"/>
    <cellStyle name="20% - 强调文字颜色 5 12 6 3" xfId="26214"/>
    <cellStyle name="20% - 强调文字颜色 5 12 7" xfId="6055"/>
    <cellStyle name="20% - 强调文字颜色 5 12 7 2" xfId="23677"/>
    <cellStyle name="20% - 强调文字颜色 5 12 7 3" xfId="26262"/>
    <cellStyle name="20% - 强调文字颜色 5 12 8" xfId="10967"/>
    <cellStyle name="20% - 强调文字颜色 5 12 8 2" xfId="23759"/>
    <cellStyle name="20% - 强调文字颜色 5 12 8 3" xfId="26344"/>
    <cellStyle name="20% - 强调文字颜色 5 12 9" xfId="12206"/>
    <cellStyle name="20% - 强调文字颜色 5 13" xfId="509"/>
    <cellStyle name="20% - 强调文字颜色 5 13 10" xfId="11609"/>
    <cellStyle name="20% - 强调文字颜色 5 13 11" xfId="18364"/>
    <cellStyle name="20% - 强调文字颜色 5 13 12" xfId="22852"/>
    <cellStyle name="20% - 强调文字颜色 5 13 13" xfId="20010"/>
    <cellStyle name="20% - 强调文字颜色 5 13 14" xfId="30162"/>
    <cellStyle name="20% - 强调文字颜色 5 13 15" xfId="31287"/>
    <cellStyle name="20% - 强调文字颜色 5 13 2" xfId="510"/>
    <cellStyle name="20% - 强调文字颜色 5 13 2 10" xfId="30163"/>
    <cellStyle name="20% - 强调文字颜色 5 13 2 11" xfId="32798"/>
    <cellStyle name="20% - 强调文字颜色 5 13 2 2" xfId="2888"/>
    <cellStyle name="20% - 强调文字颜色 5 13 2 3" xfId="6061"/>
    <cellStyle name="20% - 强调文字颜色 5 13 2 4" xfId="12212"/>
    <cellStyle name="20% - 强调文字颜色 5 13 2 5" xfId="14572"/>
    <cellStyle name="20% - 强调文字颜色 5 13 2 6" xfId="11608"/>
    <cellStyle name="20% - 强调文字颜色 5 13 2 7" xfId="18365"/>
    <cellStyle name="20% - 强调文字颜色 5 13 2 8" xfId="22634"/>
    <cellStyle name="20% - 强调文字颜色 5 13 2 9" xfId="21237"/>
    <cellStyle name="20% - 强调文字颜色 5 13 3" xfId="511"/>
    <cellStyle name="20% - 强调文字颜色 5 13 3 10" xfId="30164"/>
    <cellStyle name="20% - 强调文字颜色 5 13 3 11" xfId="31914"/>
    <cellStyle name="20% - 强调文字颜色 5 13 3 2" xfId="2889"/>
    <cellStyle name="20% - 强调文字颜色 5 13 3 3" xfId="6062"/>
    <cellStyle name="20% - 强调文字颜色 5 13 3 4" xfId="12213"/>
    <cellStyle name="20% - 强调文字颜色 5 13 3 5" xfId="14573"/>
    <cellStyle name="20% - 强调文字颜色 5 13 3 6" xfId="10465"/>
    <cellStyle name="20% - 强调文字颜色 5 13 3 7" xfId="18366"/>
    <cellStyle name="20% - 强调文字颜色 5 13 3 8" xfId="22307"/>
    <cellStyle name="20% - 强调文字颜色 5 13 3 9" xfId="20661"/>
    <cellStyle name="20% - 强调文字颜色 5 13 4" xfId="512"/>
    <cellStyle name="20% - 强调文字颜色 5 13 4 10" xfId="30165"/>
    <cellStyle name="20% - 强调文字颜色 5 13 4 11" xfId="31286"/>
    <cellStyle name="20% - 强调文字颜色 5 13 4 2" xfId="2890"/>
    <cellStyle name="20% - 强调文字颜色 5 13 4 3" xfId="6063"/>
    <cellStyle name="20% - 强调文字颜色 5 13 4 4" xfId="12214"/>
    <cellStyle name="20% - 强调文字颜色 5 13 4 5" xfId="14574"/>
    <cellStyle name="20% - 强调文字颜色 5 13 4 6" xfId="11607"/>
    <cellStyle name="20% - 强调文字颜色 5 13 4 7" xfId="18367"/>
    <cellStyle name="20% - 强调文字颜色 5 13 4 8" xfId="23305"/>
    <cellStyle name="20% - 强调文字颜色 5 13 4 9" xfId="20009"/>
    <cellStyle name="20% - 强调文字颜色 5 13 5" xfId="513"/>
    <cellStyle name="20% - 强调文字颜色 5 13 5 2" xfId="6064"/>
    <cellStyle name="20% - 强调文字颜色 5 13 5 3" xfId="12215"/>
    <cellStyle name="20% - 强调文字颜色 5 13 5 4" xfId="10464"/>
    <cellStyle name="20% - 强调文字颜色 5 13 5 5" xfId="18368"/>
    <cellStyle name="20% - 强调文字颜色 5 13 5 6" xfId="22322"/>
    <cellStyle name="20% - 强调文字颜色 5 13 5 7" xfId="21236"/>
    <cellStyle name="20% - 强调文字颜色 5 13 5 8" xfId="31517"/>
    <cellStyle name="20% - 强调文字颜色 5 13 5 9" xfId="31628"/>
    <cellStyle name="20% - 强调文字颜色 5 13 6" xfId="2887"/>
    <cellStyle name="20% - 强调文字颜色 5 13 6 2" xfId="23678"/>
    <cellStyle name="20% - 强调文字颜色 5 13 6 3" xfId="26263"/>
    <cellStyle name="20% - 强调文字颜色 5 13 7" xfId="6060"/>
    <cellStyle name="20% - 强调文字颜色 5 13 7 2" xfId="23760"/>
    <cellStyle name="20% - 强调文字颜色 5 13 7 3" xfId="26345"/>
    <cellStyle name="20% - 强调文字颜色 5 13 8" xfId="12211"/>
    <cellStyle name="20% - 强调文字颜色 5 13 8 2" xfId="23854"/>
    <cellStyle name="20% - 强调文字颜色 5 13 8 3" xfId="26439"/>
    <cellStyle name="20% - 强调文字颜色 5 13 9" xfId="14571"/>
    <cellStyle name="20% - 强调文字颜色 5 14" xfId="514"/>
    <cellStyle name="20% - 强调文字颜色 5 14 10" xfId="11602"/>
    <cellStyle name="20% - 强调文字颜色 5 14 11" xfId="18369"/>
    <cellStyle name="20% - 强调文字颜色 5 14 12" xfId="21796"/>
    <cellStyle name="20% - 强调文字颜色 5 14 13" xfId="20660"/>
    <cellStyle name="20% - 强调文字颜色 5 14 14" xfId="30166"/>
    <cellStyle name="20% - 强调文字颜色 5 14 15" xfId="33415"/>
    <cellStyle name="20% - 强调文字颜色 5 14 2" xfId="515"/>
    <cellStyle name="20% - 强调文字颜色 5 14 2 10" xfId="30167"/>
    <cellStyle name="20% - 强调文字颜色 5 14 2 11" xfId="33176"/>
    <cellStyle name="20% - 强调文字颜色 5 14 2 2" xfId="2892"/>
    <cellStyle name="20% - 强调文字颜色 5 14 2 3" xfId="6066"/>
    <cellStyle name="20% - 强调文字颜色 5 14 2 4" xfId="12217"/>
    <cellStyle name="20% - 强调文字颜色 5 14 2 5" xfId="14576"/>
    <cellStyle name="20% - 强调文字颜色 5 14 2 6" xfId="10460"/>
    <cellStyle name="20% - 强调文字颜色 5 14 2 7" xfId="18370"/>
    <cellStyle name="20% - 强调文字颜色 5 14 2 8" xfId="23304"/>
    <cellStyle name="20% - 强调文字颜色 5 14 2 9" xfId="20008"/>
    <cellStyle name="20% - 强调文字颜色 5 14 3" xfId="516"/>
    <cellStyle name="20% - 强调文字颜色 5 14 3 10" xfId="30168"/>
    <cellStyle name="20% - 强调文字颜色 5 14 3 11" xfId="32797"/>
    <cellStyle name="20% - 强调文字颜色 5 14 3 2" xfId="2893"/>
    <cellStyle name="20% - 强调文字颜色 5 14 3 3" xfId="6067"/>
    <cellStyle name="20% - 强调文字颜色 5 14 3 4" xfId="12218"/>
    <cellStyle name="20% - 强调文字颜色 5 14 3 5" xfId="14577"/>
    <cellStyle name="20% - 强调文字颜色 5 14 3 6" xfId="11605"/>
    <cellStyle name="20% - 强调文字颜色 5 14 3 7" xfId="18371"/>
    <cellStyle name="20% - 强调文字颜色 5 14 3 8" xfId="22321"/>
    <cellStyle name="20% - 强调文字颜色 5 14 3 9" xfId="21235"/>
    <cellStyle name="20% - 强调文字颜色 5 14 4" xfId="517"/>
    <cellStyle name="20% - 强调文字颜色 5 14 4 10" xfId="30169"/>
    <cellStyle name="20% - 强调文字颜色 5 14 4 11" xfId="32511"/>
    <cellStyle name="20% - 强调文字颜色 5 14 4 2" xfId="2894"/>
    <cellStyle name="20% - 强调文字颜色 5 14 4 3" xfId="6068"/>
    <cellStyle name="20% - 强调文字颜色 5 14 4 4" xfId="12219"/>
    <cellStyle name="20% - 强调文字颜色 5 14 4 5" xfId="14578"/>
    <cellStyle name="20% - 强调文字颜色 5 14 4 6" xfId="11604"/>
    <cellStyle name="20% - 强调文字颜色 5 14 4 7" xfId="18372"/>
    <cellStyle name="20% - 强调文字颜色 5 14 4 8" xfId="21795"/>
    <cellStyle name="20% - 强调文字颜色 5 14 4 9" xfId="20659"/>
    <cellStyle name="20% - 强调文字颜色 5 14 5" xfId="518"/>
    <cellStyle name="20% - 强调文字颜色 5 14 5 2" xfId="6069"/>
    <cellStyle name="20% - 强调文字颜色 5 14 5 3" xfId="12220"/>
    <cellStyle name="20% - 强调文字颜色 5 14 5 4" xfId="10462"/>
    <cellStyle name="20% - 强调文字颜色 5 14 5 5" xfId="18373"/>
    <cellStyle name="20% - 强调文字颜色 5 14 5 6" xfId="23303"/>
    <cellStyle name="20% - 强调文字颜色 5 14 5 7" xfId="20007"/>
    <cellStyle name="20% - 强调文字颜色 5 14 5 8" xfId="31518"/>
    <cellStyle name="20% - 强调文字颜色 5 14 5 9" xfId="32330"/>
    <cellStyle name="20% - 强调文字颜色 5 14 6" xfId="2891"/>
    <cellStyle name="20% - 强调文字颜色 5 14 6 2" xfId="23679"/>
    <cellStyle name="20% - 强调文字颜色 5 14 6 3" xfId="26264"/>
    <cellStyle name="20% - 强调文字颜色 5 14 7" xfId="6065"/>
    <cellStyle name="20% - 强调文字颜色 5 14 7 2" xfId="23761"/>
    <cellStyle name="20% - 强调文字颜色 5 14 7 3" xfId="26346"/>
    <cellStyle name="20% - 强调文字颜色 5 14 8" xfId="12216"/>
    <cellStyle name="20% - 强调文字颜色 5 14 8 2" xfId="23855"/>
    <cellStyle name="20% - 强调文字颜色 5 14 8 3" xfId="26440"/>
    <cellStyle name="20% - 强调文字颜色 5 14 9" xfId="14575"/>
    <cellStyle name="20% - 强调文字颜色 5 15" xfId="519"/>
    <cellStyle name="20% - 强调文字颜色 5 15 10" xfId="18374"/>
    <cellStyle name="20% - 强调文字颜色 5 15 11" xfId="22320"/>
    <cellStyle name="20% - 强调文字颜色 5 15 12" xfId="21234"/>
    <cellStyle name="20% - 强调文字颜色 5 15 13" xfId="30170"/>
    <cellStyle name="20% - 强调文字颜色 5 15 14" xfId="32280"/>
    <cellStyle name="20% - 强调文字颜色 5 15 2" xfId="520"/>
    <cellStyle name="20% - 强调文字颜色 5 15 2 10" xfId="30171"/>
    <cellStyle name="20% - 强调文字颜色 5 15 2 11" xfId="31820"/>
    <cellStyle name="20% - 强调文字颜色 5 15 2 2" xfId="2896"/>
    <cellStyle name="20% - 强调文字颜色 5 15 2 3" xfId="6071"/>
    <cellStyle name="20% - 强调文字颜色 5 15 2 4" xfId="12222"/>
    <cellStyle name="20% - 强调文字颜色 5 15 2 5" xfId="14580"/>
    <cellStyle name="20% - 强调文字颜色 5 15 2 6" xfId="10461"/>
    <cellStyle name="20% - 强调文字颜色 5 15 2 7" xfId="18375"/>
    <cellStyle name="20% - 强调文字颜色 5 15 2 8" xfId="21794"/>
    <cellStyle name="20% - 强调文字颜色 5 15 2 9" xfId="20658"/>
    <cellStyle name="20% - 强调文字颜色 5 15 3" xfId="521"/>
    <cellStyle name="20% - 强调文字颜色 5 15 3 10" xfId="30172"/>
    <cellStyle name="20% - 强调文字颜色 5 15 3 11" xfId="33414"/>
    <cellStyle name="20% - 强调文字颜色 5 15 3 2" xfId="2897"/>
    <cellStyle name="20% - 强调文字颜色 5 15 3 3" xfId="6072"/>
    <cellStyle name="20% - 强调文字颜色 5 15 3 4" xfId="12223"/>
    <cellStyle name="20% - 强调文字颜色 5 15 3 5" xfId="14581"/>
    <cellStyle name="20% - 强调文字颜色 5 15 3 6" xfId="11597"/>
    <cellStyle name="20% - 强调文字颜色 5 15 3 7" xfId="18376"/>
    <cellStyle name="20% - 强调文字颜色 5 15 3 8" xfId="23302"/>
    <cellStyle name="20% - 强调文字颜色 5 15 3 9" xfId="20006"/>
    <cellStyle name="20% - 强调文字颜色 5 15 4" xfId="522"/>
    <cellStyle name="20% - 强调文字颜色 5 15 4 2" xfId="6073"/>
    <cellStyle name="20% - 强调文字颜色 5 15 4 3" xfId="12224"/>
    <cellStyle name="20% - 强调文字颜色 5 15 4 4" xfId="10456"/>
    <cellStyle name="20% - 强调文字颜色 5 15 4 5" xfId="18377"/>
    <cellStyle name="20% - 强调文字颜色 5 15 4 6" xfId="22319"/>
    <cellStyle name="20% - 强调文字颜色 5 15 4 7" xfId="21233"/>
    <cellStyle name="20% - 强调文字颜色 5 15 4 8" xfId="31519"/>
    <cellStyle name="20% - 强调文字颜色 5 15 4 9" xfId="31886"/>
    <cellStyle name="20% - 强调文字颜色 5 15 5" xfId="2895"/>
    <cellStyle name="20% - 强调文字颜色 5 15 6" xfId="6070"/>
    <cellStyle name="20% - 强调文字颜色 5 15 7" xfId="12221"/>
    <cellStyle name="20% - 强调文字颜色 5 15 8" xfId="14579"/>
    <cellStyle name="20% - 强调文字颜色 5 15 9" xfId="11603"/>
    <cellStyle name="20% - 强调文字颜色 5 16" xfId="523"/>
    <cellStyle name="20% - 强调文字颜色 5 16 10" xfId="18378"/>
    <cellStyle name="20% - 强调文字颜色 5 16 11" xfId="21793"/>
    <cellStyle name="20% - 强调文字颜色 5 16 12" xfId="20657"/>
    <cellStyle name="20% - 强调文字颜色 5 16 13" xfId="30173"/>
    <cellStyle name="20% - 强调文字颜色 5 16 14" xfId="33175"/>
    <cellStyle name="20% - 强调文字颜色 5 16 2" xfId="524"/>
    <cellStyle name="20% - 强调文字颜色 5 16 2 10" xfId="30174"/>
    <cellStyle name="20% - 强调文字颜色 5 16 2 11" xfId="32796"/>
    <cellStyle name="20% - 强调文字颜色 5 16 2 2" xfId="2899"/>
    <cellStyle name="20% - 强调文字颜色 5 16 2 3" xfId="6075"/>
    <cellStyle name="20% - 强调文字颜色 5 16 2 4" xfId="12226"/>
    <cellStyle name="20% - 强调文字颜色 5 16 2 5" xfId="14583"/>
    <cellStyle name="20% - 强调文字颜色 5 16 2 6" xfId="11600"/>
    <cellStyle name="20% - 强调文字颜色 5 16 2 7" xfId="18379"/>
    <cellStyle name="20% - 强调文字颜色 5 16 2 8" xfId="23301"/>
    <cellStyle name="20% - 强调文字颜色 5 16 2 9" xfId="20005"/>
    <cellStyle name="20% - 强调文字颜色 5 16 3" xfId="525"/>
    <cellStyle name="20% - 强调文字颜色 5 16 3 10" xfId="30175"/>
    <cellStyle name="20% - 强调文字颜色 5 16 3 11" xfId="32510"/>
    <cellStyle name="20% - 强调文字颜色 5 16 3 2" xfId="2900"/>
    <cellStyle name="20% - 强调文字颜色 5 16 3 3" xfId="6076"/>
    <cellStyle name="20% - 强调文字颜色 5 16 3 4" xfId="12227"/>
    <cellStyle name="20% - 强调文字颜色 5 16 3 5" xfId="14584"/>
    <cellStyle name="20% - 强调文字颜色 5 16 3 6" xfId="10459"/>
    <cellStyle name="20% - 强调文字颜色 5 16 3 7" xfId="18380"/>
    <cellStyle name="20% - 强调文字颜色 5 16 3 8" xfId="22318"/>
    <cellStyle name="20% - 强调文字颜色 5 16 3 9" xfId="21232"/>
    <cellStyle name="20% - 强调文字颜色 5 16 4" xfId="526"/>
    <cellStyle name="20% - 强调文字颜色 5 16 4 2" xfId="6077"/>
    <cellStyle name="20% - 强调文字颜色 5 16 4 3" xfId="12228"/>
    <cellStyle name="20% - 强调文字颜色 5 16 4 4" xfId="11599"/>
    <cellStyle name="20% - 强调文字颜色 5 16 4 5" xfId="18381"/>
    <cellStyle name="20% - 强调文字颜色 5 16 4 6" xfId="21792"/>
    <cellStyle name="20% - 强调文字颜色 5 16 4 7" xfId="20656"/>
    <cellStyle name="20% - 强调文字颜色 5 16 4 8" xfId="31520"/>
    <cellStyle name="20% - 强调文字颜色 5 16 4 9" xfId="31885"/>
    <cellStyle name="20% - 强调文字颜色 5 16 5" xfId="2898"/>
    <cellStyle name="20% - 强调文字颜色 5 16 6" xfId="6074"/>
    <cellStyle name="20% - 强调文字颜色 5 16 7" xfId="12225"/>
    <cellStyle name="20% - 强调文字颜色 5 16 8" xfId="14582"/>
    <cellStyle name="20% - 强调文字颜色 5 16 9" xfId="11601"/>
    <cellStyle name="20% - 强调文字颜色 5 17" xfId="527"/>
    <cellStyle name="20% - 强调文字颜色 5 17 10" xfId="23300"/>
    <cellStyle name="20% - 强调文字颜色 5 17 11" xfId="20004"/>
    <cellStyle name="20% - 强调文字颜色 5 17 12" xfId="30176"/>
    <cellStyle name="20% - 强调文字颜色 5 17 13" xfId="32279"/>
    <cellStyle name="20% - 强调文字颜色 5 17 2" xfId="528"/>
    <cellStyle name="20% - 强调文字颜色 5 17 2 2" xfId="6079"/>
    <cellStyle name="20% - 强调文字颜色 5 17 2 3" xfId="12230"/>
    <cellStyle name="20% - 强调文字颜色 5 17 2 4" xfId="11598"/>
    <cellStyle name="20% - 强调文字颜色 5 17 2 5" xfId="18383"/>
    <cellStyle name="20% - 强调文字颜色 5 17 2 6" xfId="22317"/>
    <cellStyle name="20% - 强调文字颜色 5 17 2 7" xfId="21230"/>
    <cellStyle name="20% - 强调文字颜色 5 17 2 8" xfId="31521"/>
    <cellStyle name="20% - 强调文字颜色 5 17 2 9" xfId="32967"/>
    <cellStyle name="20% - 强调文字颜色 5 17 3" xfId="529"/>
    <cellStyle name="20% - 强调文字颜色 5 17 3 2" xfId="6080"/>
    <cellStyle name="20% - 强调文字颜色 5 17 3 3" xfId="12231"/>
    <cellStyle name="20% - 强调文字颜色 5 17 3 4" xfId="10457"/>
    <cellStyle name="20% - 强调文字颜色 5 17 3 5" xfId="18384"/>
    <cellStyle name="20% - 强调文字颜色 5 17 3 6" xfId="21791"/>
    <cellStyle name="20% - 强调文字颜色 5 17 3 7" xfId="20655"/>
    <cellStyle name="20% - 强调文字颜色 5 17 3 8" xfId="31522"/>
    <cellStyle name="20% - 强调文字颜色 5 17 3 9" xfId="32577"/>
    <cellStyle name="20% - 强调文字颜色 5 17 4" xfId="2901"/>
    <cellStyle name="20% - 强调文字颜色 5 17 5" xfId="6078"/>
    <cellStyle name="20% - 强调文字颜色 5 17 6" xfId="12229"/>
    <cellStyle name="20% - 强调文字颜色 5 17 7" xfId="14585"/>
    <cellStyle name="20% - 强调文字颜色 5 17 8" xfId="10458"/>
    <cellStyle name="20% - 强调文字颜色 5 17 9" xfId="18382"/>
    <cellStyle name="20% - 强调文字颜色 5 18" xfId="530"/>
    <cellStyle name="20% - 强调文字颜色 5 18 10" xfId="30177"/>
    <cellStyle name="20% - 强调文字颜色 5 18 11" xfId="31819"/>
    <cellStyle name="20% - 强调文字颜色 5 18 2" xfId="531"/>
    <cellStyle name="20% - 强调文字颜色 5 18 2 2" xfId="8690"/>
    <cellStyle name="20% - 强调文字颜色 5 18 2 3" xfId="7366"/>
    <cellStyle name="20% - 强调文字颜色 5 18 2 4" xfId="18386"/>
    <cellStyle name="20% - 强调文字颜色 5 18 2 5" xfId="22694"/>
    <cellStyle name="20% - 强调文字颜色 5 18 2 6" xfId="21229"/>
    <cellStyle name="20% - 强调文字颜色 5 18 2 7" xfId="31523"/>
    <cellStyle name="20% - 强调文字颜色 5 18 2 8" xfId="32332"/>
    <cellStyle name="20% - 强调文字颜色 5 18 3" xfId="2902"/>
    <cellStyle name="20% - 强调文字颜色 5 18 4" xfId="6081"/>
    <cellStyle name="20% - 强调文字颜色 5 18 5" xfId="14586"/>
    <cellStyle name="20% - 强调文字颜色 5 18 6" xfId="11592"/>
    <cellStyle name="20% - 强调文字颜色 5 18 7" xfId="18385"/>
    <cellStyle name="20% - 强调文字颜色 5 18 8" xfId="23299"/>
    <cellStyle name="20% - 强调文字颜色 5 18 9" xfId="20002"/>
    <cellStyle name="20% - 强调文字颜色 5 19" xfId="532"/>
    <cellStyle name="20% - 强调文字颜色 5 19 10" xfId="2904"/>
    <cellStyle name="20% - 强调文字颜色 5 19 10 2" xfId="8691"/>
    <cellStyle name="20% - 强调文字颜色 5 19 10 3" xfId="14588"/>
    <cellStyle name="20% - 强调文字颜色 5 19 10 4" xfId="24553"/>
    <cellStyle name="20% - 强调文字颜色 5 19 10 5" xfId="27785"/>
    <cellStyle name="20% - 强调文字颜色 5 19 11" xfId="2905"/>
    <cellStyle name="20% - 强调文字颜色 5 19 11 2" xfId="8692"/>
    <cellStyle name="20% - 强调文字颜色 5 19 11 3" xfId="14589"/>
    <cellStyle name="20% - 强调文字颜色 5 19 11 4" xfId="24554"/>
    <cellStyle name="20% - 强调文字颜色 5 19 11 5" xfId="27786"/>
    <cellStyle name="20% - 强调文字颜色 5 19 12" xfId="2906"/>
    <cellStyle name="20% - 强调文字颜色 5 19 12 2" xfId="8693"/>
    <cellStyle name="20% - 强调文字颜色 5 19 12 3" xfId="14590"/>
    <cellStyle name="20% - 强调文字颜色 5 19 12 4" xfId="24555"/>
    <cellStyle name="20% - 强调文字颜色 5 19 12 5" xfId="27787"/>
    <cellStyle name="20% - 强调文字颜色 5 19 13" xfId="2907"/>
    <cellStyle name="20% - 强调文字颜色 5 19 13 2" xfId="8694"/>
    <cellStyle name="20% - 强调文字颜色 5 19 13 3" xfId="14591"/>
    <cellStyle name="20% - 强调文字颜色 5 19 13 4" xfId="24556"/>
    <cellStyle name="20% - 强调文字颜色 5 19 13 5" xfId="27788"/>
    <cellStyle name="20% - 强调文字颜色 5 19 14" xfId="2908"/>
    <cellStyle name="20% - 强调文字颜色 5 19 14 2" xfId="8695"/>
    <cellStyle name="20% - 强调文字颜色 5 19 14 3" xfId="14592"/>
    <cellStyle name="20% - 强调文字颜色 5 19 14 4" xfId="24557"/>
    <cellStyle name="20% - 强调文字颜色 5 19 14 5" xfId="27789"/>
    <cellStyle name="20% - 强调文字颜色 5 19 15" xfId="2909"/>
    <cellStyle name="20% - 强调文字颜色 5 19 15 2" xfId="8696"/>
    <cellStyle name="20% - 强调文字颜色 5 19 15 3" xfId="14593"/>
    <cellStyle name="20% - 强调文字颜色 5 19 15 4" xfId="24558"/>
    <cellStyle name="20% - 强调文字颜色 5 19 15 5" xfId="27790"/>
    <cellStyle name="20% - 强调文字颜色 5 19 16" xfId="2910"/>
    <cellStyle name="20% - 强调文字颜色 5 19 16 2" xfId="8697"/>
    <cellStyle name="20% - 强调文字颜色 5 19 16 3" xfId="14594"/>
    <cellStyle name="20% - 强调文字颜色 5 19 16 4" xfId="24559"/>
    <cellStyle name="20% - 强调文字颜色 5 19 16 5" xfId="27791"/>
    <cellStyle name="20% - 强调文字颜色 5 19 17" xfId="2911"/>
    <cellStyle name="20% - 强调文字颜色 5 19 17 2" xfId="8698"/>
    <cellStyle name="20% - 强调文字颜色 5 19 17 3" xfId="14595"/>
    <cellStyle name="20% - 强调文字颜色 5 19 17 4" xfId="24560"/>
    <cellStyle name="20% - 强调文字颜色 5 19 17 5" xfId="27792"/>
    <cellStyle name="20% - 强调文字颜色 5 19 18" xfId="2912"/>
    <cellStyle name="20% - 强调文字颜色 5 19 18 2" xfId="8699"/>
    <cellStyle name="20% - 强调文字颜色 5 19 18 3" xfId="14596"/>
    <cellStyle name="20% - 强调文字颜色 5 19 18 4" xfId="24561"/>
    <cellStyle name="20% - 强调文字颜色 5 19 18 5" xfId="27793"/>
    <cellStyle name="20% - 强调文字颜色 5 19 19" xfId="2913"/>
    <cellStyle name="20% - 强调文字颜色 5 19 19 2" xfId="8700"/>
    <cellStyle name="20% - 强调文字颜色 5 19 19 3" xfId="14597"/>
    <cellStyle name="20% - 强调文字颜色 5 19 19 4" xfId="24562"/>
    <cellStyle name="20% - 强调文字颜色 5 19 19 5" xfId="27794"/>
    <cellStyle name="20% - 强调文字颜色 5 19 2" xfId="533"/>
    <cellStyle name="20% - 强调文字颜色 5 19 2 10" xfId="30179"/>
    <cellStyle name="20% - 强调文字颜色 5 19 2 11" xfId="32795"/>
    <cellStyle name="20% - 强调文字颜色 5 19 2 2" xfId="2914"/>
    <cellStyle name="20% - 强调文字颜色 5 19 2 3" xfId="6083"/>
    <cellStyle name="20% - 强调文字颜色 5 19 2 4" xfId="12233"/>
    <cellStyle name="20% - 强调文字颜色 5 19 2 5" xfId="14598"/>
    <cellStyle name="20% - 强调文字颜色 5 19 2 6" xfId="11596"/>
    <cellStyle name="20% - 强调文字颜色 5 19 2 7" xfId="18388"/>
    <cellStyle name="20% - 强调文字颜色 5 19 2 8" xfId="21790"/>
    <cellStyle name="20% - 强调文字颜色 5 19 2 9" xfId="20001"/>
    <cellStyle name="20% - 强调文字颜色 5 19 20" xfId="2915"/>
    <cellStyle name="20% - 强调文字颜色 5 19 20 2" xfId="8701"/>
    <cellStyle name="20% - 强调文字颜色 5 19 20 3" xfId="14599"/>
    <cellStyle name="20% - 强调文字颜色 5 19 20 4" xfId="24563"/>
    <cellStyle name="20% - 强调文字颜色 5 19 20 5" xfId="27795"/>
    <cellStyle name="20% - 强调文字颜色 5 19 21" xfId="2916"/>
    <cellStyle name="20% - 强调文字颜色 5 19 21 2" xfId="8702"/>
    <cellStyle name="20% - 强调文字颜色 5 19 21 3" xfId="14600"/>
    <cellStyle name="20% - 强调文字颜色 5 19 21 4" xfId="24564"/>
    <cellStyle name="20% - 强调文字颜色 5 19 21 5" xfId="27796"/>
    <cellStyle name="20% - 强调文字颜色 5 19 22" xfId="2917"/>
    <cellStyle name="20% - 强调文字颜色 5 19 22 2" xfId="8703"/>
    <cellStyle name="20% - 强调文字颜色 5 19 22 3" xfId="14601"/>
    <cellStyle name="20% - 强调文字颜色 5 19 22 4" xfId="24565"/>
    <cellStyle name="20% - 强调文字颜色 5 19 22 5" xfId="27797"/>
    <cellStyle name="20% - 强调文字颜色 5 19 23" xfId="2918"/>
    <cellStyle name="20% - 强调文字颜色 5 19 23 2" xfId="8704"/>
    <cellStyle name="20% - 强调文字颜色 5 19 23 3" xfId="14602"/>
    <cellStyle name="20% - 强调文字颜色 5 19 23 4" xfId="24566"/>
    <cellStyle name="20% - 强调文字颜色 5 19 23 5" xfId="27798"/>
    <cellStyle name="20% - 强调文字颜色 5 19 24" xfId="6082"/>
    <cellStyle name="20% - 强调文字颜色 5 19 25" xfId="10968"/>
    <cellStyle name="20% - 强调文字颜色 5 19 26" xfId="12232"/>
    <cellStyle name="20% - 强调文字颜色 5 19 27" xfId="14587"/>
    <cellStyle name="20% - 强调文字颜色 5 19 28" xfId="10452"/>
    <cellStyle name="20% - 强调文字颜色 5 19 29" xfId="18387"/>
    <cellStyle name="20% - 强调文字颜色 5 19 3" xfId="2903"/>
    <cellStyle name="20% - 强调文字颜色 5 19 3 2" xfId="8705"/>
    <cellStyle name="20% - 强调文字颜色 5 19 3 3" xfId="14603"/>
    <cellStyle name="20% - 强调文字颜色 5 19 3 4" xfId="24567"/>
    <cellStyle name="20% - 强调文字颜色 5 19 3 5" xfId="27784"/>
    <cellStyle name="20% - 强调文字颜色 5 19 30" xfId="22316"/>
    <cellStyle name="20% - 强调文字颜色 5 19 31" xfId="20654"/>
    <cellStyle name="20% - 强调文字颜色 5 19 32" xfId="30178"/>
    <cellStyle name="20% - 强调文字颜色 5 19 33" xfId="33413"/>
    <cellStyle name="20% - 强调文字颜色 5 19 4" xfId="2920"/>
    <cellStyle name="20% - 强调文字颜色 5 19 4 2" xfId="8706"/>
    <cellStyle name="20% - 强调文字颜色 5 19 4 3" xfId="14604"/>
    <cellStyle name="20% - 强调文字颜色 5 19 4 4" xfId="24568"/>
    <cellStyle name="20% - 强调文字颜色 5 19 4 5" xfId="27799"/>
    <cellStyle name="20% - 强调文字颜色 5 19 5" xfId="2921"/>
    <cellStyle name="20% - 强调文字颜色 5 19 5 2" xfId="8707"/>
    <cellStyle name="20% - 强调文字颜色 5 19 5 3" xfId="14605"/>
    <cellStyle name="20% - 强调文字颜色 5 19 5 4" xfId="24569"/>
    <cellStyle name="20% - 强调文字颜色 5 19 5 5" xfId="27800"/>
    <cellStyle name="20% - 强调文字颜色 5 19 6" xfId="2922"/>
    <cellStyle name="20% - 强调文字颜色 5 19 6 2" xfId="8708"/>
    <cellStyle name="20% - 强调文字颜色 5 19 6 3" xfId="14606"/>
    <cellStyle name="20% - 强调文字颜色 5 19 6 4" xfId="24570"/>
    <cellStyle name="20% - 强调文字颜色 5 19 6 5" xfId="27801"/>
    <cellStyle name="20% - 强调文字颜色 5 19 7" xfId="2923"/>
    <cellStyle name="20% - 强调文字颜色 5 19 7 2" xfId="8709"/>
    <cellStyle name="20% - 强调文字颜色 5 19 7 3" xfId="14607"/>
    <cellStyle name="20% - 强调文字颜色 5 19 7 4" xfId="24571"/>
    <cellStyle name="20% - 强调文字颜色 5 19 7 5" xfId="27802"/>
    <cellStyle name="20% - 强调文字颜色 5 19 8" xfId="2924"/>
    <cellStyle name="20% - 强调文字颜色 5 19 8 2" xfId="8710"/>
    <cellStyle name="20% - 强调文字颜色 5 19 8 3" xfId="14608"/>
    <cellStyle name="20% - 强调文字颜色 5 19 8 4" xfId="24572"/>
    <cellStyle name="20% - 强调文字颜色 5 19 8 5" xfId="27803"/>
    <cellStyle name="20% - 强调文字颜色 5 19 9" xfId="2925"/>
    <cellStyle name="20% - 强调文字颜色 5 19 9 2" xfId="8711"/>
    <cellStyle name="20% - 强调文字颜色 5 19 9 3" xfId="14609"/>
    <cellStyle name="20% - 强调文字颜色 5 19 9 4" xfId="24573"/>
    <cellStyle name="20% - 强调文字颜色 5 19 9 5" xfId="27804"/>
    <cellStyle name="20% - 强调文字颜色 5 2" xfId="534"/>
    <cellStyle name="20% - 强调文字颜色 5 2 10" xfId="17522"/>
    <cellStyle name="20% - 强调文字颜色 5 2 11" xfId="17608"/>
    <cellStyle name="20% - 强调文字颜色 5 2 12" xfId="17694"/>
    <cellStyle name="20% - 强调文字颜色 5 2 13" xfId="17780"/>
    <cellStyle name="20% - 强调文字颜色 5 2 14" xfId="18389"/>
    <cellStyle name="20% - 强调文字颜色 5 2 15" xfId="23298"/>
    <cellStyle name="20% - 强调文字颜色 5 2 16" xfId="21228"/>
    <cellStyle name="20% - 强调文字颜色 5 2 2" xfId="535"/>
    <cellStyle name="20% - 强调文字颜色 5 2 2 10" xfId="30180"/>
    <cellStyle name="20% - 强调文字颜色 5 2 2 11" xfId="31936"/>
    <cellStyle name="20% - 强调文字颜色 5 2 2 2" xfId="2927"/>
    <cellStyle name="20% - 强调文字颜色 5 2 2 3" xfId="6085"/>
    <cellStyle name="20% - 强调文字颜色 5 2 2 4" xfId="12235"/>
    <cellStyle name="20% - 强调文字颜色 5 2 2 5" xfId="14611"/>
    <cellStyle name="20% - 强调文字颜色 5 2 2 6" xfId="10455"/>
    <cellStyle name="20% - 强调文字颜色 5 2 2 7" xfId="18390"/>
    <cellStyle name="20% - 强调文字颜色 5 2 2 8" xfId="22315"/>
    <cellStyle name="20% - 强调文字颜色 5 2 2 9" xfId="20653"/>
    <cellStyle name="20% - 强调文字颜色 5 2 3" xfId="536"/>
    <cellStyle name="20% - 强调文字颜色 5 2 3 10" xfId="30181"/>
    <cellStyle name="20% - 强调文字颜色 5 2 3 11" xfId="31282"/>
    <cellStyle name="20% - 强调文字颜色 5 2 3 2" xfId="2928"/>
    <cellStyle name="20% - 强调文字颜色 5 2 3 3" xfId="6086"/>
    <cellStyle name="20% - 强调文字颜色 5 2 3 4" xfId="12236"/>
    <cellStyle name="20% - 强调文字颜色 5 2 3 5" xfId="14612"/>
    <cellStyle name="20% - 强调文字颜色 5 2 3 6" xfId="11594"/>
    <cellStyle name="20% - 强调文字颜色 5 2 3 7" xfId="18391"/>
    <cellStyle name="20% - 强调文字颜色 5 2 3 8" xfId="21789"/>
    <cellStyle name="20% - 强调文字颜色 5 2 3 9" xfId="20000"/>
    <cellStyle name="20% - 强调文字颜色 5 2 4" xfId="2926"/>
    <cellStyle name="20% - 强调文字颜色 5 2 5" xfId="6084"/>
    <cellStyle name="20% - 强调文字颜色 5 2 6" xfId="12234"/>
    <cellStyle name="20% - 强调文字颜色 5 2 7" xfId="14610"/>
    <cellStyle name="20% - 强调文字颜色 5 2 8" xfId="11595"/>
    <cellStyle name="20% - 强调文字颜色 5 2 9" xfId="17436"/>
    <cellStyle name="20% - 强调文字颜色 5 20" xfId="537"/>
    <cellStyle name="20% - 强调文字颜色 5 20 10" xfId="2930"/>
    <cellStyle name="20% - 强调文字颜色 5 20 10 2" xfId="8712"/>
    <cellStyle name="20% - 强调文字颜色 5 20 10 3" xfId="14614"/>
    <cellStyle name="20% - 强调文字颜色 5 20 10 4" xfId="24574"/>
    <cellStyle name="20% - 强调文字颜色 5 20 10 5" xfId="27806"/>
    <cellStyle name="20% - 强调文字颜色 5 20 11" xfId="2931"/>
    <cellStyle name="20% - 强调文字颜色 5 20 11 2" xfId="8713"/>
    <cellStyle name="20% - 强调文字颜色 5 20 11 3" xfId="14615"/>
    <cellStyle name="20% - 强调文字颜色 5 20 11 4" xfId="24575"/>
    <cellStyle name="20% - 强调文字颜色 5 20 11 5" xfId="27807"/>
    <cellStyle name="20% - 强调文字颜色 5 20 12" xfId="2932"/>
    <cellStyle name="20% - 强调文字颜色 5 20 12 2" xfId="8714"/>
    <cellStyle name="20% - 强调文字颜色 5 20 12 3" xfId="14616"/>
    <cellStyle name="20% - 强调文字颜色 5 20 12 4" xfId="24576"/>
    <cellStyle name="20% - 强调文字颜色 5 20 12 5" xfId="27808"/>
    <cellStyle name="20% - 强调文字颜色 5 20 13" xfId="2933"/>
    <cellStyle name="20% - 强调文字颜色 5 20 13 2" xfId="8715"/>
    <cellStyle name="20% - 强调文字颜色 5 20 13 3" xfId="14617"/>
    <cellStyle name="20% - 强调文字颜色 5 20 13 4" xfId="24577"/>
    <cellStyle name="20% - 强调文字颜色 5 20 13 5" xfId="27809"/>
    <cellStyle name="20% - 强调文字颜色 5 20 14" xfId="2934"/>
    <cellStyle name="20% - 强调文字颜色 5 20 14 2" xfId="8716"/>
    <cellStyle name="20% - 强调文字颜色 5 20 14 3" xfId="14618"/>
    <cellStyle name="20% - 强调文字颜色 5 20 14 4" xfId="24578"/>
    <cellStyle name="20% - 强调文字颜色 5 20 14 5" xfId="27810"/>
    <cellStyle name="20% - 强调文字颜色 5 20 15" xfId="2935"/>
    <cellStyle name="20% - 强调文字颜色 5 20 15 2" xfId="8717"/>
    <cellStyle name="20% - 强调文字颜色 5 20 15 3" xfId="14619"/>
    <cellStyle name="20% - 强调文字颜色 5 20 15 4" xfId="24579"/>
    <cellStyle name="20% - 强调文字颜色 5 20 15 5" xfId="27811"/>
    <cellStyle name="20% - 强调文字颜色 5 20 16" xfId="2936"/>
    <cellStyle name="20% - 强调文字颜色 5 20 16 2" xfId="8718"/>
    <cellStyle name="20% - 强调文字颜色 5 20 16 3" xfId="14620"/>
    <cellStyle name="20% - 强调文字颜色 5 20 16 4" xfId="24580"/>
    <cellStyle name="20% - 强调文字颜色 5 20 16 5" xfId="27812"/>
    <cellStyle name="20% - 强调文字颜色 5 20 17" xfId="2937"/>
    <cellStyle name="20% - 强调文字颜色 5 20 17 2" xfId="8719"/>
    <cellStyle name="20% - 强调文字颜色 5 20 17 3" xfId="14621"/>
    <cellStyle name="20% - 强调文字颜色 5 20 17 4" xfId="24581"/>
    <cellStyle name="20% - 强调文字颜色 5 20 17 5" xfId="27813"/>
    <cellStyle name="20% - 强调文字颜色 5 20 18" xfId="2938"/>
    <cellStyle name="20% - 强调文字颜色 5 20 18 2" xfId="8720"/>
    <cellStyle name="20% - 强调文字颜色 5 20 18 3" xfId="14622"/>
    <cellStyle name="20% - 强调文字颜色 5 20 18 4" xfId="24582"/>
    <cellStyle name="20% - 强调文字颜色 5 20 18 5" xfId="27814"/>
    <cellStyle name="20% - 强调文字颜色 5 20 19" xfId="2939"/>
    <cellStyle name="20% - 强调文字颜色 5 20 19 2" xfId="8721"/>
    <cellStyle name="20% - 强调文字颜色 5 20 19 3" xfId="14623"/>
    <cellStyle name="20% - 强调文字颜色 5 20 19 4" xfId="24583"/>
    <cellStyle name="20% - 强调文字颜色 5 20 19 5" xfId="27815"/>
    <cellStyle name="20% - 强调文字颜色 5 20 2" xfId="2929"/>
    <cellStyle name="20% - 强调文字颜色 5 20 2 2" xfId="8722"/>
    <cellStyle name="20% - 强调文字颜色 5 20 2 3" xfId="14624"/>
    <cellStyle name="20% - 强调文字颜色 5 20 2 4" xfId="24584"/>
    <cellStyle name="20% - 强调文字颜色 5 20 2 5" xfId="27805"/>
    <cellStyle name="20% - 强调文字颜色 5 20 20" xfId="2941"/>
    <cellStyle name="20% - 强调文字颜色 5 20 20 2" xfId="8723"/>
    <cellStyle name="20% - 强调文字颜色 5 20 20 3" xfId="14625"/>
    <cellStyle name="20% - 强调文字颜色 5 20 20 4" xfId="24585"/>
    <cellStyle name="20% - 强调文字颜色 5 20 20 5" xfId="27816"/>
    <cellStyle name="20% - 强调文字颜色 5 20 21" xfId="2942"/>
    <cellStyle name="20% - 强调文字颜色 5 20 21 2" xfId="8724"/>
    <cellStyle name="20% - 强调文字颜色 5 20 21 3" xfId="14626"/>
    <cellStyle name="20% - 强调文字颜色 5 20 21 4" xfId="24586"/>
    <cellStyle name="20% - 强调文字颜色 5 20 21 5" xfId="27817"/>
    <cellStyle name="20% - 强调文字颜色 5 20 22" xfId="2943"/>
    <cellStyle name="20% - 强调文字颜色 5 20 22 2" xfId="8725"/>
    <cellStyle name="20% - 强调文字颜色 5 20 22 3" xfId="14627"/>
    <cellStyle name="20% - 强调文字颜色 5 20 22 4" xfId="24587"/>
    <cellStyle name="20% - 强调文字颜色 5 20 22 5" xfId="27818"/>
    <cellStyle name="20% - 强调文字颜色 5 20 23" xfId="2944"/>
    <cellStyle name="20% - 强调文字颜色 5 20 23 2" xfId="8726"/>
    <cellStyle name="20% - 强调文字颜色 5 20 23 3" xfId="14628"/>
    <cellStyle name="20% - 强调文字颜色 5 20 23 4" xfId="24588"/>
    <cellStyle name="20% - 强调文字颜色 5 20 23 5" xfId="27819"/>
    <cellStyle name="20% - 强调文字颜色 5 20 24" xfId="6087"/>
    <cellStyle name="20% - 强调文字颜色 5 20 25" xfId="10969"/>
    <cellStyle name="20% - 强调文字颜色 5 20 26" xfId="12237"/>
    <cellStyle name="20% - 强调文字颜色 5 20 27" xfId="14613"/>
    <cellStyle name="20% - 强调文字颜色 5 20 28" xfId="10454"/>
    <cellStyle name="20% - 强调文字颜色 5 20 29" xfId="18392"/>
    <cellStyle name="20% - 强调文字颜色 5 20 3" xfId="2945"/>
    <cellStyle name="20% - 强调文字颜色 5 20 3 2" xfId="8727"/>
    <cellStyle name="20% - 强调文字颜色 5 20 3 3" xfId="14629"/>
    <cellStyle name="20% - 强调文字颜色 5 20 3 4" xfId="24589"/>
    <cellStyle name="20% - 强调文字颜色 5 20 3 5" xfId="27820"/>
    <cellStyle name="20% - 强调文字颜色 5 20 30" xfId="23297"/>
    <cellStyle name="20% - 强调文字颜色 5 20 31" xfId="21227"/>
    <cellStyle name="20% - 强调文字颜色 5 20 32" xfId="30182"/>
    <cellStyle name="20% - 强调文字颜色 5 20 33" xfId="32794"/>
    <cellStyle name="20% - 强调文字颜色 5 20 4" xfId="2946"/>
    <cellStyle name="20% - 强调文字颜色 5 20 4 2" xfId="8728"/>
    <cellStyle name="20% - 强调文字颜色 5 20 4 3" xfId="14630"/>
    <cellStyle name="20% - 强调文字颜色 5 20 4 4" xfId="24590"/>
    <cellStyle name="20% - 强调文字颜色 5 20 4 5" xfId="27821"/>
    <cellStyle name="20% - 强调文字颜色 5 20 5" xfId="2947"/>
    <cellStyle name="20% - 强调文字颜色 5 20 5 2" xfId="8729"/>
    <cellStyle name="20% - 强调文字颜色 5 20 5 3" xfId="14631"/>
    <cellStyle name="20% - 强调文字颜色 5 20 5 4" xfId="24591"/>
    <cellStyle name="20% - 强调文字颜色 5 20 5 5" xfId="27822"/>
    <cellStyle name="20% - 强调文字颜色 5 20 6" xfId="2948"/>
    <cellStyle name="20% - 强调文字颜色 5 20 6 2" xfId="8730"/>
    <cellStyle name="20% - 强调文字颜色 5 20 6 3" xfId="14632"/>
    <cellStyle name="20% - 强调文字颜色 5 20 6 4" xfId="24592"/>
    <cellStyle name="20% - 强调文字颜色 5 20 6 5" xfId="27823"/>
    <cellStyle name="20% - 强调文字颜色 5 20 7" xfId="2949"/>
    <cellStyle name="20% - 强调文字颜色 5 20 7 2" xfId="8731"/>
    <cellStyle name="20% - 强调文字颜色 5 20 7 3" xfId="14633"/>
    <cellStyle name="20% - 强调文字颜色 5 20 7 4" xfId="24593"/>
    <cellStyle name="20% - 强调文字颜色 5 20 7 5" xfId="27824"/>
    <cellStyle name="20% - 强调文字颜色 5 20 8" xfId="2950"/>
    <cellStyle name="20% - 强调文字颜色 5 20 8 2" xfId="8732"/>
    <cellStyle name="20% - 强调文字颜色 5 20 8 3" xfId="14634"/>
    <cellStyle name="20% - 强调文字颜色 5 20 8 4" xfId="24594"/>
    <cellStyle name="20% - 强调文字颜色 5 20 8 5" xfId="27825"/>
    <cellStyle name="20% - 强调文字颜色 5 20 9" xfId="2951"/>
    <cellStyle name="20% - 强调文字颜色 5 20 9 2" xfId="8733"/>
    <cellStyle name="20% - 强调文字颜色 5 20 9 3" xfId="14635"/>
    <cellStyle name="20% - 强调文字颜色 5 20 9 4" xfId="24595"/>
    <cellStyle name="20% - 强调文字颜色 5 20 9 5" xfId="27826"/>
    <cellStyle name="20% - 强调文字颜色 5 21" xfId="538"/>
    <cellStyle name="20% - 强调文字颜色 5 21 10" xfId="2953"/>
    <cellStyle name="20% - 强调文字颜色 5 21 10 2" xfId="8734"/>
    <cellStyle name="20% - 强调文字颜色 5 21 10 3" xfId="14637"/>
    <cellStyle name="20% - 强调文字颜色 5 21 10 4" xfId="24596"/>
    <cellStyle name="20% - 强调文字颜色 5 21 10 5" xfId="27828"/>
    <cellStyle name="20% - 强调文字颜色 5 21 11" xfId="2954"/>
    <cellStyle name="20% - 强调文字颜色 5 21 11 2" xfId="8735"/>
    <cellStyle name="20% - 强调文字颜色 5 21 11 3" xfId="14638"/>
    <cellStyle name="20% - 强调文字颜色 5 21 11 4" xfId="24597"/>
    <cellStyle name="20% - 强调文字颜色 5 21 11 5" xfId="27829"/>
    <cellStyle name="20% - 强调文字颜色 5 21 12" xfId="2955"/>
    <cellStyle name="20% - 强调文字颜色 5 21 12 2" xfId="8736"/>
    <cellStyle name="20% - 强调文字颜色 5 21 12 3" xfId="14639"/>
    <cellStyle name="20% - 强调文字颜色 5 21 12 4" xfId="24598"/>
    <cellStyle name="20% - 强调文字颜色 5 21 12 5" xfId="27830"/>
    <cellStyle name="20% - 强调文字颜色 5 21 13" xfId="2956"/>
    <cellStyle name="20% - 强调文字颜色 5 21 13 2" xfId="8737"/>
    <cellStyle name="20% - 强调文字颜色 5 21 13 3" xfId="14640"/>
    <cellStyle name="20% - 强调文字颜色 5 21 13 4" xfId="24599"/>
    <cellStyle name="20% - 强调文字颜色 5 21 13 5" xfId="27831"/>
    <cellStyle name="20% - 强调文字颜色 5 21 14" xfId="2957"/>
    <cellStyle name="20% - 强调文字颜色 5 21 14 2" xfId="8738"/>
    <cellStyle name="20% - 强调文字颜色 5 21 14 3" xfId="14641"/>
    <cellStyle name="20% - 强调文字颜色 5 21 14 4" xfId="24600"/>
    <cellStyle name="20% - 强调文字颜色 5 21 14 5" xfId="27832"/>
    <cellStyle name="20% - 强调文字颜色 5 21 15" xfId="2958"/>
    <cellStyle name="20% - 强调文字颜色 5 21 15 2" xfId="8739"/>
    <cellStyle name="20% - 强调文字颜色 5 21 15 3" xfId="14642"/>
    <cellStyle name="20% - 强调文字颜色 5 21 15 4" xfId="24601"/>
    <cellStyle name="20% - 强调文字颜色 5 21 15 5" xfId="27833"/>
    <cellStyle name="20% - 强调文字颜色 5 21 16" xfId="2959"/>
    <cellStyle name="20% - 强调文字颜色 5 21 16 2" xfId="8740"/>
    <cellStyle name="20% - 强调文字颜色 5 21 16 3" xfId="14643"/>
    <cellStyle name="20% - 强调文字颜色 5 21 16 4" xfId="24602"/>
    <cellStyle name="20% - 强调文字颜色 5 21 16 5" xfId="27834"/>
    <cellStyle name="20% - 强调文字颜色 5 21 17" xfId="2960"/>
    <cellStyle name="20% - 强调文字颜色 5 21 17 2" xfId="8741"/>
    <cellStyle name="20% - 强调文字颜色 5 21 17 3" xfId="14644"/>
    <cellStyle name="20% - 强调文字颜色 5 21 17 4" xfId="24603"/>
    <cellStyle name="20% - 强调文字颜色 5 21 17 5" xfId="27835"/>
    <cellStyle name="20% - 强调文字颜色 5 21 18" xfId="2961"/>
    <cellStyle name="20% - 强调文字颜色 5 21 18 2" xfId="8742"/>
    <cellStyle name="20% - 强调文字颜色 5 21 18 3" xfId="14645"/>
    <cellStyle name="20% - 强调文字颜色 5 21 18 4" xfId="24604"/>
    <cellStyle name="20% - 强调文字颜色 5 21 18 5" xfId="27836"/>
    <cellStyle name="20% - 强调文字颜色 5 21 19" xfId="2962"/>
    <cellStyle name="20% - 强调文字颜色 5 21 19 2" xfId="8743"/>
    <cellStyle name="20% - 强调文字颜色 5 21 19 3" xfId="14646"/>
    <cellStyle name="20% - 强调文字颜色 5 21 19 4" xfId="24605"/>
    <cellStyle name="20% - 强调文字颜色 5 21 19 5" xfId="27837"/>
    <cellStyle name="20% - 强调文字颜色 5 21 2" xfId="2952"/>
    <cellStyle name="20% - 强调文字颜色 5 21 2 2" xfId="8744"/>
    <cellStyle name="20% - 强调文字颜色 5 21 2 3" xfId="14647"/>
    <cellStyle name="20% - 强调文字颜色 5 21 2 4" xfId="24606"/>
    <cellStyle name="20% - 强调文字颜色 5 21 2 5" xfId="27827"/>
    <cellStyle name="20% - 强调文字颜色 5 21 20" xfId="2964"/>
    <cellStyle name="20% - 强调文字颜色 5 21 20 2" xfId="8745"/>
    <cellStyle name="20% - 强调文字颜色 5 21 20 3" xfId="14648"/>
    <cellStyle name="20% - 强调文字颜色 5 21 20 4" xfId="24607"/>
    <cellStyle name="20% - 强调文字颜色 5 21 20 5" xfId="27838"/>
    <cellStyle name="20% - 强调文字颜色 5 21 21" xfId="2965"/>
    <cellStyle name="20% - 强调文字颜色 5 21 21 2" xfId="8746"/>
    <cellStyle name="20% - 强调文字颜色 5 21 21 3" xfId="14649"/>
    <cellStyle name="20% - 强调文字颜色 5 21 21 4" xfId="24608"/>
    <cellStyle name="20% - 强调文字颜色 5 21 21 5" xfId="27839"/>
    <cellStyle name="20% - 强调文字颜色 5 21 22" xfId="2966"/>
    <cellStyle name="20% - 强调文字颜色 5 21 22 2" xfId="8747"/>
    <cellStyle name="20% - 强调文字颜色 5 21 22 3" xfId="14650"/>
    <cellStyle name="20% - 强调文字颜色 5 21 22 4" xfId="24609"/>
    <cellStyle name="20% - 强调文字颜色 5 21 22 5" xfId="27840"/>
    <cellStyle name="20% - 强调文字颜色 5 21 23" xfId="2967"/>
    <cellStyle name="20% - 强调文字颜色 5 21 23 2" xfId="8748"/>
    <cellStyle name="20% - 强调文字颜色 5 21 23 3" xfId="14651"/>
    <cellStyle name="20% - 强调文字颜色 5 21 23 4" xfId="24610"/>
    <cellStyle name="20% - 强调文字颜色 5 21 23 5" xfId="27841"/>
    <cellStyle name="20% - 强调文字颜色 5 21 24" xfId="6088"/>
    <cellStyle name="20% - 强调文字颜色 5 21 25" xfId="10970"/>
    <cellStyle name="20% - 强调文字颜色 5 21 26" xfId="12238"/>
    <cellStyle name="20% - 强调文字颜色 5 21 27" xfId="14636"/>
    <cellStyle name="20% - 强调文字颜色 5 21 28" xfId="11593"/>
    <cellStyle name="20% - 强调文字颜色 5 21 29" xfId="18393"/>
    <cellStyle name="20% - 强调文字颜色 5 21 3" xfId="2968"/>
    <cellStyle name="20% - 强调文字颜色 5 21 3 2" xfId="8749"/>
    <cellStyle name="20% - 强调文字颜色 5 21 3 3" xfId="14652"/>
    <cellStyle name="20% - 强调文字颜色 5 21 3 4" xfId="24611"/>
    <cellStyle name="20% - 强调文字颜色 5 21 3 5" xfId="27842"/>
    <cellStyle name="20% - 强调文字颜色 5 21 30" xfId="22314"/>
    <cellStyle name="20% - 强调文字颜色 5 21 31" xfId="20652"/>
    <cellStyle name="20% - 强调文字颜色 5 21 32" xfId="30183"/>
    <cellStyle name="20% - 强调文字颜色 5 21 33" xfId="31281"/>
    <cellStyle name="20% - 强调文字颜色 5 21 4" xfId="2969"/>
    <cellStyle name="20% - 强调文字颜色 5 21 4 2" xfId="8750"/>
    <cellStyle name="20% - 强调文字颜色 5 21 4 3" xfId="14653"/>
    <cellStyle name="20% - 强调文字颜色 5 21 4 4" xfId="24612"/>
    <cellStyle name="20% - 强调文字颜色 5 21 4 5" xfId="27843"/>
    <cellStyle name="20% - 强调文字颜色 5 21 5" xfId="2970"/>
    <cellStyle name="20% - 强调文字颜色 5 21 5 2" xfId="8751"/>
    <cellStyle name="20% - 强调文字颜色 5 21 5 3" xfId="14654"/>
    <cellStyle name="20% - 强调文字颜色 5 21 5 4" xfId="24613"/>
    <cellStyle name="20% - 强调文字颜色 5 21 5 5" xfId="27844"/>
    <cellStyle name="20% - 强调文字颜色 5 21 6" xfId="2971"/>
    <cellStyle name="20% - 强调文字颜色 5 21 6 2" xfId="8752"/>
    <cellStyle name="20% - 强调文字颜色 5 21 6 3" xfId="14655"/>
    <cellStyle name="20% - 强调文字颜色 5 21 6 4" xfId="24614"/>
    <cellStyle name="20% - 强调文字颜色 5 21 6 5" xfId="27845"/>
    <cellStyle name="20% - 强调文字颜色 5 21 7" xfId="2972"/>
    <cellStyle name="20% - 强调文字颜色 5 21 7 2" xfId="8753"/>
    <cellStyle name="20% - 强调文字颜色 5 21 7 3" xfId="14656"/>
    <cellStyle name="20% - 强调文字颜色 5 21 7 4" xfId="24615"/>
    <cellStyle name="20% - 强调文字颜色 5 21 7 5" xfId="27846"/>
    <cellStyle name="20% - 强调文字颜色 5 21 8" xfId="2973"/>
    <cellStyle name="20% - 强调文字颜色 5 21 8 2" xfId="8754"/>
    <cellStyle name="20% - 强调文字颜色 5 21 8 3" xfId="14657"/>
    <cellStyle name="20% - 强调文字颜色 5 21 8 4" xfId="24616"/>
    <cellStyle name="20% - 强调文字颜色 5 21 8 5" xfId="27847"/>
    <cellStyle name="20% - 强调文字颜色 5 21 9" xfId="2974"/>
    <cellStyle name="20% - 强调文字颜色 5 21 9 2" xfId="8755"/>
    <cellStyle name="20% - 强调文字颜色 5 21 9 3" xfId="14658"/>
    <cellStyle name="20% - 强调文字颜色 5 21 9 4" xfId="24617"/>
    <cellStyle name="20% - 强调文字颜色 5 21 9 5" xfId="27848"/>
    <cellStyle name="20% - 强调文字颜色 5 22" xfId="539"/>
    <cellStyle name="20% - 强调文字颜色 5 22 10" xfId="2976"/>
    <cellStyle name="20% - 强调文字颜色 5 22 10 2" xfId="8756"/>
    <cellStyle name="20% - 强调文字颜色 5 22 10 3" xfId="14660"/>
    <cellStyle name="20% - 强调文字颜色 5 22 10 4" xfId="24618"/>
    <cellStyle name="20% - 强调文字颜色 5 22 10 5" xfId="27850"/>
    <cellStyle name="20% - 强调文字颜色 5 22 11" xfId="2977"/>
    <cellStyle name="20% - 强调文字颜色 5 22 11 2" xfId="8757"/>
    <cellStyle name="20% - 强调文字颜色 5 22 11 3" xfId="14661"/>
    <cellStyle name="20% - 强调文字颜色 5 22 11 4" xfId="24619"/>
    <cellStyle name="20% - 强调文字颜色 5 22 11 5" xfId="27851"/>
    <cellStyle name="20% - 强调文字颜色 5 22 12" xfId="2978"/>
    <cellStyle name="20% - 强调文字颜色 5 22 12 2" xfId="8758"/>
    <cellStyle name="20% - 强调文字颜色 5 22 12 3" xfId="14662"/>
    <cellStyle name="20% - 强调文字颜色 5 22 12 4" xfId="24620"/>
    <cellStyle name="20% - 强调文字颜色 5 22 12 5" xfId="27852"/>
    <cellStyle name="20% - 强调文字颜色 5 22 13" xfId="2979"/>
    <cellStyle name="20% - 强调文字颜色 5 22 13 2" xfId="8759"/>
    <cellStyle name="20% - 强调文字颜色 5 22 13 3" xfId="14663"/>
    <cellStyle name="20% - 强调文字颜色 5 22 13 4" xfId="24621"/>
    <cellStyle name="20% - 强调文字颜色 5 22 13 5" xfId="27853"/>
    <cellStyle name="20% - 强调文字颜色 5 22 14" xfId="2980"/>
    <cellStyle name="20% - 强调文字颜色 5 22 14 2" xfId="8760"/>
    <cellStyle name="20% - 强调文字颜色 5 22 14 3" xfId="14664"/>
    <cellStyle name="20% - 强调文字颜色 5 22 14 4" xfId="24622"/>
    <cellStyle name="20% - 强调文字颜色 5 22 14 5" xfId="27854"/>
    <cellStyle name="20% - 强调文字颜色 5 22 15" xfId="2981"/>
    <cellStyle name="20% - 强调文字颜色 5 22 15 2" xfId="8761"/>
    <cellStyle name="20% - 强调文字颜色 5 22 15 3" xfId="14665"/>
    <cellStyle name="20% - 强调文字颜色 5 22 15 4" xfId="24623"/>
    <cellStyle name="20% - 强调文字颜色 5 22 15 5" xfId="27855"/>
    <cellStyle name="20% - 强调文字颜色 5 22 16" xfId="2982"/>
    <cellStyle name="20% - 强调文字颜色 5 22 16 2" xfId="8762"/>
    <cellStyle name="20% - 强调文字颜色 5 22 16 3" xfId="14666"/>
    <cellStyle name="20% - 强调文字颜色 5 22 16 4" xfId="24624"/>
    <cellStyle name="20% - 强调文字颜色 5 22 16 5" xfId="27856"/>
    <cellStyle name="20% - 强调文字颜色 5 22 17" xfId="2983"/>
    <cellStyle name="20% - 强调文字颜色 5 22 17 2" xfId="8763"/>
    <cellStyle name="20% - 强调文字颜色 5 22 17 3" xfId="14667"/>
    <cellStyle name="20% - 强调文字颜色 5 22 17 4" xfId="24625"/>
    <cellStyle name="20% - 强调文字颜色 5 22 17 5" xfId="27857"/>
    <cellStyle name="20% - 强调文字颜色 5 22 18" xfId="2984"/>
    <cellStyle name="20% - 强调文字颜色 5 22 18 2" xfId="8764"/>
    <cellStyle name="20% - 强调文字颜色 5 22 18 3" xfId="14668"/>
    <cellStyle name="20% - 强调文字颜色 5 22 18 4" xfId="24626"/>
    <cellStyle name="20% - 强调文字颜色 5 22 18 5" xfId="27858"/>
    <cellStyle name="20% - 强调文字颜色 5 22 19" xfId="2985"/>
    <cellStyle name="20% - 强调文字颜色 5 22 19 2" xfId="8765"/>
    <cellStyle name="20% - 强调文字颜色 5 22 19 3" xfId="14669"/>
    <cellStyle name="20% - 强调文字颜色 5 22 19 4" xfId="24627"/>
    <cellStyle name="20% - 强调文字颜色 5 22 19 5" xfId="27859"/>
    <cellStyle name="20% - 强调文字颜色 5 22 2" xfId="2975"/>
    <cellStyle name="20% - 强调文字颜色 5 22 2 2" xfId="8766"/>
    <cellStyle name="20% - 强调文字颜色 5 22 2 3" xfId="14670"/>
    <cellStyle name="20% - 强调文字颜色 5 22 2 4" xfId="24628"/>
    <cellStyle name="20% - 强调文字颜色 5 22 2 5" xfId="27849"/>
    <cellStyle name="20% - 强调文字颜色 5 22 20" xfId="2987"/>
    <cellStyle name="20% - 强调文字颜色 5 22 20 2" xfId="8767"/>
    <cellStyle name="20% - 强调文字颜色 5 22 20 3" xfId="14671"/>
    <cellStyle name="20% - 强调文字颜色 5 22 20 4" xfId="24629"/>
    <cellStyle name="20% - 强调文字颜色 5 22 20 5" xfId="27860"/>
    <cellStyle name="20% - 强调文字颜色 5 22 21" xfId="2988"/>
    <cellStyle name="20% - 强调文字颜色 5 22 21 2" xfId="8768"/>
    <cellStyle name="20% - 强调文字颜色 5 22 21 3" xfId="14672"/>
    <cellStyle name="20% - 强调文字颜色 5 22 21 4" xfId="24630"/>
    <cellStyle name="20% - 强调文字颜色 5 22 21 5" xfId="27861"/>
    <cellStyle name="20% - 强调文字颜色 5 22 22" xfId="2989"/>
    <cellStyle name="20% - 强调文字颜色 5 22 22 2" xfId="8769"/>
    <cellStyle name="20% - 强调文字颜色 5 22 22 3" xfId="14673"/>
    <cellStyle name="20% - 强调文字颜色 5 22 22 4" xfId="24631"/>
    <cellStyle name="20% - 强调文字颜色 5 22 22 5" xfId="27862"/>
    <cellStyle name="20% - 强调文字颜色 5 22 23" xfId="2990"/>
    <cellStyle name="20% - 强调文字颜色 5 22 23 2" xfId="8770"/>
    <cellStyle name="20% - 强调文字颜色 5 22 23 3" xfId="14674"/>
    <cellStyle name="20% - 强调文字颜色 5 22 23 4" xfId="24632"/>
    <cellStyle name="20% - 强调文字颜色 5 22 23 5" xfId="27863"/>
    <cellStyle name="20% - 强调文字颜色 5 22 24" xfId="6089"/>
    <cellStyle name="20% - 强调文字颜色 5 22 25" xfId="10971"/>
    <cellStyle name="20% - 强调文字颜色 5 22 26" xfId="12239"/>
    <cellStyle name="20% - 强调文字颜色 5 22 27" xfId="14659"/>
    <cellStyle name="20% - 强调文字颜色 5 22 28" xfId="10453"/>
    <cellStyle name="20% - 强调文字颜色 5 22 29" xfId="18394"/>
    <cellStyle name="20% - 强调文字颜色 5 22 3" xfId="2991"/>
    <cellStyle name="20% - 强调文字颜色 5 22 3 2" xfId="8771"/>
    <cellStyle name="20% - 强调文字颜色 5 22 3 3" xfId="14675"/>
    <cellStyle name="20% - 强调文字颜色 5 22 3 4" xfId="24633"/>
    <cellStyle name="20% - 强调文字颜色 5 22 3 5" xfId="27864"/>
    <cellStyle name="20% - 强调文字颜色 5 22 30" xfId="21788"/>
    <cellStyle name="20% - 强调文字颜色 5 22 31" xfId="19999"/>
    <cellStyle name="20% - 强调文字颜色 5 22 32" xfId="30184"/>
    <cellStyle name="20% - 强调文字颜色 5 22 33" xfId="31935"/>
    <cellStyle name="20% - 强调文字颜色 5 22 4" xfId="2992"/>
    <cellStyle name="20% - 强调文字颜色 5 22 4 2" xfId="8772"/>
    <cellStyle name="20% - 强调文字颜色 5 22 4 3" xfId="14676"/>
    <cellStyle name="20% - 强调文字颜色 5 22 4 4" xfId="24634"/>
    <cellStyle name="20% - 强调文字颜色 5 22 4 5" xfId="27865"/>
    <cellStyle name="20% - 强调文字颜色 5 22 5" xfId="2993"/>
    <cellStyle name="20% - 强调文字颜色 5 22 5 2" xfId="8773"/>
    <cellStyle name="20% - 强调文字颜色 5 22 5 3" xfId="14677"/>
    <cellStyle name="20% - 强调文字颜色 5 22 5 4" xfId="24635"/>
    <cellStyle name="20% - 强调文字颜色 5 22 5 5" xfId="27866"/>
    <cellStyle name="20% - 强调文字颜色 5 22 6" xfId="2994"/>
    <cellStyle name="20% - 强调文字颜色 5 22 6 2" xfId="8774"/>
    <cellStyle name="20% - 强调文字颜色 5 22 6 3" xfId="14678"/>
    <cellStyle name="20% - 强调文字颜色 5 22 6 4" xfId="24636"/>
    <cellStyle name="20% - 强调文字颜色 5 22 6 5" xfId="27867"/>
    <cellStyle name="20% - 强调文字颜色 5 22 7" xfId="2995"/>
    <cellStyle name="20% - 强调文字颜色 5 22 7 2" xfId="8775"/>
    <cellStyle name="20% - 强调文字颜色 5 22 7 3" xfId="14679"/>
    <cellStyle name="20% - 强调文字颜色 5 22 7 4" xfId="24637"/>
    <cellStyle name="20% - 强调文字颜色 5 22 7 5" xfId="27868"/>
    <cellStyle name="20% - 强调文字颜色 5 22 8" xfId="2996"/>
    <cellStyle name="20% - 强调文字颜色 5 22 8 2" xfId="8776"/>
    <cellStyle name="20% - 强调文字颜色 5 22 8 3" xfId="14680"/>
    <cellStyle name="20% - 强调文字颜色 5 22 8 4" xfId="24638"/>
    <cellStyle name="20% - 强调文字颜色 5 22 8 5" xfId="27869"/>
    <cellStyle name="20% - 强调文字颜色 5 22 9" xfId="2997"/>
    <cellStyle name="20% - 强调文字颜色 5 22 9 2" xfId="8777"/>
    <cellStyle name="20% - 强调文字颜色 5 22 9 3" xfId="14681"/>
    <cellStyle name="20% - 强调文字颜色 5 22 9 4" xfId="24639"/>
    <cellStyle name="20% - 强调文字颜色 5 22 9 5" xfId="27870"/>
    <cellStyle name="20% - 强调文字颜色 5 23" xfId="540"/>
    <cellStyle name="20% - 强调文字颜色 5 23 10" xfId="2999"/>
    <cellStyle name="20% - 强调文字颜色 5 23 10 2" xfId="8778"/>
    <cellStyle name="20% - 强调文字颜色 5 23 10 3" xfId="14683"/>
    <cellStyle name="20% - 强调文字颜色 5 23 10 4" xfId="24640"/>
    <cellStyle name="20% - 强调文字颜色 5 23 10 5" xfId="27872"/>
    <cellStyle name="20% - 强调文字颜色 5 23 11" xfId="3000"/>
    <cellStyle name="20% - 强调文字颜色 5 23 11 2" xfId="8779"/>
    <cellStyle name="20% - 强调文字颜色 5 23 11 3" xfId="14684"/>
    <cellStyle name="20% - 强调文字颜色 5 23 11 4" xfId="24641"/>
    <cellStyle name="20% - 强调文字颜色 5 23 11 5" xfId="27873"/>
    <cellStyle name="20% - 强调文字颜色 5 23 12" xfId="3001"/>
    <cellStyle name="20% - 强调文字颜色 5 23 12 2" xfId="8780"/>
    <cellStyle name="20% - 强调文字颜色 5 23 12 3" xfId="14685"/>
    <cellStyle name="20% - 强调文字颜色 5 23 12 4" xfId="24642"/>
    <cellStyle name="20% - 强调文字颜色 5 23 12 5" xfId="27874"/>
    <cellStyle name="20% - 强调文字颜色 5 23 13" xfId="3002"/>
    <cellStyle name="20% - 强调文字颜色 5 23 13 2" xfId="8781"/>
    <cellStyle name="20% - 强调文字颜色 5 23 13 3" xfId="14686"/>
    <cellStyle name="20% - 强调文字颜色 5 23 13 4" xfId="24643"/>
    <cellStyle name="20% - 强调文字颜色 5 23 13 5" xfId="27875"/>
    <cellStyle name="20% - 强调文字颜色 5 23 14" xfId="3003"/>
    <cellStyle name="20% - 强调文字颜色 5 23 14 2" xfId="8782"/>
    <cellStyle name="20% - 强调文字颜色 5 23 14 3" xfId="14687"/>
    <cellStyle name="20% - 强调文字颜色 5 23 14 4" xfId="24644"/>
    <cellStyle name="20% - 强调文字颜色 5 23 14 5" xfId="27876"/>
    <cellStyle name="20% - 强调文字颜色 5 23 15" xfId="3004"/>
    <cellStyle name="20% - 强调文字颜色 5 23 15 2" xfId="8783"/>
    <cellStyle name="20% - 强调文字颜色 5 23 15 3" xfId="14688"/>
    <cellStyle name="20% - 强调文字颜色 5 23 15 4" xfId="24645"/>
    <cellStyle name="20% - 强调文字颜色 5 23 15 5" xfId="27877"/>
    <cellStyle name="20% - 强调文字颜色 5 23 16" xfId="3005"/>
    <cellStyle name="20% - 强调文字颜色 5 23 16 2" xfId="8784"/>
    <cellStyle name="20% - 强调文字颜色 5 23 16 3" xfId="14689"/>
    <cellStyle name="20% - 强调文字颜色 5 23 16 4" xfId="24646"/>
    <cellStyle name="20% - 强调文字颜色 5 23 16 5" xfId="27878"/>
    <cellStyle name="20% - 强调文字颜色 5 23 17" xfId="3006"/>
    <cellStyle name="20% - 强调文字颜色 5 23 17 2" xfId="8785"/>
    <cellStyle name="20% - 强调文字颜色 5 23 17 3" xfId="14690"/>
    <cellStyle name="20% - 强调文字颜色 5 23 17 4" xfId="24647"/>
    <cellStyle name="20% - 强调文字颜色 5 23 17 5" xfId="27879"/>
    <cellStyle name="20% - 强调文字颜色 5 23 18" xfId="3007"/>
    <cellStyle name="20% - 强调文字颜色 5 23 18 2" xfId="8786"/>
    <cellStyle name="20% - 强调文字颜色 5 23 18 3" xfId="14691"/>
    <cellStyle name="20% - 强调文字颜色 5 23 18 4" xfId="24648"/>
    <cellStyle name="20% - 强调文字颜色 5 23 18 5" xfId="27880"/>
    <cellStyle name="20% - 强调文字颜色 5 23 19" xfId="3008"/>
    <cellStyle name="20% - 强调文字颜色 5 23 19 2" xfId="8787"/>
    <cellStyle name="20% - 强调文字颜色 5 23 19 3" xfId="14692"/>
    <cellStyle name="20% - 强调文字颜色 5 23 19 4" xfId="24649"/>
    <cellStyle name="20% - 强调文字颜色 5 23 19 5" xfId="27881"/>
    <cellStyle name="20% - 强调文字颜色 5 23 2" xfId="2998"/>
    <cellStyle name="20% - 强调文字颜色 5 23 2 2" xfId="8788"/>
    <cellStyle name="20% - 强调文字颜色 5 23 2 3" xfId="14693"/>
    <cellStyle name="20% - 强调文字颜色 5 23 2 4" xfId="24650"/>
    <cellStyle name="20% - 强调文字颜色 5 23 2 5" xfId="27871"/>
    <cellStyle name="20% - 强调文字颜色 5 23 20" xfId="3010"/>
    <cellStyle name="20% - 强调文字颜色 5 23 20 2" xfId="8789"/>
    <cellStyle name="20% - 强调文字颜色 5 23 20 3" xfId="14694"/>
    <cellStyle name="20% - 强调文字颜色 5 23 20 4" xfId="24651"/>
    <cellStyle name="20% - 强调文字颜色 5 23 20 5" xfId="27882"/>
    <cellStyle name="20% - 强调文字颜色 5 23 21" xfId="3011"/>
    <cellStyle name="20% - 强调文字颜色 5 23 21 2" xfId="8790"/>
    <cellStyle name="20% - 强调文字颜色 5 23 21 3" xfId="14695"/>
    <cellStyle name="20% - 强调文字颜色 5 23 21 4" xfId="24652"/>
    <cellStyle name="20% - 强调文字颜色 5 23 21 5" xfId="27883"/>
    <cellStyle name="20% - 强调文字颜色 5 23 22" xfId="3012"/>
    <cellStyle name="20% - 强调文字颜色 5 23 22 2" xfId="8791"/>
    <cellStyle name="20% - 强调文字颜色 5 23 22 3" xfId="14696"/>
    <cellStyle name="20% - 强调文字颜色 5 23 22 4" xfId="24653"/>
    <cellStyle name="20% - 强调文字颜色 5 23 22 5" xfId="27884"/>
    <cellStyle name="20% - 强调文字颜色 5 23 23" xfId="3013"/>
    <cellStyle name="20% - 强调文字颜色 5 23 23 2" xfId="8792"/>
    <cellStyle name="20% - 强调文字颜色 5 23 23 3" xfId="14697"/>
    <cellStyle name="20% - 强调文字颜色 5 23 23 4" xfId="24654"/>
    <cellStyle name="20% - 强调文字颜色 5 23 23 5" xfId="27885"/>
    <cellStyle name="20% - 强调文字颜色 5 23 24" xfId="6090"/>
    <cellStyle name="20% - 强调文字颜色 5 23 25" xfId="10972"/>
    <cellStyle name="20% - 强调文字颜色 5 23 26" xfId="12240"/>
    <cellStyle name="20% - 强调文字颜色 5 23 27" xfId="14682"/>
    <cellStyle name="20% - 强调文字颜色 5 23 28" xfId="10448"/>
    <cellStyle name="20% - 强调文字颜色 5 23 29" xfId="18395"/>
    <cellStyle name="20% - 强调文字颜色 5 23 3" xfId="3014"/>
    <cellStyle name="20% - 强调文字颜色 5 23 3 2" xfId="8793"/>
    <cellStyle name="20% - 强调文字颜色 5 23 3 3" xfId="14698"/>
    <cellStyle name="20% - 强调文字颜色 5 23 3 4" xfId="24655"/>
    <cellStyle name="20% - 强调文字颜色 5 23 3 5" xfId="27886"/>
    <cellStyle name="20% - 强调文字颜色 5 23 30" xfId="23296"/>
    <cellStyle name="20% - 强调文字颜色 5 23 31" xfId="21226"/>
    <cellStyle name="20% - 强调文字颜色 5 23 32" xfId="30185"/>
    <cellStyle name="20% - 强调文字颜色 5 23 33" xfId="32793"/>
    <cellStyle name="20% - 强调文字颜色 5 23 4" xfId="3015"/>
    <cellStyle name="20% - 强调文字颜色 5 23 4 2" xfId="8794"/>
    <cellStyle name="20% - 强调文字颜色 5 23 4 3" xfId="14699"/>
    <cellStyle name="20% - 强调文字颜色 5 23 4 4" xfId="24656"/>
    <cellStyle name="20% - 强调文字颜色 5 23 4 5" xfId="27887"/>
    <cellStyle name="20% - 强调文字颜色 5 23 5" xfId="3016"/>
    <cellStyle name="20% - 强调文字颜色 5 23 5 2" xfId="8795"/>
    <cellStyle name="20% - 强调文字颜色 5 23 5 3" xfId="14700"/>
    <cellStyle name="20% - 强调文字颜色 5 23 5 4" xfId="24657"/>
    <cellStyle name="20% - 强调文字颜色 5 23 5 5" xfId="27888"/>
    <cellStyle name="20% - 强调文字颜色 5 23 6" xfId="3017"/>
    <cellStyle name="20% - 强调文字颜色 5 23 6 2" xfId="8796"/>
    <cellStyle name="20% - 强调文字颜色 5 23 6 3" xfId="14701"/>
    <cellStyle name="20% - 强调文字颜色 5 23 6 4" xfId="24658"/>
    <cellStyle name="20% - 强调文字颜色 5 23 6 5" xfId="27889"/>
    <cellStyle name="20% - 强调文字颜色 5 23 7" xfId="3018"/>
    <cellStyle name="20% - 强调文字颜色 5 23 7 2" xfId="8797"/>
    <cellStyle name="20% - 强调文字颜色 5 23 7 3" xfId="14702"/>
    <cellStyle name="20% - 强调文字颜色 5 23 7 4" xfId="24659"/>
    <cellStyle name="20% - 强调文字颜色 5 23 7 5" xfId="27890"/>
    <cellStyle name="20% - 强调文字颜色 5 23 8" xfId="3019"/>
    <cellStyle name="20% - 强调文字颜色 5 23 8 2" xfId="8798"/>
    <cellStyle name="20% - 强调文字颜色 5 23 8 3" xfId="14703"/>
    <cellStyle name="20% - 强调文字颜色 5 23 8 4" xfId="24660"/>
    <cellStyle name="20% - 强调文字颜色 5 23 8 5" xfId="27891"/>
    <cellStyle name="20% - 强调文字颜色 5 23 9" xfId="3020"/>
    <cellStyle name="20% - 强调文字颜色 5 23 9 2" xfId="8799"/>
    <cellStyle name="20% - 强调文字颜色 5 23 9 3" xfId="14704"/>
    <cellStyle name="20% - 强调文字颜色 5 23 9 4" xfId="24661"/>
    <cellStyle name="20% - 强调文字颜色 5 23 9 5" xfId="27892"/>
    <cellStyle name="20% - 强调文字颜色 5 24" xfId="2874"/>
    <cellStyle name="20% - 强调文字颜色 5 24 2" xfId="3021"/>
    <cellStyle name="20% - 强调文字颜色 5 24 3" xfId="7385"/>
    <cellStyle name="20% - 强调文字颜色 5 24 4" xfId="14705"/>
    <cellStyle name="20% - 强调文字颜色 5 24 5" xfId="7396"/>
    <cellStyle name="20% - 强调文字颜色 5 24 6" xfId="26721"/>
    <cellStyle name="20% - 强调文字颜色 5 24 7" xfId="27783"/>
    <cellStyle name="20% - 强调文字颜色 5 25" xfId="3022"/>
    <cellStyle name="20% - 强调文字颜色 5 25 2" xfId="8800"/>
    <cellStyle name="20% - 强调文字颜色 5 25 3" xfId="14706"/>
    <cellStyle name="20% - 强调文字颜色 5 25 4" xfId="24662"/>
    <cellStyle name="20% - 强调文字颜色 5 25 5" xfId="26552"/>
    <cellStyle name="20% - 强调文字颜色 5 25 6" xfId="26722"/>
    <cellStyle name="20% - 强调文字颜色 5 25 7" xfId="27893"/>
    <cellStyle name="20% - 强调文字颜色 5 26" xfId="3023"/>
    <cellStyle name="20% - 强调文字颜色 5 26 2" xfId="8801"/>
    <cellStyle name="20% - 强调文字颜色 5 26 3" xfId="14707"/>
    <cellStyle name="20% - 强调文字颜色 5 26 4" xfId="24663"/>
    <cellStyle name="20% - 强调文字颜色 5 26 5" xfId="26553"/>
    <cellStyle name="20% - 强调文字颜色 5 26 6" xfId="26723"/>
    <cellStyle name="20% - 强调文字颜色 5 26 7" xfId="27894"/>
    <cellStyle name="20% - 强调文字颜色 5 27" xfId="3024"/>
    <cellStyle name="20% - 强调文字颜色 5 27 2" xfId="8802"/>
    <cellStyle name="20% - 强调文字颜色 5 27 3" xfId="14708"/>
    <cellStyle name="20% - 强调文字颜色 5 27 4" xfId="24664"/>
    <cellStyle name="20% - 强调文字颜色 5 27 5" xfId="26724"/>
    <cellStyle name="20% - 强调文字颜色 5 27 6" xfId="27895"/>
    <cellStyle name="20% - 强调文字颜色 5 28" xfId="3025"/>
    <cellStyle name="20% - 强调文字颜色 5 28 2" xfId="8803"/>
    <cellStyle name="20% - 强调文字颜色 5 28 3" xfId="14709"/>
    <cellStyle name="20% - 强调文字颜色 5 28 4" xfId="24665"/>
    <cellStyle name="20% - 强调文字颜色 5 28 5" xfId="26725"/>
    <cellStyle name="20% - 强调文字颜色 5 28 6" xfId="27896"/>
    <cellStyle name="20% - 强调文字颜色 5 29" xfId="3026"/>
    <cellStyle name="20% - 强调文字颜色 5 29 2" xfId="8804"/>
    <cellStyle name="20% - 强调文字颜色 5 29 3" xfId="14710"/>
    <cellStyle name="20% - 强调文字颜色 5 29 4" xfId="24666"/>
    <cellStyle name="20% - 强调文字颜色 5 29 5" xfId="26726"/>
    <cellStyle name="20% - 强调文字颜色 5 29 6" xfId="27897"/>
    <cellStyle name="20% - 强调文字颜色 5 3" xfId="541"/>
    <cellStyle name="20% - 强调文字颜色 5 3 10" xfId="542"/>
    <cellStyle name="20% - 强调文字颜色 5 3 10 10" xfId="30187"/>
    <cellStyle name="20% - 强调文字颜色 5 3 10 11" xfId="32792"/>
    <cellStyle name="20% - 强调文字颜色 5 3 10 2" xfId="3028"/>
    <cellStyle name="20% - 强调文字颜色 5 3 10 3" xfId="6092"/>
    <cellStyle name="20% - 强调文字颜色 5 3 10 4" xfId="12242"/>
    <cellStyle name="20% - 强调文字颜色 5 3 10 5" xfId="14712"/>
    <cellStyle name="20% - 强调文字颜色 5 3 10 6" xfId="11591"/>
    <cellStyle name="20% - 强调文字颜色 5 3 10 7" xfId="18397"/>
    <cellStyle name="20% - 强调文字颜色 5 3 10 8" xfId="21787"/>
    <cellStyle name="20% - 强调文字颜色 5 3 10 9" xfId="19998"/>
    <cellStyle name="20% - 强调文字颜色 5 3 11" xfId="543"/>
    <cellStyle name="20% - 强调文字颜色 5 3 11 10" xfId="30188"/>
    <cellStyle name="20% - 强调文字颜色 5 3 11 11" xfId="31934"/>
    <cellStyle name="20% - 强调文字颜色 5 3 11 2" xfId="3029"/>
    <cellStyle name="20% - 强调文字颜色 5 3 11 3" xfId="6093"/>
    <cellStyle name="20% - 强调文字颜色 5 3 11 4" xfId="12243"/>
    <cellStyle name="20% - 强调文字颜色 5 3 11 5" xfId="14713"/>
    <cellStyle name="20% - 强调文字颜色 5 3 11 6" xfId="11590"/>
    <cellStyle name="20% - 强调文字颜色 5 3 11 7" xfId="18398"/>
    <cellStyle name="20% - 强调文字颜色 5 3 11 8" xfId="23295"/>
    <cellStyle name="20% - 强调文字颜色 5 3 11 9" xfId="21225"/>
    <cellStyle name="20% - 强调文字颜色 5 3 12" xfId="544"/>
    <cellStyle name="20% - 强调文字颜色 5 3 12 10" xfId="30189"/>
    <cellStyle name="20% - 强调文字颜色 5 3 12 11" xfId="31277"/>
    <cellStyle name="20% - 强调文字颜色 5 3 12 2" xfId="3030"/>
    <cellStyle name="20% - 强调文字颜色 5 3 12 3" xfId="6094"/>
    <cellStyle name="20% - 强调文字颜色 5 3 12 4" xfId="12244"/>
    <cellStyle name="20% - 强调文字颜色 5 3 12 5" xfId="14714"/>
    <cellStyle name="20% - 强调文字颜色 5 3 12 6" xfId="10451"/>
    <cellStyle name="20% - 强调文字颜色 5 3 12 7" xfId="18399"/>
    <cellStyle name="20% - 强调文字颜色 5 3 12 8" xfId="22312"/>
    <cellStyle name="20% - 强调文字颜色 5 3 12 9" xfId="20650"/>
    <cellStyle name="20% - 强调文字颜色 5 3 13" xfId="545"/>
    <cellStyle name="20% - 强调文字颜色 5 3 13 10" xfId="30190"/>
    <cellStyle name="20% - 强调文字颜色 5 3 13 11" xfId="32791"/>
    <cellStyle name="20% - 强调文字颜色 5 3 13 2" xfId="3031"/>
    <cellStyle name="20% - 强调文字颜色 5 3 13 3" xfId="6095"/>
    <cellStyle name="20% - 强调文字颜色 5 3 13 4" xfId="12245"/>
    <cellStyle name="20% - 强调文字颜色 5 3 13 5" xfId="14715"/>
    <cellStyle name="20% - 强调文字颜色 5 3 13 6" xfId="11589"/>
    <cellStyle name="20% - 强调文字颜色 5 3 13 7" xfId="18400"/>
    <cellStyle name="20% - 强调文字颜色 5 3 13 8" xfId="21786"/>
    <cellStyle name="20% - 强调文字颜色 5 3 13 9" xfId="19997"/>
    <cellStyle name="20% - 强调文字颜色 5 3 14" xfId="546"/>
    <cellStyle name="20% - 强调文字颜色 5 3 14 10" xfId="30191"/>
    <cellStyle name="20% - 强调文字颜色 5 3 14 11" xfId="31933"/>
    <cellStyle name="20% - 强调文字颜色 5 3 14 2" xfId="3032"/>
    <cellStyle name="20% - 强调文字颜色 5 3 14 3" xfId="6096"/>
    <cellStyle name="20% - 强调文字颜色 5 3 14 4" xfId="12246"/>
    <cellStyle name="20% - 强调文字颜色 5 3 14 5" xfId="14716"/>
    <cellStyle name="20% - 强调文字颜色 5 3 14 6" xfId="10450"/>
    <cellStyle name="20% - 强调文字颜色 5 3 14 7" xfId="18401"/>
    <cellStyle name="20% - 强调文字颜色 5 3 14 8" xfId="23294"/>
    <cellStyle name="20% - 强调文字颜色 5 3 14 9" xfId="21224"/>
    <cellStyle name="20% - 强调文字颜色 5 3 15" xfId="547"/>
    <cellStyle name="20% - 强调文字颜色 5 3 15 10" xfId="30192"/>
    <cellStyle name="20% - 强调文字颜色 5 3 15 11" xfId="31276"/>
    <cellStyle name="20% - 强调文字颜色 5 3 15 2" xfId="3033"/>
    <cellStyle name="20% - 强调文字颜色 5 3 15 3" xfId="6097"/>
    <cellStyle name="20% - 强调文字颜色 5 3 15 4" xfId="12247"/>
    <cellStyle name="20% - 强调文字颜色 5 3 15 5" xfId="14717"/>
    <cellStyle name="20% - 强调文字颜色 5 3 15 6" xfId="11588"/>
    <cellStyle name="20% - 强调文字颜色 5 3 15 7" xfId="18402"/>
    <cellStyle name="20% - 强调文字颜色 5 3 15 8" xfId="22311"/>
    <cellStyle name="20% - 强调文字颜色 5 3 15 9" xfId="20649"/>
    <cellStyle name="20% - 强调文字颜色 5 3 16" xfId="548"/>
    <cellStyle name="20% - 强调文字颜色 5 3 16 10" xfId="30193"/>
    <cellStyle name="20% - 强调文字颜色 5 3 16 11" xfId="32790"/>
    <cellStyle name="20% - 强调文字颜色 5 3 16 2" xfId="3034"/>
    <cellStyle name="20% - 强调文字颜色 5 3 16 3" xfId="6098"/>
    <cellStyle name="20% - 强调文字颜色 5 3 16 4" xfId="12248"/>
    <cellStyle name="20% - 强调文字颜色 5 3 16 5" xfId="14718"/>
    <cellStyle name="20% - 强调文字颜色 5 3 16 6" xfId="10449"/>
    <cellStyle name="20% - 强调文字颜色 5 3 16 7" xfId="18403"/>
    <cellStyle name="20% - 强调文字颜色 5 3 16 8" xfId="21785"/>
    <cellStyle name="20% - 强调文字颜色 5 3 16 9" xfId="19996"/>
    <cellStyle name="20% - 强调文字颜色 5 3 17" xfId="549"/>
    <cellStyle name="20% - 强调文字颜色 5 3 17 10" xfId="30194"/>
    <cellStyle name="20% - 强调文字颜色 5 3 17 11" xfId="31932"/>
    <cellStyle name="20% - 强调文字颜色 5 3 17 2" xfId="3035"/>
    <cellStyle name="20% - 强调文字颜色 5 3 17 3" xfId="6099"/>
    <cellStyle name="20% - 强调文字颜色 5 3 17 4" xfId="12249"/>
    <cellStyle name="20% - 强调文字颜色 5 3 17 5" xfId="14719"/>
    <cellStyle name="20% - 强调文字颜色 5 3 17 6" xfId="10444"/>
    <cellStyle name="20% - 强调文字颜色 5 3 17 7" xfId="18404"/>
    <cellStyle name="20% - 强调文字颜色 5 3 17 8" xfId="23293"/>
    <cellStyle name="20% - 强调文字颜色 5 3 17 9" xfId="21490"/>
    <cellStyle name="20% - 强调文字颜色 5 3 18" xfId="550"/>
    <cellStyle name="20% - 强调文字颜色 5 3 18 10" xfId="30195"/>
    <cellStyle name="20% - 强调文字颜色 5 3 18 11" xfId="31275"/>
    <cellStyle name="20% - 强调文字颜色 5 3 18 2" xfId="3036"/>
    <cellStyle name="20% - 强调文字颜色 5 3 18 3" xfId="6100"/>
    <cellStyle name="20% - 强调文字颜色 5 3 18 4" xfId="12250"/>
    <cellStyle name="20% - 强调文字颜色 5 3 18 5" xfId="14720"/>
    <cellStyle name="20% - 强调文字颜色 5 3 18 6" xfId="7710"/>
    <cellStyle name="20% - 强调文字颜色 5 3 18 7" xfId="18405"/>
    <cellStyle name="20% - 强调文字颜色 5 3 18 8" xfId="22310"/>
    <cellStyle name="20% - 强调文字颜色 5 3 18 9" xfId="20299"/>
    <cellStyle name="20% - 强调文字颜色 5 3 19" xfId="551"/>
    <cellStyle name="20% - 强调文字颜色 5 3 19 10" xfId="30196"/>
    <cellStyle name="20% - 强调文字颜色 5 3 19 11" xfId="32789"/>
    <cellStyle name="20% - 强调文字颜色 5 3 19 2" xfId="3037"/>
    <cellStyle name="20% - 强调文字颜色 5 3 19 3" xfId="6101"/>
    <cellStyle name="20% - 强调文字颜色 5 3 19 4" xfId="12251"/>
    <cellStyle name="20% - 强调文字颜色 5 3 19 5" xfId="14721"/>
    <cellStyle name="20% - 强调文字颜色 5 3 19 6" xfId="11586"/>
    <cellStyle name="20% - 强调文字颜色 5 3 19 7" xfId="18406"/>
    <cellStyle name="20% - 强调文字颜色 5 3 19 8" xfId="21784"/>
    <cellStyle name="20% - 强调文字颜色 5 3 19 9" xfId="21208"/>
    <cellStyle name="20% - 强调文字颜色 5 3 2" xfId="552"/>
    <cellStyle name="20% - 强调文字颜色 5 3 2 10" xfId="30197"/>
    <cellStyle name="20% - 强调文字颜色 5 3 2 11" xfId="31931"/>
    <cellStyle name="20% - 强调文字颜色 5 3 2 2" xfId="3038"/>
    <cellStyle name="20% - 强调文字颜色 5 3 2 3" xfId="6102"/>
    <cellStyle name="20% - 强调文字颜色 5 3 2 4" xfId="12252"/>
    <cellStyle name="20% - 强调文字颜色 5 3 2 5" xfId="14722"/>
    <cellStyle name="20% - 强调文字颜色 5 3 2 6" xfId="11585"/>
    <cellStyle name="20% - 强调文字颜色 5 3 2 7" xfId="18407"/>
    <cellStyle name="20% - 强调文字颜色 5 3 2 8" xfId="23292"/>
    <cellStyle name="20% - 强调文字颜色 5 3 2 9" xfId="20839"/>
    <cellStyle name="20% - 强调文字颜色 5 3 20" xfId="3027"/>
    <cellStyle name="20% - 强调文字颜色 5 3 20 2" xfId="8805"/>
    <cellStyle name="20% - 强调文字颜色 5 3 20 3" xfId="14723"/>
    <cellStyle name="20% - 强调文字颜色 5 3 20 4" xfId="24667"/>
    <cellStyle name="20% - 强调文字颜色 5 3 20 5" xfId="26727"/>
    <cellStyle name="20% - 强调文字颜色 5 3 20 6" xfId="27898"/>
    <cellStyle name="20% - 强调文字颜色 5 3 21" xfId="3040"/>
    <cellStyle name="20% - 强调文字颜色 5 3 21 2" xfId="8806"/>
    <cellStyle name="20% - 强调文字颜色 5 3 21 3" xfId="14724"/>
    <cellStyle name="20% - 强调文字颜色 5 3 21 4" xfId="24668"/>
    <cellStyle name="20% - 强调文字颜色 5 3 21 5" xfId="26728"/>
    <cellStyle name="20% - 强调文字颜色 5 3 21 6" xfId="27899"/>
    <cellStyle name="20% - 强调文字颜色 5 3 22" xfId="3041"/>
    <cellStyle name="20% - 强调文字颜色 5 3 22 2" xfId="8807"/>
    <cellStyle name="20% - 强调文字颜色 5 3 22 3" xfId="14725"/>
    <cellStyle name="20% - 强调文字颜色 5 3 22 4" xfId="24669"/>
    <cellStyle name="20% - 强调文字颜色 5 3 22 5" xfId="26729"/>
    <cellStyle name="20% - 强调文字颜色 5 3 22 6" xfId="27900"/>
    <cellStyle name="20% - 强调文字颜色 5 3 23" xfId="3042"/>
    <cellStyle name="20% - 强调文字颜色 5 3 23 2" xfId="8808"/>
    <cellStyle name="20% - 强调文字颜色 5 3 23 3" xfId="14726"/>
    <cellStyle name="20% - 强调文字颜色 5 3 23 4" xfId="24670"/>
    <cellStyle name="20% - 强调文字颜色 5 3 23 5" xfId="26730"/>
    <cellStyle name="20% - 强调文字颜色 5 3 23 6" xfId="27901"/>
    <cellStyle name="20% - 强调文字颜色 5 3 24" xfId="3043"/>
    <cellStyle name="20% - 强调文字颜色 5 3 24 2" xfId="8809"/>
    <cellStyle name="20% - 强调文字颜色 5 3 24 3" xfId="14727"/>
    <cellStyle name="20% - 强调文字颜色 5 3 24 4" xfId="24671"/>
    <cellStyle name="20% - 强调文字颜色 5 3 24 5" xfId="26731"/>
    <cellStyle name="20% - 强调文字颜色 5 3 24 6" xfId="27902"/>
    <cellStyle name="20% - 强调文字颜色 5 3 25" xfId="3044"/>
    <cellStyle name="20% - 强调文字颜色 5 3 25 2" xfId="8810"/>
    <cellStyle name="20% - 强调文字颜色 5 3 25 3" xfId="14728"/>
    <cellStyle name="20% - 强调文字颜色 5 3 25 4" xfId="24672"/>
    <cellStyle name="20% - 强调文字颜色 5 3 25 5" xfId="26732"/>
    <cellStyle name="20% - 强调文字颜色 5 3 25 6" xfId="27903"/>
    <cellStyle name="20% - 强调文字颜色 5 3 26" xfId="3045"/>
    <cellStyle name="20% - 强调文字颜色 5 3 26 2" xfId="8811"/>
    <cellStyle name="20% - 强调文字颜色 5 3 26 3" xfId="14729"/>
    <cellStyle name="20% - 强调文字颜色 5 3 26 4" xfId="24673"/>
    <cellStyle name="20% - 强调文字颜色 5 3 26 5" xfId="26733"/>
    <cellStyle name="20% - 强调文字颜色 5 3 26 6" xfId="27904"/>
    <cellStyle name="20% - 强调文字颜色 5 3 27" xfId="3046"/>
    <cellStyle name="20% - 强调文字颜色 5 3 27 2" xfId="8812"/>
    <cellStyle name="20% - 强调文字颜色 5 3 27 3" xfId="14730"/>
    <cellStyle name="20% - 强调文字颜色 5 3 27 4" xfId="24674"/>
    <cellStyle name="20% - 强调文字颜色 5 3 27 5" xfId="26734"/>
    <cellStyle name="20% - 强调文字颜色 5 3 27 6" xfId="27905"/>
    <cellStyle name="20% - 强调文字颜色 5 3 28" xfId="3047"/>
    <cellStyle name="20% - 强调文字颜色 5 3 28 2" xfId="8813"/>
    <cellStyle name="20% - 强调文字颜色 5 3 28 3" xfId="14731"/>
    <cellStyle name="20% - 强调文字颜色 5 3 28 4" xfId="24675"/>
    <cellStyle name="20% - 强调文字颜色 5 3 28 5" xfId="26735"/>
    <cellStyle name="20% - 强调文字颜色 5 3 28 6" xfId="27906"/>
    <cellStyle name="20% - 强调文字颜色 5 3 29" xfId="3048"/>
    <cellStyle name="20% - 强调文字颜色 5 3 29 2" xfId="8814"/>
    <cellStyle name="20% - 强调文字颜色 5 3 29 3" xfId="14732"/>
    <cellStyle name="20% - 强调文字颜色 5 3 29 4" xfId="24676"/>
    <cellStyle name="20% - 强调文字颜色 5 3 29 5" xfId="27907"/>
    <cellStyle name="20% - 强调文字颜色 5 3 3" xfId="553"/>
    <cellStyle name="20% - 强调文字颜色 5 3 3 10" xfId="30198"/>
    <cellStyle name="20% - 强调文字颜色 5 3 3 11" xfId="32788"/>
    <cellStyle name="20% - 强调文字颜色 5 3 3 2" xfId="3049"/>
    <cellStyle name="20% - 强调文字颜色 5 3 3 3" xfId="6103"/>
    <cellStyle name="20% - 强调文字颜色 5 3 3 4" xfId="12253"/>
    <cellStyle name="20% - 强调文字颜色 5 3 3 5" xfId="14733"/>
    <cellStyle name="20% - 强调文字颜色 5 3 3 6" xfId="10447"/>
    <cellStyle name="20% - 强调文字颜色 5 3 3 7" xfId="18408"/>
    <cellStyle name="20% - 强调文字颜色 5 3 3 8" xfId="22309"/>
    <cellStyle name="20% - 强调文字颜色 5 3 3 9" xfId="20754"/>
    <cellStyle name="20% - 强调文字颜色 5 3 30" xfId="3050"/>
    <cellStyle name="20% - 强调文字颜色 5 3 30 2" xfId="8815"/>
    <cellStyle name="20% - 强调文字颜色 5 3 30 3" xfId="14734"/>
    <cellStyle name="20% - 强调文字颜色 5 3 30 4" xfId="24677"/>
    <cellStyle name="20% - 强调文字颜色 5 3 30 5" xfId="27908"/>
    <cellStyle name="20% - 强调文字颜色 5 3 31" xfId="3051"/>
    <cellStyle name="20% - 强调文字颜色 5 3 31 2" xfId="8816"/>
    <cellStyle name="20% - 强调文字颜色 5 3 31 3" xfId="14735"/>
    <cellStyle name="20% - 强调文字颜色 5 3 31 4" xfId="24678"/>
    <cellStyle name="20% - 强调文字颜色 5 3 31 5" xfId="27909"/>
    <cellStyle name="20% - 强调文字颜色 5 3 32" xfId="3052"/>
    <cellStyle name="20% - 强调文字颜色 5 3 32 2" xfId="8817"/>
    <cellStyle name="20% - 强调文字颜色 5 3 32 3" xfId="14736"/>
    <cellStyle name="20% - 强调文字颜色 5 3 32 4" xfId="24679"/>
    <cellStyle name="20% - 强调文字颜色 5 3 32 5" xfId="27910"/>
    <cellStyle name="20% - 强调文字颜色 5 3 33" xfId="3053"/>
    <cellStyle name="20% - 强调文字颜色 5 3 33 2" xfId="8818"/>
    <cellStyle name="20% - 强调文字颜色 5 3 33 3" xfId="14737"/>
    <cellStyle name="20% - 强调文字颜色 5 3 33 4" xfId="24680"/>
    <cellStyle name="20% - 强调文字颜色 5 3 33 5" xfId="27911"/>
    <cellStyle name="20% - 强调文字颜色 5 3 34" xfId="3054"/>
    <cellStyle name="20% - 强调文字颜色 5 3 34 2" xfId="8819"/>
    <cellStyle name="20% - 强调文字颜色 5 3 34 3" xfId="14738"/>
    <cellStyle name="20% - 强调文字颜色 5 3 34 4" xfId="24681"/>
    <cellStyle name="20% - 强调文字颜色 5 3 34 5" xfId="27912"/>
    <cellStyle name="20% - 强调文字颜色 5 3 35" xfId="3055"/>
    <cellStyle name="20% - 强调文字颜色 5 3 35 2" xfId="8820"/>
    <cellStyle name="20% - 强调文字颜色 5 3 35 3" xfId="14739"/>
    <cellStyle name="20% - 强调文字颜色 5 3 35 4" xfId="24682"/>
    <cellStyle name="20% - 强调文字颜色 5 3 35 5" xfId="27913"/>
    <cellStyle name="20% - 强调文字颜色 5 3 36" xfId="3056"/>
    <cellStyle name="20% - 强调文字颜色 5 3 36 2" xfId="8821"/>
    <cellStyle name="20% - 强调文字颜色 5 3 36 3" xfId="14740"/>
    <cellStyle name="20% - 强调文字颜色 5 3 36 4" xfId="24683"/>
    <cellStyle name="20% - 强调文字颜色 5 3 36 5" xfId="27914"/>
    <cellStyle name="20% - 强调文字颜色 5 3 37" xfId="3057"/>
    <cellStyle name="20% - 强调文字颜色 5 3 37 2" xfId="8822"/>
    <cellStyle name="20% - 强调文字颜色 5 3 37 3" xfId="14741"/>
    <cellStyle name="20% - 强调文字颜色 5 3 37 4" xfId="24684"/>
    <cellStyle name="20% - 强调文字颜色 5 3 37 5" xfId="27915"/>
    <cellStyle name="20% - 强调文字颜色 5 3 38" xfId="3058"/>
    <cellStyle name="20% - 强调文字颜色 5 3 38 2" xfId="8823"/>
    <cellStyle name="20% - 强调文字颜色 5 3 38 3" xfId="14742"/>
    <cellStyle name="20% - 强调文字颜色 5 3 38 4" xfId="24685"/>
    <cellStyle name="20% - 强调文字颜色 5 3 38 5" xfId="27916"/>
    <cellStyle name="20% - 强调文字颜色 5 3 39" xfId="3059"/>
    <cellStyle name="20% - 强调文字颜色 5 3 39 2" xfId="8824"/>
    <cellStyle name="20% - 强调文字颜色 5 3 39 3" xfId="14743"/>
    <cellStyle name="20% - 强调文字颜色 5 3 39 4" xfId="24686"/>
    <cellStyle name="20% - 强调文字颜色 5 3 39 5" xfId="27917"/>
    <cellStyle name="20% - 强调文字颜色 5 3 4" xfId="554"/>
    <cellStyle name="20% - 强调文字颜色 5 3 4 10" xfId="30199"/>
    <cellStyle name="20% - 强调文字颜色 5 3 4 11" xfId="31274"/>
    <cellStyle name="20% - 强调文字颜色 5 3 4 2" xfId="3060"/>
    <cellStyle name="20% - 强调文字颜色 5 3 4 3" xfId="6104"/>
    <cellStyle name="20% - 强调文字颜色 5 3 4 4" xfId="12254"/>
    <cellStyle name="20% - 强调文字颜色 5 3 4 5" xfId="14744"/>
    <cellStyle name="20% - 强调文字颜色 5 3 4 6" xfId="11584"/>
    <cellStyle name="20% - 强调文字颜色 5 3 4 7" xfId="18409"/>
    <cellStyle name="20% - 强调文字颜色 5 3 4 8" xfId="21783"/>
    <cellStyle name="20% - 强调文字颜色 5 3 4 9" xfId="20198"/>
    <cellStyle name="20% - 强调文字颜色 5 3 40" xfId="3061"/>
    <cellStyle name="20% - 强调文字颜色 5 3 40 2" xfId="8825"/>
    <cellStyle name="20% - 强调文字颜色 5 3 40 3" xfId="14745"/>
    <cellStyle name="20% - 强调文字颜色 5 3 40 4" xfId="24687"/>
    <cellStyle name="20% - 强调文字颜色 5 3 40 5" xfId="27918"/>
    <cellStyle name="20% - 强调文字颜色 5 3 41" xfId="3062"/>
    <cellStyle name="20% - 强调文字颜色 5 3 41 2" xfId="8826"/>
    <cellStyle name="20% - 强调文字颜色 5 3 41 3" xfId="14746"/>
    <cellStyle name="20% - 强调文字颜色 5 3 41 4" xfId="24688"/>
    <cellStyle name="20% - 强调文字颜色 5 3 41 5" xfId="27919"/>
    <cellStyle name="20% - 强调文字颜色 5 3 42" xfId="6091"/>
    <cellStyle name="20% - 强调文字颜色 5 3 42 2" xfId="23567"/>
    <cellStyle name="20% - 强调文字颜色 5 3 42 3" xfId="26152"/>
    <cellStyle name="20% - 强调文字颜色 5 3 43" xfId="10973"/>
    <cellStyle name="20% - 强调文字颜色 5 3 43 2" xfId="23762"/>
    <cellStyle name="20% - 强调文字颜色 5 3 43 3" xfId="26347"/>
    <cellStyle name="20% - 强调文字颜色 5 3 44" xfId="12241"/>
    <cellStyle name="20% - 强调文字颜色 5 3 44 2" xfId="23856"/>
    <cellStyle name="20% - 强调文字颜色 5 3 44 3" xfId="26441"/>
    <cellStyle name="20% - 强调文字颜色 5 3 45" xfId="14711"/>
    <cellStyle name="20% - 强调文字颜色 5 3 45 2" xfId="23907"/>
    <cellStyle name="20% - 强调文字颜色 5 3 45 3" xfId="26492"/>
    <cellStyle name="20% - 强调文字颜色 5 3 46" xfId="7711"/>
    <cellStyle name="20% - 强调文字颜色 5 3 47" xfId="18396"/>
    <cellStyle name="20% - 强调文字颜色 5 3 48" xfId="22313"/>
    <cellStyle name="20% - 强调文字颜色 5 3 49" xfId="20651"/>
    <cellStyle name="20% - 强调文字颜色 5 3 5" xfId="555"/>
    <cellStyle name="20% - 强调文字颜色 5 3 5 10" xfId="30200"/>
    <cellStyle name="20% - 强调文字颜色 5 3 5 11" xfId="31273"/>
    <cellStyle name="20% - 强调文字颜色 5 3 5 2" xfId="3063"/>
    <cellStyle name="20% - 强调文字颜色 5 3 5 3" xfId="6105"/>
    <cellStyle name="20% - 强调文字颜色 5 3 5 4" xfId="12255"/>
    <cellStyle name="20% - 强调文字颜色 5 3 5 5" xfId="14747"/>
    <cellStyle name="20% - 强调文字颜色 5 3 5 6" xfId="10446"/>
    <cellStyle name="20% - 强调文字颜色 5 3 5 7" xfId="18410"/>
    <cellStyle name="20% - 强调文字颜色 5 3 5 8" xfId="23291"/>
    <cellStyle name="20% - 强调文字颜色 5 3 5 9" xfId="21223"/>
    <cellStyle name="20% - 强调文字颜色 5 3 50" xfId="30186"/>
    <cellStyle name="20% - 强调文字颜色 5 3 51" xfId="31278"/>
    <cellStyle name="20% - 强调文字颜色 5 3 6" xfId="556"/>
    <cellStyle name="20% - 强调文字颜色 5 3 6 10" xfId="30201"/>
    <cellStyle name="20% - 强调文字颜色 5 3 6 11" xfId="32787"/>
    <cellStyle name="20% - 强调文字颜色 5 3 6 2" xfId="3064"/>
    <cellStyle name="20% - 强调文字颜色 5 3 6 3" xfId="6106"/>
    <cellStyle name="20% - 强调文字颜色 5 3 6 4" xfId="12256"/>
    <cellStyle name="20% - 强调文字颜色 5 3 6 5" xfId="14748"/>
    <cellStyle name="20% - 强调文字颜色 5 3 6 6" xfId="11583"/>
    <cellStyle name="20% - 强调文字颜色 5 3 6 7" xfId="18411"/>
    <cellStyle name="20% - 强调文字颜色 5 3 6 8" xfId="22308"/>
    <cellStyle name="20% - 强调文字颜色 5 3 6 9" xfId="20648"/>
    <cellStyle name="20% - 强调文字颜色 5 3 7" xfId="557"/>
    <cellStyle name="20% - 强调文字颜色 5 3 7 10" xfId="30202"/>
    <cellStyle name="20% - 强调文字颜色 5 3 7 11" xfId="31930"/>
    <cellStyle name="20% - 强调文字颜色 5 3 7 2" xfId="3065"/>
    <cellStyle name="20% - 强调文字颜色 5 3 7 3" xfId="6107"/>
    <cellStyle name="20% - 强调文字颜色 5 3 7 4" xfId="12257"/>
    <cellStyle name="20% - 强调文字颜色 5 3 7 5" xfId="14749"/>
    <cellStyle name="20% - 强调文字颜色 5 3 7 6" xfId="10445"/>
    <cellStyle name="20% - 强调文字颜色 5 3 7 7" xfId="18412"/>
    <cellStyle name="20% - 强调文字颜色 5 3 7 8" xfId="21782"/>
    <cellStyle name="20% - 强调文字颜色 5 3 7 9" xfId="19995"/>
    <cellStyle name="20% - 强调文字颜色 5 3 8" xfId="558"/>
    <cellStyle name="20% - 强调文字颜色 5 3 8 10" xfId="30203"/>
    <cellStyle name="20% - 强调文字颜色 5 3 8 11" xfId="31272"/>
    <cellStyle name="20% - 强调文字颜色 5 3 8 2" xfId="3066"/>
    <cellStyle name="20% - 强调文字颜色 5 3 8 3" xfId="6108"/>
    <cellStyle name="20% - 强调文字颜色 5 3 8 4" xfId="12258"/>
    <cellStyle name="20% - 强调文字颜色 5 3 8 5" xfId="14750"/>
    <cellStyle name="20% - 强调文字颜色 5 3 8 6" xfId="10440"/>
    <cellStyle name="20% - 强调文字颜色 5 3 8 7" xfId="18413"/>
    <cellStyle name="20% - 强调文字颜色 5 3 8 8" xfId="23289"/>
    <cellStyle name="20% - 强调文字颜色 5 3 8 9" xfId="21222"/>
    <cellStyle name="20% - 强调文字颜色 5 3 9" xfId="559"/>
    <cellStyle name="20% - 强调文字颜色 5 3 9 10" xfId="30204"/>
    <cellStyle name="20% - 强调文字颜色 5 3 9 11" xfId="32786"/>
    <cellStyle name="20% - 强调文字颜色 5 3 9 2" xfId="3067"/>
    <cellStyle name="20% - 强调文字颜色 5 3 9 3" xfId="6109"/>
    <cellStyle name="20% - 强调文字颜色 5 3 9 4" xfId="12259"/>
    <cellStyle name="20% - 强调文字颜色 5 3 9 5" xfId="14751"/>
    <cellStyle name="20% - 强调文字颜色 5 3 9 6" xfId="7709"/>
    <cellStyle name="20% - 强调文字颜色 5 3 9 7" xfId="18414"/>
    <cellStyle name="20% - 强调文字颜色 5 3 9 8" xfId="22306"/>
    <cellStyle name="20% - 强调文字颜色 5 3 9 9" xfId="20647"/>
    <cellStyle name="20% - 强调文字颜色 5 30" xfId="3068"/>
    <cellStyle name="20% - 强调文字颜色 5 30 2" xfId="8827"/>
    <cellStyle name="20% - 强调文字颜色 5 30 3" xfId="14752"/>
    <cellStyle name="20% - 强调文字颜色 5 30 4" xfId="24689"/>
    <cellStyle name="20% - 强调文字颜色 5 30 5" xfId="26736"/>
    <cellStyle name="20% - 强调文字颜色 5 30 6" xfId="27920"/>
    <cellStyle name="20% - 强调文字颜色 5 31" xfId="3069"/>
    <cellStyle name="20% - 强调文字颜色 5 31 2" xfId="8828"/>
    <cellStyle name="20% - 强调文字颜色 5 31 3" xfId="14753"/>
    <cellStyle name="20% - 强调文字颜色 5 31 4" xfId="24690"/>
    <cellStyle name="20% - 强调文字颜色 5 31 5" xfId="26737"/>
    <cellStyle name="20% - 强调文字颜色 5 31 6" xfId="27921"/>
    <cellStyle name="20% - 强调文字颜色 5 32" xfId="3070"/>
    <cellStyle name="20% - 强调文字颜色 5 32 2" xfId="8829"/>
    <cellStyle name="20% - 强调文字颜色 5 32 3" xfId="14754"/>
    <cellStyle name="20% - 强调文字颜色 5 32 4" xfId="24691"/>
    <cellStyle name="20% - 强调文字颜色 5 32 5" xfId="26738"/>
    <cellStyle name="20% - 强调文字颜色 5 32 6" xfId="27922"/>
    <cellStyle name="20% - 强调文字颜色 5 33" xfId="3071"/>
    <cellStyle name="20% - 强调文字颜色 5 33 2" xfId="8830"/>
    <cellStyle name="20% - 强调文字颜色 5 33 3" xfId="14755"/>
    <cellStyle name="20% - 强调文字颜色 5 33 4" xfId="24692"/>
    <cellStyle name="20% - 强调文字颜色 5 33 5" xfId="27923"/>
    <cellStyle name="20% - 强调文字颜色 5 34" xfId="3072"/>
    <cellStyle name="20% - 强调文字颜色 5 34 2" xfId="8831"/>
    <cellStyle name="20% - 强调文字颜色 5 34 3" xfId="14756"/>
    <cellStyle name="20% - 强调文字颜色 5 34 4" xfId="24693"/>
    <cellStyle name="20% - 强调文字颜色 5 34 5" xfId="27924"/>
    <cellStyle name="20% - 强调文字颜色 5 35" xfId="3073"/>
    <cellStyle name="20% - 强调文字颜色 5 35 2" xfId="8832"/>
    <cellStyle name="20% - 强调文字颜色 5 35 3" xfId="14757"/>
    <cellStyle name="20% - 强调文字颜色 5 35 4" xfId="24694"/>
    <cellStyle name="20% - 强调文字颜色 5 35 5" xfId="27925"/>
    <cellStyle name="20% - 强调文字颜色 5 36" xfId="3074"/>
    <cellStyle name="20% - 强调文字颜色 5 36 2" xfId="8833"/>
    <cellStyle name="20% - 强调文字颜色 5 36 3" xfId="14758"/>
    <cellStyle name="20% - 强调文字颜色 5 36 4" xfId="24695"/>
    <cellStyle name="20% - 强调文字颜色 5 36 5" xfId="27926"/>
    <cellStyle name="20% - 强调文字颜色 5 37" xfId="3075"/>
    <cellStyle name="20% - 强调文字颜色 5 37 2" xfId="8834"/>
    <cellStyle name="20% - 强调文字颜色 5 37 3" xfId="14759"/>
    <cellStyle name="20% - 强调文字颜色 5 37 4" xfId="24696"/>
    <cellStyle name="20% - 强调文字颜色 5 37 5" xfId="27927"/>
    <cellStyle name="20% - 强调文字颜色 5 38" xfId="3076"/>
    <cellStyle name="20% - 强调文字颜色 5 38 2" xfId="8835"/>
    <cellStyle name="20% - 强调文字颜色 5 38 3" xfId="14760"/>
    <cellStyle name="20% - 强调文字颜色 5 38 4" xfId="24697"/>
    <cellStyle name="20% - 强调文字颜色 5 38 5" xfId="27928"/>
    <cellStyle name="20% - 强调文字颜色 5 39" xfId="3077"/>
    <cellStyle name="20% - 强调文字颜色 5 39 2" xfId="8836"/>
    <cellStyle name="20% - 强调文字颜色 5 39 3" xfId="14761"/>
    <cellStyle name="20% - 强调文字颜色 5 39 4" xfId="24698"/>
    <cellStyle name="20% - 强调文字颜色 5 39 5" xfId="27929"/>
    <cellStyle name="20% - 强调文字颜色 5 4" xfId="560"/>
    <cellStyle name="20% - 强调文字颜色 5 4 10" xfId="12260"/>
    <cellStyle name="20% - 强调文字颜色 5 4 11" xfId="14762"/>
    <cellStyle name="20% - 强调文字颜色 5 4 12" xfId="11581"/>
    <cellStyle name="20% - 强调文字颜色 5 4 13" xfId="18415"/>
    <cellStyle name="20% - 强调文字颜色 5 4 14" xfId="21781"/>
    <cellStyle name="20% - 强调文字颜色 5 4 15" xfId="19994"/>
    <cellStyle name="20% - 强调文字颜色 5 4 16" xfId="30205"/>
    <cellStyle name="20% - 强调文字颜色 5 4 17" xfId="31818"/>
    <cellStyle name="20% - 强调文字颜色 5 4 2" xfId="561"/>
    <cellStyle name="20% - 强调文字颜色 5 4 2 10" xfId="30206"/>
    <cellStyle name="20% - 强调文字颜色 5 4 2 11" xfId="33409"/>
    <cellStyle name="20% - 强调文字颜色 5 4 2 2" xfId="3079"/>
    <cellStyle name="20% - 强调文字颜色 5 4 2 3" xfId="6111"/>
    <cellStyle name="20% - 强调文字颜色 5 4 2 4" xfId="12261"/>
    <cellStyle name="20% - 强调文字颜色 5 4 2 5" xfId="14763"/>
    <cellStyle name="20% - 强调文字颜色 5 4 2 6" xfId="11580"/>
    <cellStyle name="20% - 强调文字颜色 5 4 2 7" xfId="18416"/>
    <cellStyle name="20% - 强调文字颜色 5 4 2 8" xfId="23288"/>
    <cellStyle name="20% - 强调文字颜色 5 4 2 9" xfId="21221"/>
    <cellStyle name="20% - 强调文字颜色 5 4 3" xfId="562"/>
    <cellStyle name="20% - 强调文字颜色 5 4 3 10" xfId="30207"/>
    <cellStyle name="20% - 强调文字颜色 5 4 3 11" xfId="33171"/>
    <cellStyle name="20% - 强调文字颜色 5 4 3 2" xfId="3080"/>
    <cellStyle name="20% - 强调文字颜色 5 4 3 3" xfId="6112"/>
    <cellStyle name="20% - 强调文字颜色 5 4 3 4" xfId="12262"/>
    <cellStyle name="20% - 强调文字颜色 5 4 3 5" xfId="14764"/>
    <cellStyle name="20% - 强调文字颜色 5 4 3 6" xfId="10443"/>
    <cellStyle name="20% - 强调文字颜色 5 4 3 7" xfId="18417"/>
    <cellStyle name="20% - 强调文字颜色 5 4 3 8" xfId="22305"/>
    <cellStyle name="20% - 强调文字颜色 5 4 3 9" xfId="20646"/>
    <cellStyle name="20% - 强调文字颜色 5 4 4" xfId="563"/>
    <cellStyle name="20% - 强调文字颜色 5 4 4 10" xfId="30208"/>
    <cellStyle name="20% - 强调文字颜色 5 4 4 11" xfId="32785"/>
    <cellStyle name="20% - 强调文字颜色 5 4 4 2" xfId="3081"/>
    <cellStyle name="20% - 强调文字颜色 5 4 4 3" xfId="6113"/>
    <cellStyle name="20% - 强调文字颜色 5 4 4 4" xfId="12263"/>
    <cellStyle name="20% - 强调文字颜色 5 4 4 5" xfId="14765"/>
    <cellStyle name="20% - 强调文字颜色 5 4 4 6" xfId="11579"/>
    <cellStyle name="20% - 强调文字颜色 5 4 4 7" xfId="18418"/>
    <cellStyle name="20% - 强调文字颜色 5 4 4 8" xfId="21780"/>
    <cellStyle name="20% - 强调文字颜色 5 4 4 9" xfId="19993"/>
    <cellStyle name="20% - 强调文字颜色 5 4 5" xfId="564"/>
    <cellStyle name="20% - 强调文字颜色 5 4 5 10" xfId="30209"/>
    <cellStyle name="20% - 强调文字颜色 5 4 5 11" xfId="32509"/>
    <cellStyle name="20% - 强调文字颜色 5 4 5 2" xfId="3082"/>
    <cellStyle name="20% - 强调文字颜色 5 4 5 3" xfId="6114"/>
    <cellStyle name="20% - 强调文字颜色 5 4 5 4" xfId="12264"/>
    <cellStyle name="20% - 强调文字颜色 5 4 5 5" xfId="14766"/>
    <cellStyle name="20% - 强调文字颜色 5 4 5 6" xfId="10442"/>
    <cellStyle name="20% - 强调文字颜色 5 4 5 7" xfId="18419"/>
    <cellStyle name="20% - 强调文字颜色 5 4 5 8" xfId="23287"/>
    <cellStyle name="20% - 强调文字颜色 5 4 5 9" xfId="21220"/>
    <cellStyle name="20% - 强调文字颜色 5 4 6" xfId="565"/>
    <cellStyle name="20% - 强调文字颜色 5 4 6 10" xfId="30210"/>
    <cellStyle name="20% - 强调文字颜色 5 4 6 11" xfId="32278"/>
    <cellStyle name="20% - 强调文字颜色 5 4 6 2" xfId="3083"/>
    <cellStyle name="20% - 强调文字颜色 5 4 6 3" xfId="6115"/>
    <cellStyle name="20% - 强调文字颜色 5 4 6 4" xfId="12265"/>
    <cellStyle name="20% - 强调文字颜色 5 4 6 5" xfId="14767"/>
    <cellStyle name="20% - 强调文字颜色 5 4 6 6" xfId="11578"/>
    <cellStyle name="20% - 强调文字颜色 5 4 6 7" xfId="18420"/>
    <cellStyle name="20% - 强调文字颜色 5 4 6 8" xfId="22304"/>
    <cellStyle name="20% - 强调文字颜色 5 4 6 9" xfId="20645"/>
    <cellStyle name="20% - 强调文字颜色 5 4 7" xfId="566"/>
    <cellStyle name="20% - 强调文字颜色 5 4 7 10" xfId="30211"/>
    <cellStyle name="20% - 强调文字颜色 5 4 7 11" xfId="31817"/>
    <cellStyle name="20% - 强调文字颜色 5 4 7 2" xfId="3084"/>
    <cellStyle name="20% - 强调文字颜色 5 4 7 3" xfId="6116"/>
    <cellStyle name="20% - 强调文字颜色 5 4 7 4" xfId="12266"/>
    <cellStyle name="20% - 强调文字颜色 5 4 7 5" xfId="14768"/>
    <cellStyle name="20% - 强调文字颜色 5 4 7 6" xfId="10441"/>
    <cellStyle name="20% - 强调文字颜色 5 4 7 7" xfId="18421"/>
    <cellStyle name="20% - 强调文字颜色 5 4 7 8" xfId="21779"/>
    <cellStyle name="20% - 强调文字颜色 5 4 7 9" xfId="19992"/>
    <cellStyle name="20% - 强调文字颜色 5 4 8" xfId="3078"/>
    <cellStyle name="20% - 强调文字颜色 5 4 9" xfId="6110"/>
    <cellStyle name="20% - 强调文字颜色 5 40" xfId="3085"/>
    <cellStyle name="20% - 强调文字颜色 5 40 2" xfId="8837"/>
    <cellStyle name="20% - 强调文字颜色 5 40 3" xfId="14769"/>
    <cellStyle name="20% - 强调文字颜色 5 40 4" xfId="24699"/>
    <cellStyle name="20% - 强调文字颜色 5 40 5" xfId="27930"/>
    <cellStyle name="20% - 强调文字颜色 5 41" xfId="3086"/>
    <cellStyle name="20% - 强调文字颜色 5 41 2" xfId="8838"/>
    <cellStyle name="20% - 强调文字颜色 5 41 3" xfId="14770"/>
    <cellStyle name="20% - 强调文字颜色 5 41 4" xfId="24700"/>
    <cellStyle name="20% - 强调文字颜色 5 41 5" xfId="27931"/>
    <cellStyle name="20% - 强调文字颜色 5 42" xfId="3087"/>
    <cellStyle name="20% - 强调文字颜色 5 42 2" xfId="8839"/>
    <cellStyle name="20% - 强调文字颜色 5 42 3" xfId="14771"/>
    <cellStyle name="20% - 强调文字颜色 5 42 4" xfId="24701"/>
    <cellStyle name="20% - 强调文字颜色 5 42 5" xfId="27932"/>
    <cellStyle name="20% - 强调文字颜色 5 43" xfId="3088"/>
    <cellStyle name="20% - 强调文字颜色 5 43 2" xfId="8840"/>
    <cellStyle name="20% - 强调文字颜色 5 43 3" xfId="14772"/>
    <cellStyle name="20% - 强调文字颜色 5 43 4" xfId="24702"/>
    <cellStyle name="20% - 强调文字颜色 5 43 5" xfId="27933"/>
    <cellStyle name="20% - 强调文字颜色 5 44" xfId="3089"/>
    <cellStyle name="20% - 强调文字颜色 5 44 2" xfId="8841"/>
    <cellStyle name="20% - 强调文字颜色 5 44 3" xfId="14773"/>
    <cellStyle name="20% - 强调文字颜色 5 44 4" xfId="24703"/>
    <cellStyle name="20% - 强调文字颜色 5 44 5" xfId="27934"/>
    <cellStyle name="20% - 强调文字颜色 5 45" xfId="3090"/>
    <cellStyle name="20% - 强调文字颜色 5 45 2" xfId="8842"/>
    <cellStyle name="20% - 强调文字颜色 5 45 3" xfId="14774"/>
    <cellStyle name="20% - 强调文字颜色 5 45 4" xfId="24704"/>
    <cellStyle name="20% - 强调文字颜色 5 45 5" xfId="27935"/>
    <cellStyle name="20% - 强调文字颜色 5 46" xfId="6044"/>
    <cellStyle name="20% - 强调文字颜色 5 46 2" xfId="8689"/>
    <cellStyle name="20% - 强调文字颜色 5 46 3" xfId="10909"/>
    <cellStyle name="20% - 强调文字颜色 5 47" xfId="10964"/>
    <cellStyle name="20% - 强调文字颜色 5 47 2" xfId="23757"/>
    <cellStyle name="20% - 强调文字颜色 5 47 3" xfId="26342"/>
    <cellStyle name="20% - 强调文字颜色 5 48" xfId="12195"/>
    <cellStyle name="20% - 强调文字颜色 5 48 2" xfId="23853"/>
    <cellStyle name="20% - 强调文字颜色 5 48 3" xfId="26438"/>
    <cellStyle name="20% - 强调文字颜色 5 49" xfId="14558"/>
    <cellStyle name="20% - 强调文字颜色 5 49 2" xfId="23906"/>
    <cellStyle name="20% - 强调文字颜色 5 49 3" xfId="26491"/>
    <cellStyle name="20% - 强调文字颜色 5 5" xfId="567"/>
    <cellStyle name="20% - 强调文字颜色 5 5 10" xfId="12267"/>
    <cellStyle name="20% - 强调文字颜色 5 5 11" xfId="14775"/>
    <cellStyle name="20% - 强调文字颜色 5 5 12" xfId="11573"/>
    <cellStyle name="20% - 强调文字颜色 5 5 13" xfId="18422"/>
    <cellStyle name="20% - 强调文字颜色 5 5 14" xfId="23286"/>
    <cellStyle name="20% - 强调文字颜色 5 5 15" xfId="21219"/>
    <cellStyle name="20% - 强调文字颜色 5 5 16" xfId="30212"/>
    <cellStyle name="20% - 强调文字颜色 5 5 17" xfId="32784"/>
    <cellStyle name="20% - 强调文字颜色 5 5 2" xfId="568"/>
    <cellStyle name="20% - 强调文字颜色 5 5 2 10" xfId="30213"/>
    <cellStyle name="20% - 强调文字颜色 5 5 2 11" xfId="31929"/>
    <cellStyle name="20% - 强调文字颜色 5 5 2 2" xfId="3092"/>
    <cellStyle name="20% - 强调文字颜色 5 5 2 3" xfId="6118"/>
    <cellStyle name="20% - 强调文字颜色 5 5 2 4" xfId="12268"/>
    <cellStyle name="20% - 强调文字颜色 5 5 2 5" xfId="14776"/>
    <cellStyle name="20% - 强调文字颜色 5 5 2 6" xfId="10436"/>
    <cellStyle name="20% - 强调文字颜色 5 5 2 7" xfId="18423"/>
    <cellStyle name="20% - 强调文字颜色 5 5 2 8" xfId="22303"/>
    <cellStyle name="20% - 强调文字颜色 5 5 2 9" xfId="20644"/>
    <cellStyle name="20% - 强调文字颜色 5 5 3" xfId="569"/>
    <cellStyle name="20% - 强调文字颜色 5 5 3 10" xfId="30214"/>
    <cellStyle name="20% - 强调文字颜色 5 5 3 11" xfId="31268"/>
    <cellStyle name="20% - 强调文字颜色 5 5 3 2" xfId="3093"/>
    <cellStyle name="20% - 强调文字颜色 5 5 3 3" xfId="6119"/>
    <cellStyle name="20% - 强调文字颜色 5 5 3 4" xfId="12269"/>
    <cellStyle name="20% - 强调文字颜色 5 5 3 5" xfId="14777"/>
    <cellStyle name="20% - 强调文字颜色 5 5 3 6" xfId="11575"/>
    <cellStyle name="20% - 强调文字颜色 5 5 3 7" xfId="18424"/>
    <cellStyle name="20% - 强调文字颜色 5 5 3 8" xfId="21778"/>
    <cellStyle name="20% - 强调文字颜色 5 5 3 9" xfId="19981"/>
    <cellStyle name="20% - 强调文字颜色 5 5 4" xfId="570"/>
    <cellStyle name="20% - 强调文字颜色 5 5 4 10" xfId="30215"/>
    <cellStyle name="20% - 强调文字颜色 5 5 4 11" xfId="32783"/>
    <cellStyle name="20% - 强调文字颜色 5 5 4 2" xfId="3094"/>
    <cellStyle name="20% - 强调文字颜色 5 5 4 3" xfId="6120"/>
    <cellStyle name="20% - 强调文字颜色 5 5 4 4" xfId="12270"/>
    <cellStyle name="20% - 强调文字颜色 5 5 4 5" xfId="14778"/>
    <cellStyle name="20% - 强调文字颜色 5 5 4 6" xfId="10438"/>
    <cellStyle name="20% - 强调文字颜色 5 5 4 7" xfId="18425"/>
    <cellStyle name="20% - 强调文字颜色 5 5 4 8" xfId="23285"/>
    <cellStyle name="20% - 强调文字颜色 5 5 4 9" xfId="21218"/>
    <cellStyle name="20% - 强调文字颜色 5 5 5" xfId="571"/>
    <cellStyle name="20% - 强调文字颜色 5 5 5 10" xfId="30216"/>
    <cellStyle name="20% - 强调文字颜色 5 5 5 11" xfId="31921"/>
    <cellStyle name="20% - 强调文字颜色 5 5 5 2" xfId="3095"/>
    <cellStyle name="20% - 强调文字颜色 5 5 5 3" xfId="6121"/>
    <cellStyle name="20% - 强调文字颜色 5 5 5 4" xfId="12271"/>
    <cellStyle name="20% - 强调文字颜色 5 5 5 5" xfId="14779"/>
    <cellStyle name="20% - 强调文字颜色 5 5 5 6" xfId="11574"/>
    <cellStyle name="20% - 强调文字颜色 5 5 5 7" xfId="18426"/>
    <cellStyle name="20% - 强调文字颜色 5 5 5 8" xfId="22302"/>
    <cellStyle name="20% - 强调文字颜色 5 5 5 9" xfId="20643"/>
    <cellStyle name="20% - 强调文字颜色 5 5 6" xfId="572"/>
    <cellStyle name="20% - 强调文字颜色 5 5 6 10" xfId="30217"/>
    <cellStyle name="20% - 强调文字颜色 5 5 6 11" xfId="31267"/>
    <cellStyle name="20% - 强调文字颜色 5 5 6 2" xfId="3096"/>
    <cellStyle name="20% - 强调文字颜色 5 5 6 3" xfId="6122"/>
    <cellStyle name="20% - 强调文字颜色 5 5 6 4" xfId="12272"/>
    <cellStyle name="20% - 强调文字颜色 5 5 6 5" xfId="14780"/>
    <cellStyle name="20% - 强调文字颜色 5 5 6 6" xfId="10437"/>
    <cellStyle name="20% - 强调文字颜色 5 5 6 7" xfId="18427"/>
    <cellStyle name="20% - 强调文字颜色 5 5 6 8" xfId="21777"/>
    <cellStyle name="20% - 强调文字颜色 5 5 6 9" xfId="19991"/>
    <cellStyle name="20% - 强调文字颜色 5 5 7" xfId="573"/>
    <cellStyle name="20% - 强调文字颜色 5 5 7 10" xfId="30218"/>
    <cellStyle name="20% - 强调文字颜色 5 5 7 11" xfId="33408"/>
    <cellStyle name="20% - 强调文字颜色 5 5 7 2" xfId="3097"/>
    <cellStyle name="20% - 强调文字颜色 5 5 7 3" xfId="6123"/>
    <cellStyle name="20% - 强调文字颜色 5 5 7 4" xfId="12273"/>
    <cellStyle name="20% - 强调文字颜色 5 5 7 5" xfId="14781"/>
    <cellStyle name="20% - 强调文字颜色 5 5 7 6" xfId="11570"/>
    <cellStyle name="20% - 强调文字颜色 5 5 7 7" xfId="18428"/>
    <cellStyle name="20% - 强调文字颜色 5 5 7 8" xfId="23284"/>
    <cellStyle name="20% - 强调文字颜色 5 5 7 9" xfId="21217"/>
    <cellStyle name="20% - 强调文字颜色 5 5 8" xfId="3091"/>
    <cellStyle name="20% - 强调文字颜色 5 5 9" xfId="6117"/>
    <cellStyle name="20% - 强调文字颜色 5 50" xfId="7720"/>
    <cellStyle name="20% - 强调文字颜色 5 50 2" xfId="27012"/>
    <cellStyle name="20% - 强调文字颜色 5 51" xfId="17435"/>
    <cellStyle name="20% - 强调文字颜色 5 52" xfId="17521"/>
    <cellStyle name="20% - 强调文字颜色 5 52 2" xfId="27144"/>
    <cellStyle name="20% - 强调文字颜色 5 53" xfId="17607"/>
    <cellStyle name="20% - 强调文字颜色 5 54" xfId="17693"/>
    <cellStyle name="20% - 强调文字颜色 5 55" xfId="17779"/>
    <cellStyle name="20% - 强调文字颜色 5 56" xfId="18348"/>
    <cellStyle name="20% - 强调文字颜色 5 56 2" xfId="21374"/>
    <cellStyle name="20% - 强调文字颜色 5 56 3" xfId="23457"/>
    <cellStyle name="20% - 强调文字颜色 5 57" xfId="23310"/>
    <cellStyle name="20% - 强调文字颜色 5 58" xfId="20667"/>
    <cellStyle name="20% - 强调文字颜色 5 6" xfId="574"/>
    <cellStyle name="20% - 强调文字颜色 5 6 10" xfId="14782"/>
    <cellStyle name="20% - 强调文字颜色 5 6 11" xfId="10433"/>
    <cellStyle name="20% - 强调文字颜色 5 6 12" xfId="18429"/>
    <cellStyle name="20% - 强调文字颜色 5 6 13" xfId="22301"/>
    <cellStyle name="20% - 强调文字颜色 5 6 14" xfId="20642"/>
    <cellStyle name="20% - 强调文字颜色 5 6 15" xfId="30219"/>
    <cellStyle name="20% - 强调文字颜色 5 6 16" xfId="33170"/>
    <cellStyle name="20% - 强调文字颜色 5 6 2" xfId="575"/>
    <cellStyle name="20% - 强调文字颜色 5 6 2 10" xfId="30220"/>
    <cellStyle name="20% - 强调文字颜色 5 6 2 11" xfId="32782"/>
    <cellStyle name="20% - 强调文字颜色 5 6 2 2" xfId="3099"/>
    <cellStyle name="20% - 强调文字颜色 5 6 2 3" xfId="6125"/>
    <cellStyle name="20% - 强调文字颜色 5 6 2 4" xfId="12275"/>
    <cellStyle name="20% - 强调文字颜色 5 6 2 5" xfId="14783"/>
    <cellStyle name="20% - 强调文字颜色 5 6 2 6" xfId="11572"/>
    <cellStyle name="20% - 强调文字颜色 5 6 2 7" xfId="18430"/>
    <cellStyle name="20% - 强调文字颜色 5 6 2 8" xfId="21776"/>
    <cellStyle name="20% - 强调文字颜色 5 6 2 9" xfId="19990"/>
    <cellStyle name="20% - 强调文字颜色 5 6 3" xfId="576"/>
    <cellStyle name="20% - 强调文字颜色 5 6 3 10" xfId="30221"/>
    <cellStyle name="20% - 强调文字颜色 5 6 3 11" xfId="32508"/>
    <cellStyle name="20% - 强调文字颜色 5 6 3 2" xfId="3100"/>
    <cellStyle name="20% - 强调文字颜色 5 6 3 3" xfId="6126"/>
    <cellStyle name="20% - 强调文字颜色 5 6 3 4" xfId="12276"/>
    <cellStyle name="20% - 强调文字颜色 5 6 3 5" xfId="14784"/>
    <cellStyle name="20% - 强调文字颜色 5 6 3 6" xfId="10435"/>
    <cellStyle name="20% - 强调文字颜色 5 6 3 7" xfId="18431"/>
    <cellStyle name="20% - 强调文字颜色 5 6 3 8" xfId="23283"/>
    <cellStyle name="20% - 强调文字颜色 5 6 3 9" xfId="21216"/>
    <cellStyle name="20% - 强调文字颜色 5 6 4" xfId="577"/>
    <cellStyle name="20% - 强调文字颜色 5 6 4 10" xfId="30222"/>
    <cellStyle name="20% - 强调文字颜色 5 6 4 11" xfId="32277"/>
    <cellStyle name="20% - 强调文字颜色 5 6 4 2" xfId="3101"/>
    <cellStyle name="20% - 强调文字颜色 5 6 4 3" xfId="6127"/>
    <cellStyle name="20% - 强调文字颜色 5 6 4 4" xfId="12277"/>
    <cellStyle name="20% - 强调文字颜色 5 6 4 5" xfId="14785"/>
    <cellStyle name="20% - 强调文字颜色 5 6 4 6" xfId="11571"/>
    <cellStyle name="20% - 强调文字颜色 5 6 4 7" xfId="18432"/>
    <cellStyle name="20% - 强调文字颜色 5 6 4 8" xfId="22300"/>
    <cellStyle name="20% - 强调文字颜色 5 6 4 9" xfId="20641"/>
    <cellStyle name="20% - 强调文字颜色 5 6 5" xfId="578"/>
    <cellStyle name="20% - 强调文字颜色 5 6 5 10" xfId="30223"/>
    <cellStyle name="20% - 强调文字颜色 5 6 5 11" xfId="31816"/>
    <cellStyle name="20% - 强调文字颜色 5 6 5 2" xfId="3102"/>
    <cellStyle name="20% - 强调文字颜色 5 6 5 3" xfId="6128"/>
    <cellStyle name="20% - 强调文字颜色 5 6 5 4" xfId="12278"/>
    <cellStyle name="20% - 强调文字颜色 5 6 5 5" xfId="14786"/>
    <cellStyle name="20% - 强调文字颜色 5 6 5 6" xfId="10434"/>
    <cellStyle name="20% - 强调文字颜色 5 6 5 7" xfId="18433"/>
    <cellStyle name="20% - 强调文字颜色 5 6 5 8" xfId="21775"/>
    <cellStyle name="20% - 强调文字颜色 5 6 5 9" xfId="19989"/>
    <cellStyle name="20% - 强调文字颜色 5 6 6" xfId="579"/>
    <cellStyle name="20% - 强调文字颜色 5 6 6 10" xfId="30224"/>
    <cellStyle name="20% - 强调文字颜色 5 6 6 11" xfId="33407"/>
    <cellStyle name="20% - 强调文字颜色 5 6 6 2" xfId="3103"/>
    <cellStyle name="20% - 强调文字颜色 5 6 6 3" xfId="6129"/>
    <cellStyle name="20% - 强调文字颜色 5 6 6 4" xfId="12279"/>
    <cellStyle name="20% - 强调文字颜色 5 6 6 5" xfId="14787"/>
    <cellStyle name="20% - 强调文字颜色 5 6 6 6" xfId="11567"/>
    <cellStyle name="20% - 强调文字颜色 5 6 6 7" xfId="18434"/>
    <cellStyle name="20% - 强调文字颜色 5 6 6 8" xfId="23267"/>
    <cellStyle name="20% - 强调文字颜色 5 6 6 9" xfId="21215"/>
    <cellStyle name="20% - 强调文字颜色 5 6 7" xfId="3098"/>
    <cellStyle name="20% - 强调文字颜色 5 6 8" xfId="6124"/>
    <cellStyle name="20% - 强调文字颜色 5 6 9" xfId="12274"/>
    <cellStyle name="20% - 强调文字颜色 5 7" xfId="580"/>
    <cellStyle name="20% - 强调文字颜色 5 7 10" xfId="22851"/>
    <cellStyle name="20% - 强调文字颜色 5 7 11" xfId="20640"/>
    <cellStyle name="20% - 强调文字颜色 5 7 12" xfId="30225"/>
    <cellStyle name="20% - 强调文字颜色 5 7 13" xfId="33169"/>
    <cellStyle name="20% - 强调文字颜色 5 7 2" xfId="581"/>
    <cellStyle name="20% - 强调文字颜色 5 7 2 10" xfId="30226"/>
    <cellStyle name="20% - 强调文字颜色 5 7 2 11" xfId="32781"/>
    <cellStyle name="20% - 强调文字颜色 5 7 2 2" xfId="3105"/>
    <cellStyle name="20% - 强调文字颜色 5 7 2 3" xfId="6131"/>
    <cellStyle name="20% - 强调文字颜色 5 7 2 4" xfId="12281"/>
    <cellStyle name="20% - 强调文字颜色 5 7 2 5" xfId="14789"/>
    <cellStyle name="20% - 强调文字颜色 5 7 2 6" xfId="11569"/>
    <cellStyle name="20% - 强调文字颜色 5 7 2 7" xfId="18436"/>
    <cellStyle name="20% - 强调文字颜色 5 7 2 8" xfId="22633"/>
    <cellStyle name="20% - 强调文字颜色 5 7 2 9" xfId="19988"/>
    <cellStyle name="20% - 强调文字颜色 5 7 3" xfId="582"/>
    <cellStyle name="20% - 强调文字颜色 5 7 3 10" xfId="30227"/>
    <cellStyle name="20% - 强调文字颜色 5 7 3 11" xfId="32507"/>
    <cellStyle name="20% - 强调文字颜色 5 7 3 2" xfId="3106"/>
    <cellStyle name="20% - 强调文字颜色 5 7 3 3" xfId="6132"/>
    <cellStyle name="20% - 强调文字颜色 5 7 3 4" xfId="12282"/>
    <cellStyle name="20% - 强调文字颜色 5 7 3 5" xfId="14790"/>
    <cellStyle name="20% - 强调文字颜色 5 7 3 6" xfId="10432"/>
    <cellStyle name="20% - 强调文字颜色 5 7 3 7" xfId="18437"/>
    <cellStyle name="20% - 强调文字颜色 5 7 3 8" xfId="22284"/>
    <cellStyle name="20% - 强调文字颜色 5 7 3 9" xfId="21214"/>
    <cellStyle name="20% - 强调文字颜色 5 7 4" xfId="3104"/>
    <cellStyle name="20% - 强调文字颜色 5 7 5" xfId="6130"/>
    <cellStyle name="20% - 强调文字颜色 5 7 6" xfId="12280"/>
    <cellStyle name="20% - 强调文字颜色 5 7 7" xfId="14788"/>
    <cellStyle name="20% - 强调文字颜色 5 7 8" xfId="10430"/>
    <cellStyle name="20% - 强调文字颜色 5 7 9" xfId="18435"/>
    <cellStyle name="20% - 强调文字颜色 5 8" xfId="583"/>
    <cellStyle name="20% - 强调文字颜色 5 8 10" xfId="14791"/>
    <cellStyle name="20% - 强调文字颜色 5 8 11" xfId="11568"/>
    <cellStyle name="20% - 强调文字颜色 5 8 12" xfId="18438"/>
    <cellStyle name="20% - 强调文字颜色 5 8 13" xfId="23282"/>
    <cellStyle name="20% - 强调文字颜色 5 8 14" xfId="20639"/>
    <cellStyle name="20% - 强调文字颜色 5 8 15" xfId="30228"/>
    <cellStyle name="20% - 强调文字颜色 5 8 16" xfId="32276"/>
    <cellStyle name="20% - 强调文字颜色 5 8 2" xfId="584"/>
    <cellStyle name="20% - 强调文字颜色 5 8 2 10" xfId="30229"/>
    <cellStyle name="20% - 强调文字颜色 5 8 2 11" xfId="31815"/>
    <cellStyle name="20% - 强调文字颜色 5 8 2 2" xfId="3108"/>
    <cellStyle name="20% - 强调文字颜色 5 8 2 3" xfId="6134"/>
    <cellStyle name="20% - 强调文字颜色 5 8 2 4" xfId="12284"/>
    <cellStyle name="20% - 强调文字颜色 5 8 2 5" xfId="14792"/>
    <cellStyle name="20% - 强调文字颜色 5 8 2 6" xfId="10431"/>
    <cellStyle name="20% - 强调文字颜色 5 8 2 7" xfId="18439"/>
    <cellStyle name="20% - 强调文字颜色 5 8 2 8" xfId="22299"/>
    <cellStyle name="20% - 强调文字颜色 5 8 2 9" xfId="19987"/>
    <cellStyle name="20% - 强调文字颜色 5 8 3" xfId="585"/>
    <cellStyle name="20% - 强调文字颜色 5 8 3 10" xfId="30230"/>
    <cellStyle name="20% - 强调文字颜色 5 8 3 11" xfId="33406"/>
    <cellStyle name="20% - 强调文字颜色 5 8 3 2" xfId="3109"/>
    <cellStyle name="20% - 强调文字颜色 5 8 3 3" xfId="6135"/>
    <cellStyle name="20% - 强调文字颜色 5 8 3 4" xfId="12285"/>
    <cellStyle name="20% - 强调文字颜色 5 8 3 5" xfId="14793"/>
    <cellStyle name="20% - 强调文字颜色 5 8 3 6" xfId="11563"/>
    <cellStyle name="20% - 强调文字颜色 5 8 3 7" xfId="18440"/>
    <cellStyle name="20% - 强调文字颜色 5 8 3 8" xfId="21774"/>
    <cellStyle name="20% - 强调文字颜色 5 8 3 9" xfId="21213"/>
    <cellStyle name="20% - 强调文字颜色 5 8 4" xfId="586"/>
    <cellStyle name="20% - 强调文字颜色 5 8 4 10" xfId="30231"/>
    <cellStyle name="20% - 强调文字颜色 5 8 4 11" xfId="33168"/>
    <cellStyle name="20% - 强调文字颜色 5 8 4 2" xfId="3110"/>
    <cellStyle name="20% - 强调文字颜色 5 8 4 3" xfId="6136"/>
    <cellStyle name="20% - 强调文字颜色 5 8 4 4" xfId="12286"/>
    <cellStyle name="20% - 强调文字颜色 5 8 4 5" xfId="14794"/>
    <cellStyle name="20% - 强调文字颜色 5 8 4 6" xfId="10426"/>
    <cellStyle name="20% - 强调文字颜色 5 8 4 7" xfId="18441"/>
    <cellStyle name="20% - 强调文字颜色 5 8 4 8" xfId="23281"/>
    <cellStyle name="20% - 强调文字颜色 5 8 4 9" xfId="20638"/>
    <cellStyle name="20% - 强调文字颜色 5 8 5" xfId="587"/>
    <cellStyle name="20% - 强调文字颜色 5 8 5 2" xfId="6137"/>
    <cellStyle name="20% - 强调文字颜色 5 8 5 3" xfId="12287"/>
    <cellStyle name="20% - 强调文字颜色 5 8 5 4" xfId="11565"/>
    <cellStyle name="20% - 强调文字颜色 5 8 5 5" xfId="18442"/>
    <cellStyle name="20% - 强调文字颜色 5 8 5 6" xfId="22298"/>
    <cellStyle name="20% - 强调文字颜色 5 8 5 7" xfId="19986"/>
    <cellStyle name="20% - 强调文字颜色 5 8 5 8" xfId="31524"/>
    <cellStyle name="20% - 强调文字颜色 5 8 5 9" xfId="31884"/>
    <cellStyle name="20% - 强调文字颜色 5 8 6" xfId="3107"/>
    <cellStyle name="20% - 强调文字颜色 5 8 7" xfId="6133"/>
    <cellStyle name="20% - 强调文字颜色 5 8 8" xfId="10974"/>
    <cellStyle name="20% - 强调文字颜色 5 8 9" xfId="12283"/>
    <cellStyle name="20% - 强调文字颜色 5 9" xfId="588"/>
    <cellStyle name="20% - 强调文字颜色 5 9 10" xfId="14795"/>
    <cellStyle name="20% - 强调文字颜色 5 9 11" xfId="10428"/>
    <cellStyle name="20% - 强调文字颜色 5 9 12" xfId="18443"/>
    <cellStyle name="20% - 强调文字颜色 5 9 13" xfId="21773"/>
    <cellStyle name="20% - 强调文字颜色 5 9 14" xfId="21212"/>
    <cellStyle name="20% - 强调文字颜色 5 9 15" xfId="30232"/>
    <cellStyle name="20% - 强调文字颜色 5 9 16" xfId="32780"/>
    <cellStyle name="20% - 强调文字颜色 5 9 2" xfId="589"/>
    <cellStyle name="20% - 强调文字颜色 5 9 2 10" xfId="30233"/>
    <cellStyle name="20% - 强调文字颜色 5 9 2 11" xfId="32506"/>
    <cellStyle name="20% - 强调文字颜色 5 9 2 2" xfId="3112"/>
    <cellStyle name="20% - 强调文字颜色 5 9 2 3" xfId="6139"/>
    <cellStyle name="20% - 强调文字颜色 5 9 2 4" xfId="12289"/>
    <cellStyle name="20% - 强调文字颜色 5 9 2 5" xfId="14796"/>
    <cellStyle name="20% - 强调文字颜色 5 9 2 6" xfId="11564"/>
    <cellStyle name="20% - 强调文字颜色 5 9 2 7" xfId="18444"/>
    <cellStyle name="20% - 强调文字颜色 5 9 2 8" xfId="23280"/>
    <cellStyle name="20% - 强调文字颜色 5 9 2 9" xfId="20637"/>
    <cellStyle name="20% - 强调文字颜色 5 9 3" xfId="590"/>
    <cellStyle name="20% - 强调文字颜色 5 9 3 10" xfId="30234"/>
    <cellStyle name="20% - 强调文字颜色 5 9 3 11" xfId="32275"/>
    <cellStyle name="20% - 强调文字颜色 5 9 3 2" xfId="3113"/>
    <cellStyle name="20% - 强调文字颜色 5 9 3 3" xfId="6140"/>
    <cellStyle name="20% - 强调文字颜色 5 9 3 4" xfId="12290"/>
    <cellStyle name="20% - 强调文字颜色 5 9 3 5" xfId="14797"/>
    <cellStyle name="20% - 强调文字颜色 5 9 3 6" xfId="10427"/>
    <cellStyle name="20% - 强调文字颜色 5 9 3 7" xfId="18445"/>
    <cellStyle name="20% - 强调文字颜色 5 9 3 8" xfId="22297"/>
    <cellStyle name="20% - 强调文字颜色 5 9 3 9" xfId="19985"/>
    <cellStyle name="20% - 强调文字颜色 5 9 4" xfId="591"/>
    <cellStyle name="20% - 强调文字颜色 5 9 4 10" xfId="30235"/>
    <cellStyle name="20% - 强调文字颜色 5 9 4 11" xfId="31814"/>
    <cellStyle name="20% - 强调文字颜色 5 9 4 2" xfId="3114"/>
    <cellStyle name="20% - 强调文字颜色 5 9 4 3" xfId="6141"/>
    <cellStyle name="20% - 强调文字颜色 5 9 4 4" xfId="12291"/>
    <cellStyle name="20% - 强调文字颜色 5 9 4 5" xfId="14798"/>
    <cellStyle name="20% - 强调文字颜色 5 9 4 6" xfId="11560"/>
    <cellStyle name="20% - 强调文字颜色 5 9 4 7" xfId="18446"/>
    <cellStyle name="20% - 强调文字颜色 5 9 4 8" xfId="21772"/>
    <cellStyle name="20% - 强调文字颜色 5 9 4 9" xfId="21211"/>
    <cellStyle name="20% - 强调文字颜色 5 9 5" xfId="592"/>
    <cellStyle name="20% - 强调文字颜色 5 9 5 2" xfId="6142"/>
    <cellStyle name="20% - 强调文字颜色 5 9 5 3" xfId="12292"/>
    <cellStyle name="20% - 强调文字颜色 5 9 5 4" xfId="10423"/>
    <cellStyle name="20% - 强调文字颜色 5 9 5 5" xfId="18447"/>
    <cellStyle name="20% - 强调文字颜色 5 9 5 6" xfId="23279"/>
    <cellStyle name="20% - 强调文字颜色 5 9 5 7" xfId="20636"/>
    <cellStyle name="20% - 强调文字颜色 5 9 5 8" xfId="31525"/>
    <cellStyle name="20% - 强调文字颜色 5 9 5 9" xfId="30847"/>
    <cellStyle name="20% - 强调文字颜色 5 9 6" xfId="3111"/>
    <cellStyle name="20% - 强调文字颜色 5 9 7" xfId="6138"/>
    <cellStyle name="20% - 强调文字颜色 5 9 8" xfId="10975"/>
    <cellStyle name="20% - 强调文字颜色 5 9 9" xfId="12288"/>
    <cellStyle name="20% - 强调文字颜色 6" xfId="593" builtinId="50" customBuiltin="1"/>
    <cellStyle name="20% - 强调文字颜色 6 10" xfId="594"/>
    <cellStyle name="20% - 强调文字颜色 6 10 10" xfId="14800"/>
    <cellStyle name="20% - 强调文字颜色 6 10 11" xfId="10425"/>
    <cellStyle name="20% - 强调文字颜色 6 10 12" xfId="18449"/>
    <cellStyle name="20% - 强调文字颜色 6 10 13" xfId="21771"/>
    <cellStyle name="20% - 强调文字颜色 6 10 14" xfId="21210"/>
    <cellStyle name="20% - 强调文字颜色 6 10 15" xfId="30236"/>
    <cellStyle name="20% - 强调文字颜色 6 10 16" xfId="32504"/>
    <cellStyle name="20% - 强调文字颜色 6 10 2" xfId="595"/>
    <cellStyle name="20% - 强调文字颜色 6 10 2 10" xfId="30237"/>
    <cellStyle name="20% - 强调文字颜色 6 10 2 11" xfId="32273"/>
    <cellStyle name="20% - 强调文字颜色 6 10 2 2" xfId="3117"/>
    <cellStyle name="20% - 强调文字颜色 6 10 2 3" xfId="6145"/>
    <cellStyle name="20% - 强调文字颜色 6 10 2 4" xfId="12295"/>
    <cellStyle name="20% - 强调文字颜色 6 10 2 5" xfId="14801"/>
    <cellStyle name="20% - 强调文字颜色 6 10 2 6" xfId="11561"/>
    <cellStyle name="20% - 强调文字颜色 6 10 2 7" xfId="18450"/>
    <cellStyle name="20% - 强调文字颜色 6 10 2 8" xfId="23278"/>
    <cellStyle name="20% - 强调文字颜色 6 10 2 9" xfId="20635"/>
    <cellStyle name="20% - 强调文字颜色 6 10 3" xfId="596"/>
    <cellStyle name="20% - 强调文字颜色 6 10 3 10" xfId="30238"/>
    <cellStyle name="20% - 强调文字颜色 6 10 3 11" xfId="33462"/>
    <cellStyle name="20% - 强调文字颜色 6 10 3 2" xfId="3118"/>
    <cellStyle name="20% - 强调文字颜色 6 10 3 3" xfId="6146"/>
    <cellStyle name="20% - 强调文字颜色 6 10 3 4" xfId="12296"/>
    <cellStyle name="20% - 强调文字颜色 6 10 3 5" xfId="14802"/>
    <cellStyle name="20% - 强调文字颜色 6 10 3 6" xfId="10424"/>
    <cellStyle name="20% - 强调文字颜色 6 10 3 7" xfId="18451"/>
    <cellStyle name="20% - 强调文字颜色 6 10 3 8" xfId="22295"/>
    <cellStyle name="20% - 强调文字颜色 6 10 3 9" xfId="19983"/>
    <cellStyle name="20% - 强调文字颜色 6 10 4" xfId="597"/>
    <cellStyle name="20% - 强调文字颜色 6 10 4 10" xfId="30239"/>
    <cellStyle name="20% - 强调文字颜色 6 10 4 11" xfId="32076"/>
    <cellStyle name="20% - 强调文字颜色 6 10 4 2" xfId="3119"/>
    <cellStyle name="20% - 强调文字颜色 6 10 4 3" xfId="6147"/>
    <cellStyle name="20% - 强调文字颜色 6 10 4 4" xfId="12297"/>
    <cellStyle name="20% - 强调文字颜色 6 10 4 5" xfId="14803"/>
    <cellStyle name="20% - 强调文字颜色 6 10 4 6" xfId="11557"/>
    <cellStyle name="20% - 强调文字颜色 6 10 4 7" xfId="18452"/>
    <cellStyle name="20% - 强调文字颜色 6 10 4 8" xfId="21770"/>
    <cellStyle name="20% - 强调文字颜色 6 10 4 9" xfId="21209"/>
    <cellStyle name="20% - 强调文字颜色 6 10 5" xfId="598"/>
    <cellStyle name="20% - 强调文字颜色 6 10 5 2" xfId="6148"/>
    <cellStyle name="20% - 强调文字颜色 6 10 5 3" xfId="12298"/>
    <cellStyle name="20% - 强调文字颜色 6 10 5 4" xfId="10420"/>
    <cellStyle name="20% - 强调文字颜色 6 10 5 5" xfId="18453"/>
    <cellStyle name="20% - 强调文字颜色 6 10 5 6" xfId="23277"/>
    <cellStyle name="20% - 强调文字颜色 6 10 5 7" xfId="20634"/>
    <cellStyle name="20% - 强调文字颜色 6 10 5 8" xfId="31526"/>
    <cellStyle name="20% - 强调文字颜色 6 10 5 9" xfId="31883"/>
    <cellStyle name="20% - 强调文字颜色 6 10 6" xfId="3116"/>
    <cellStyle name="20% - 强调文字颜色 6 10 7" xfId="6144"/>
    <cellStyle name="20% - 强调文字颜色 6 10 8" xfId="10977"/>
    <cellStyle name="20% - 强调文字颜色 6 10 9" xfId="12294"/>
    <cellStyle name="20% - 强调文字颜色 6 11" xfId="599"/>
    <cellStyle name="20% - 强调文字颜色 6 11 10" xfId="14804"/>
    <cellStyle name="20% - 强调文字颜色 6 11 11" xfId="11559"/>
    <cellStyle name="20% - 强调文字颜色 6 11 12" xfId="18454"/>
    <cellStyle name="20% - 强调文字颜色 6 11 13" xfId="22294"/>
    <cellStyle name="20% - 强调文字颜色 6 11 14" xfId="19982"/>
    <cellStyle name="20% - 强调文字颜色 6 11 15" xfId="30240"/>
    <cellStyle name="20% - 强调文字颜色 6 11 16" xfId="31812"/>
    <cellStyle name="20% - 强调文字颜色 6 11 2" xfId="600"/>
    <cellStyle name="20% - 强调文字颜色 6 11 2 10" xfId="30241"/>
    <cellStyle name="20% - 强调文字颜色 6 11 2 11" xfId="32779"/>
    <cellStyle name="20% - 强调文字颜色 6 11 2 2" xfId="3121"/>
    <cellStyle name="20% - 强调文字颜色 6 11 2 3" xfId="6150"/>
    <cellStyle name="20% - 强调文字颜色 6 11 2 4" xfId="12300"/>
    <cellStyle name="20% - 强调文字颜色 6 11 2 5" xfId="14805"/>
    <cellStyle name="20% - 强调文字颜色 6 11 2 6" xfId="10422"/>
    <cellStyle name="20% - 强调文字颜色 6 11 2 7" xfId="18455"/>
    <cellStyle name="20% - 强调文字颜色 6 11 2 8" xfId="21769"/>
    <cellStyle name="20% - 强调文字颜色 6 11 2 9" xfId="21207"/>
    <cellStyle name="20% - 强调文字颜色 6 11 3" xfId="601"/>
    <cellStyle name="20% - 强调文字颜色 6 11 3 10" xfId="30242"/>
    <cellStyle name="20% - 强调文字颜色 6 11 3 11" xfId="31928"/>
    <cellStyle name="20% - 强调文字颜色 6 11 3 2" xfId="3122"/>
    <cellStyle name="20% - 强调文字颜色 6 11 3 3" xfId="6151"/>
    <cellStyle name="20% - 强调文字颜色 6 11 3 4" xfId="12301"/>
    <cellStyle name="20% - 强调文字颜色 6 11 3 5" xfId="14806"/>
    <cellStyle name="20% - 强调文字颜色 6 11 3 6" xfId="11558"/>
    <cellStyle name="20% - 强调文字颜色 6 11 3 7" xfId="18456"/>
    <cellStyle name="20% - 强调文字颜色 6 11 3 8" xfId="23276"/>
    <cellStyle name="20% - 强调文字颜色 6 11 3 9" xfId="20633"/>
    <cellStyle name="20% - 强调文字颜色 6 11 4" xfId="602"/>
    <cellStyle name="20% - 强调文字颜色 6 11 4 10" xfId="30243"/>
    <cellStyle name="20% - 强调文字颜色 6 11 4 11" xfId="31263"/>
    <cellStyle name="20% - 强调文字颜色 6 11 4 2" xfId="3123"/>
    <cellStyle name="20% - 强调文字颜色 6 11 4 3" xfId="6152"/>
    <cellStyle name="20% - 强调文字颜色 6 11 4 4" xfId="12302"/>
    <cellStyle name="20% - 强调文字颜色 6 11 4 5" xfId="14807"/>
    <cellStyle name="20% - 强调文字颜色 6 11 4 6" xfId="10421"/>
    <cellStyle name="20% - 强调文字颜色 6 11 4 7" xfId="18457"/>
    <cellStyle name="20% - 强调文字颜色 6 11 4 8" xfId="22293"/>
    <cellStyle name="20% - 强调文字颜色 6 11 4 9" xfId="19980"/>
    <cellStyle name="20% - 强调文字颜色 6 11 5" xfId="603"/>
    <cellStyle name="20% - 强调文字颜色 6 11 5 2" xfId="6153"/>
    <cellStyle name="20% - 强调文字颜色 6 11 5 3" xfId="12303"/>
    <cellStyle name="20% - 强调文字颜色 6 11 5 4" xfId="11553"/>
    <cellStyle name="20% - 强调文字颜色 6 11 5 5" xfId="18458"/>
    <cellStyle name="20% - 强调文字颜色 6 11 5 6" xfId="21768"/>
    <cellStyle name="20% - 强调文字颜色 6 11 5 7" xfId="21206"/>
    <cellStyle name="20% - 强调文字颜色 6 11 5 8" xfId="31527"/>
    <cellStyle name="20% - 强调文字颜色 6 11 5 9" xfId="30846"/>
    <cellStyle name="20% - 强调文字颜色 6 11 6" xfId="3120"/>
    <cellStyle name="20% - 强调文字颜色 6 11 6 2" xfId="23630"/>
    <cellStyle name="20% - 强调文字颜色 6 11 6 3" xfId="26215"/>
    <cellStyle name="20% - 强调文字颜色 6 11 7" xfId="6149"/>
    <cellStyle name="20% - 强调文字颜色 6 11 7 2" xfId="23680"/>
    <cellStyle name="20% - 强调文字颜色 6 11 7 3" xfId="26265"/>
    <cellStyle name="20% - 强调文字颜色 6 11 8" xfId="10978"/>
    <cellStyle name="20% - 强调文字颜色 6 11 8 2" xfId="23764"/>
    <cellStyle name="20% - 强调文字颜色 6 11 8 3" xfId="26349"/>
    <cellStyle name="20% - 强调文字颜色 6 11 9" xfId="12299"/>
    <cellStyle name="20% - 强调文字颜色 6 12" xfId="604"/>
    <cellStyle name="20% - 强调文字颜色 6 12 10" xfId="14808"/>
    <cellStyle name="20% - 强调文字颜色 6 12 11" xfId="10416"/>
    <cellStyle name="20% - 强调文字颜色 6 12 12" xfId="18459"/>
    <cellStyle name="20% - 强调文字颜色 6 12 13" xfId="23275"/>
    <cellStyle name="20% - 强调文字颜色 6 12 14" xfId="20632"/>
    <cellStyle name="20% - 强调文字颜色 6 12 15" xfId="30244"/>
    <cellStyle name="20% - 强调文字颜色 6 12 16" xfId="32778"/>
    <cellStyle name="20% - 强调文字颜色 6 12 2" xfId="605"/>
    <cellStyle name="20% - 强调文字颜色 6 12 2 10" xfId="30245"/>
    <cellStyle name="20% - 强调文字颜色 6 12 2 11" xfId="31927"/>
    <cellStyle name="20% - 强调文字颜色 6 12 2 2" xfId="3125"/>
    <cellStyle name="20% - 强调文字颜色 6 12 2 3" xfId="6155"/>
    <cellStyle name="20% - 强调文字颜色 6 12 2 4" xfId="12305"/>
    <cellStyle name="20% - 强调文字颜色 6 12 2 5" xfId="14809"/>
    <cellStyle name="20% - 强调文字颜色 6 12 2 6" xfId="11555"/>
    <cellStyle name="20% - 强调文字颜色 6 12 2 7" xfId="18460"/>
    <cellStyle name="20% - 强调文字颜色 6 12 2 8" xfId="22292"/>
    <cellStyle name="20% - 强调文字颜色 6 12 2 9" xfId="19979"/>
    <cellStyle name="20% - 强调文字颜色 6 12 3" xfId="606"/>
    <cellStyle name="20% - 强调文字颜色 6 12 3 10" xfId="30246"/>
    <cellStyle name="20% - 强调文字颜色 6 12 3 11" xfId="31262"/>
    <cellStyle name="20% - 强调文字颜色 6 12 3 2" xfId="3126"/>
    <cellStyle name="20% - 强调文字颜色 6 12 3 3" xfId="6156"/>
    <cellStyle name="20% - 强调文字颜色 6 12 3 4" xfId="12306"/>
    <cellStyle name="20% - 强调文字颜色 6 12 3 5" xfId="14810"/>
    <cellStyle name="20% - 强调文字颜色 6 12 3 6" xfId="10418"/>
    <cellStyle name="20% - 强调文字颜色 6 12 3 7" xfId="18461"/>
    <cellStyle name="20% - 强调文字颜色 6 12 3 8" xfId="21767"/>
    <cellStyle name="20% - 强调文字颜色 6 12 3 9" xfId="21205"/>
    <cellStyle name="20% - 强调文字颜色 6 12 4" xfId="607"/>
    <cellStyle name="20% - 强调文字颜色 6 12 4 10" xfId="30247"/>
    <cellStyle name="20% - 强调文字颜色 6 12 4 11" xfId="33405"/>
    <cellStyle name="20% - 强调文字颜色 6 12 4 2" xfId="3127"/>
    <cellStyle name="20% - 强调文字颜色 6 12 4 3" xfId="6157"/>
    <cellStyle name="20% - 强调文字颜色 6 12 4 4" xfId="12307"/>
    <cellStyle name="20% - 强调文字颜色 6 12 4 5" xfId="14811"/>
    <cellStyle name="20% - 强调文字颜色 6 12 4 6" xfId="11554"/>
    <cellStyle name="20% - 强调文字颜色 6 12 4 7" xfId="18462"/>
    <cellStyle name="20% - 强调文字颜色 6 12 4 8" xfId="23274"/>
    <cellStyle name="20% - 强调文字颜色 6 12 4 9" xfId="20631"/>
    <cellStyle name="20% - 强调文字颜色 6 12 5" xfId="608"/>
    <cellStyle name="20% - 强调文字颜色 6 12 5 2" xfId="6158"/>
    <cellStyle name="20% - 强调文字颜色 6 12 5 3" xfId="12308"/>
    <cellStyle name="20% - 强调文字颜色 6 12 5 4" xfId="10417"/>
    <cellStyle name="20% - 强调文字颜色 6 12 5 5" xfId="18463"/>
    <cellStyle name="20% - 强调文字颜色 6 12 5 6" xfId="22291"/>
    <cellStyle name="20% - 强调文字颜色 6 12 5 7" xfId="19978"/>
    <cellStyle name="20% - 强调文字颜色 6 12 5 8" xfId="31528"/>
    <cellStyle name="20% - 强调文字颜色 6 12 5 9" xfId="33229"/>
    <cellStyle name="20% - 强调文字颜色 6 12 6" xfId="3124"/>
    <cellStyle name="20% - 强调文字颜色 6 12 6 2" xfId="23631"/>
    <cellStyle name="20% - 强调文字颜色 6 12 6 3" xfId="26216"/>
    <cellStyle name="20% - 强调文字颜色 6 12 7" xfId="6154"/>
    <cellStyle name="20% - 强调文字颜色 6 12 7 2" xfId="23681"/>
    <cellStyle name="20% - 强调文字颜色 6 12 7 3" xfId="26266"/>
    <cellStyle name="20% - 强调文字颜色 6 12 8" xfId="10979"/>
    <cellStyle name="20% - 强调文字颜色 6 12 8 2" xfId="23765"/>
    <cellStyle name="20% - 强调文字颜色 6 12 8 3" xfId="26350"/>
    <cellStyle name="20% - 强调文字颜色 6 12 9" xfId="12304"/>
    <cellStyle name="20% - 强调文字颜色 6 13" xfId="609"/>
    <cellStyle name="20% - 强调文字颜色 6 13 10" xfId="11550"/>
    <cellStyle name="20% - 强调文字颜色 6 13 11" xfId="18464"/>
    <cellStyle name="20% - 强调文字颜色 6 13 12" xfId="21766"/>
    <cellStyle name="20% - 强调文字颜色 6 13 13" xfId="21204"/>
    <cellStyle name="20% - 强调文字颜色 6 13 14" xfId="30248"/>
    <cellStyle name="20% - 强调文字颜色 6 13 15" xfId="33167"/>
    <cellStyle name="20% - 强调文字颜色 6 13 2" xfId="610"/>
    <cellStyle name="20% - 强调文字颜色 6 13 2 10" xfId="30249"/>
    <cellStyle name="20% - 强调文字颜色 6 13 2 11" xfId="32777"/>
    <cellStyle name="20% - 强调文字颜色 6 13 2 2" xfId="3129"/>
    <cellStyle name="20% - 强调文字颜色 6 13 2 3" xfId="6160"/>
    <cellStyle name="20% - 强调文字颜色 6 13 2 4" xfId="12310"/>
    <cellStyle name="20% - 强调文字颜色 6 13 2 5" xfId="14813"/>
    <cellStyle name="20% - 强调文字颜色 6 13 2 6" xfId="10413"/>
    <cellStyle name="20% - 强调文字颜色 6 13 2 7" xfId="18465"/>
    <cellStyle name="20% - 强调文字颜色 6 13 2 8" xfId="23273"/>
    <cellStyle name="20% - 强调文字颜色 6 13 2 9" xfId="20630"/>
    <cellStyle name="20% - 强调文字颜色 6 13 3" xfId="611"/>
    <cellStyle name="20% - 强调文字颜色 6 13 3 10" xfId="30250"/>
    <cellStyle name="20% - 强调文字颜色 6 13 3 11" xfId="32505"/>
    <cellStyle name="20% - 强调文字颜色 6 13 3 2" xfId="3130"/>
    <cellStyle name="20% - 强调文字颜色 6 13 3 3" xfId="6161"/>
    <cellStyle name="20% - 强调文字颜色 6 13 3 4" xfId="12311"/>
    <cellStyle name="20% - 强调文字颜色 6 13 3 5" xfId="14814"/>
    <cellStyle name="20% - 强调文字颜色 6 13 3 6" xfId="11552"/>
    <cellStyle name="20% - 强调文字颜色 6 13 3 7" xfId="18466"/>
    <cellStyle name="20% - 强调文字颜色 6 13 3 8" xfId="22290"/>
    <cellStyle name="20% - 强调文字颜色 6 13 3 9" xfId="19977"/>
    <cellStyle name="20% - 强调文字颜色 6 13 4" xfId="612"/>
    <cellStyle name="20% - 强调文字颜色 6 13 4 10" xfId="30251"/>
    <cellStyle name="20% - 强调文字颜色 6 13 4 11" xfId="32274"/>
    <cellStyle name="20% - 强调文字颜色 6 13 4 2" xfId="3131"/>
    <cellStyle name="20% - 强调文字颜色 6 13 4 3" xfId="6162"/>
    <cellStyle name="20% - 强调文字颜色 6 13 4 4" xfId="12312"/>
    <cellStyle name="20% - 强调文字颜色 6 13 4 5" xfId="14815"/>
    <cellStyle name="20% - 强调文字颜色 6 13 4 6" xfId="10415"/>
    <cellStyle name="20% - 强调文字颜色 6 13 4 7" xfId="18467"/>
    <cellStyle name="20% - 强调文字颜色 6 13 4 8" xfId="21765"/>
    <cellStyle name="20% - 强调文字颜色 6 13 4 9" xfId="21203"/>
    <cellStyle name="20% - 强调文字颜色 6 13 5" xfId="613"/>
    <cellStyle name="20% - 强调文字颜色 6 13 5 2" xfId="6163"/>
    <cellStyle name="20% - 强调文字颜色 6 13 5 3" xfId="12313"/>
    <cellStyle name="20% - 强调文字颜色 6 13 5 4" xfId="11551"/>
    <cellStyle name="20% - 强调文字颜色 6 13 5 5" xfId="18468"/>
    <cellStyle name="20% - 强调文字颜色 6 13 5 6" xfId="23272"/>
    <cellStyle name="20% - 强调文字颜色 6 13 5 7" xfId="20629"/>
    <cellStyle name="20% - 强调文字颜色 6 13 5 8" xfId="31529"/>
    <cellStyle name="20% - 强调文字颜色 6 13 5 9" xfId="32104"/>
    <cellStyle name="20% - 强调文字颜色 6 13 6" xfId="3128"/>
    <cellStyle name="20% - 强调文字颜色 6 13 6 2" xfId="23682"/>
    <cellStyle name="20% - 强调文字颜色 6 13 6 3" xfId="26267"/>
    <cellStyle name="20% - 强调文字颜色 6 13 7" xfId="6159"/>
    <cellStyle name="20% - 强调文字颜色 6 13 7 2" xfId="23766"/>
    <cellStyle name="20% - 强调文字颜色 6 13 7 3" xfId="26351"/>
    <cellStyle name="20% - 强调文字颜色 6 13 8" xfId="12309"/>
    <cellStyle name="20% - 强调文字颜色 6 13 8 2" xfId="23858"/>
    <cellStyle name="20% - 强调文字颜色 6 13 8 3" xfId="26443"/>
    <cellStyle name="20% - 强调文字颜色 6 13 9" xfId="14812"/>
    <cellStyle name="20% - 强调文字颜色 6 14" xfId="614"/>
    <cellStyle name="20% - 强调文字颜色 6 14 10" xfId="10414"/>
    <cellStyle name="20% - 强调文字颜色 6 14 11" xfId="18469"/>
    <cellStyle name="20% - 强调文字颜色 6 14 12" xfId="22289"/>
    <cellStyle name="20% - 强调文字颜色 6 14 13" xfId="19976"/>
    <cellStyle name="20% - 强调文字颜色 6 14 14" xfId="30252"/>
    <cellStyle name="20% - 强调文字颜色 6 14 15" xfId="31813"/>
    <cellStyle name="20% - 强调文字颜色 6 14 2" xfId="615"/>
    <cellStyle name="20% - 强调文字颜色 6 14 2 10" xfId="30253"/>
    <cellStyle name="20% - 强调文字颜色 6 14 2 11" xfId="32776"/>
    <cellStyle name="20% - 强调文字颜色 6 14 2 2" xfId="3133"/>
    <cellStyle name="20% - 强调文字颜色 6 14 2 3" xfId="6165"/>
    <cellStyle name="20% - 强调文字颜色 6 14 2 4" xfId="12315"/>
    <cellStyle name="20% - 强调文字颜色 6 14 2 5" xfId="14817"/>
    <cellStyle name="20% - 强调文字颜色 6 14 2 6" xfId="11547"/>
    <cellStyle name="20% - 强调文字颜色 6 14 2 7" xfId="18470"/>
    <cellStyle name="20% - 强调文字颜色 6 14 2 8" xfId="21764"/>
    <cellStyle name="20% - 强调文字颜色 6 14 2 9" xfId="21202"/>
    <cellStyle name="20% - 强调文字颜色 6 14 3" xfId="616"/>
    <cellStyle name="20% - 强调文字颜色 6 14 3 10" xfId="30254"/>
    <cellStyle name="20% - 强调文字颜色 6 14 3 11" xfId="31926"/>
    <cellStyle name="20% - 强调文字颜色 6 14 3 2" xfId="3134"/>
    <cellStyle name="20% - 强调文字颜色 6 14 3 3" xfId="6166"/>
    <cellStyle name="20% - 强调文字颜色 6 14 3 4" xfId="12316"/>
    <cellStyle name="20% - 强调文字颜色 6 14 3 5" xfId="14818"/>
    <cellStyle name="20% - 强调文字颜色 6 14 3 6" xfId="10410"/>
    <cellStyle name="20% - 强调文字颜色 6 14 3 7" xfId="18471"/>
    <cellStyle name="20% - 强调文字颜色 6 14 3 8" xfId="23271"/>
    <cellStyle name="20% - 强调文字颜色 6 14 3 9" xfId="20628"/>
    <cellStyle name="20% - 强调文字颜色 6 14 4" xfId="617"/>
    <cellStyle name="20% - 强调文字颜色 6 14 4 10" xfId="30255"/>
    <cellStyle name="20% - 强调文字颜色 6 14 4 11" xfId="31260"/>
    <cellStyle name="20% - 强调文字颜色 6 14 4 2" xfId="3135"/>
    <cellStyle name="20% - 强调文字颜色 6 14 4 3" xfId="6167"/>
    <cellStyle name="20% - 强调文字颜色 6 14 4 4" xfId="12317"/>
    <cellStyle name="20% - 强调文字颜色 6 14 4 5" xfId="14819"/>
    <cellStyle name="20% - 强调文字颜色 6 14 4 6" xfId="11549"/>
    <cellStyle name="20% - 强调文字颜色 6 14 4 7" xfId="18472"/>
    <cellStyle name="20% - 强调文字颜色 6 14 4 8" xfId="22288"/>
    <cellStyle name="20% - 强调文字颜色 6 14 4 9" xfId="19975"/>
    <cellStyle name="20% - 强调文字颜色 6 14 5" xfId="618"/>
    <cellStyle name="20% - 强调文字颜色 6 14 5 2" xfId="6168"/>
    <cellStyle name="20% - 强调文字颜色 6 14 5 3" xfId="12318"/>
    <cellStyle name="20% - 强调文字颜色 6 14 5 4" xfId="10412"/>
    <cellStyle name="20% - 强调文字颜色 6 14 5 5" xfId="18473"/>
    <cellStyle name="20% - 强调文字颜色 6 14 5 6" xfId="21763"/>
    <cellStyle name="20% - 强调文字颜色 6 14 5 7" xfId="21201"/>
    <cellStyle name="20% - 强调文字颜色 6 14 5 8" xfId="31530"/>
    <cellStyle name="20% - 强调文字颜色 6 14 5 9" xfId="32576"/>
    <cellStyle name="20% - 强调文字颜色 6 14 6" xfId="3132"/>
    <cellStyle name="20% - 强调文字颜色 6 14 6 2" xfId="23683"/>
    <cellStyle name="20% - 强调文字颜色 6 14 6 3" xfId="26268"/>
    <cellStyle name="20% - 强调文字颜色 6 14 7" xfId="6164"/>
    <cellStyle name="20% - 强调文字颜色 6 14 7 2" xfId="23767"/>
    <cellStyle name="20% - 强调文字颜色 6 14 7 3" xfId="26352"/>
    <cellStyle name="20% - 强调文字颜色 6 14 8" xfId="12314"/>
    <cellStyle name="20% - 强调文字颜色 6 14 8 2" xfId="23859"/>
    <cellStyle name="20% - 强调文字颜色 6 14 8 3" xfId="26444"/>
    <cellStyle name="20% - 强调文字颜色 6 14 9" xfId="14816"/>
    <cellStyle name="20% - 强调文字颜色 6 15" xfId="619"/>
    <cellStyle name="20% - 强调文字颜色 6 15 10" xfId="18474"/>
    <cellStyle name="20% - 强调文字颜色 6 15 11" xfId="23270"/>
    <cellStyle name="20% - 强调文字颜色 6 15 12" xfId="20627"/>
    <cellStyle name="20% - 强调文字颜色 6 15 13" xfId="30256"/>
    <cellStyle name="20% - 强调文字颜色 6 15 14" xfId="32775"/>
    <cellStyle name="20% - 强调文字颜色 6 15 2" xfId="620"/>
    <cellStyle name="20% - 强调文字颜色 6 15 2 10" xfId="30257"/>
    <cellStyle name="20% - 强调文字颜色 6 15 2 11" xfId="31925"/>
    <cellStyle name="20% - 强调文字颜色 6 15 2 2" xfId="3137"/>
    <cellStyle name="20% - 强调文字颜色 6 15 2 3" xfId="6170"/>
    <cellStyle name="20% - 强调文字颜色 6 15 2 4" xfId="12320"/>
    <cellStyle name="20% - 强调文字颜色 6 15 2 5" xfId="14821"/>
    <cellStyle name="20% - 强调文字颜色 6 15 2 6" xfId="10411"/>
    <cellStyle name="20% - 强调文字颜色 6 15 2 7" xfId="18475"/>
    <cellStyle name="20% - 强调文字颜色 6 15 2 8" xfId="22287"/>
    <cellStyle name="20% - 强调文字颜色 6 15 2 9" xfId="19974"/>
    <cellStyle name="20% - 强调文字颜色 6 15 3" xfId="621"/>
    <cellStyle name="20% - 强调文字颜色 6 15 3 10" xfId="30258"/>
    <cellStyle name="20% - 强调文字颜色 6 15 3 11" xfId="31259"/>
    <cellStyle name="20% - 强调文字颜色 6 15 3 2" xfId="3138"/>
    <cellStyle name="20% - 强调文字颜色 6 15 3 3" xfId="6171"/>
    <cellStyle name="20% - 强调文字颜色 6 15 3 4" xfId="12321"/>
    <cellStyle name="20% - 强调文字颜色 6 15 3 5" xfId="14822"/>
    <cellStyle name="20% - 强调文字颜色 6 15 3 6" xfId="11543"/>
    <cellStyle name="20% - 强调文字颜色 6 15 3 7" xfId="18476"/>
    <cellStyle name="20% - 强调文字颜色 6 15 3 8" xfId="21762"/>
    <cellStyle name="20% - 强调文字颜色 6 15 3 9" xfId="21489"/>
    <cellStyle name="20% - 强调文字颜色 6 15 4" xfId="622"/>
    <cellStyle name="20% - 强调文字颜色 6 15 4 2" xfId="6172"/>
    <cellStyle name="20% - 强调文字颜色 6 15 4 3" xfId="12322"/>
    <cellStyle name="20% - 强调文字颜色 6 15 4 4" xfId="10406"/>
    <cellStyle name="20% - 强调文字颜色 6 15 4 5" xfId="18477"/>
    <cellStyle name="20% - 强调文字颜色 6 15 4 6" xfId="23269"/>
    <cellStyle name="20% - 强调文字颜色 6 15 4 7" xfId="20300"/>
    <cellStyle name="20% - 强调文字颜色 6 15 4 8" xfId="31531"/>
    <cellStyle name="20% - 强调文字颜色 6 15 4 9" xfId="33228"/>
    <cellStyle name="20% - 强调文字颜色 6 15 5" xfId="3136"/>
    <cellStyle name="20% - 强调文字颜色 6 15 6" xfId="6169"/>
    <cellStyle name="20% - 强调文字颜色 6 15 7" xfId="12319"/>
    <cellStyle name="20% - 强调文字颜色 6 15 8" xfId="14820"/>
    <cellStyle name="20% - 强调文字颜色 6 15 9" xfId="11548"/>
    <cellStyle name="20% - 强调文字颜色 6 16" xfId="623"/>
    <cellStyle name="20% - 强调文字颜色 6 16 10" xfId="18478"/>
    <cellStyle name="20% - 强调文字颜色 6 16 11" xfId="22286"/>
    <cellStyle name="20% - 强调文字颜色 6 16 12" xfId="21185"/>
    <cellStyle name="20% - 强调文字颜色 6 16 13" xfId="30259"/>
    <cellStyle name="20% - 强调文字颜色 6 16 14" xfId="32774"/>
    <cellStyle name="20% - 强调文字颜色 6 16 2" xfId="624"/>
    <cellStyle name="20% - 强调文字颜色 6 16 2 10" xfId="30260"/>
    <cellStyle name="20% - 强调文字颜色 6 16 2 11" xfId="31924"/>
    <cellStyle name="20% - 强调文字颜色 6 16 2 2" xfId="3140"/>
    <cellStyle name="20% - 强调文字颜色 6 16 2 3" xfId="6174"/>
    <cellStyle name="20% - 强调文字颜色 6 16 2 4" xfId="12324"/>
    <cellStyle name="20% - 强调文字颜色 6 16 2 5" xfId="14824"/>
    <cellStyle name="20% - 强调文字颜色 6 16 2 6" xfId="10408"/>
    <cellStyle name="20% - 强调文字颜色 6 16 2 7" xfId="18479"/>
    <cellStyle name="20% - 强调文字颜色 6 16 2 8" xfId="21761"/>
    <cellStyle name="20% - 强调文字颜色 6 16 2 9" xfId="20838"/>
    <cellStyle name="20% - 强调文字颜色 6 16 3" xfId="625"/>
    <cellStyle name="20% - 强调文字颜色 6 16 3 10" xfId="30261"/>
    <cellStyle name="20% - 强调文字颜色 6 16 3 11" xfId="31258"/>
    <cellStyle name="20% - 强调文字颜色 6 16 3 2" xfId="3141"/>
    <cellStyle name="20% - 强调文字颜色 6 16 3 3" xfId="6175"/>
    <cellStyle name="20% - 强调文字颜色 6 16 3 4" xfId="12325"/>
    <cellStyle name="20% - 强调文字颜色 6 16 3 5" xfId="14825"/>
    <cellStyle name="20% - 强调文字颜色 6 16 3 6" xfId="11544"/>
    <cellStyle name="20% - 强调文字颜色 6 16 3 7" xfId="18480"/>
    <cellStyle name="20% - 强调文字颜色 6 16 3 8" xfId="23268"/>
    <cellStyle name="20% - 强调文字颜色 6 16 3 9" xfId="20753"/>
    <cellStyle name="20% - 强调文字颜色 6 16 4" xfId="626"/>
    <cellStyle name="20% - 强调文字颜色 6 16 4 2" xfId="6176"/>
    <cellStyle name="20% - 强调文字颜色 6 16 4 3" xfId="12326"/>
    <cellStyle name="20% - 强调文字颜色 6 16 4 4" xfId="10407"/>
    <cellStyle name="20% - 强调文字颜色 6 16 4 5" xfId="18481"/>
    <cellStyle name="20% - 强调文字颜色 6 16 4 6" xfId="22285"/>
    <cellStyle name="20% - 强调文字颜色 6 16 4 7" xfId="20197"/>
    <cellStyle name="20% - 强调文字颜色 6 16 4 8" xfId="31532"/>
    <cellStyle name="20% - 强调文字颜色 6 16 4 9" xfId="32331"/>
    <cellStyle name="20% - 强调文字颜色 6 16 5" xfId="3139"/>
    <cellStyle name="20% - 强调文字颜色 6 16 6" xfId="6173"/>
    <cellStyle name="20% - 强调文字颜色 6 16 7" xfId="12323"/>
    <cellStyle name="20% - 强调文字颜色 6 16 8" xfId="14823"/>
    <cellStyle name="20% - 强调文字颜色 6 16 9" xfId="11545"/>
    <cellStyle name="20% - 强调文字颜色 6 17" xfId="627"/>
    <cellStyle name="20% - 强调文字颜色 6 17 10" xfId="21760"/>
    <cellStyle name="20% - 强调文字颜色 6 17 11" xfId="21200"/>
    <cellStyle name="20% - 强调文字颜色 6 17 12" xfId="30262"/>
    <cellStyle name="20% - 强调文字颜色 6 17 13" xfId="32773"/>
    <cellStyle name="20% - 强调文字颜色 6 17 2" xfId="628"/>
    <cellStyle name="20% - 强调文字颜色 6 17 2 2" xfId="6178"/>
    <cellStyle name="20% - 强调文字颜色 6 17 2 3" xfId="12328"/>
    <cellStyle name="20% - 强调文字颜色 6 17 2 4" xfId="10403"/>
    <cellStyle name="20% - 强调文字颜色 6 17 2 5" xfId="18483"/>
    <cellStyle name="20% - 强调文字颜色 6 17 2 6" xfId="23266"/>
    <cellStyle name="20% - 强调文字颜色 6 17 2 7" xfId="20626"/>
    <cellStyle name="20% - 强调文字颜色 6 17 2 8" xfId="31533"/>
    <cellStyle name="20% - 强调文字颜色 6 17 2 9" xfId="33227"/>
    <cellStyle name="20% - 强调文字颜色 6 17 3" xfId="629"/>
    <cellStyle name="20% - 强调文字颜色 6 17 3 2" xfId="6179"/>
    <cellStyle name="20% - 强调文字颜色 6 17 3 3" xfId="12329"/>
    <cellStyle name="20% - 强调文字颜色 6 17 3 4" xfId="11542"/>
    <cellStyle name="20% - 强调文字颜色 6 17 3 5" xfId="18484"/>
    <cellStyle name="20% - 强调文字颜色 6 17 3 6" xfId="22850"/>
    <cellStyle name="20% - 强调文字颜色 6 17 3 7" xfId="19973"/>
    <cellStyle name="20% - 强调文字颜色 6 17 3 8" xfId="31534"/>
    <cellStyle name="20% - 强调文字颜色 6 17 3 9" xfId="32966"/>
    <cellStyle name="20% - 强调文字颜色 6 17 4" xfId="3142"/>
    <cellStyle name="20% - 强调文字颜色 6 17 5" xfId="6177"/>
    <cellStyle name="20% - 强调文字颜色 6 17 6" xfId="12327"/>
    <cellStyle name="20% - 强调文字颜色 6 17 7" xfId="14826"/>
    <cellStyle name="20% - 强调文字颜色 6 17 8" xfId="11540"/>
    <cellStyle name="20% - 强调文字颜色 6 17 9" xfId="18482"/>
    <cellStyle name="20% - 强调文字颜色 6 18" xfId="630"/>
    <cellStyle name="20% - 强调文字颜色 6 18 10" xfId="30263"/>
    <cellStyle name="20% - 强调文字颜色 6 18 11" xfId="31923"/>
    <cellStyle name="20% - 强调文字颜色 6 18 2" xfId="631"/>
    <cellStyle name="20% - 强调文字颜色 6 18 2 2" xfId="8845"/>
    <cellStyle name="20% - 强调文字颜色 6 18 2 3" xfId="8051"/>
    <cellStyle name="20% - 强调文字颜色 6 18 2 4" xfId="18486"/>
    <cellStyle name="20% - 强调文字颜色 6 18 2 5" xfId="22693"/>
    <cellStyle name="20% - 强调文字颜色 6 18 2 6" xfId="20625"/>
    <cellStyle name="20% - 强调文字颜色 6 18 2 7" xfId="31535"/>
    <cellStyle name="20% - 强调文字颜色 6 18 2 8" xfId="32575"/>
    <cellStyle name="20% - 强调文字颜色 6 18 3" xfId="3143"/>
    <cellStyle name="20% - 强调文字颜色 6 18 4" xfId="6180"/>
    <cellStyle name="20% - 强调文字颜色 6 18 5" xfId="14827"/>
    <cellStyle name="20% - 强调文字颜色 6 18 6" xfId="10405"/>
    <cellStyle name="20% - 强调文字颜色 6 18 7" xfId="18485"/>
    <cellStyle name="20% - 强调文字颜色 6 18 8" xfId="22632"/>
    <cellStyle name="20% - 强调文字颜色 6 18 9" xfId="21199"/>
    <cellStyle name="20% - 强调文字颜色 6 19" xfId="632"/>
    <cellStyle name="20% - 强调文字颜色 6 19 10" xfId="3145"/>
    <cellStyle name="20% - 强调文字颜色 6 19 10 2" xfId="8846"/>
    <cellStyle name="20% - 强调文字颜色 6 19 10 3" xfId="14829"/>
    <cellStyle name="20% - 强调文字颜色 6 19 10 4" xfId="24705"/>
    <cellStyle name="20% - 强调文字颜色 6 19 10 5" xfId="27938"/>
    <cellStyle name="20% - 强调文字颜色 6 19 11" xfId="3146"/>
    <cellStyle name="20% - 强调文字颜色 6 19 11 2" xfId="8847"/>
    <cellStyle name="20% - 强调文字颜色 6 19 11 3" xfId="14830"/>
    <cellStyle name="20% - 强调文字颜色 6 19 11 4" xfId="24706"/>
    <cellStyle name="20% - 强调文字颜色 6 19 11 5" xfId="27939"/>
    <cellStyle name="20% - 强调文字颜色 6 19 12" xfId="3147"/>
    <cellStyle name="20% - 强调文字颜色 6 19 12 2" xfId="8848"/>
    <cellStyle name="20% - 强调文字颜色 6 19 12 3" xfId="14831"/>
    <cellStyle name="20% - 强调文字颜色 6 19 12 4" xfId="24707"/>
    <cellStyle name="20% - 强调文字颜色 6 19 12 5" xfId="27940"/>
    <cellStyle name="20% - 强调文字颜色 6 19 13" xfId="3148"/>
    <cellStyle name="20% - 强调文字颜色 6 19 13 2" xfId="8849"/>
    <cellStyle name="20% - 强调文字颜色 6 19 13 3" xfId="14832"/>
    <cellStyle name="20% - 强调文字颜色 6 19 13 4" xfId="24708"/>
    <cellStyle name="20% - 强调文字颜色 6 19 13 5" xfId="27941"/>
    <cellStyle name="20% - 强调文字颜色 6 19 14" xfId="3149"/>
    <cellStyle name="20% - 强调文字颜色 6 19 14 2" xfId="8850"/>
    <cellStyle name="20% - 强调文字颜色 6 19 14 3" xfId="14833"/>
    <cellStyle name="20% - 强调文字颜色 6 19 14 4" xfId="24709"/>
    <cellStyle name="20% - 强调文字颜色 6 19 14 5" xfId="27942"/>
    <cellStyle name="20% - 强调文字颜色 6 19 15" xfId="3150"/>
    <cellStyle name="20% - 强调文字颜色 6 19 15 2" xfId="8851"/>
    <cellStyle name="20% - 强调文字颜色 6 19 15 3" xfId="14834"/>
    <cellStyle name="20% - 强调文字颜色 6 19 15 4" xfId="24710"/>
    <cellStyle name="20% - 强调文字颜色 6 19 15 5" xfId="27943"/>
    <cellStyle name="20% - 强调文字颜色 6 19 16" xfId="3151"/>
    <cellStyle name="20% - 强调文字颜色 6 19 16 2" xfId="8852"/>
    <cellStyle name="20% - 强调文字颜色 6 19 16 3" xfId="14835"/>
    <cellStyle name="20% - 强调文字颜色 6 19 16 4" xfId="24711"/>
    <cellStyle name="20% - 强调文字颜色 6 19 16 5" xfId="27944"/>
    <cellStyle name="20% - 强调文字颜色 6 19 17" xfId="3152"/>
    <cellStyle name="20% - 强调文字颜色 6 19 17 2" xfId="8853"/>
    <cellStyle name="20% - 强调文字颜色 6 19 17 3" xfId="14836"/>
    <cellStyle name="20% - 强调文字颜色 6 19 17 4" xfId="24712"/>
    <cellStyle name="20% - 强调文字颜色 6 19 17 5" xfId="27945"/>
    <cellStyle name="20% - 强调文字颜色 6 19 18" xfId="3153"/>
    <cellStyle name="20% - 强调文字颜色 6 19 18 2" xfId="8854"/>
    <cellStyle name="20% - 强调文字颜色 6 19 18 3" xfId="14837"/>
    <cellStyle name="20% - 强调文字颜色 6 19 18 4" xfId="24713"/>
    <cellStyle name="20% - 强调文字颜色 6 19 18 5" xfId="27946"/>
    <cellStyle name="20% - 强调文字颜色 6 19 19" xfId="3154"/>
    <cellStyle name="20% - 强调文字颜色 6 19 19 2" xfId="8855"/>
    <cellStyle name="20% - 强调文字颜色 6 19 19 3" xfId="14838"/>
    <cellStyle name="20% - 强调文字颜色 6 19 19 4" xfId="24714"/>
    <cellStyle name="20% - 强调文字颜色 6 19 19 5" xfId="27947"/>
    <cellStyle name="20% - 强调文字颜色 6 19 2" xfId="633"/>
    <cellStyle name="20% - 强调文字颜色 6 19 2 10" xfId="30265"/>
    <cellStyle name="20% - 强调文字颜色 6 19 2 11" xfId="31922"/>
    <cellStyle name="20% - 强调文字颜色 6 19 2 2" xfId="3155"/>
    <cellStyle name="20% - 强调文字颜色 6 19 2 3" xfId="6182"/>
    <cellStyle name="20% - 强调文字颜色 6 19 2 4" xfId="12331"/>
    <cellStyle name="20% - 强调文字颜色 6 19 2 5" xfId="14839"/>
    <cellStyle name="20% - 强调文字颜色 6 19 2 6" xfId="10404"/>
    <cellStyle name="20% - 强调文字颜色 6 19 2 7" xfId="18488"/>
    <cellStyle name="20% - 强调文字颜色 6 19 2 8" xfId="23231"/>
    <cellStyle name="20% - 强调文字颜色 6 19 2 9" xfId="21198"/>
    <cellStyle name="20% - 强调文字颜色 6 19 20" xfId="3156"/>
    <cellStyle name="20% - 强调文字颜色 6 19 20 2" xfId="8856"/>
    <cellStyle name="20% - 强调文字颜色 6 19 20 3" xfId="14840"/>
    <cellStyle name="20% - 强调文字颜色 6 19 20 4" xfId="24715"/>
    <cellStyle name="20% - 强调文字颜色 6 19 20 5" xfId="27948"/>
    <cellStyle name="20% - 强调文字颜色 6 19 21" xfId="3157"/>
    <cellStyle name="20% - 强调文字颜色 6 19 21 2" xfId="8857"/>
    <cellStyle name="20% - 强调文字颜色 6 19 21 3" xfId="14841"/>
    <cellStyle name="20% - 强调文字颜色 6 19 21 4" xfId="24716"/>
    <cellStyle name="20% - 强调文字颜色 6 19 21 5" xfId="27949"/>
    <cellStyle name="20% - 强调文字颜色 6 19 22" xfId="3158"/>
    <cellStyle name="20% - 强调文字颜色 6 19 22 2" xfId="8858"/>
    <cellStyle name="20% - 强调文字颜色 6 19 22 3" xfId="14842"/>
    <cellStyle name="20% - 强调文字颜色 6 19 22 4" xfId="24717"/>
    <cellStyle name="20% - 强调文字颜色 6 19 22 5" xfId="27950"/>
    <cellStyle name="20% - 强调文字颜色 6 19 23" xfId="3159"/>
    <cellStyle name="20% - 强调文字颜色 6 19 23 2" xfId="8859"/>
    <cellStyle name="20% - 强调文字颜色 6 19 23 3" xfId="14843"/>
    <cellStyle name="20% - 强调文字颜色 6 19 23 4" xfId="24718"/>
    <cellStyle name="20% - 强调文字颜色 6 19 23 5" xfId="27951"/>
    <cellStyle name="20% - 强调文字颜色 6 19 24" xfId="6181"/>
    <cellStyle name="20% - 强调文字颜色 6 19 25" xfId="10980"/>
    <cellStyle name="20% - 强调文字颜色 6 19 26" xfId="12330"/>
    <cellStyle name="20% - 强调文字颜色 6 19 27" xfId="14828"/>
    <cellStyle name="20% - 强调文字颜色 6 19 28" xfId="11541"/>
    <cellStyle name="20% - 强调文字颜色 6 19 29" xfId="18487"/>
    <cellStyle name="20% - 强调文字颜色 6 19 3" xfId="3144"/>
    <cellStyle name="20% - 强调文字颜色 6 19 3 2" xfId="8860"/>
    <cellStyle name="20% - 强调文字颜色 6 19 3 3" xfId="14844"/>
    <cellStyle name="20% - 强调文字颜色 6 19 3 4" xfId="24719"/>
    <cellStyle name="20% - 强调文字颜色 6 19 3 5" xfId="27937"/>
    <cellStyle name="20% - 强调文字颜色 6 19 30" xfId="22283"/>
    <cellStyle name="20% - 强调文字颜色 6 19 31" xfId="19972"/>
    <cellStyle name="20% - 强调文字颜色 6 19 32" xfId="30264"/>
    <cellStyle name="20% - 强调文字颜色 6 19 33" xfId="31257"/>
    <cellStyle name="20% - 强调文字颜色 6 19 4" xfId="3161"/>
    <cellStyle name="20% - 强调文字颜色 6 19 4 2" xfId="8861"/>
    <cellStyle name="20% - 强调文字颜色 6 19 4 3" xfId="14845"/>
    <cellStyle name="20% - 强调文字颜色 6 19 4 4" xfId="24720"/>
    <cellStyle name="20% - 强调文字颜色 6 19 4 5" xfId="27952"/>
    <cellStyle name="20% - 强调文字颜色 6 19 5" xfId="3162"/>
    <cellStyle name="20% - 强调文字颜色 6 19 5 2" xfId="8862"/>
    <cellStyle name="20% - 强调文字颜色 6 19 5 3" xfId="14846"/>
    <cellStyle name="20% - 强调文字颜色 6 19 5 4" xfId="24721"/>
    <cellStyle name="20% - 强调文字颜色 6 19 5 5" xfId="27953"/>
    <cellStyle name="20% - 强调文字颜色 6 19 6" xfId="3163"/>
    <cellStyle name="20% - 强调文字颜色 6 19 6 2" xfId="8863"/>
    <cellStyle name="20% - 强调文字颜色 6 19 6 3" xfId="14847"/>
    <cellStyle name="20% - 强调文字颜色 6 19 6 4" xfId="24722"/>
    <cellStyle name="20% - 强调文字颜色 6 19 6 5" xfId="27954"/>
    <cellStyle name="20% - 强调文字颜色 6 19 7" xfId="3164"/>
    <cellStyle name="20% - 强调文字颜色 6 19 7 2" xfId="8864"/>
    <cellStyle name="20% - 强调文字颜色 6 19 7 3" xfId="14848"/>
    <cellStyle name="20% - 强调文字颜色 6 19 7 4" xfId="24723"/>
    <cellStyle name="20% - 强调文字颜色 6 19 7 5" xfId="27955"/>
    <cellStyle name="20% - 强调文字颜色 6 19 8" xfId="3165"/>
    <cellStyle name="20% - 强调文字颜色 6 19 8 2" xfId="8865"/>
    <cellStyle name="20% - 强调文字颜色 6 19 8 3" xfId="14849"/>
    <cellStyle name="20% - 强调文字颜色 6 19 8 4" xfId="24724"/>
    <cellStyle name="20% - 强调文字颜色 6 19 8 5" xfId="27956"/>
    <cellStyle name="20% - 强调文字颜色 6 19 9" xfId="3166"/>
    <cellStyle name="20% - 强调文字颜色 6 19 9 2" xfId="8866"/>
    <cellStyle name="20% - 强调文字颜色 6 19 9 3" xfId="14850"/>
    <cellStyle name="20% - 强调文字颜色 6 19 9 4" xfId="24725"/>
    <cellStyle name="20% - 强调文字颜色 6 19 9 5" xfId="27957"/>
    <cellStyle name="20% - 强调文字颜色 6 2" xfId="634"/>
    <cellStyle name="20% - 强调文字颜色 6 2 10" xfId="17524"/>
    <cellStyle name="20% - 强调文字颜色 6 2 11" xfId="17610"/>
    <cellStyle name="20% - 强调文字颜色 6 2 12" xfId="17696"/>
    <cellStyle name="20% - 强调文字颜色 6 2 13" xfId="17782"/>
    <cellStyle name="20% - 强调文字颜色 6 2 14" xfId="18489"/>
    <cellStyle name="20% - 强调文字颜色 6 2 15" xfId="22847"/>
    <cellStyle name="20% - 强调文字颜色 6 2 16" xfId="20624"/>
    <cellStyle name="20% - 强调文字颜色 6 2 2" xfId="635"/>
    <cellStyle name="20% - 强调文字颜色 6 2 2 10" xfId="30266"/>
    <cellStyle name="20% - 强调文字颜色 6 2 2 11" xfId="33165"/>
    <cellStyle name="20% - 强调文字颜色 6 2 2 2" xfId="3168"/>
    <cellStyle name="20% - 强调文字颜色 6 2 2 3" xfId="6184"/>
    <cellStyle name="20% - 强调文字颜色 6 2 2 4" xfId="12333"/>
    <cellStyle name="20% - 强调文字颜色 6 2 2 5" xfId="14852"/>
    <cellStyle name="20% - 强调文字颜色 6 2 2 6" xfId="10400"/>
    <cellStyle name="20% - 强调文字颜色 6 2 2 7" xfId="18490"/>
    <cellStyle name="20% - 强调文字颜色 6 2 2 8" xfId="22629"/>
    <cellStyle name="20% - 强调文字颜色 6 2 2 9" xfId="19971"/>
    <cellStyle name="20% - 强调文字颜色 6 2 3" xfId="636"/>
    <cellStyle name="20% - 强调文字颜色 6 2 3 10" xfId="30267"/>
    <cellStyle name="20% - 强调文字颜色 6 2 3 11" xfId="32772"/>
    <cellStyle name="20% - 强调文字颜色 6 2 3 2" xfId="3169"/>
    <cellStyle name="20% - 强调文字颜色 6 2 3 3" xfId="6185"/>
    <cellStyle name="20% - 强调文字颜色 6 2 3 4" xfId="12334"/>
    <cellStyle name="20% - 强调文字颜色 6 2 3 5" xfId="14853"/>
    <cellStyle name="20% - 强调文字颜色 6 2 3 6" xfId="11539"/>
    <cellStyle name="20% - 强调文字颜色 6 2 3 7" xfId="18491"/>
    <cellStyle name="20% - 强调文字颜色 6 2 3 8" xfId="22248"/>
    <cellStyle name="20% - 强调文字颜色 6 2 3 9" xfId="21197"/>
    <cellStyle name="20% - 强调文字颜色 6 2 4" xfId="3167"/>
    <cellStyle name="20% - 强调文字颜色 6 2 5" xfId="6183"/>
    <cellStyle name="20% - 强调文字颜色 6 2 6" xfId="12332"/>
    <cellStyle name="20% - 强调文字颜色 6 2 7" xfId="14851"/>
    <cellStyle name="20% - 强调文字颜色 6 2 8" xfId="11537"/>
    <cellStyle name="20% - 强调文字颜色 6 2 9" xfId="17438"/>
    <cellStyle name="20% - 强调文字颜色 6 20" xfId="637"/>
    <cellStyle name="20% - 强调文字颜色 6 20 10" xfId="3171"/>
    <cellStyle name="20% - 强调文字颜色 6 20 10 2" xfId="8867"/>
    <cellStyle name="20% - 强调文字颜色 6 20 10 3" xfId="14855"/>
    <cellStyle name="20% - 强调文字颜色 6 20 10 4" xfId="24726"/>
    <cellStyle name="20% - 强调文字颜色 6 20 10 5" xfId="27959"/>
    <cellStyle name="20% - 强调文字颜色 6 20 11" xfId="3172"/>
    <cellStyle name="20% - 强调文字颜色 6 20 11 2" xfId="8868"/>
    <cellStyle name="20% - 强调文字颜色 6 20 11 3" xfId="14856"/>
    <cellStyle name="20% - 强调文字颜色 6 20 11 4" xfId="24727"/>
    <cellStyle name="20% - 强调文字颜色 6 20 11 5" xfId="27960"/>
    <cellStyle name="20% - 强调文字颜色 6 20 12" xfId="3173"/>
    <cellStyle name="20% - 强调文字颜色 6 20 12 2" xfId="8869"/>
    <cellStyle name="20% - 强调文字颜色 6 20 12 3" xfId="14857"/>
    <cellStyle name="20% - 强调文字颜色 6 20 12 4" xfId="24728"/>
    <cellStyle name="20% - 强调文字颜色 6 20 12 5" xfId="27961"/>
    <cellStyle name="20% - 强调文字颜色 6 20 13" xfId="3174"/>
    <cellStyle name="20% - 强调文字颜色 6 20 13 2" xfId="8870"/>
    <cellStyle name="20% - 强调文字颜色 6 20 13 3" xfId="14858"/>
    <cellStyle name="20% - 强调文字颜色 6 20 13 4" xfId="24729"/>
    <cellStyle name="20% - 强调文字颜色 6 20 13 5" xfId="27962"/>
    <cellStyle name="20% - 强调文字颜色 6 20 14" xfId="3175"/>
    <cellStyle name="20% - 强调文字颜色 6 20 14 2" xfId="8871"/>
    <cellStyle name="20% - 强调文字颜色 6 20 14 3" xfId="14859"/>
    <cellStyle name="20% - 强调文字颜色 6 20 14 4" xfId="24730"/>
    <cellStyle name="20% - 强调文字颜色 6 20 14 5" xfId="27963"/>
    <cellStyle name="20% - 强调文字颜色 6 20 15" xfId="3176"/>
    <cellStyle name="20% - 强调文字颜色 6 20 15 2" xfId="8872"/>
    <cellStyle name="20% - 强调文字颜色 6 20 15 3" xfId="14860"/>
    <cellStyle name="20% - 强调文字颜色 6 20 15 4" xfId="24731"/>
    <cellStyle name="20% - 强调文字颜色 6 20 15 5" xfId="27964"/>
    <cellStyle name="20% - 强调文字颜色 6 20 16" xfId="3177"/>
    <cellStyle name="20% - 强调文字颜色 6 20 16 2" xfId="8873"/>
    <cellStyle name="20% - 强调文字颜色 6 20 16 3" xfId="14861"/>
    <cellStyle name="20% - 强调文字颜色 6 20 16 4" xfId="24732"/>
    <cellStyle name="20% - 强调文字颜色 6 20 16 5" xfId="27965"/>
    <cellStyle name="20% - 强调文字颜色 6 20 17" xfId="3178"/>
    <cellStyle name="20% - 强调文字颜色 6 20 17 2" xfId="8874"/>
    <cellStyle name="20% - 强调文字颜色 6 20 17 3" xfId="14862"/>
    <cellStyle name="20% - 强调文字颜色 6 20 17 4" xfId="24733"/>
    <cellStyle name="20% - 强调文字颜色 6 20 17 5" xfId="27966"/>
    <cellStyle name="20% - 强调文字颜色 6 20 18" xfId="3179"/>
    <cellStyle name="20% - 强调文字颜色 6 20 18 2" xfId="8875"/>
    <cellStyle name="20% - 强调文字颜色 6 20 18 3" xfId="14863"/>
    <cellStyle name="20% - 强调文字颜色 6 20 18 4" xfId="24734"/>
    <cellStyle name="20% - 强调文字颜色 6 20 18 5" xfId="27967"/>
    <cellStyle name="20% - 强调文字颜色 6 20 19" xfId="3180"/>
    <cellStyle name="20% - 强调文字颜色 6 20 19 2" xfId="8876"/>
    <cellStyle name="20% - 强调文字颜色 6 20 19 3" xfId="14864"/>
    <cellStyle name="20% - 强调文字颜色 6 20 19 4" xfId="24735"/>
    <cellStyle name="20% - 强调文字颜色 6 20 19 5" xfId="27968"/>
    <cellStyle name="20% - 强调文字颜色 6 20 2" xfId="3170"/>
    <cellStyle name="20% - 强调文字颜色 6 20 2 2" xfId="8877"/>
    <cellStyle name="20% - 强调文字颜色 6 20 2 3" xfId="14865"/>
    <cellStyle name="20% - 强调文字颜色 6 20 2 4" xfId="24736"/>
    <cellStyle name="20% - 强调文字颜色 6 20 2 5" xfId="27958"/>
    <cellStyle name="20% - 强调文字颜色 6 20 20" xfId="3182"/>
    <cellStyle name="20% - 强调文字颜色 6 20 20 2" xfId="8878"/>
    <cellStyle name="20% - 强调文字颜色 6 20 20 3" xfId="14866"/>
    <cellStyle name="20% - 强调文字颜色 6 20 20 4" xfId="24737"/>
    <cellStyle name="20% - 强调文字颜色 6 20 20 5" xfId="27969"/>
    <cellStyle name="20% - 强调文字颜色 6 20 21" xfId="3183"/>
    <cellStyle name="20% - 强调文字颜色 6 20 21 2" xfId="8879"/>
    <cellStyle name="20% - 强调文字颜色 6 20 21 3" xfId="14867"/>
    <cellStyle name="20% - 强调文字颜色 6 20 21 4" xfId="24738"/>
    <cellStyle name="20% - 强调文字颜色 6 20 21 5" xfId="27970"/>
    <cellStyle name="20% - 强调文字颜色 6 20 22" xfId="3184"/>
    <cellStyle name="20% - 强调文字颜色 6 20 22 2" xfId="8880"/>
    <cellStyle name="20% - 强调文字颜色 6 20 22 3" xfId="14868"/>
    <cellStyle name="20% - 强调文字颜色 6 20 22 4" xfId="24739"/>
    <cellStyle name="20% - 强调文字颜色 6 20 22 5" xfId="27971"/>
    <cellStyle name="20% - 强调文字颜色 6 20 23" xfId="3185"/>
    <cellStyle name="20% - 强调文字颜色 6 20 23 2" xfId="8881"/>
    <cellStyle name="20% - 强调文字颜色 6 20 23 3" xfId="14869"/>
    <cellStyle name="20% - 强调文字颜色 6 20 23 4" xfId="24740"/>
    <cellStyle name="20% - 强调文字颜色 6 20 23 5" xfId="27972"/>
    <cellStyle name="20% - 强调文字颜色 6 20 24" xfId="6186"/>
    <cellStyle name="20% - 强调文字颜色 6 20 25" xfId="10981"/>
    <cellStyle name="20% - 强调文字颜色 6 20 26" xfId="12335"/>
    <cellStyle name="20% - 强调文字颜色 6 20 27" xfId="14854"/>
    <cellStyle name="20% - 强调文字颜色 6 20 28" xfId="10402"/>
    <cellStyle name="20% - 强调文字颜色 6 20 29" xfId="18492"/>
    <cellStyle name="20% - 强调文字颜色 6 20 3" xfId="3186"/>
    <cellStyle name="20% - 强调文字颜色 6 20 3 2" xfId="8882"/>
    <cellStyle name="20% - 强调文字颜色 6 20 3 3" xfId="14870"/>
    <cellStyle name="20% - 强调文字颜色 6 20 3 4" xfId="24741"/>
    <cellStyle name="20% - 强调文字颜色 6 20 3 5" xfId="27973"/>
    <cellStyle name="20% - 强调文字颜色 6 20 30" xfId="23265"/>
    <cellStyle name="20% - 强调文字颜色 6 20 31" xfId="20623"/>
    <cellStyle name="20% - 强调文字颜色 6 20 32" xfId="30268"/>
    <cellStyle name="20% - 强调文字颜色 6 20 33" xfId="32503"/>
    <cellStyle name="20% - 强调文字颜色 6 20 4" xfId="3187"/>
    <cellStyle name="20% - 强调文字颜色 6 20 4 2" xfId="8883"/>
    <cellStyle name="20% - 强调文字颜色 6 20 4 3" xfId="14871"/>
    <cellStyle name="20% - 强调文字颜色 6 20 4 4" xfId="24742"/>
    <cellStyle name="20% - 强调文字颜色 6 20 4 5" xfId="27974"/>
    <cellStyle name="20% - 强调文字颜色 6 20 5" xfId="3188"/>
    <cellStyle name="20% - 强调文字颜色 6 20 5 2" xfId="8884"/>
    <cellStyle name="20% - 强调文字颜色 6 20 5 3" xfId="14872"/>
    <cellStyle name="20% - 强调文字颜色 6 20 5 4" xfId="24743"/>
    <cellStyle name="20% - 强调文字颜色 6 20 5 5" xfId="27975"/>
    <cellStyle name="20% - 强调文字颜色 6 20 6" xfId="3189"/>
    <cellStyle name="20% - 强调文字颜色 6 20 6 2" xfId="8885"/>
    <cellStyle name="20% - 强调文字颜色 6 20 6 3" xfId="14873"/>
    <cellStyle name="20% - 强调文字颜色 6 20 6 4" xfId="24744"/>
    <cellStyle name="20% - 强调文字颜色 6 20 6 5" xfId="27976"/>
    <cellStyle name="20% - 强调文字颜色 6 20 7" xfId="3190"/>
    <cellStyle name="20% - 强调文字颜色 6 20 7 2" xfId="8886"/>
    <cellStyle name="20% - 强调文字颜色 6 20 7 3" xfId="14874"/>
    <cellStyle name="20% - 强调文字颜色 6 20 7 4" xfId="24745"/>
    <cellStyle name="20% - 强调文字颜色 6 20 7 5" xfId="27977"/>
    <cellStyle name="20% - 强调文字颜色 6 20 8" xfId="3191"/>
    <cellStyle name="20% - 强调文字颜色 6 20 8 2" xfId="8887"/>
    <cellStyle name="20% - 强调文字颜色 6 20 8 3" xfId="14875"/>
    <cellStyle name="20% - 强调文字颜色 6 20 8 4" xfId="24746"/>
    <cellStyle name="20% - 强调文字颜色 6 20 8 5" xfId="27978"/>
    <cellStyle name="20% - 强调文字颜色 6 20 9" xfId="3192"/>
    <cellStyle name="20% - 强调文字颜色 6 20 9 2" xfId="8888"/>
    <cellStyle name="20% - 强调文字颜色 6 20 9 3" xfId="14876"/>
    <cellStyle name="20% - 强调文字颜色 6 20 9 4" xfId="24747"/>
    <cellStyle name="20% - 强调文字颜色 6 20 9 5" xfId="27979"/>
    <cellStyle name="20% - 强调文字颜色 6 21" xfId="638"/>
    <cellStyle name="20% - 强调文字颜色 6 21 10" xfId="3194"/>
    <cellStyle name="20% - 强调文字颜色 6 21 10 2" xfId="8889"/>
    <cellStyle name="20% - 强调文字颜色 6 21 10 3" xfId="14878"/>
    <cellStyle name="20% - 强调文字颜色 6 21 10 4" xfId="24748"/>
    <cellStyle name="20% - 强调文字颜色 6 21 10 5" xfId="27981"/>
    <cellStyle name="20% - 强调文字颜色 6 21 11" xfId="3195"/>
    <cellStyle name="20% - 强调文字颜色 6 21 11 2" xfId="8890"/>
    <cellStyle name="20% - 强调文字颜色 6 21 11 3" xfId="14879"/>
    <cellStyle name="20% - 强调文字颜色 6 21 11 4" xfId="24749"/>
    <cellStyle name="20% - 强调文字颜色 6 21 11 5" xfId="27982"/>
    <cellStyle name="20% - 强调文字颜色 6 21 12" xfId="3196"/>
    <cellStyle name="20% - 强调文字颜色 6 21 12 2" xfId="8891"/>
    <cellStyle name="20% - 强调文字颜色 6 21 12 3" xfId="14880"/>
    <cellStyle name="20% - 强调文字颜色 6 21 12 4" xfId="24750"/>
    <cellStyle name="20% - 强调文字颜色 6 21 12 5" xfId="27983"/>
    <cellStyle name="20% - 强调文字颜色 6 21 13" xfId="3197"/>
    <cellStyle name="20% - 强调文字颜色 6 21 13 2" xfId="8892"/>
    <cellStyle name="20% - 强调文字颜色 6 21 13 3" xfId="14881"/>
    <cellStyle name="20% - 强调文字颜色 6 21 13 4" xfId="24751"/>
    <cellStyle name="20% - 强调文字颜色 6 21 13 5" xfId="27984"/>
    <cellStyle name="20% - 强调文字颜色 6 21 14" xfId="3198"/>
    <cellStyle name="20% - 强调文字颜色 6 21 14 2" xfId="8893"/>
    <cellStyle name="20% - 强调文字颜色 6 21 14 3" xfId="14882"/>
    <cellStyle name="20% - 强调文字颜色 6 21 14 4" xfId="24752"/>
    <cellStyle name="20% - 强调文字颜色 6 21 14 5" xfId="27985"/>
    <cellStyle name="20% - 强调文字颜色 6 21 15" xfId="3199"/>
    <cellStyle name="20% - 强调文字颜色 6 21 15 2" xfId="8894"/>
    <cellStyle name="20% - 强调文字颜色 6 21 15 3" xfId="14883"/>
    <cellStyle name="20% - 强调文字颜色 6 21 15 4" xfId="24753"/>
    <cellStyle name="20% - 强调文字颜色 6 21 15 5" xfId="27986"/>
    <cellStyle name="20% - 强调文字颜色 6 21 16" xfId="3200"/>
    <cellStyle name="20% - 强调文字颜色 6 21 16 2" xfId="8895"/>
    <cellStyle name="20% - 强调文字颜色 6 21 16 3" xfId="14884"/>
    <cellStyle name="20% - 强调文字颜色 6 21 16 4" xfId="24754"/>
    <cellStyle name="20% - 强调文字颜色 6 21 16 5" xfId="27987"/>
    <cellStyle name="20% - 强调文字颜色 6 21 17" xfId="3201"/>
    <cellStyle name="20% - 强调文字颜色 6 21 17 2" xfId="8896"/>
    <cellStyle name="20% - 强调文字颜色 6 21 17 3" xfId="14885"/>
    <cellStyle name="20% - 强调文字颜色 6 21 17 4" xfId="24755"/>
    <cellStyle name="20% - 强调文字颜色 6 21 17 5" xfId="27988"/>
    <cellStyle name="20% - 强调文字颜色 6 21 18" xfId="3202"/>
    <cellStyle name="20% - 强调文字颜色 6 21 18 2" xfId="8897"/>
    <cellStyle name="20% - 强调文字颜色 6 21 18 3" xfId="14886"/>
    <cellStyle name="20% - 强调文字颜色 6 21 18 4" xfId="24756"/>
    <cellStyle name="20% - 强调文字颜色 6 21 18 5" xfId="27989"/>
    <cellStyle name="20% - 强调文字颜色 6 21 19" xfId="3203"/>
    <cellStyle name="20% - 强调文字颜色 6 21 19 2" xfId="8898"/>
    <cellStyle name="20% - 强调文字颜色 6 21 19 3" xfId="14887"/>
    <cellStyle name="20% - 强调文字颜色 6 21 19 4" xfId="24757"/>
    <cellStyle name="20% - 强调文字颜色 6 21 19 5" xfId="27990"/>
    <cellStyle name="20% - 强调文字颜色 6 21 2" xfId="3193"/>
    <cellStyle name="20% - 强调文字颜色 6 21 2 2" xfId="8899"/>
    <cellStyle name="20% - 强调文字颜色 6 21 2 3" xfId="14888"/>
    <cellStyle name="20% - 强调文字颜色 6 21 2 4" xfId="24758"/>
    <cellStyle name="20% - 强调文字颜色 6 21 2 5" xfId="27980"/>
    <cellStyle name="20% - 强调文字颜色 6 21 20" xfId="3205"/>
    <cellStyle name="20% - 强调文字颜色 6 21 20 2" xfId="8900"/>
    <cellStyle name="20% - 强调文字颜色 6 21 20 3" xfId="14889"/>
    <cellStyle name="20% - 强调文字颜色 6 21 20 4" xfId="24759"/>
    <cellStyle name="20% - 强调文字颜色 6 21 20 5" xfId="27991"/>
    <cellStyle name="20% - 强调文字颜色 6 21 21" xfId="3206"/>
    <cellStyle name="20% - 强调文字颜色 6 21 21 2" xfId="8901"/>
    <cellStyle name="20% - 强调文字颜色 6 21 21 3" xfId="14890"/>
    <cellStyle name="20% - 强调文字颜色 6 21 21 4" xfId="24760"/>
    <cellStyle name="20% - 强调文字颜色 6 21 21 5" xfId="27992"/>
    <cellStyle name="20% - 强调文字颜色 6 21 22" xfId="3207"/>
    <cellStyle name="20% - 强调文字颜色 6 21 22 2" xfId="8902"/>
    <cellStyle name="20% - 强调文字颜色 6 21 22 3" xfId="14891"/>
    <cellStyle name="20% - 强调文字颜色 6 21 22 4" xfId="24761"/>
    <cellStyle name="20% - 强调文字颜色 6 21 22 5" xfId="27993"/>
    <cellStyle name="20% - 强调文字颜色 6 21 23" xfId="3208"/>
    <cellStyle name="20% - 强调文字颜色 6 21 23 2" xfId="8903"/>
    <cellStyle name="20% - 强调文字颜色 6 21 23 3" xfId="14892"/>
    <cellStyle name="20% - 强调文字颜色 6 21 23 4" xfId="24762"/>
    <cellStyle name="20% - 强调文字颜色 6 21 23 5" xfId="27994"/>
    <cellStyle name="20% - 强调文字颜色 6 21 24" xfId="6187"/>
    <cellStyle name="20% - 强调文字颜色 6 21 25" xfId="10982"/>
    <cellStyle name="20% - 强调文字颜色 6 21 26" xfId="12336"/>
    <cellStyle name="20% - 强调文字颜色 6 21 27" xfId="14877"/>
    <cellStyle name="20% - 强调文字颜色 6 21 28" xfId="11538"/>
    <cellStyle name="20% - 强调文字颜色 6 21 29" xfId="18493"/>
    <cellStyle name="20% - 强调文字颜色 6 21 3" xfId="3209"/>
    <cellStyle name="20% - 强调文字颜色 6 21 3 2" xfId="8904"/>
    <cellStyle name="20% - 强调文字颜色 6 21 3 3" xfId="14893"/>
    <cellStyle name="20% - 强调文字颜色 6 21 3 4" xfId="24763"/>
    <cellStyle name="20% - 强调文字颜色 6 21 3 5" xfId="27995"/>
    <cellStyle name="20% - 强调文字颜色 6 21 30" xfId="22282"/>
    <cellStyle name="20% - 强调文字颜色 6 21 31" xfId="19970"/>
    <cellStyle name="20% - 强调文字颜色 6 21 32" xfId="30269"/>
    <cellStyle name="20% - 强调文字颜色 6 21 33" xfId="31252"/>
    <cellStyle name="20% - 强调文字颜色 6 21 4" xfId="3210"/>
    <cellStyle name="20% - 强调文字颜色 6 21 4 2" xfId="8905"/>
    <cellStyle name="20% - 强调文字颜色 6 21 4 3" xfId="14894"/>
    <cellStyle name="20% - 强调文字颜色 6 21 4 4" xfId="24764"/>
    <cellStyle name="20% - 强调文字颜色 6 21 4 5" xfId="27996"/>
    <cellStyle name="20% - 强调文字颜色 6 21 5" xfId="3211"/>
    <cellStyle name="20% - 强调文字颜色 6 21 5 2" xfId="8906"/>
    <cellStyle name="20% - 强调文字颜色 6 21 5 3" xfId="14895"/>
    <cellStyle name="20% - 强调文字颜色 6 21 5 4" xfId="24765"/>
    <cellStyle name="20% - 强调文字颜色 6 21 5 5" xfId="27997"/>
    <cellStyle name="20% - 强调文字颜色 6 21 6" xfId="3212"/>
    <cellStyle name="20% - 强调文字颜色 6 21 6 2" xfId="8907"/>
    <cellStyle name="20% - 强调文字颜色 6 21 6 3" xfId="14896"/>
    <cellStyle name="20% - 强调文字颜色 6 21 6 4" xfId="24766"/>
    <cellStyle name="20% - 强调文字颜色 6 21 6 5" xfId="27998"/>
    <cellStyle name="20% - 强调文字颜色 6 21 7" xfId="3213"/>
    <cellStyle name="20% - 强调文字颜色 6 21 7 2" xfId="8908"/>
    <cellStyle name="20% - 强调文字颜色 6 21 7 3" xfId="14897"/>
    <cellStyle name="20% - 强调文字颜色 6 21 7 4" xfId="24767"/>
    <cellStyle name="20% - 强调文字颜色 6 21 7 5" xfId="27999"/>
    <cellStyle name="20% - 强调文字颜色 6 21 8" xfId="3214"/>
    <cellStyle name="20% - 强调文字颜色 6 21 8 2" xfId="8909"/>
    <cellStyle name="20% - 强调文字颜色 6 21 8 3" xfId="14898"/>
    <cellStyle name="20% - 强调文字颜色 6 21 8 4" xfId="24768"/>
    <cellStyle name="20% - 强调文字颜色 6 21 8 5" xfId="28000"/>
    <cellStyle name="20% - 强调文字颜色 6 21 9" xfId="3215"/>
    <cellStyle name="20% - 强调文字颜色 6 21 9 2" xfId="8910"/>
    <cellStyle name="20% - 强调文字颜色 6 21 9 3" xfId="14899"/>
    <cellStyle name="20% - 强调文字颜色 6 21 9 4" xfId="24769"/>
    <cellStyle name="20% - 强调文字颜色 6 21 9 5" xfId="28001"/>
    <cellStyle name="20% - 强调文字颜色 6 22" xfId="639"/>
    <cellStyle name="20% - 强调文字颜色 6 22 10" xfId="3217"/>
    <cellStyle name="20% - 强调文字颜色 6 22 10 2" xfId="8911"/>
    <cellStyle name="20% - 强调文字颜色 6 22 10 3" xfId="14901"/>
    <cellStyle name="20% - 强调文字颜色 6 22 10 4" xfId="24770"/>
    <cellStyle name="20% - 强调文字颜色 6 22 10 5" xfId="28003"/>
    <cellStyle name="20% - 强调文字颜色 6 22 11" xfId="3218"/>
    <cellStyle name="20% - 强调文字颜色 6 22 11 2" xfId="8912"/>
    <cellStyle name="20% - 强调文字颜色 6 22 11 3" xfId="14902"/>
    <cellStyle name="20% - 强调文字颜色 6 22 11 4" xfId="24771"/>
    <cellStyle name="20% - 强调文字颜色 6 22 11 5" xfId="28004"/>
    <cellStyle name="20% - 强调文字颜色 6 22 12" xfId="3219"/>
    <cellStyle name="20% - 强调文字颜色 6 22 12 2" xfId="8913"/>
    <cellStyle name="20% - 强调文字颜色 6 22 12 3" xfId="14903"/>
    <cellStyle name="20% - 强调文字颜色 6 22 12 4" xfId="24772"/>
    <cellStyle name="20% - 强调文字颜色 6 22 12 5" xfId="28005"/>
    <cellStyle name="20% - 强调文字颜色 6 22 13" xfId="3220"/>
    <cellStyle name="20% - 强调文字颜色 6 22 13 2" xfId="8914"/>
    <cellStyle name="20% - 强调文字颜色 6 22 13 3" xfId="14904"/>
    <cellStyle name="20% - 强调文字颜色 6 22 13 4" xfId="24773"/>
    <cellStyle name="20% - 强调文字颜色 6 22 13 5" xfId="28006"/>
    <cellStyle name="20% - 强调文字颜色 6 22 14" xfId="3221"/>
    <cellStyle name="20% - 强调文字颜色 6 22 14 2" xfId="8915"/>
    <cellStyle name="20% - 强调文字颜色 6 22 14 3" xfId="14905"/>
    <cellStyle name="20% - 强调文字颜色 6 22 14 4" xfId="24774"/>
    <cellStyle name="20% - 强调文字颜色 6 22 14 5" xfId="28007"/>
    <cellStyle name="20% - 强调文字颜色 6 22 15" xfId="3222"/>
    <cellStyle name="20% - 强调文字颜色 6 22 15 2" xfId="8916"/>
    <cellStyle name="20% - 强调文字颜色 6 22 15 3" xfId="14906"/>
    <cellStyle name="20% - 强调文字颜色 6 22 15 4" xfId="24775"/>
    <cellStyle name="20% - 强调文字颜色 6 22 15 5" xfId="28008"/>
    <cellStyle name="20% - 强调文字颜色 6 22 16" xfId="3223"/>
    <cellStyle name="20% - 强调文字颜色 6 22 16 2" xfId="8917"/>
    <cellStyle name="20% - 强调文字颜色 6 22 16 3" xfId="14907"/>
    <cellStyle name="20% - 强调文字颜色 6 22 16 4" xfId="24776"/>
    <cellStyle name="20% - 强调文字颜色 6 22 16 5" xfId="28009"/>
    <cellStyle name="20% - 强调文字颜色 6 22 17" xfId="3224"/>
    <cellStyle name="20% - 强调文字颜色 6 22 17 2" xfId="8918"/>
    <cellStyle name="20% - 强调文字颜色 6 22 17 3" xfId="14908"/>
    <cellStyle name="20% - 强调文字颜色 6 22 17 4" xfId="24777"/>
    <cellStyle name="20% - 强调文字颜色 6 22 17 5" xfId="28010"/>
    <cellStyle name="20% - 强调文字颜色 6 22 18" xfId="3225"/>
    <cellStyle name="20% - 强调文字颜色 6 22 18 2" xfId="8919"/>
    <cellStyle name="20% - 强调文字颜色 6 22 18 3" xfId="14909"/>
    <cellStyle name="20% - 强调文字颜色 6 22 18 4" xfId="24778"/>
    <cellStyle name="20% - 强调文字颜色 6 22 18 5" xfId="28011"/>
    <cellStyle name="20% - 强调文字颜色 6 22 19" xfId="3226"/>
    <cellStyle name="20% - 强调文字颜色 6 22 19 2" xfId="8920"/>
    <cellStyle name="20% - 强调文字颜色 6 22 19 3" xfId="14910"/>
    <cellStyle name="20% - 强调文字颜色 6 22 19 4" xfId="24779"/>
    <cellStyle name="20% - 强调文字颜色 6 22 19 5" xfId="28012"/>
    <cellStyle name="20% - 强调文字颜色 6 22 2" xfId="3216"/>
    <cellStyle name="20% - 强调文字颜色 6 22 2 2" xfId="8921"/>
    <cellStyle name="20% - 强调文字颜色 6 22 2 3" xfId="14911"/>
    <cellStyle name="20% - 强调文字颜色 6 22 2 4" xfId="24780"/>
    <cellStyle name="20% - 强调文字颜色 6 22 2 5" xfId="28002"/>
    <cellStyle name="20% - 强调文字颜色 6 22 20" xfId="3228"/>
    <cellStyle name="20% - 强调文字颜色 6 22 20 2" xfId="8922"/>
    <cellStyle name="20% - 强调文字颜色 6 22 20 3" xfId="14912"/>
    <cellStyle name="20% - 强调文字颜色 6 22 20 4" xfId="24781"/>
    <cellStyle name="20% - 强调文字颜色 6 22 20 5" xfId="28013"/>
    <cellStyle name="20% - 强调文字颜色 6 22 21" xfId="3229"/>
    <cellStyle name="20% - 强调文字颜色 6 22 21 2" xfId="8923"/>
    <cellStyle name="20% - 强调文字颜色 6 22 21 3" xfId="14913"/>
    <cellStyle name="20% - 强调文字颜色 6 22 21 4" xfId="24782"/>
    <cellStyle name="20% - 强调文字颜色 6 22 21 5" xfId="28014"/>
    <cellStyle name="20% - 强调文字颜色 6 22 22" xfId="3230"/>
    <cellStyle name="20% - 强调文字颜色 6 22 22 2" xfId="8924"/>
    <cellStyle name="20% - 强调文字颜色 6 22 22 3" xfId="14914"/>
    <cellStyle name="20% - 强调文字颜色 6 22 22 4" xfId="24783"/>
    <cellStyle name="20% - 强调文字颜色 6 22 22 5" xfId="28015"/>
    <cellStyle name="20% - 强调文字颜色 6 22 23" xfId="3231"/>
    <cellStyle name="20% - 强调文字颜色 6 22 23 2" xfId="8925"/>
    <cellStyle name="20% - 强调文字颜色 6 22 23 3" xfId="14915"/>
    <cellStyle name="20% - 强调文字颜色 6 22 23 4" xfId="24784"/>
    <cellStyle name="20% - 强调文字颜色 6 22 23 5" xfId="28016"/>
    <cellStyle name="20% - 强调文字颜色 6 22 24" xfId="6188"/>
    <cellStyle name="20% - 强调文字颜色 6 22 25" xfId="10983"/>
    <cellStyle name="20% - 强调文字颜色 6 22 26" xfId="12337"/>
    <cellStyle name="20% - 强调文字颜色 6 22 27" xfId="14900"/>
    <cellStyle name="20% - 强调文字颜色 6 22 28" xfId="10401"/>
    <cellStyle name="20% - 强调文字颜色 6 22 29" xfId="18494"/>
    <cellStyle name="20% - 强调文字颜色 6 22 3" xfId="3232"/>
    <cellStyle name="20% - 强调文字颜色 6 22 3 2" xfId="8926"/>
    <cellStyle name="20% - 强调文字颜色 6 22 3 3" xfId="14916"/>
    <cellStyle name="20% - 强调文字颜色 6 22 3 4" xfId="24785"/>
    <cellStyle name="20% - 强调文字颜色 6 22 3 5" xfId="28017"/>
    <cellStyle name="20% - 强调文字颜色 6 22 30" xfId="21759"/>
    <cellStyle name="20% - 强调文字颜色 6 22 31" xfId="21196"/>
    <cellStyle name="20% - 强调文字颜色 6 22 32" xfId="30270"/>
    <cellStyle name="20% - 强调文字颜色 6 22 33" xfId="31920"/>
    <cellStyle name="20% - 强调文字颜色 6 22 4" xfId="3233"/>
    <cellStyle name="20% - 强调文字颜色 6 22 4 2" xfId="8927"/>
    <cellStyle name="20% - 强调文字颜色 6 22 4 3" xfId="14917"/>
    <cellStyle name="20% - 强调文字颜色 6 22 4 4" xfId="24786"/>
    <cellStyle name="20% - 强调文字颜色 6 22 4 5" xfId="28018"/>
    <cellStyle name="20% - 强调文字颜色 6 22 5" xfId="3234"/>
    <cellStyle name="20% - 强调文字颜色 6 22 5 2" xfId="8928"/>
    <cellStyle name="20% - 强调文字颜色 6 22 5 3" xfId="14918"/>
    <cellStyle name="20% - 强调文字颜色 6 22 5 4" xfId="24787"/>
    <cellStyle name="20% - 强调文字颜色 6 22 5 5" xfId="28019"/>
    <cellStyle name="20% - 强调文字颜色 6 22 6" xfId="3235"/>
    <cellStyle name="20% - 强调文字颜色 6 22 6 2" xfId="8929"/>
    <cellStyle name="20% - 强调文字颜色 6 22 6 3" xfId="14919"/>
    <cellStyle name="20% - 强调文字颜色 6 22 6 4" xfId="24788"/>
    <cellStyle name="20% - 强调文字颜色 6 22 6 5" xfId="28020"/>
    <cellStyle name="20% - 强调文字颜色 6 22 7" xfId="3236"/>
    <cellStyle name="20% - 强调文字颜色 6 22 7 2" xfId="8930"/>
    <cellStyle name="20% - 强调文字颜色 6 22 7 3" xfId="14920"/>
    <cellStyle name="20% - 强调文字颜色 6 22 7 4" xfId="24789"/>
    <cellStyle name="20% - 强调文字颜色 6 22 7 5" xfId="28021"/>
    <cellStyle name="20% - 强调文字颜色 6 22 8" xfId="3237"/>
    <cellStyle name="20% - 强调文字颜色 6 22 8 2" xfId="8931"/>
    <cellStyle name="20% - 强调文字颜色 6 22 8 3" xfId="14921"/>
    <cellStyle name="20% - 强调文字颜色 6 22 8 4" xfId="24790"/>
    <cellStyle name="20% - 强调文字颜色 6 22 8 5" xfId="28022"/>
    <cellStyle name="20% - 强调文字颜色 6 22 9" xfId="3238"/>
    <cellStyle name="20% - 强调文字颜色 6 22 9 2" xfId="8932"/>
    <cellStyle name="20% - 强调文字颜色 6 22 9 3" xfId="14922"/>
    <cellStyle name="20% - 强调文字颜色 6 22 9 4" xfId="24791"/>
    <cellStyle name="20% - 强调文字颜色 6 22 9 5" xfId="28023"/>
    <cellStyle name="20% - 强调文字颜色 6 23" xfId="640"/>
    <cellStyle name="20% - 强调文字颜色 6 23 10" xfId="3240"/>
    <cellStyle name="20% - 强调文字颜色 6 23 10 2" xfId="8933"/>
    <cellStyle name="20% - 强调文字颜色 6 23 10 3" xfId="14924"/>
    <cellStyle name="20% - 强调文字颜色 6 23 10 4" xfId="24792"/>
    <cellStyle name="20% - 强调文字颜色 6 23 10 5" xfId="28025"/>
    <cellStyle name="20% - 强调文字颜色 6 23 11" xfId="3241"/>
    <cellStyle name="20% - 强调文字颜色 6 23 11 2" xfId="8934"/>
    <cellStyle name="20% - 强调文字颜色 6 23 11 3" xfId="14925"/>
    <cellStyle name="20% - 强调文字颜色 6 23 11 4" xfId="24793"/>
    <cellStyle name="20% - 强调文字颜色 6 23 11 5" xfId="28026"/>
    <cellStyle name="20% - 强调文字颜色 6 23 12" xfId="3242"/>
    <cellStyle name="20% - 强调文字颜色 6 23 12 2" xfId="8935"/>
    <cellStyle name="20% - 强调文字颜色 6 23 12 3" xfId="14926"/>
    <cellStyle name="20% - 强调文字颜色 6 23 12 4" xfId="24794"/>
    <cellStyle name="20% - 强调文字颜色 6 23 12 5" xfId="28027"/>
    <cellStyle name="20% - 强调文字颜色 6 23 13" xfId="3243"/>
    <cellStyle name="20% - 强调文字颜色 6 23 13 2" xfId="8936"/>
    <cellStyle name="20% - 强调文字颜色 6 23 13 3" xfId="14927"/>
    <cellStyle name="20% - 强调文字颜色 6 23 13 4" xfId="24795"/>
    <cellStyle name="20% - 强调文字颜色 6 23 13 5" xfId="28028"/>
    <cellStyle name="20% - 强调文字颜色 6 23 14" xfId="3244"/>
    <cellStyle name="20% - 强调文字颜色 6 23 14 2" xfId="8937"/>
    <cellStyle name="20% - 强调文字颜色 6 23 14 3" xfId="14928"/>
    <cellStyle name="20% - 强调文字颜色 6 23 14 4" xfId="24796"/>
    <cellStyle name="20% - 强调文字颜色 6 23 14 5" xfId="28029"/>
    <cellStyle name="20% - 强调文字颜色 6 23 15" xfId="3245"/>
    <cellStyle name="20% - 强调文字颜色 6 23 15 2" xfId="8938"/>
    <cellStyle name="20% - 强调文字颜色 6 23 15 3" xfId="14929"/>
    <cellStyle name="20% - 强调文字颜色 6 23 15 4" xfId="24797"/>
    <cellStyle name="20% - 强调文字颜色 6 23 15 5" xfId="28030"/>
    <cellStyle name="20% - 强调文字颜色 6 23 16" xfId="3246"/>
    <cellStyle name="20% - 强调文字颜色 6 23 16 2" xfId="8939"/>
    <cellStyle name="20% - 强调文字颜色 6 23 16 3" xfId="14930"/>
    <cellStyle name="20% - 强调文字颜色 6 23 16 4" xfId="24798"/>
    <cellStyle name="20% - 强调文字颜色 6 23 16 5" xfId="28031"/>
    <cellStyle name="20% - 强调文字颜色 6 23 17" xfId="3247"/>
    <cellStyle name="20% - 强调文字颜色 6 23 17 2" xfId="8940"/>
    <cellStyle name="20% - 强调文字颜色 6 23 17 3" xfId="14931"/>
    <cellStyle name="20% - 强调文字颜色 6 23 17 4" xfId="24799"/>
    <cellStyle name="20% - 强调文字颜色 6 23 17 5" xfId="28032"/>
    <cellStyle name="20% - 强调文字颜色 6 23 18" xfId="3248"/>
    <cellStyle name="20% - 强调文字颜色 6 23 18 2" xfId="8941"/>
    <cellStyle name="20% - 强调文字颜色 6 23 18 3" xfId="14932"/>
    <cellStyle name="20% - 强调文字颜色 6 23 18 4" xfId="24800"/>
    <cellStyle name="20% - 强调文字颜色 6 23 18 5" xfId="28033"/>
    <cellStyle name="20% - 强调文字颜色 6 23 19" xfId="3249"/>
    <cellStyle name="20% - 强调文字颜色 6 23 19 2" xfId="8942"/>
    <cellStyle name="20% - 强调文字颜色 6 23 19 3" xfId="14933"/>
    <cellStyle name="20% - 强调文字颜色 6 23 19 4" xfId="24801"/>
    <cellStyle name="20% - 强调文字颜色 6 23 19 5" xfId="28034"/>
    <cellStyle name="20% - 强调文字颜色 6 23 2" xfId="3239"/>
    <cellStyle name="20% - 强调文字颜色 6 23 2 2" xfId="8943"/>
    <cellStyle name="20% - 强调文字颜色 6 23 2 3" xfId="14934"/>
    <cellStyle name="20% - 强调文字颜色 6 23 2 4" xfId="24802"/>
    <cellStyle name="20% - 强调文字颜色 6 23 2 5" xfId="28024"/>
    <cellStyle name="20% - 强调文字颜色 6 23 20" xfId="3251"/>
    <cellStyle name="20% - 强调文字颜色 6 23 20 2" xfId="8944"/>
    <cellStyle name="20% - 强调文字颜色 6 23 20 3" xfId="14935"/>
    <cellStyle name="20% - 强调文字颜色 6 23 20 4" xfId="24803"/>
    <cellStyle name="20% - 强调文字颜色 6 23 20 5" xfId="28035"/>
    <cellStyle name="20% - 强调文字颜色 6 23 21" xfId="3252"/>
    <cellStyle name="20% - 强调文字颜色 6 23 21 2" xfId="8945"/>
    <cellStyle name="20% - 强调文字颜色 6 23 21 3" xfId="14936"/>
    <cellStyle name="20% - 强调文字颜色 6 23 21 4" xfId="24804"/>
    <cellStyle name="20% - 强调文字颜色 6 23 21 5" xfId="28036"/>
    <cellStyle name="20% - 强调文字颜色 6 23 22" xfId="3253"/>
    <cellStyle name="20% - 强调文字颜色 6 23 22 2" xfId="8946"/>
    <cellStyle name="20% - 强调文字颜色 6 23 22 3" xfId="14937"/>
    <cellStyle name="20% - 强调文字颜色 6 23 22 4" xfId="24805"/>
    <cellStyle name="20% - 强调文字颜色 6 23 22 5" xfId="28037"/>
    <cellStyle name="20% - 强调文字颜色 6 23 23" xfId="3254"/>
    <cellStyle name="20% - 强调文字颜色 6 23 23 2" xfId="8947"/>
    <cellStyle name="20% - 强调文字颜色 6 23 23 3" xfId="14938"/>
    <cellStyle name="20% - 强调文字颜色 6 23 23 4" xfId="24806"/>
    <cellStyle name="20% - 强调文字颜色 6 23 23 5" xfId="28038"/>
    <cellStyle name="20% - 强调文字颜色 6 23 24" xfId="6189"/>
    <cellStyle name="20% - 强调文字颜色 6 23 25" xfId="10984"/>
    <cellStyle name="20% - 强调文字颜色 6 23 26" xfId="12338"/>
    <cellStyle name="20% - 强调文字颜色 6 23 27" xfId="14923"/>
    <cellStyle name="20% - 强调文字颜色 6 23 28" xfId="11533"/>
    <cellStyle name="20% - 强调文字颜色 6 23 29" xfId="18495"/>
    <cellStyle name="20% - 强调文字颜色 6 23 3" xfId="3255"/>
    <cellStyle name="20% - 强调文字颜色 6 23 3 2" xfId="8948"/>
    <cellStyle name="20% - 强调文字颜色 6 23 3 3" xfId="14939"/>
    <cellStyle name="20% - 强调文字颜色 6 23 3 4" xfId="24807"/>
    <cellStyle name="20% - 强调文字颜色 6 23 3 5" xfId="28039"/>
    <cellStyle name="20% - 强调文字颜色 6 23 30" xfId="23264"/>
    <cellStyle name="20% - 强调文字颜色 6 23 31" xfId="20622"/>
    <cellStyle name="20% - 强调文字颜色 6 23 32" xfId="30271"/>
    <cellStyle name="20% - 强调文字颜色 6 23 33" xfId="32771"/>
    <cellStyle name="20% - 强调文字颜色 6 23 4" xfId="3256"/>
    <cellStyle name="20% - 强调文字颜色 6 23 4 2" xfId="8949"/>
    <cellStyle name="20% - 强调文字颜色 6 23 4 3" xfId="14940"/>
    <cellStyle name="20% - 强调文字颜色 6 23 4 4" xfId="24808"/>
    <cellStyle name="20% - 强调文字颜色 6 23 4 5" xfId="28040"/>
    <cellStyle name="20% - 强调文字颜色 6 23 5" xfId="3257"/>
    <cellStyle name="20% - 强调文字颜色 6 23 5 2" xfId="8950"/>
    <cellStyle name="20% - 强调文字颜色 6 23 5 3" xfId="14941"/>
    <cellStyle name="20% - 强调文字颜色 6 23 5 4" xfId="24809"/>
    <cellStyle name="20% - 强调文字颜色 6 23 5 5" xfId="28041"/>
    <cellStyle name="20% - 强调文字颜色 6 23 6" xfId="3258"/>
    <cellStyle name="20% - 强调文字颜色 6 23 6 2" xfId="8951"/>
    <cellStyle name="20% - 强调文字颜色 6 23 6 3" xfId="14942"/>
    <cellStyle name="20% - 强调文字颜色 6 23 6 4" xfId="24810"/>
    <cellStyle name="20% - 强调文字颜色 6 23 6 5" xfId="28042"/>
    <cellStyle name="20% - 强调文字颜色 6 23 7" xfId="3259"/>
    <cellStyle name="20% - 强调文字颜色 6 23 7 2" xfId="8952"/>
    <cellStyle name="20% - 强调文字颜色 6 23 7 3" xfId="14943"/>
    <cellStyle name="20% - 强调文字颜色 6 23 7 4" xfId="24811"/>
    <cellStyle name="20% - 强调文字颜色 6 23 7 5" xfId="28043"/>
    <cellStyle name="20% - 强调文字颜色 6 23 8" xfId="3260"/>
    <cellStyle name="20% - 强调文字颜色 6 23 8 2" xfId="8953"/>
    <cellStyle name="20% - 强调文字颜色 6 23 8 3" xfId="14944"/>
    <cellStyle name="20% - 强调文字颜色 6 23 8 4" xfId="24812"/>
    <cellStyle name="20% - 强调文字颜色 6 23 8 5" xfId="28044"/>
    <cellStyle name="20% - 强调文字颜色 6 23 9" xfId="3261"/>
    <cellStyle name="20% - 强调文字颜色 6 23 9 2" xfId="8954"/>
    <cellStyle name="20% - 强调文字颜色 6 23 9 3" xfId="14945"/>
    <cellStyle name="20% - 强调文字颜色 6 23 9 4" xfId="24813"/>
    <cellStyle name="20% - 强调文字颜色 6 23 9 5" xfId="28045"/>
    <cellStyle name="20% - 强调文字颜色 6 24" xfId="3115"/>
    <cellStyle name="20% - 强调文字颜色 6 24 2" xfId="3262"/>
    <cellStyle name="20% - 强调文字颜色 6 24 3" xfId="7388"/>
    <cellStyle name="20% - 强调文字颜色 6 24 4" xfId="14946"/>
    <cellStyle name="20% - 强调文字颜色 6 24 5" xfId="11011"/>
    <cellStyle name="20% - 强调文字颜色 6 24 6" xfId="26739"/>
    <cellStyle name="20% - 强调文字颜色 6 24 7" xfId="27936"/>
    <cellStyle name="20% - 强调文字颜色 6 25" xfId="3263"/>
    <cellStyle name="20% - 强调文字颜色 6 25 2" xfId="8955"/>
    <cellStyle name="20% - 强调文字颜色 6 25 3" xfId="14947"/>
    <cellStyle name="20% - 强调文字颜色 6 25 4" xfId="24814"/>
    <cellStyle name="20% - 强调文字颜色 6 25 5" xfId="26554"/>
    <cellStyle name="20% - 强调文字颜色 6 25 6" xfId="26740"/>
    <cellStyle name="20% - 强调文字颜色 6 25 7" xfId="28046"/>
    <cellStyle name="20% - 强调文字颜色 6 26" xfId="3264"/>
    <cellStyle name="20% - 强调文字颜色 6 26 2" xfId="8956"/>
    <cellStyle name="20% - 强调文字颜色 6 26 3" xfId="14948"/>
    <cellStyle name="20% - 强调文字颜色 6 26 4" xfId="24815"/>
    <cellStyle name="20% - 强调文字颜色 6 26 5" xfId="26555"/>
    <cellStyle name="20% - 强调文字颜色 6 26 6" xfId="26741"/>
    <cellStyle name="20% - 强调文字颜色 6 26 7" xfId="28047"/>
    <cellStyle name="20% - 强调文字颜色 6 27" xfId="3265"/>
    <cellStyle name="20% - 强调文字颜色 6 27 2" xfId="8957"/>
    <cellStyle name="20% - 强调文字颜色 6 27 3" xfId="14949"/>
    <cellStyle name="20% - 强调文字颜色 6 27 4" xfId="24816"/>
    <cellStyle name="20% - 强调文字颜色 6 27 5" xfId="26742"/>
    <cellStyle name="20% - 强调文字颜色 6 27 6" xfId="28048"/>
    <cellStyle name="20% - 强调文字颜色 6 28" xfId="3266"/>
    <cellStyle name="20% - 强调文字颜色 6 28 2" xfId="8958"/>
    <cellStyle name="20% - 强调文字颜色 6 28 3" xfId="14950"/>
    <cellStyle name="20% - 强调文字颜色 6 28 4" xfId="24817"/>
    <cellStyle name="20% - 强调文字颜色 6 28 5" xfId="26743"/>
    <cellStyle name="20% - 强调文字颜色 6 28 6" xfId="28049"/>
    <cellStyle name="20% - 强调文字颜色 6 29" xfId="3267"/>
    <cellStyle name="20% - 强调文字颜色 6 29 2" xfId="8959"/>
    <cellStyle name="20% - 强调文字颜色 6 29 3" xfId="14951"/>
    <cellStyle name="20% - 强调文字颜色 6 29 4" xfId="24818"/>
    <cellStyle name="20% - 强调文字颜色 6 29 5" xfId="26744"/>
    <cellStyle name="20% - 强调文字颜色 6 29 6" xfId="28050"/>
    <cellStyle name="20% - 强调文字颜色 6 3" xfId="641"/>
    <cellStyle name="20% - 强调文字颜色 6 3 10" xfId="642"/>
    <cellStyle name="20% - 强调文字颜色 6 3 10 10" xfId="30273"/>
    <cellStyle name="20% - 强调文字颜色 6 3 10 11" xfId="31248"/>
    <cellStyle name="20% - 强调文字颜色 6 3 10 2" xfId="3269"/>
    <cellStyle name="20% - 强调文字颜色 6 3 10 3" xfId="6191"/>
    <cellStyle name="20% - 强调文字颜色 6 3 10 4" xfId="12340"/>
    <cellStyle name="20% - 强调文字颜色 6 3 10 5" xfId="14953"/>
    <cellStyle name="20% - 强调文字颜色 6 3 10 6" xfId="11535"/>
    <cellStyle name="20% - 强调文字颜色 6 3 10 7" xfId="18497"/>
    <cellStyle name="20% - 强调文字颜色 6 3 10 8" xfId="21758"/>
    <cellStyle name="20% - 强调文字颜色 6 3 10 9" xfId="21195"/>
    <cellStyle name="20% - 强调文字颜色 6 3 11" xfId="643"/>
    <cellStyle name="20% - 强调文字颜色 6 3 11 10" xfId="30274"/>
    <cellStyle name="20% - 强调文字颜色 6 3 11 11" xfId="32770"/>
    <cellStyle name="20% - 强调文字颜色 6 3 11 2" xfId="3270"/>
    <cellStyle name="20% - 强调文字颜色 6 3 11 3" xfId="6192"/>
    <cellStyle name="20% - 强调文字颜色 6 3 11 4" xfId="12341"/>
    <cellStyle name="20% - 强调文字颜色 6 3 11 5" xfId="14954"/>
    <cellStyle name="20% - 强调文字颜色 6 3 11 6" xfId="10398"/>
    <cellStyle name="20% - 强调文字颜色 6 3 11 7" xfId="18498"/>
    <cellStyle name="20% - 强调文字颜色 6 3 11 8" xfId="23263"/>
    <cellStyle name="20% - 强调文字颜色 6 3 11 9" xfId="20621"/>
    <cellStyle name="20% - 强调文字颜色 6 3 12" xfId="644"/>
    <cellStyle name="20% - 强调文字颜色 6 3 12 10" xfId="30275"/>
    <cellStyle name="20% - 强调文字颜色 6 3 12 11" xfId="31917"/>
    <cellStyle name="20% - 强调文字颜色 6 3 12 2" xfId="3271"/>
    <cellStyle name="20% - 强调文字颜色 6 3 12 3" xfId="6193"/>
    <cellStyle name="20% - 强调文字颜色 6 3 12 4" xfId="12342"/>
    <cellStyle name="20% - 强调文字颜色 6 3 12 5" xfId="14955"/>
    <cellStyle name="20% - 强调文字颜色 6 3 12 6" xfId="11534"/>
    <cellStyle name="20% - 强调文字颜色 6 3 12 7" xfId="18499"/>
    <cellStyle name="20% - 强调文字颜色 6 3 12 8" xfId="22280"/>
    <cellStyle name="20% - 强调文字颜色 6 3 12 9" xfId="19969"/>
    <cellStyle name="20% - 强调文字颜色 6 3 13" xfId="645"/>
    <cellStyle name="20% - 强调文字颜色 6 3 13 10" xfId="30276"/>
    <cellStyle name="20% - 强调文字颜色 6 3 13 11" xfId="31247"/>
    <cellStyle name="20% - 强调文字颜色 6 3 13 2" xfId="3272"/>
    <cellStyle name="20% - 强调文字颜色 6 3 13 3" xfId="6194"/>
    <cellStyle name="20% - 强调文字颜色 6 3 13 4" xfId="12343"/>
    <cellStyle name="20% - 强调文字颜色 6 3 13 5" xfId="14956"/>
    <cellStyle name="20% - 强调文字颜色 6 3 13 6" xfId="10397"/>
    <cellStyle name="20% - 强调文字颜色 6 3 13 7" xfId="18500"/>
    <cellStyle name="20% - 强调文字颜色 6 3 13 8" xfId="21757"/>
    <cellStyle name="20% - 强调文字颜色 6 3 13 9" xfId="21194"/>
    <cellStyle name="20% - 强调文字颜色 6 3 14" xfId="646"/>
    <cellStyle name="20% - 强调文字颜色 6 3 14 10" xfId="30277"/>
    <cellStyle name="20% - 强调文字颜色 6 3 14 11" xfId="32769"/>
    <cellStyle name="20% - 强调文字颜色 6 3 14 2" xfId="3273"/>
    <cellStyle name="20% - 强调文字颜色 6 3 14 3" xfId="6195"/>
    <cellStyle name="20% - 强调文字颜色 6 3 14 4" xfId="12344"/>
    <cellStyle name="20% - 强调文字颜色 6 3 14 5" xfId="14957"/>
    <cellStyle name="20% - 强调文字颜色 6 3 14 6" xfId="11530"/>
    <cellStyle name="20% - 强调文字颜色 6 3 14 7" xfId="18501"/>
    <cellStyle name="20% - 强调文字颜色 6 3 14 8" xfId="23262"/>
    <cellStyle name="20% - 强调文字颜色 6 3 14 9" xfId="20620"/>
    <cellStyle name="20% - 强调文字颜色 6 3 15" xfId="647"/>
    <cellStyle name="20% - 强调文字颜色 6 3 15 10" xfId="30278"/>
    <cellStyle name="20% - 强调文字颜色 6 3 15 11" xfId="31916"/>
    <cellStyle name="20% - 强调文字颜色 6 3 15 2" xfId="3274"/>
    <cellStyle name="20% - 强调文字颜色 6 3 15 3" xfId="6196"/>
    <cellStyle name="20% - 强调文字颜色 6 3 15 4" xfId="12345"/>
    <cellStyle name="20% - 强调文字颜色 6 3 15 5" xfId="14958"/>
    <cellStyle name="20% - 强调文字颜色 6 3 15 6" xfId="10393"/>
    <cellStyle name="20% - 强调文字颜色 6 3 15 7" xfId="18502"/>
    <cellStyle name="20% - 强调文字颜色 6 3 15 8" xfId="22279"/>
    <cellStyle name="20% - 强调文字颜色 6 3 15 9" xfId="19968"/>
    <cellStyle name="20% - 强调文字颜色 6 3 16" xfId="648"/>
    <cellStyle name="20% - 强调文字颜色 6 3 16 10" xfId="30279"/>
    <cellStyle name="20% - 强调文字颜色 6 3 16 11" xfId="31246"/>
    <cellStyle name="20% - 强调文字颜色 6 3 16 2" xfId="3275"/>
    <cellStyle name="20% - 强调文字颜色 6 3 16 3" xfId="6197"/>
    <cellStyle name="20% - 强调文字颜色 6 3 16 4" xfId="12346"/>
    <cellStyle name="20% - 强调文字颜色 6 3 16 5" xfId="14959"/>
    <cellStyle name="20% - 强调文字颜色 6 3 16 6" xfId="11532"/>
    <cellStyle name="20% - 强调文字颜色 6 3 16 7" xfId="18503"/>
    <cellStyle name="20% - 强调文字颜色 6 3 16 8" xfId="21756"/>
    <cellStyle name="20% - 强调文字颜色 6 3 16 9" xfId="21193"/>
    <cellStyle name="20% - 强调文字颜色 6 3 17" xfId="649"/>
    <cellStyle name="20% - 强调文字颜色 6 3 17 10" xfId="30280"/>
    <cellStyle name="20% - 强调文字颜色 6 3 17 11" xfId="32768"/>
    <cellStyle name="20% - 强调文字颜色 6 3 17 2" xfId="3276"/>
    <cellStyle name="20% - 强调文字颜色 6 3 17 3" xfId="6198"/>
    <cellStyle name="20% - 强调文字颜色 6 3 17 4" xfId="12347"/>
    <cellStyle name="20% - 强调文字颜色 6 3 17 5" xfId="14960"/>
    <cellStyle name="20% - 强调文字颜色 6 3 17 6" xfId="10395"/>
    <cellStyle name="20% - 强调文字颜色 6 3 17 7" xfId="18504"/>
    <cellStyle name="20% - 强调文字颜色 6 3 17 8" xfId="23261"/>
    <cellStyle name="20% - 强调文字颜色 6 3 17 9" xfId="20619"/>
    <cellStyle name="20% - 强调文字颜色 6 3 18" xfId="650"/>
    <cellStyle name="20% - 强调文字颜色 6 3 18 10" xfId="30281"/>
    <cellStyle name="20% - 强调文字颜色 6 3 18 11" xfId="31915"/>
    <cellStyle name="20% - 强调文字颜色 6 3 18 2" xfId="3277"/>
    <cellStyle name="20% - 强调文字颜色 6 3 18 3" xfId="6199"/>
    <cellStyle name="20% - 强调文字颜色 6 3 18 4" xfId="12348"/>
    <cellStyle name="20% - 强调文字颜色 6 3 18 5" xfId="14961"/>
    <cellStyle name="20% - 强调文字颜色 6 3 18 6" xfId="11531"/>
    <cellStyle name="20% - 强调文字颜色 6 3 18 7" xfId="18505"/>
    <cellStyle name="20% - 强调文字颜色 6 3 18 8" xfId="22278"/>
    <cellStyle name="20% - 强调文字颜色 6 3 18 9" xfId="19967"/>
    <cellStyle name="20% - 强调文字颜色 6 3 19" xfId="651"/>
    <cellStyle name="20% - 强调文字颜色 6 3 19 10" xfId="30282"/>
    <cellStyle name="20% - 强调文字颜色 6 3 19 11" xfId="31245"/>
    <cellStyle name="20% - 强调文字颜色 6 3 19 2" xfId="3278"/>
    <cellStyle name="20% - 强调文字颜色 6 3 19 3" xfId="6200"/>
    <cellStyle name="20% - 强调文字颜色 6 3 19 4" xfId="12349"/>
    <cellStyle name="20% - 强调文字颜色 6 3 19 5" xfId="14962"/>
    <cellStyle name="20% - 强调文字颜色 6 3 19 6" xfId="10394"/>
    <cellStyle name="20% - 强调文字颜色 6 3 19 7" xfId="18506"/>
    <cellStyle name="20% - 强调文字颜色 6 3 19 8" xfId="21755"/>
    <cellStyle name="20% - 强调文字颜色 6 3 19 9" xfId="21192"/>
    <cellStyle name="20% - 强调文字颜色 6 3 2" xfId="652"/>
    <cellStyle name="20% - 强调文字颜色 6 3 2 10" xfId="30283"/>
    <cellStyle name="20% - 强调文字颜色 6 3 2 11" xfId="32767"/>
    <cellStyle name="20% - 强调文字颜色 6 3 2 2" xfId="3279"/>
    <cellStyle name="20% - 强调文字颜色 6 3 2 3" xfId="6201"/>
    <cellStyle name="20% - 强调文字颜色 6 3 2 4" xfId="12350"/>
    <cellStyle name="20% - 强调文字颜色 6 3 2 5" xfId="14963"/>
    <cellStyle name="20% - 强调文字颜色 6 3 2 6" xfId="11527"/>
    <cellStyle name="20% - 强调文字颜色 6 3 2 7" xfId="18507"/>
    <cellStyle name="20% - 强调文字颜色 6 3 2 8" xfId="23260"/>
    <cellStyle name="20% - 强调文字颜色 6 3 2 9" xfId="20618"/>
    <cellStyle name="20% - 强调文字颜色 6 3 20" xfId="3268"/>
    <cellStyle name="20% - 强调文字颜色 6 3 20 2" xfId="8960"/>
    <cellStyle name="20% - 强调文字颜色 6 3 20 3" xfId="14964"/>
    <cellStyle name="20% - 强调文字颜色 6 3 20 4" xfId="24819"/>
    <cellStyle name="20% - 强调文字颜色 6 3 20 5" xfId="26745"/>
    <cellStyle name="20% - 强调文字颜色 6 3 20 6" xfId="28051"/>
    <cellStyle name="20% - 强调文字颜色 6 3 21" xfId="3281"/>
    <cellStyle name="20% - 强调文字颜色 6 3 21 2" xfId="8961"/>
    <cellStyle name="20% - 强调文字颜色 6 3 21 3" xfId="14965"/>
    <cellStyle name="20% - 强调文字颜色 6 3 21 4" xfId="24820"/>
    <cellStyle name="20% - 强调文字颜色 6 3 21 5" xfId="26746"/>
    <cellStyle name="20% - 强调文字颜色 6 3 21 6" xfId="28053"/>
    <cellStyle name="20% - 强调文字颜色 6 3 22" xfId="3282"/>
    <cellStyle name="20% - 强调文字颜色 6 3 22 2" xfId="8962"/>
    <cellStyle name="20% - 强调文字颜色 6 3 22 3" xfId="14966"/>
    <cellStyle name="20% - 强调文字颜色 6 3 22 4" xfId="24821"/>
    <cellStyle name="20% - 强调文字颜色 6 3 22 5" xfId="26747"/>
    <cellStyle name="20% - 强调文字颜色 6 3 22 6" xfId="28054"/>
    <cellStyle name="20% - 强调文字颜色 6 3 23" xfId="3283"/>
    <cellStyle name="20% - 强调文字颜色 6 3 23 2" xfId="8963"/>
    <cellStyle name="20% - 强调文字颜色 6 3 23 3" xfId="14967"/>
    <cellStyle name="20% - 强调文字颜色 6 3 23 4" xfId="24822"/>
    <cellStyle name="20% - 强调文字颜色 6 3 23 5" xfId="26748"/>
    <cellStyle name="20% - 强调文字颜色 6 3 23 6" xfId="28055"/>
    <cellStyle name="20% - 强调文字颜色 6 3 24" xfId="3284"/>
    <cellStyle name="20% - 强调文字颜色 6 3 24 2" xfId="8964"/>
    <cellStyle name="20% - 强调文字颜色 6 3 24 3" xfId="14968"/>
    <cellStyle name="20% - 强调文字颜色 6 3 24 4" xfId="24823"/>
    <cellStyle name="20% - 强调文字颜色 6 3 24 5" xfId="26749"/>
    <cellStyle name="20% - 强调文字颜色 6 3 24 6" xfId="28056"/>
    <cellStyle name="20% - 强调文字颜色 6 3 25" xfId="3285"/>
    <cellStyle name="20% - 强调文字颜色 6 3 25 2" xfId="8965"/>
    <cellStyle name="20% - 强调文字颜色 6 3 25 3" xfId="14969"/>
    <cellStyle name="20% - 强调文字颜色 6 3 25 4" xfId="24824"/>
    <cellStyle name="20% - 强调文字颜色 6 3 25 5" xfId="26750"/>
    <cellStyle name="20% - 强调文字颜色 6 3 25 6" xfId="28057"/>
    <cellStyle name="20% - 强调文字颜色 6 3 26" xfId="3286"/>
    <cellStyle name="20% - 强调文字颜色 6 3 26 2" xfId="8966"/>
    <cellStyle name="20% - 强调文字颜色 6 3 26 3" xfId="14970"/>
    <cellStyle name="20% - 强调文字颜色 6 3 26 4" xfId="24825"/>
    <cellStyle name="20% - 强调文字颜色 6 3 26 5" xfId="26751"/>
    <cellStyle name="20% - 强调文字颜色 6 3 26 6" xfId="28058"/>
    <cellStyle name="20% - 强调文字颜色 6 3 27" xfId="3287"/>
    <cellStyle name="20% - 强调文字颜色 6 3 27 2" xfId="8967"/>
    <cellStyle name="20% - 强调文字颜色 6 3 27 3" xfId="14971"/>
    <cellStyle name="20% - 强调文字颜色 6 3 27 4" xfId="24826"/>
    <cellStyle name="20% - 强调文字颜色 6 3 27 5" xfId="26752"/>
    <cellStyle name="20% - 强调文字颜色 6 3 27 6" xfId="28059"/>
    <cellStyle name="20% - 强调文字颜色 6 3 28" xfId="3288"/>
    <cellStyle name="20% - 强调文字颜色 6 3 28 2" xfId="8968"/>
    <cellStyle name="20% - 强调文字颜色 6 3 28 3" xfId="14972"/>
    <cellStyle name="20% - 强调文字颜色 6 3 28 4" xfId="24827"/>
    <cellStyle name="20% - 强调文字颜色 6 3 28 5" xfId="26753"/>
    <cellStyle name="20% - 强调文字颜色 6 3 28 6" xfId="28060"/>
    <cellStyle name="20% - 强调文字颜色 6 3 29" xfId="3289"/>
    <cellStyle name="20% - 强调文字颜色 6 3 29 2" xfId="8969"/>
    <cellStyle name="20% - 强调文字颜色 6 3 29 3" xfId="14973"/>
    <cellStyle name="20% - 强调文字颜色 6 3 29 4" xfId="24828"/>
    <cellStyle name="20% - 强调文字颜色 6 3 29 5" xfId="28061"/>
    <cellStyle name="20% - 强调文字颜色 6 3 3" xfId="653"/>
    <cellStyle name="20% - 强调文字颜色 6 3 3 10" xfId="30284"/>
    <cellStyle name="20% - 强调文字颜色 6 3 3 11" xfId="31244"/>
    <cellStyle name="20% - 强调文字颜色 6 3 3 2" xfId="3290"/>
    <cellStyle name="20% - 强调文字颜色 6 3 3 3" xfId="6202"/>
    <cellStyle name="20% - 强调文字颜色 6 3 3 4" xfId="12351"/>
    <cellStyle name="20% - 强调文字颜色 6 3 3 5" xfId="14974"/>
    <cellStyle name="20% - 强调文字颜色 6 3 3 6" xfId="10390"/>
    <cellStyle name="20% - 强调文字颜色 6 3 3 7" xfId="18508"/>
    <cellStyle name="20% - 强调文字颜色 6 3 3 8" xfId="22277"/>
    <cellStyle name="20% - 强调文字颜色 6 3 3 9" xfId="19966"/>
    <cellStyle name="20% - 强调文字颜色 6 3 30" xfId="3291"/>
    <cellStyle name="20% - 强调文字颜色 6 3 30 2" xfId="8970"/>
    <cellStyle name="20% - 强调文字颜色 6 3 30 3" xfId="14975"/>
    <cellStyle name="20% - 强调文字颜色 6 3 30 4" xfId="24829"/>
    <cellStyle name="20% - 强调文字颜色 6 3 30 5" xfId="28062"/>
    <cellStyle name="20% - 强调文字颜色 6 3 31" xfId="3292"/>
    <cellStyle name="20% - 强调文字颜色 6 3 31 2" xfId="8971"/>
    <cellStyle name="20% - 强调文字颜色 6 3 31 3" xfId="14976"/>
    <cellStyle name="20% - 强调文字颜色 6 3 31 4" xfId="24830"/>
    <cellStyle name="20% - 强调文字颜色 6 3 31 5" xfId="28063"/>
    <cellStyle name="20% - 强调文字颜色 6 3 32" xfId="3293"/>
    <cellStyle name="20% - 强调文字颜色 6 3 32 2" xfId="8972"/>
    <cellStyle name="20% - 强调文字颜色 6 3 32 3" xfId="14977"/>
    <cellStyle name="20% - 强调文字颜色 6 3 32 4" xfId="24831"/>
    <cellStyle name="20% - 强调文字颜色 6 3 32 5" xfId="28064"/>
    <cellStyle name="20% - 强调文字颜色 6 3 33" xfId="3294"/>
    <cellStyle name="20% - 强调文字颜色 6 3 33 2" xfId="8973"/>
    <cellStyle name="20% - 强调文字颜色 6 3 33 3" xfId="14978"/>
    <cellStyle name="20% - 强调文字颜色 6 3 33 4" xfId="24832"/>
    <cellStyle name="20% - 强调文字颜色 6 3 33 5" xfId="28065"/>
    <cellStyle name="20% - 强调文字颜色 6 3 34" xfId="3295"/>
    <cellStyle name="20% - 强调文字颜色 6 3 34 2" xfId="8974"/>
    <cellStyle name="20% - 强调文字颜色 6 3 34 3" xfId="14979"/>
    <cellStyle name="20% - 强调文字颜色 6 3 34 4" xfId="24833"/>
    <cellStyle name="20% - 强调文字颜色 6 3 34 5" xfId="28066"/>
    <cellStyle name="20% - 强调文字颜色 6 3 35" xfId="3296"/>
    <cellStyle name="20% - 强调文字颜色 6 3 35 2" xfId="8975"/>
    <cellStyle name="20% - 强调文字颜色 6 3 35 3" xfId="14980"/>
    <cellStyle name="20% - 强调文字颜色 6 3 35 4" xfId="24834"/>
    <cellStyle name="20% - 强调文字颜色 6 3 35 5" xfId="28067"/>
    <cellStyle name="20% - 强调文字颜色 6 3 36" xfId="3297"/>
    <cellStyle name="20% - 强调文字颜色 6 3 36 2" xfId="8976"/>
    <cellStyle name="20% - 强调文字颜色 6 3 36 3" xfId="14981"/>
    <cellStyle name="20% - 强调文字颜色 6 3 36 4" xfId="24835"/>
    <cellStyle name="20% - 强调文字颜色 6 3 36 5" xfId="28068"/>
    <cellStyle name="20% - 强调文字颜色 6 3 37" xfId="3298"/>
    <cellStyle name="20% - 强调文字颜色 6 3 37 2" xfId="8977"/>
    <cellStyle name="20% - 强调文字颜色 6 3 37 3" xfId="14982"/>
    <cellStyle name="20% - 强调文字颜色 6 3 37 4" xfId="24836"/>
    <cellStyle name="20% - 强调文字颜色 6 3 37 5" xfId="28069"/>
    <cellStyle name="20% - 强调文字颜色 6 3 38" xfId="3299"/>
    <cellStyle name="20% - 强调文字颜色 6 3 38 2" xfId="8978"/>
    <cellStyle name="20% - 强调文字颜色 6 3 38 3" xfId="14983"/>
    <cellStyle name="20% - 强调文字颜色 6 3 38 4" xfId="24837"/>
    <cellStyle name="20% - 强调文字颜色 6 3 38 5" xfId="28070"/>
    <cellStyle name="20% - 强调文字颜色 6 3 39" xfId="3300"/>
    <cellStyle name="20% - 强调文字颜色 6 3 39 2" xfId="8979"/>
    <cellStyle name="20% - 强调文字颜色 6 3 39 3" xfId="14984"/>
    <cellStyle name="20% - 强调文字颜色 6 3 39 4" xfId="24838"/>
    <cellStyle name="20% - 强调文字颜色 6 3 39 5" xfId="28071"/>
    <cellStyle name="20% - 强调文字颜色 6 3 4" xfId="654"/>
    <cellStyle name="20% - 强调文字颜色 6 3 4 10" xfId="30285"/>
    <cellStyle name="20% - 强调文字颜色 6 3 4 11" xfId="32272"/>
    <cellStyle name="20% - 强调文字颜色 6 3 4 2" xfId="3301"/>
    <cellStyle name="20% - 强调文字颜色 6 3 4 3" xfId="6203"/>
    <cellStyle name="20% - 强调文字颜色 6 3 4 4" xfId="12352"/>
    <cellStyle name="20% - 强调文字颜色 6 3 4 5" xfId="14985"/>
    <cellStyle name="20% - 强调文字颜色 6 3 4 6" xfId="11529"/>
    <cellStyle name="20% - 强调文字颜色 6 3 4 7" xfId="18509"/>
    <cellStyle name="20% - 强调文字颜色 6 3 4 8" xfId="21754"/>
    <cellStyle name="20% - 强调文字颜色 6 3 4 9" xfId="21191"/>
    <cellStyle name="20% - 强调文字颜色 6 3 40" xfId="3302"/>
    <cellStyle name="20% - 强调文字颜色 6 3 40 2" xfId="8980"/>
    <cellStyle name="20% - 强调文字颜色 6 3 40 3" xfId="14986"/>
    <cellStyle name="20% - 强调文字颜色 6 3 40 4" xfId="24839"/>
    <cellStyle name="20% - 强调文字颜色 6 3 40 5" xfId="28072"/>
    <cellStyle name="20% - 强调文字颜色 6 3 41" xfId="3303"/>
    <cellStyle name="20% - 强调文字颜色 6 3 41 2" xfId="8981"/>
    <cellStyle name="20% - 强调文字颜色 6 3 41 3" xfId="14987"/>
    <cellStyle name="20% - 强调文字颜色 6 3 41 4" xfId="24840"/>
    <cellStyle name="20% - 强调文字颜色 6 3 41 5" xfId="28073"/>
    <cellStyle name="20% - 强调文字颜色 6 3 42" xfId="6190"/>
    <cellStyle name="20% - 强调文字颜色 6 3 42 2" xfId="23568"/>
    <cellStyle name="20% - 强调文字颜色 6 3 42 3" xfId="26153"/>
    <cellStyle name="20% - 强调文字颜色 6 3 43" xfId="10985"/>
    <cellStyle name="20% - 强调文字颜色 6 3 43 2" xfId="23768"/>
    <cellStyle name="20% - 强调文字颜色 6 3 43 3" xfId="26353"/>
    <cellStyle name="20% - 强调文字颜色 6 3 44" xfId="12339"/>
    <cellStyle name="20% - 强调文字颜色 6 3 44 2" xfId="23860"/>
    <cellStyle name="20% - 强调文字颜色 6 3 44 3" xfId="26445"/>
    <cellStyle name="20% - 强调文字颜色 6 3 45" xfId="14952"/>
    <cellStyle name="20% - 强调文字颜色 6 3 45 2" xfId="23909"/>
    <cellStyle name="20% - 强调文字颜色 6 3 45 3" xfId="26494"/>
    <cellStyle name="20% - 强调文字颜色 6 3 46" xfId="10396"/>
    <cellStyle name="20% - 强调文字颜色 6 3 47" xfId="18496"/>
    <cellStyle name="20% - 强调文字颜色 6 3 48" xfId="22281"/>
    <cellStyle name="20% - 强调文字颜色 6 3 49" xfId="19959"/>
    <cellStyle name="20% - 强调文字颜色 6 3 5" xfId="655"/>
    <cellStyle name="20% - 强调文字颜色 6 3 5 10" xfId="30286"/>
    <cellStyle name="20% - 强调文字颜色 6 3 5 11" xfId="33157"/>
    <cellStyle name="20% - 强调文字颜色 6 3 5 2" xfId="3304"/>
    <cellStyle name="20% - 强调文字颜色 6 3 5 3" xfId="6204"/>
    <cellStyle name="20% - 强调文字颜色 6 3 5 4" xfId="12353"/>
    <cellStyle name="20% - 强调文字颜色 6 3 5 5" xfId="14988"/>
    <cellStyle name="20% - 强调文字颜色 6 3 5 6" xfId="10392"/>
    <cellStyle name="20% - 强调文字颜色 6 3 5 7" xfId="18510"/>
    <cellStyle name="20% - 强调文字颜色 6 3 5 8" xfId="23259"/>
    <cellStyle name="20% - 强调文字颜色 6 3 5 9" xfId="20617"/>
    <cellStyle name="20% - 强调文字颜色 6 3 50" xfId="30272"/>
    <cellStyle name="20% - 强调文字颜色 6 3 51" xfId="31918"/>
    <cellStyle name="20% - 强调文字颜色 6 3 6" xfId="656"/>
    <cellStyle name="20% - 强调文字颜色 6 3 6 10" xfId="30287"/>
    <cellStyle name="20% - 强调文字颜色 6 3 6 11" xfId="32766"/>
    <cellStyle name="20% - 强调文字颜色 6 3 6 2" xfId="3305"/>
    <cellStyle name="20% - 强调文字颜色 6 3 6 3" xfId="6205"/>
    <cellStyle name="20% - 强调文字颜色 6 3 6 4" xfId="12354"/>
    <cellStyle name="20% - 强调文字颜色 6 3 6 5" xfId="14989"/>
    <cellStyle name="20% - 强调文字颜色 6 3 6 6" xfId="11528"/>
    <cellStyle name="20% - 强调文字颜色 6 3 6 7" xfId="18511"/>
    <cellStyle name="20% - 强调文字颜色 6 3 6 8" xfId="22276"/>
    <cellStyle name="20% - 强调文字颜色 6 3 6 9" xfId="19965"/>
    <cellStyle name="20% - 强调文字颜色 6 3 7" xfId="657"/>
    <cellStyle name="20% - 强调文字颜色 6 3 7 10" xfId="30288"/>
    <cellStyle name="20% - 强调文字颜色 6 3 7 11" xfId="32502"/>
    <cellStyle name="20% - 强调文字颜色 6 3 7 2" xfId="3306"/>
    <cellStyle name="20% - 强调文字颜色 6 3 7 3" xfId="6206"/>
    <cellStyle name="20% - 强调文字颜色 6 3 7 4" xfId="12355"/>
    <cellStyle name="20% - 强调文字颜色 6 3 7 5" xfId="14990"/>
    <cellStyle name="20% - 强调文字颜色 6 3 7 6" xfId="10391"/>
    <cellStyle name="20% - 强调文字颜色 6 3 7 7" xfId="18512"/>
    <cellStyle name="20% - 强调文字颜色 6 3 7 8" xfId="21753"/>
    <cellStyle name="20% - 强调文字颜色 6 3 7 9" xfId="21190"/>
    <cellStyle name="20% - 强调文字颜色 6 3 8" xfId="658"/>
    <cellStyle name="20% - 强调文字颜色 6 3 8 10" xfId="30289"/>
    <cellStyle name="20% - 强调文字颜色 6 3 8 11" xfId="32271"/>
    <cellStyle name="20% - 强调文字颜色 6 3 8 2" xfId="3307"/>
    <cellStyle name="20% - 强调文字颜色 6 3 8 3" xfId="6207"/>
    <cellStyle name="20% - 强调文字颜色 6 3 8 4" xfId="12356"/>
    <cellStyle name="20% - 强调文字颜色 6 3 8 5" xfId="14991"/>
    <cellStyle name="20% - 强调文字颜色 6 3 8 6" xfId="11523"/>
    <cellStyle name="20% - 强调文字颜色 6 3 8 7" xfId="18513"/>
    <cellStyle name="20% - 强调文字颜色 6 3 8 8" xfId="23249"/>
    <cellStyle name="20% - 强调文字颜色 6 3 8 9" xfId="20616"/>
    <cellStyle name="20% - 强调文字颜色 6 3 9" xfId="659"/>
    <cellStyle name="20% - 强调文字颜色 6 3 9 10" xfId="30290"/>
    <cellStyle name="20% - 强调文字颜色 6 3 9 11" xfId="31809"/>
    <cellStyle name="20% - 强调文字颜色 6 3 9 2" xfId="3308"/>
    <cellStyle name="20% - 强调文字颜色 6 3 9 3" xfId="6208"/>
    <cellStyle name="20% - 强调文字颜色 6 3 9 4" xfId="12357"/>
    <cellStyle name="20% - 强调文字颜色 6 3 9 5" xfId="14992"/>
    <cellStyle name="20% - 强调文字颜色 6 3 9 6" xfId="10386"/>
    <cellStyle name="20% - 强调文字颜色 6 3 9 7" xfId="18514"/>
    <cellStyle name="20% - 强调文字颜色 6 3 9 8" xfId="22849"/>
    <cellStyle name="20% - 强调文字颜色 6 3 9 9" xfId="19964"/>
    <cellStyle name="20% - 强调文字颜色 6 30" xfId="3309"/>
    <cellStyle name="20% - 强调文字颜色 6 30 2" xfId="8982"/>
    <cellStyle name="20% - 强调文字颜色 6 30 3" xfId="14993"/>
    <cellStyle name="20% - 强调文字颜色 6 30 4" xfId="24841"/>
    <cellStyle name="20% - 强调文字颜色 6 30 5" xfId="26754"/>
    <cellStyle name="20% - 强调文字颜色 6 30 6" xfId="28074"/>
    <cellStyle name="20% - 强调文字颜色 6 31" xfId="3310"/>
    <cellStyle name="20% - 强调文字颜色 6 31 2" xfId="8983"/>
    <cellStyle name="20% - 强调文字颜色 6 31 3" xfId="14994"/>
    <cellStyle name="20% - 强调文字颜色 6 31 4" xfId="24842"/>
    <cellStyle name="20% - 强调文字颜色 6 31 5" xfId="26755"/>
    <cellStyle name="20% - 强调文字颜色 6 31 6" xfId="28075"/>
    <cellStyle name="20% - 强调文字颜色 6 32" xfId="3311"/>
    <cellStyle name="20% - 强调文字颜色 6 32 2" xfId="8984"/>
    <cellStyle name="20% - 强调文字颜色 6 32 3" xfId="14995"/>
    <cellStyle name="20% - 强调文字颜色 6 32 4" xfId="24843"/>
    <cellStyle name="20% - 强调文字颜色 6 32 5" xfId="26756"/>
    <cellStyle name="20% - 强调文字颜色 6 32 6" xfId="28076"/>
    <cellStyle name="20% - 强调文字颜色 6 33" xfId="3312"/>
    <cellStyle name="20% - 强调文字颜色 6 33 2" xfId="8985"/>
    <cellStyle name="20% - 强调文字颜色 6 33 3" xfId="14996"/>
    <cellStyle name="20% - 强调文字颜色 6 33 4" xfId="24844"/>
    <cellStyle name="20% - 强调文字颜色 6 33 5" xfId="28077"/>
    <cellStyle name="20% - 强调文字颜色 6 34" xfId="3313"/>
    <cellStyle name="20% - 强调文字颜色 6 34 2" xfId="8986"/>
    <cellStyle name="20% - 强调文字颜色 6 34 3" xfId="14997"/>
    <cellStyle name="20% - 强调文字颜色 6 34 4" xfId="24845"/>
    <cellStyle name="20% - 强调文字颜色 6 34 5" xfId="28078"/>
    <cellStyle name="20% - 强调文字颜色 6 35" xfId="3314"/>
    <cellStyle name="20% - 强调文字颜色 6 35 2" xfId="8987"/>
    <cellStyle name="20% - 强调文字颜色 6 35 3" xfId="14998"/>
    <cellStyle name="20% - 强调文字颜色 6 35 4" xfId="24846"/>
    <cellStyle name="20% - 强调文字颜色 6 35 5" xfId="28079"/>
    <cellStyle name="20% - 强调文字颜色 6 36" xfId="3315"/>
    <cellStyle name="20% - 强调文字颜色 6 36 2" xfId="8988"/>
    <cellStyle name="20% - 强调文字颜色 6 36 3" xfId="14999"/>
    <cellStyle name="20% - 强调文字颜色 6 36 4" xfId="24847"/>
    <cellStyle name="20% - 强调文字颜色 6 36 5" xfId="28080"/>
    <cellStyle name="20% - 强调文字颜色 6 37" xfId="3316"/>
    <cellStyle name="20% - 强调文字颜色 6 37 2" xfId="8989"/>
    <cellStyle name="20% - 强调文字颜色 6 37 3" xfId="15000"/>
    <cellStyle name="20% - 强调文字颜色 6 37 4" xfId="24848"/>
    <cellStyle name="20% - 强调文字颜色 6 37 5" xfId="28081"/>
    <cellStyle name="20% - 强调文字颜色 6 38" xfId="3317"/>
    <cellStyle name="20% - 强调文字颜色 6 38 2" xfId="8990"/>
    <cellStyle name="20% - 强调文字颜色 6 38 3" xfId="15001"/>
    <cellStyle name="20% - 强调文字颜色 6 38 4" xfId="24849"/>
    <cellStyle name="20% - 强调文字颜色 6 38 5" xfId="28082"/>
    <cellStyle name="20% - 强调文字颜色 6 39" xfId="3318"/>
    <cellStyle name="20% - 强调文字颜色 6 39 2" xfId="8991"/>
    <cellStyle name="20% - 强调文字颜色 6 39 3" xfId="15002"/>
    <cellStyle name="20% - 强调文字颜色 6 39 4" xfId="24850"/>
    <cellStyle name="20% - 强调文字颜色 6 39 5" xfId="28083"/>
    <cellStyle name="20% - 强调文字颜色 6 4" xfId="660"/>
    <cellStyle name="20% - 强调文字颜色 6 4 10" xfId="12358"/>
    <cellStyle name="20% - 强调文字颜色 6 4 11" xfId="15003"/>
    <cellStyle name="20% - 强调文字颜色 6 4 12" xfId="11525"/>
    <cellStyle name="20% - 强调文字颜色 6 4 13" xfId="18515"/>
    <cellStyle name="20% - 强调文字颜色 6 4 14" xfId="23258"/>
    <cellStyle name="20% - 强调文字颜色 6 4 15" xfId="21189"/>
    <cellStyle name="20% - 强调文字颜色 6 4 16" xfId="30291"/>
    <cellStyle name="20% - 强调文字颜色 6 4 17" xfId="32270"/>
    <cellStyle name="20% - 强调文字颜色 6 4 2" xfId="661"/>
    <cellStyle name="20% - 强调文字颜色 6 4 2 10" xfId="30292"/>
    <cellStyle name="20% - 强调文字颜色 6 4 2 11" xfId="31808"/>
    <cellStyle name="20% - 强调文字颜色 6 4 2 2" xfId="3320"/>
    <cellStyle name="20% - 强调文字颜色 6 4 2 3" xfId="6210"/>
    <cellStyle name="20% - 强调文字颜色 6 4 2 4" xfId="12359"/>
    <cellStyle name="20% - 强调文字颜色 6 4 2 5" xfId="15004"/>
    <cellStyle name="20% - 强调文字颜色 6 4 2 6" xfId="10388"/>
    <cellStyle name="20% - 强调文字颜色 6 4 2 7" xfId="18516"/>
    <cellStyle name="20% - 强调文字颜色 6 4 2 8" xfId="22275"/>
    <cellStyle name="20% - 强调文字颜色 6 4 2 9" xfId="20615"/>
    <cellStyle name="20% - 强调文字颜色 6 4 3" xfId="662"/>
    <cellStyle name="20% - 强调文字颜色 6 4 3 10" xfId="30293"/>
    <cellStyle name="20% - 强调文字颜色 6 4 3 11" xfId="33400"/>
    <cellStyle name="20% - 强调文字颜色 6 4 3 2" xfId="3321"/>
    <cellStyle name="20% - 强调文字颜色 6 4 3 3" xfId="6211"/>
    <cellStyle name="20% - 强调文字颜色 6 4 3 4" xfId="12360"/>
    <cellStyle name="20% - 强调文字颜色 6 4 3 5" xfId="15005"/>
    <cellStyle name="20% - 强调文字颜色 6 4 3 6" xfId="11524"/>
    <cellStyle name="20% - 强调文字颜色 6 4 3 7" xfId="18517"/>
    <cellStyle name="20% - 强调文字颜色 6 4 3 8" xfId="21744"/>
    <cellStyle name="20% - 强调文字颜色 6 4 3 9" xfId="19963"/>
    <cellStyle name="20% - 强调文字颜色 6 4 4" xfId="663"/>
    <cellStyle name="20% - 强调文字颜色 6 4 4 10" xfId="30294"/>
    <cellStyle name="20% - 强调文字颜色 6 4 4 11" xfId="33156"/>
    <cellStyle name="20% - 强调文字颜色 6 4 4 2" xfId="3322"/>
    <cellStyle name="20% - 强调文字颜色 6 4 4 3" xfId="6212"/>
    <cellStyle name="20% - 强调文字颜色 6 4 4 4" xfId="12361"/>
    <cellStyle name="20% - 强调文字颜色 6 4 4 5" xfId="15006"/>
    <cellStyle name="20% - 强调文字颜色 6 4 4 6" xfId="10387"/>
    <cellStyle name="20% - 强调文字颜色 6 4 4 7" xfId="18518"/>
    <cellStyle name="20% - 强调文字颜色 6 4 4 8" xfId="22631"/>
    <cellStyle name="20% - 强调文字颜色 6 4 4 9" xfId="21188"/>
    <cellStyle name="20% - 强调文字颜色 6 4 5" xfId="664"/>
    <cellStyle name="20% - 强调文字颜色 6 4 5 10" xfId="30295"/>
    <cellStyle name="20% - 强调文字颜色 6 4 5 11" xfId="32765"/>
    <cellStyle name="20% - 强调文字颜色 6 4 5 2" xfId="3323"/>
    <cellStyle name="20% - 强调文字颜色 6 4 5 3" xfId="6213"/>
    <cellStyle name="20% - 强调文字颜色 6 4 5 4" xfId="12362"/>
    <cellStyle name="20% - 强调文字颜色 6 4 5 5" xfId="15007"/>
    <cellStyle name="20% - 强调文字颜色 6 4 5 6" xfId="11520"/>
    <cellStyle name="20% - 强调文字颜色 6 4 5 7" xfId="18519"/>
    <cellStyle name="20% - 强调文字颜色 6 4 5 8" xfId="23257"/>
    <cellStyle name="20% - 强调文字颜色 6 4 5 9" xfId="20614"/>
    <cellStyle name="20% - 强调文字颜色 6 4 6" xfId="665"/>
    <cellStyle name="20% - 强调文字颜色 6 4 6 10" xfId="30296"/>
    <cellStyle name="20% - 强调文字颜色 6 4 6 11" xfId="32501"/>
    <cellStyle name="20% - 强调文字颜色 6 4 6 2" xfId="3324"/>
    <cellStyle name="20% - 强调文字颜色 6 4 6 3" xfId="6214"/>
    <cellStyle name="20% - 强调文字颜色 6 4 6 4" xfId="12363"/>
    <cellStyle name="20% - 强调文字颜色 6 4 6 5" xfId="15008"/>
    <cellStyle name="20% - 强调文字颜色 6 4 6 6" xfId="10383"/>
    <cellStyle name="20% - 强调文字颜色 6 4 6 7" xfId="18520"/>
    <cellStyle name="20% - 强调文字颜色 6 4 6 8" xfId="22274"/>
    <cellStyle name="20% - 强调文字颜色 6 4 6 9" xfId="19962"/>
    <cellStyle name="20% - 强调文字颜色 6 4 7" xfId="666"/>
    <cellStyle name="20% - 强调文字颜色 6 4 7 10" xfId="30297"/>
    <cellStyle name="20% - 强调文字颜色 6 4 7 11" xfId="32269"/>
    <cellStyle name="20% - 强调文字颜色 6 4 7 2" xfId="3325"/>
    <cellStyle name="20% - 强调文字颜色 6 4 7 3" xfId="6215"/>
    <cellStyle name="20% - 强调文字颜色 6 4 7 4" xfId="12364"/>
    <cellStyle name="20% - 强调文字颜色 6 4 7 5" xfId="15009"/>
    <cellStyle name="20% - 强调文字颜色 6 4 7 6" xfId="11522"/>
    <cellStyle name="20% - 强调文字颜色 6 4 7 7" xfId="18521"/>
    <cellStyle name="20% - 强调文字颜色 6 4 7 8" xfId="21752"/>
    <cellStyle name="20% - 强调文字颜色 6 4 7 9" xfId="21187"/>
    <cellStyle name="20% - 强调文字颜色 6 4 8" xfId="3319"/>
    <cellStyle name="20% - 强调文字颜色 6 4 9" xfId="6209"/>
    <cellStyle name="20% - 强调文字颜色 6 40" xfId="3326"/>
    <cellStyle name="20% - 强调文字颜色 6 40 2" xfId="8992"/>
    <cellStyle name="20% - 强调文字颜色 6 40 3" xfId="15010"/>
    <cellStyle name="20% - 强调文字颜色 6 40 4" xfId="24851"/>
    <cellStyle name="20% - 强调文字颜色 6 40 5" xfId="28084"/>
    <cellStyle name="20% - 强调文字颜色 6 41" xfId="3327"/>
    <cellStyle name="20% - 强调文字颜色 6 41 2" xfId="8993"/>
    <cellStyle name="20% - 强调文字颜色 6 41 3" xfId="15011"/>
    <cellStyle name="20% - 强调文字颜色 6 41 4" xfId="24852"/>
    <cellStyle name="20% - 强调文字颜色 6 41 5" xfId="28085"/>
    <cellStyle name="20% - 强调文字颜色 6 42" xfId="3328"/>
    <cellStyle name="20% - 强调文字颜色 6 42 2" xfId="8994"/>
    <cellStyle name="20% - 强调文字颜色 6 42 3" xfId="15012"/>
    <cellStyle name="20% - 强调文字颜色 6 42 4" xfId="24853"/>
    <cellStyle name="20% - 强调文字颜色 6 42 5" xfId="28086"/>
    <cellStyle name="20% - 强调文字颜色 6 43" xfId="3329"/>
    <cellStyle name="20% - 强调文字颜色 6 43 2" xfId="8995"/>
    <cellStyle name="20% - 强调文字颜色 6 43 3" xfId="15013"/>
    <cellStyle name="20% - 强调文字颜色 6 43 4" xfId="24854"/>
    <cellStyle name="20% - 强调文字颜色 6 43 5" xfId="28087"/>
    <cellStyle name="20% - 强调文字颜色 6 44" xfId="3330"/>
    <cellStyle name="20% - 强调文字颜色 6 44 2" xfId="8996"/>
    <cellStyle name="20% - 强调文字颜色 6 44 3" xfId="15014"/>
    <cellStyle name="20% - 强调文字颜色 6 44 4" xfId="24855"/>
    <cellStyle name="20% - 强调文字颜色 6 44 5" xfId="28088"/>
    <cellStyle name="20% - 强调文字颜色 6 45" xfId="3331"/>
    <cellStyle name="20% - 强调文字颜色 6 45 2" xfId="8997"/>
    <cellStyle name="20% - 强调文字颜色 6 45 3" xfId="15015"/>
    <cellStyle name="20% - 强调文字颜色 6 45 4" xfId="24856"/>
    <cellStyle name="20% - 强调文字颜色 6 45 5" xfId="28089"/>
    <cellStyle name="20% - 强调文字颜色 6 46" xfId="6143"/>
    <cellStyle name="20% - 强调文字颜色 6 46 2" xfId="8843"/>
    <cellStyle name="20% - 强调文字颜色 6 46 3" xfId="8052"/>
    <cellStyle name="20% - 强调文字颜色 6 47" xfId="10976"/>
    <cellStyle name="20% - 强调文字颜色 6 47 2" xfId="23763"/>
    <cellStyle name="20% - 强调文字颜色 6 47 3" xfId="26348"/>
    <cellStyle name="20% - 强调文字颜色 6 48" xfId="12293"/>
    <cellStyle name="20% - 强调文字颜色 6 48 2" xfId="23857"/>
    <cellStyle name="20% - 强调文字颜色 6 48 3" xfId="26442"/>
    <cellStyle name="20% - 强调文字颜色 6 49" xfId="14799"/>
    <cellStyle name="20% - 强调文字颜色 6 49 2" xfId="23908"/>
    <cellStyle name="20% - 强调文字颜色 6 49 3" xfId="26493"/>
    <cellStyle name="20% - 强调文字颜色 6 5" xfId="667"/>
    <cellStyle name="20% - 强调文字颜色 6 5 10" xfId="12365"/>
    <cellStyle name="20% - 强调文字颜色 6 5 11" xfId="15016"/>
    <cellStyle name="20% - 强调文字颜色 6 5 12" xfId="10385"/>
    <cellStyle name="20% - 强调文字颜色 6 5 13" xfId="18522"/>
    <cellStyle name="20% - 强调文字颜色 6 5 14" xfId="23256"/>
    <cellStyle name="20% - 强调文字颜色 6 5 15" xfId="20613"/>
    <cellStyle name="20% - 强调文字颜色 6 5 16" xfId="30298"/>
    <cellStyle name="20% - 强调文字颜色 6 5 17" xfId="31236"/>
    <cellStyle name="20% - 强调文字颜色 6 5 2" xfId="668"/>
    <cellStyle name="20% - 强调文字颜色 6 5 2 10" xfId="30299"/>
    <cellStyle name="20% - 强调文字颜色 6 5 2 11" xfId="32764"/>
    <cellStyle name="20% - 强调文字颜色 6 5 2 2" xfId="3333"/>
    <cellStyle name="20% - 强调文字颜色 6 5 2 3" xfId="6217"/>
    <cellStyle name="20% - 强调文字颜色 6 5 2 4" xfId="12366"/>
    <cellStyle name="20% - 强调文字颜色 6 5 2 5" xfId="15017"/>
    <cellStyle name="20% - 强调文字颜色 6 5 2 6" xfId="11521"/>
    <cellStyle name="20% - 强调文字颜色 6 5 2 7" xfId="18523"/>
    <cellStyle name="20% - 强调文字颜色 6 5 2 8" xfId="22273"/>
    <cellStyle name="20% - 强调文字颜色 6 5 2 9" xfId="19961"/>
    <cellStyle name="20% - 强调文字颜色 6 5 3" xfId="669"/>
    <cellStyle name="20% - 强调文字颜色 6 5 3 10" xfId="30300"/>
    <cellStyle name="20% - 强调文字颜色 6 5 3 11" xfId="31913"/>
    <cellStyle name="20% - 强调文字颜色 6 5 3 2" xfId="3334"/>
    <cellStyle name="20% - 强调文字颜色 6 5 3 3" xfId="6218"/>
    <cellStyle name="20% - 强调文字颜色 6 5 3 4" xfId="12367"/>
    <cellStyle name="20% - 强调文字颜色 6 5 3 5" xfId="15018"/>
    <cellStyle name="20% - 强调文字颜色 6 5 3 6" xfId="10384"/>
    <cellStyle name="20% - 强调文字颜色 6 5 3 7" xfId="18524"/>
    <cellStyle name="20% - 强调文字颜色 6 5 3 8" xfId="21751"/>
    <cellStyle name="20% - 强调文字颜色 6 5 3 9" xfId="21186"/>
    <cellStyle name="20% - 强调文字颜色 6 5 4" xfId="670"/>
    <cellStyle name="20% - 强调文字颜色 6 5 4 10" xfId="30301"/>
    <cellStyle name="20% - 强调文字颜色 6 5 4 11" xfId="31235"/>
    <cellStyle name="20% - 强调文字颜色 6 5 4 2" xfId="3335"/>
    <cellStyle name="20% - 强调文字颜色 6 5 4 3" xfId="6219"/>
    <cellStyle name="20% - 强调文字颜色 6 5 4 4" xfId="12368"/>
    <cellStyle name="20% - 强调文字颜色 6 5 4 5" xfId="15019"/>
    <cellStyle name="20% - 强调文字颜色 6 5 4 6" xfId="11517"/>
    <cellStyle name="20% - 强调文字颜色 6 5 4 7" xfId="18525"/>
    <cellStyle name="20% - 强调文字颜色 6 5 4 8" xfId="23255"/>
    <cellStyle name="20% - 强调文字颜色 6 5 4 9" xfId="20612"/>
    <cellStyle name="20% - 强调文字颜色 6 5 5" xfId="671"/>
    <cellStyle name="20% - 强调文字颜色 6 5 5 10" xfId="30302"/>
    <cellStyle name="20% - 强调文字颜色 6 5 5 11" xfId="32763"/>
    <cellStyle name="20% - 强调文字颜色 6 5 5 2" xfId="3336"/>
    <cellStyle name="20% - 强调文字颜色 6 5 5 3" xfId="6220"/>
    <cellStyle name="20% - 强调文字颜色 6 5 5 4" xfId="12369"/>
    <cellStyle name="20% - 强调文字颜色 6 5 5 5" xfId="15020"/>
    <cellStyle name="20% - 强调文字颜色 6 5 5 6" xfId="10380"/>
    <cellStyle name="20% - 强调文字颜色 6 5 5 7" xfId="18526"/>
    <cellStyle name="20% - 强调文字颜色 6 5 5 8" xfId="22272"/>
    <cellStyle name="20% - 强调文字颜色 6 5 5 9" xfId="19960"/>
    <cellStyle name="20% - 强调文字颜色 6 5 6" xfId="672"/>
    <cellStyle name="20% - 强调文字颜色 6 5 6 10" xfId="30303"/>
    <cellStyle name="20% - 强调文字颜色 6 5 6 11" xfId="31912"/>
    <cellStyle name="20% - 强调文字颜色 6 5 6 2" xfId="3337"/>
    <cellStyle name="20% - 强调文字颜色 6 5 6 3" xfId="6221"/>
    <cellStyle name="20% - 强调文字颜色 6 5 6 4" xfId="12370"/>
    <cellStyle name="20% - 强调文字颜色 6 5 6 5" xfId="15021"/>
    <cellStyle name="20% - 强调文字颜色 6 5 6 6" xfId="11519"/>
    <cellStyle name="20% - 强调文字颜色 6 5 6 7" xfId="18527"/>
    <cellStyle name="20% - 强调文字颜色 6 5 6 8" xfId="21750"/>
    <cellStyle name="20% - 强调文字颜色 6 5 6 9" xfId="21184"/>
    <cellStyle name="20% - 强调文字颜色 6 5 7" xfId="673"/>
    <cellStyle name="20% - 强调文字颜色 6 5 7 10" xfId="30304"/>
    <cellStyle name="20% - 强调文字颜色 6 5 7 11" xfId="31234"/>
    <cellStyle name="20% - 强调文字颜色 6 5 7 2" xfId="3338"/>
    <cellStyle name="20% - 强调文字颜色 6 5 7 3" xfId="6222"/>
    <cellStyle name="20% - 强调文字颜色 6 5 7 4" xfId="12371"/>
    <cellStyle name="20% - 强调文字颜色 6 5 7 5" xfId="15022"/>
    <cellStyle name="20% - 强调文字颜色 6 5 7 6" xfId="10382"/>
    <cellStyle name="20% - 强调文字颜色 6 5 7 7" xfId="18528"/>
    <cellStyle name="20% - 强调文字颜色 6 5 7 8" xfId="23254"/>
    <cellStyle name="20% - 强调文字颜色 6 5 7 9" xfId="20611"/>
    <cellStyle name="20% - 强调文字颜色 6 5 8" xfId="3332"/>
    <cellStyle name="20% - 强调文字颜色 6 5 9" xfId="6216"/>
    <cellStyle name="20% - 强调文字颜色 6 50" xfId="11562"/>
    <cellStyle name="20% - 强调文字颜色 6 50 2" xfId="27013"/>
    <cellStyle name="20% - 强调文字颜色 6 51" xfId="17437"/>
    <cellStyle name="20% - 强调文字颜色 6 52" xfId="17523"/>
    <cellStyle name="20% - 强调文字颜色 6 52 2" xfId="27145"/>
    <cellStyle name="20% - 强调文字颜色 6 53" xfId="17609"/>
    <cellStyle name="20% - 强调文字颜色 6 54" xfId="17695"/>
    <cellStyle name="20% - 强调文字颜色 6 55" xfId="17781"/>
    <cellStyle name="20% - 强调文字颜色 6 56" xfId="18448"/>
    <cellStyle name="20% - 强调文字颜色 6 56 2" xfId="21375"/>
    <cellStyle name="20% - 强调文字颜色 6 56 3" xfId="23458"/>
    <cellStyle name="20% - 强调文字颜色 6 57" xfId="22296"/>
    <cellStyle name="20% - 强调文字颜色 6 58" xfId="19984"/>
    <cellStyle name="20% - 强调文字颜色 6 6" xfId="674"/>
    <cellStyle name="20% - 强调文字颜色 6 6 10" xfId="15023"/>
    <cellStyle name="20% - 强调文字颜色 6 6 11" xfId="11518"/>
    <cellStyle name="20% - 强调文字颜色 6 6 12" xfId="18529"/>
    <cellStyle name="20% - 强调文字颜色 6 6 13" xfId="22271"/>
    <cellStyle name="20% - 强调文字颜色 6 6 14" xfId="19958"/>
    <cellStyle name="20% - 强调文字颜色 6 6 15" xfId="30305"/>
    <cellStyle name="20% - 强调文字颜色 6 6 16" xfId="32762"/>
    <cellStyle name="20% - 强调文字颜色 6 6 2" xfId="675"/>
    <cellStyle name="20% - 强调文字颜色 6 6 2 10" xfId="30306"/>
    <cellStyle name="20% - 强调文字颜色 6 6 2 11" xfId="31911"/>
    <cellStyle name="20% - 强调文字颜色 6 6 2 2" xfId="3340"/>
    <cellStyle name="20% - 强调文字颜色 6 6 2 3" xfId="6224"/>
    <cellStyle name="20% - 强调文字颜色 6 6 2 4" xfId="12373"/>
    <cellStyle name="20% - 强调文字颜色 6 6 2 5" xfId="15024"/>
    <cellStyle name="20% - 强调文字颜色 6 6 2 6" xfId="10381"/>
    <cellStyle name="20% - 强调文字颜色 6 6 2 7" xfId="18530"/>
    <cellStyle name="20% - 强调文字颜色 6 6 2 8" xfId="21749"/>
    <cellStyle name="20% - 强调文字颜色 6 6 2 9" xfId="21183"/>
    <cellStyle name="20% - 强调文字颜色 6 6 3" xfId="676"/>
    <cellStyle name="20% - 强调文字颜色 6 6 3 10" xfId="30307"/>
    <cellStyle name="20% - 强调文字颜色 6 6 3 11" xfId="31233"/>
    <cellStyle name="20% - 强调文字颜色 6 6 3 2" xfId="3341"/>
    <cellStyle name="20% - 强调文字颜色 6 6 3 3" xfId="6225"/>
    <cellStyle name="20% - 强调文字颜色 6 6 3 4" xfId="12374"/>
    <cellStyle name="20% - 强调文字颜色 6 6 3 5" xfId="15025"/>
    <cellStyle name="20% - 强调文字颜色 6 6 3 6" xfId="11513"/>
    <cellStyle name="20% - 强调文字颜色 6 6 3 7" xfId="18531"/>
    <cellStyle name="20% - 强调文字颜色 6 6 3 8" xfId="23253"/>
    <cellStyle name="20% - 强调文字颜色 6 6 3 9" xfId="20610"/>
    <cellStyle name="20% - 强调文字颜色 6 6 4" xfId="677"/>
    <cellStyle name="20% - 强调文字颜色 6 6 4 10" xfId="30308"/>
    <cellStyle name="20% - 强调文字颜色 6 6 4 11" xfId="32761"/>
    <cellStyle name="20% - 强调文字颜色 6 6 4 2" xfId="3342"/>
    <cellStyle name="20% - 强调文字颜色 6 6 4 3" xfId="6226"/>
    <cellStyle name="20% - 强调文字颜色 6 6 4 4" xfId="12375"/>
    <cellStyle name="20% - 强调文字颜色 6 6 4 5" xfId="15026"/>
    <cellStyle name="20% - 强调文字颜色 6 6 4 6" xfId="10376"/>
    <cellStyle name="20% - 强调文字颜色 6 6 4 7" xfId="18532"/>
    <cellStyle name="20% - 强调文字颜色 6 6 4 8" xfId="22270"/>
    <cellStyle name="20% - 强调文字颜色 6 6 4 9" xfId="19957"/>
    <cellStyle name="20% - 强调文字颜色 6 6 5" xfId="678"/>
    <cellStyle name="20% - 强调文字颜色 6 6 5 10" xfId="30309"/>
    <cellStyle name="20% - 强调文字颜色 6 6 5 11" xfId="31910"/>
    <cellStyle name="20% - 强调文字颜色 6 6 5 2" xfId="3343"/>
    <cellStyle name="20% - 强调文字颜色 6 6 5 3" xfId="6227"/>
    <cellStyle name="20% - 强调文字颜色 6 6 5 4" xfId="12376"/>
    <cellStyle name="20% - 强调文字颜色 6 6 5 5" xfId="15027"/>
    <cellStyle name="20% - 强调文字颜色 6 6 5 6" xfId="11515"/>
    <cellStyle name="20% - 强调文字颜色 6 6 5 7" xfId="18533"/>
    <cellStyle name="20% - 强调文字颜色 6 6 5 8" xfId="21748"/>
    <cellStyle name="20% - 强调文字颜色 6 6 5 9" xfId="21182"/>
    <cellStyle name="20% - 强调文字颜色 6 6 6" xfId="679"/>
    <cellStyle name="20% - 强调文字颜色 6 6 6 10" xfId="30310"/>
    <cellStyle name="20% - 强调文字颜色 6 6 6 11" xfId="31232"/>
    <cellStyle name="20% - 强调文字颜色 6 6 6 2" xfId="3344"/>
    <cellStyle name="20% - 强调文字颜色 6 6 6 3" xfId="6228"/>
    <cellStyle name="20% - 强调文字颜色 6 6 6 4" xfId="12377"/>
    <cellStyle name="20% - 强调文字颜色 6 6 6 5" xfId="15028"/>
    <cellStyle name="20% - 强调文字颜色 6 6 6 6" xfId="10378"/>
    <cellStyle name="20% - 强调文字颜色 6 6 6 7" xfId="18534"/>
    <cellStyle name="20% - 强调文字颜色 6 6 6 8" xfId="23252"/>
    <cellStyle name="20% - 强调文字颜色 6 6 6 9" xfId="20609"/>
    <cellStyle name="20% - 强调文字颜色 6 6 7" xfId="3339"/>
    <cellStyle name="20% - 强调文字颜色 6 6 8" xfId="6223"/>
    <cellStyle name="20% - 强调文字颜色 6 6 9" xfId="12372"/>
    <cellStyle name="20% - 强调文字颜色 6 7" xfId="680"/>
    <cellStyle name="20% - 强调文字颜色 6 7 10" xfId="22269"/>
    <cellStyle name="20% - 强调文字颜色 6 7 11" xfId="19956"/>
    <cellStyle name="20% - 强调文字颜色 6 7 12" xfId="30311"/>
    <cellStyle name="20% - 强调文字颜色 6 7 13" xfId="32760"/>
    <cellStyle name="20% - 强调文字颜色 6 7 2" xfId="681"/>
    <cellStyle name="20% - 强调文字颜色 6 7 2 10" xfId="30312"/>
    <cellStyle name="20% - 强调文字颜色 6 7 2 11" xfId="31900"/>
    <cellStyle name="20% - 强调文字颜色 6 7 2 2" xfId="3346"/>
    <cellStyle name="20% - 强调文字颜色 6 7 2 3" xfId="6230"/>
    <cellStyle name="20% - 强调文字颜色 6 7 2 4" xfId="12379"/>
    <cellStyle name="20% - 强调文字颜色 6 7 2 5" xfId="15030"/>
    <cellStyle name="20% - 强调文字颜色 6 7 2 6" xfId="10377"/>
    <cellStyle name="20% - 强调文字颜色 6 7 2 7" xfId="18536"/>
    <cellStyle name="20% - 强调文字颜色 6 7 2 8" xfId="21747"/>
    <cellStyle name="20% - 强调文字颜色 6 7 2 9" xfId="21181"/>
    <cellStyle name="20% - 强调文字颜色 6 7 3" xfId="682"/>
    <cellStyle name="20% - 强调文字颜色 6 7 3 10" xfId="30313"/>
    <cellStyle name="20% - 强调文字颜色 6 7 3 11" xfId="31231"/>
    <cellStyle name="20% - 强调文字颜色 6 7 3 2" xfId="3347"/>
    <cellStyle name="20% - 强调文字颜色 6 7 3 3" xfId="6231"/>
    <cellStyle name="20% - 强调文字颜色 6 7 3 4" xfId="12380"/>
    <cellStyle name="20% - 强调文字颜色 6 7 3 5" xfId="15031"/>
    <cellStyle name="20% - 强调文字颜色 6 7 3 6" xfId="11510"/>
    <cellStyle name="20% - 强调文字颜色 6 7 3 7" xfId="18537"/>
    <cellStyle name="20% - 强调文字颜色 6 7 3 8" xfId="23251"/>
    <cellStyle name="20% - 强调文字颜色 6 7 3 9" xfId="20608"/>
    <cellStyle name="20% - 强调文字颜色 6 7 4" xfId="3345"/>
    <cellStyle name="20% - 强调文字颜色 6 7 5" xfId="6229"/>
    <cellStyle name="20% - 强调文字颜色 6 7 6" xfId="12378"/>
    <cellStyle name="20% - 强调文字颜色 6 7 7" xfId="15029"/>
    <cellStyle name="20% - 强调文字颜色 6 7 8" xfId="11514"/>
    <cellStyle name="20% - 强调文字颜色 6 7 9" xfId="18535"/>
    <cellStyle name="20% - 强调文字颜色 6 8" xfId="683"/>
    <cellStyle name="20% - 强调文字颜色 6 8 10" xfId="15032"/>
    <cellStyle name="20% - 强调文字颜色 6 8 11" xfId="10373"/>
    <cellStyle name="20% - 强调文字颜色 6 8 12" xfId="18538"/>
    <cellStyle name="20% - 强调文字颜色 6 8 13" xfId="22268"/>
    <cellStyle name="20% - 强调文字颜色 6 8 14" xfId="19955"/>
    <cellStyle name="20% - 强调文字颜色 6 8 15" xfId="30314"/>
    <cellStyle name="20% - 强调文字颜色 6 8 16" xfId="33398"/>
    <cellStyle name="20% - 强调文字颜色 6 8 2" xfId="684"/>
    <cellStyle name="20% - 强调文字颜色 6 8 2 10" xfId="30315"/>
    <cellStyle name="20% - 强调文字颜色 6 8 2 11" xfId="33153"/>
    <cellStyle name="20% - 强调文字颜色 6 8 2 2" xfId="3349"/>
    <cellStyle name="20% - 强调文字颜色 6 8 2 3" xfId="6233"/>
    <cellStyle name="20% - 强调文字颜色 6 8 2 4" xfId="12382"/>
    <cellStyle name="20% - 强调文字颜色 6 8 2 5" xfId="15033"/>
    <cellStyle name="20% - 强调文字颜色 6 8 2 6" xfId="11512"/>
    <cellStyle name="20% - 强调文字颜色 6 8 2 7" xfId="18539"/>
    <cellStyle name="20% - 强调文字颜色 6 8 2 8" xfId="21746"/>
    <cellStyle name="20% - 强调文字颜色 6 8 2 9" xfId="21180"/>
    <cellStyle name="20% - 强调文字颜色 6 8 3" xfId="685"/>
    <cellStyle name="20% - 强调文字颜色 6 8 3 10" xfId="30316"/>
    <cellStyle name="20% - 强调文字颜色 6 8 3 11" xfId="32748"/>
    <cellStyle name="20% - 强调文字颜色 6 8 3 2" xfId="3350"/>
    <cellStyle name="20% - 强调文字颜色 6 8 3 3" xfId="6234"/>
    <cellStyle name="20% - 强调文字颜色 6 8 3 4" xfId="12383"/>
    <cellStyle name="20% - 强调文字颜色 6 8 3 5" xfId="15034"/>
    <cellStyle name="20% - 强调文字颜色 6 8 3 6" xfId="10375"/>
    <cellStyle name="20% - 强调文字颜色 6 8 3 7" xfId="18540"/>
    <cellStyle name="20% - 强调文字颜色 6 8 3 8" xfId="23250"/>
    <cellStyle name="20% - 强调文字颜色 6 8 3 9" xfId="20607"/>
    <cellStyle name="20% - 强调文字颜色 6 8 4" xfId="686"/>
    <cellStyle name="20% - 强调文字颜色 6 8 4 10" xfId="30317"/>
    <cellStyle name="20% - 强调文字颜色 6 8 4 11" xfId="32499"/>
    <cellStyle name="20% - 强调文字颜色 6 8 4 2" xfId="3351"/>
    <cellStyle name="20% - 强调文字颜色 6 8 4 3" xfId="6235"/>
    <cellStyle name="20% - 强调文字颜色 6 8 4 4" xfId="12384"/>
    <cellStyle name="20% - 强调文字颜色 6 8 4 5" xfId="15035"/>
    <cellStyle name="20% - 强调文字颜色 6 8 4 6" xfId="11511"/>
    <cellStyle name="20% - 强调文字颜色 6 8 4 7" xfId="18541"/>
    <cellStyle name="20% - 强调文字颜色 6 8 4 8" xfId="22267"/>
    <cellStyle name="20% - 强调文字颜色 6 8 4 9" xfId="19954"/>
    <cellStyle name="20% - 强调文字颜色 6 8 5" xfId="687"/>
    <cellStyle name="20% - 强调文字颜色 6 8 5 2" xfId="6236"/>
    <cellStyle name="20% - 强调文字颜色 6 8 5 3" xfId="12385"/>
    <cellStyle name="20% - 强调文字颜色 6 8 5 4" xfId="10374"/>
    <cellStyle name="20% - 强调文字颜色 6 8 5 5" xfId="18542"/>
    <cellStyle name="20% - 强调文字颜色 6 8 5 6" xfId="21745"/>
    <cellStyle name="20% - 强调文字颜色 6 8 5 7" xfId="21179"/>
    <cellStyle name="20% - 强调文字颜色 6 8 5 8" xfId="31536"/>
    <cellStyle name="20% - 强调文字颜色 6 8 5 9" xfId="32574"/>
    <cellStyle name="20% - 强调文字颜色 6 8 6" xfId="3348"/>
    <cellStyle name="20% - 强调文字颜色 6 8 7" xfId="6232"/>
    <cellStyle name="20% - 强调文字颜色 6 8 8" xfId="10986"/>
    <cellStyle name="20% - 强调文字颜色 6 8 9" xfId="12381"/>
    <cellStyle name="20% - 强调文字颜色 6 9" xfId="688"/>
    <cellStyle name="20% - 强调文字颜色 6 9 10" xfId="15036"/>
    <cellStyle name="20% - 强调文字颜色 6 9 11" xfId="11507"/>
    <cellStyle name="20% - 强调文字颜色 6 9 12" xfId="18543"/>
    <cellStyle name="20% - 强调文字颜色 6 9 13" xfId="23248"/>
    <cellStyle name="20% - 强调文字颜色 6 9 14" xfId="20606"/>
    <cellStyle name="20% - 强调文字颜色 6 9 15" xfId="30318"/>
    <cellStyle name="20% - 强调文字颜色 6 9 16" xfId="32267"/>
    <cellStyle name="20% - 强调文字颜色 6 9 2" xfId="689"/>
    <cellStyle name="20% - 强调文字颜色 6 9 2 10" xfId="30319"/>
    <cellStyle name="20% - 强调文字颜色 6 9 2 11" xfId="31806"/>
    <cellStyle name="20% - 强调文字颜色 6 9 2 2" xfId="3353"/>
    <cellStyle name="20% - 强调文字颜色 6 9 2 3" xfId="6238"/>
    <cellStyle name="20% - 强调文字颜色 6 9 2 4" xfId="12387"/>
    <cellStyle name="20% - 强调文字颜色 6 9 2 5" xfId="15037"/>
    <cellStyle name="20% - 强调文字颜色 6 9 2 6" xfId="10370"/>
    <cellStyle name="20% - 强调文字颜色 6 9 2 7" xfId="18544"/>
    <cellStyle name="20% - 强调文字颜色 6 9 2 8" xfId="22265"/>
    <cellStyle name="20% - 强调文字颜色 6 9 2 9" xfId="19953"/>
    <cellStyle name="20% - 强调文字颜色 6 9 3" xfId="690"/>
    <cellStyle name="20% - 强调文字颜色 6 9 3 10" xfId="30320"/>
    <cellStyle name="20% - 强调文字颜色 6 9 3 11" xfId="32759"/>
    <cellStyle name="20% - 强调文字颜色 6 9 3 2" xfId="3354"/>
    <cellStyle name="20% - 强调文字颜色 6 9 3 3" xfId="6239"/>
    <cellStyle name="20% - 强调文字颜色 6 9 3 4" xfId="12388"/>
    <cellStyle name="20% - 强调文字颜色 6 9 3 5" xfId="15038"/>
    <cellStyle name="20% - 强调文字颜色 6 9 3 6" xfId="11509"/>
    <cellStyle name="20% - 强调文字颜色 6 9 3 7" xfId="18545"/>
    <cellStyle name="20% - 强调文字颜色 6 9 3 8" xfId="21743"/>
    <cellStyle name="20% - 强调文字颜色 6 9 3 9" xfId="21178"/>
    <cellStyle name="20% - 强调文字颜色 6 9 4" xfId="691"/>
    <cellStyle name="20% - 强调文字颜色 6 9 4 10" xfId="30321"/>
    <cellStyle name="20% - 强调文字颜色 6 9 4 11" xfId="31909"/>
    <cellStyle name="20% - 强调文字颜色 6 9 4 2" xfId="3355"/>
    <cellStyle name="20% - 强调文字颜色 6 9 4 3" xfId="6240"/>
    <cellStyle name="20% - 强调文字颜色 6 9 4 4" xfId="12389"/>
    <cellStyle name="20% - 强调文字颜色 6 9 4 5" xfId="15039"/>
    <cellStyle name="20% - 强调文字颜色 6 9 4 6" xfId="10372"/>
    <cellStyle name="20% - 强调文字颜色 6 9 4 7" xfId="18546"/>
    <cellStyle name="20% - 强调文字颜色 6 9 4 8" xfId="23247"/>
    <cellStyle name="20% - 强调文字颜色 6 9 4 9" xfId="20605"/>
    <cellStyle name="20% - 强调文字颜色 6 9 5" xfId="692"/>
    <cellStyle name="20% - 强调文字颜色 6 9 5 2" xfId="6241"/>
    <cellStyle name="20% - 强调文字颜色 6 9 5 3" xfId="12390"/>
    <cellStyle name="20% - 强调文字颜色 6 9 5 4" xfId="11508"/>
    <cellStyle name="20% - 强调文字颜色 6 9 5 5" xfId="18547"/>
    <cellStyle name="20% - 强调文字颜色 6 9 5 6" xfId="22264"/>
    <cellStyle name="20% - 强调文字颜色 6 9 5 7" xfId="19952"/>
    <cellStyle name="20% - 强调文字颜色 6 9 5 8" xfId="31537"/>
    <cellStyle name="20% - 强调文字颜色 6 9 5 9" xfId="31882"/>
    <cellStyle name="20% - 强调文字颜色 6 9 6" xfId="3352"/>
    <cellStyle name="20% - 强调文字颜色 6 9 7" xfId="6237"/>
    <cellStyle name="20% - 强调文字颜色 6 9 8" xfId="10987"/>
    <cellStyle name="20% - 强调文字颜色 6 9 9" xfId="12386"/>
    <cellStyle name="40% - 强调文字颜色 1" xfId="693" builtinId="31" customBuiltin="1"/>
    <cellStyle name="40% - 强调文字颜色 1 10" xfId="694"/>
    <cellStyle name="40% - 强调文字颜色 1 10 10" xfId="15041"/>
    <cellStyle name="40% - 强调文字颜色 1 10 11" xfId="11503"/>
    <cellStyle name="40% - 强调文字颜色 1 10 12" xfId="18549"/>
    <cellStyle name="40% - 强调文字颜色 1 10 13" xfId="23246"/>
    <cellStyle name="40% - 强调文字颜色 1 10 14" xfId="20301"/>
    <cellStyle name="40% - 强调文字颜色 1 10 15" xfId="30322"/>
    <cellStyle name="40% - 强调文字颜色 1 10 16" xfId="32758"/>
    <cellStyle name="40% - 强调文字颜色 1 10 2" xfId="695"/>
    <cellStyle name="40% - 强调文字颜色 1 10 2 10" xfId="30323"/>
    <cellStyle name="40% - 强调文字颜色 1 10 2 11" xfId="31908"/>
    <cellStyle name="40% - 强调文字颜色 1 10 2 2" xfId="3358"/>
    <cellStyle name="40% - 强调文字颜色 1 10 2 3" xfId="6244"/>
    <cellStyle name="40% - 强调文字颜色 1 10 2 4" xfId="12393"/>
    <cellStyle name="40% - 强调文字颜色 1 10 2 5" xfId="15042"/>
    <cellStyle name="40% - 强调文字颜色 1 10 2 6" xfId="10366"/>
    <cellStyle name="40% - 强调文字颜色 1 10 2 7" xfId="18550"/>
    <cellStyle name="40% - 强调文字颜色 1 10 2 8" xfId="22263"/>
    <cellStyle name="40% - 强调文字颜色 1 10 2 9" xfId="21162"/>
    <cellStyle name="40% - 强调文字颜色 1 10 3" xfId="696"/>
    <cellStyle name="40% - 强调文字颜色 1 10 3 10" xfId="30324"/>
    <cellStyle name="40% - 强调文字颜色 1 10 3 11" xfId="31230"/>
    <cellStyle name="40% - 强调文字颜色 1 10 3 2" xfId="3359"/>
    <cellStyle name="40% - 强调文字颜色 1 10 3 3" xfId="6245"/>
    <cellStyle name="40% - 强调文字颜色 1 10 3 4" xfId="12394"/>
    <cellStyle name="40% - 强调文字颜色 1 10 3 5" xfId="15043"/>
    <cellStyle name="40% - 强调文字颜色 1 10 3 6" xfId="11505"/>
    <cellStyle name="40% - 强调文字颜色 1 10 3 7" xfId="18551"/>
    <cellStyle name="40% - 强调文字颜色 1 10 3 8" xfId="21741"/>
    <cellStyle name="40% - 强调文字颜色 1 10 3 9" xfId="20837"/>
    <cellStyle name="40% - 强调文字颜色 1 10 4" xfId="697"/>
    <cellStyle name="40% - 强调文字颜色 1 10 4 10" xfId="30325"/>
    <cellStyle name="40% - 强调文字颜色 1 10 4 11" xfId="32757"/>
    <cellStyle name="40% - 强调文字颜色 1 10 4 2" xfId="3360"/>
    <cellStyle name="40% - 强调文字颜色 1 10 4 3" xfId="6246"/>
    <cellStyle name="40% - 强调文字颜色 1 10 4 4" xfId="12395"/>
    <cellStyle name="40% - 强调文字颜色 1 10 4 5" xfId="15044"/>
    <cellStyle name="40% - 强调文字颜色 1 10 4 6" xfId="10368"/>
    <cellStyle name="40% - 强调文字颜色 1 10 4 7" xfId="18552"/>
    <cellStyle name="40% - 强调文字颜色 1 10 4 8" xfId="23245"/>
    <cellStyle name="40% - 强调文字颜色 1 10 4 9" xfId="20752"/>
    <cellStyle name="40% - 强调文字颜色 1 10 5" xfId="698"/>
    <cellStyle name="40% - 强调文字颜色 1 10 5 2" xfId="6247"/>
    <cellStyle name="40% - 强调文字颜色 1 10 5 3" xfId="12396"/>
    <cellStyle name="40% - 强调文字颜色 1 10 5 4" xfId="11504"/>
    <cellStyle name="40% - 强调文字颜色 1 10 5 5" xfId="18553"/>
    <cellStyle name="40% - 强调文字颜色 1 10 5 6" xfId="22262"/>
    <cellStyle name="40% - 强调文字颜色 1 10 5 7" xfId="20196"/>
    <cellStyle name="40% - 强调文字颜色 1 10 5 8" xfId="31538"/>
    <cellStyle name="40% - 强调文字颜色 1 10 5 9" xfId="32965"/>
    <cellStyle name="40% - 强调文字颜色 1 10 6" xfId="3357"/>
    <cellStyle name="40% - 强调文字颜色 1 10 7" xfId="6243"/>
    <cellStyle name="40% - 强调文字颜色 1 10 8" xfId="10989"/>
    <cellStyle name="40% - 强调文字颜色 1 10 9" xfId="12392"/>
    <cellStyle name="40% - 强调文字颜色 1 11" xfId="699"/>
    <cellStyle name="40% - 强调文字颜色 1 11 10" xfId="15045"/>
    <cellStyle name="40% - 强调文字颜色 1 11 11" xfId="10367"/>
    <cellStyle name="40% - 强调文字颜色 1 11 12" xfId="18554"/>
    <cellStyle name="40% - 强调文字颜色 1 11 13" xfId="21740"/>
    <cellStyle name="40% - 强调文字颜色 1 11 14" xfId="21177"/>
    <cellStyle name="40% - 强调文字颜色 1 11 15" xfId="30326"/>
    <cellStyle name="40% - 强调文字颜色 1 11 16" xfId="31907"/>
    <cellStyle name="40% - 强调文字颜色 1 11 2" xfId="700"/>
    <cellStyle name="40% - 强调文字颜色 1 11 2 10" xfId="30327"/>
    <cellStyle name="40% - 强调文字颜色 1 11 2 11" xfId="31229"/>
    <cellStyle name="40% - 强调文字颜色 1 11 2 2" xfId="3362"/>
    <cellStyle name="40% - 强调文字颜色 1 11 2 3" xfId="6249"/>
    <cellStyle name="40% - 强调文字颜色 1 11 2 4" xfId="12398"/>
    <cellStyle name="40% - 强调文字颜色 1 11 2 5" xfId="15046"/>
    <cellStyle name="40% - 强调文字颜色 1 11 2 6" xfId="11500"/>
    <cellStyle name="40% - 强调文字颜色 1 11 2 7" xfId="18555"/>
    <cellStyle name="40% - 强调文字颜色 1 11 2 8" xfId="23244"/>
    <cellStyle name="40% - 强调文字颜色 1 11 2 9" xfId="20604"/>
    <cellStyle name="40% - 强调文字颜色 1 11 3" xfId="701"/>
    <cellStyle name="40% - 强调文字颜色 1 11 3 10" xfId="30328"/>
    <cellStyle name="40% - 强调文字颜色 1 11 3 11" xfId="32756"/>
    <cellStyle name="40% - 强调文字颜色 1 11 3 2" xfId="3363"/>
    <cellStyle name="40% - 强调文字颜色 1 11 3 3" xfId="6250"/>
    <cellStyle name="40% - 强调文字颜色 1 11 3 4" xfId="12399"/>
    <cellStyle name="40% - 强调文字颜色 1 11 3 5" xfId="15047"/>
    <cellStyle name="40% - 强调文字颜色 1 11 3 6" xfId="10363"/>
    <cellStyle name="40% - 强调文字颜色 1 11 3 7" xfId="18556"/>
    <cellStyle name="40% - 强调文字颜色 1 11 3 8" xfId="22261"/>
    <cellStyle name="40% - 强调文字颜色 1 11 3 9" xfId="19951"/>
    <cellStyle name="40% - 强调文字颜色 1 11 4" xfId="702"/>
    <cellStyle name="40% - 强调文字颜色 1 11 4 10" xfId="30329"/>
    <cellStyle name="40% - 强调文字颜色 1 11 4 11" xfId="31906"/>
    <cellStyle name="40% - 强调文字颜色 1 11 4 2" xfId="3364"/>
    <cellStyle name="40% - 强调文字颜色 1 11 4 3" xfId="6251"/>
    <cellStyle name="40% - 强调文字颜色 1 11 4 4" xfId="12400"/>
    <cellStyle name="40% - 强调文字颜色 1 11 4 5" xfId="15048"/>
    <cellStyle name="40% - 强调文字颜色 1 11 4 6" xfId="11502"/>
    <cellStyle name="40% - 强调文字颜色 1 11 4 7" xfId="18557"/>
    <cellStyle name="40% - 强调文字颜色 1 11 4 8" xfId="21739"/>
    <cellStyle name="40% - 强调文字颜色 1 11 4 9" xfId="21176"/>
    <cellStyle name="40% - 强调文字颜色 1 11 5" xfId="703"/>
    <cellStyle name="40% - 强调文字颜色 1 11 5 2" xfId="6252"/>
    <cellStyle name="40% - 强调文字颜色 1 11 5 3" xfId="12401"/>
    <cellStyle name="40% - 强调文字颜色 1 11 5 4" xfId="10365"/>
    <cellStyle name="40% - 强调文字颜色 1 11 5 5" xfId="18558"/>
    <cellStyle name="40% - 强调文字颜色 1 11 5 6" xfId="23243"/>
    <cellStyle name="40% - 强调文字颜色 1 11 5 7" xfId="20603"/>
    <cellStyle name="40% - 强调文字颜色 1 11 5 8" xfId="31539"/>
    <cellStyle name="40% - 强调文字颜色 1 11 5 9" xfId="30833"/>
    <cellStyle name="40% - 强调文字颜色 1 11 6" xfId="3361"/>
    <cellStyle name="40% - 强调文字颜色 1 11 6 2" xfId="23632"/>
    <cellStyle name="40% - 强调文字颜色 1 11 6 3" xfId="26217"/>
    <cellStyle name="40% - 强调文字颜色 1 11 7" xfId="6248"/>
    <cellStyle name="40% - 强调文字颜色 1 11 7 2" xfId="23684"/>
    <cellStyle name="40% - 强调文字颜色 1 11 7 3" xfId="26269"/>
    <cellStyle name="40% - 强调文字颜色 1 11 8" xfId="10990"/>
    <cellStyle name="40% - 强调文字颜色 1 11 8 2" xfId="23770"/>
    <cellStyle name="40% - 强调文字颜色 1 11 8 3" xfId="26355"/>
    <cellStyle name="40% - 强调文字颜色 1 11 9" xfId="12397"/>
    <cellStyle name="40% - 强调文字颜色 1 12" xfId="704"/>
    <cellStyle name="40% - 强调文字颜色 1 12 10" xfId="15049"/>
    <cellStyle name="40% - 强调文字颜色 1 12 11" xfId="11501"/>
    <cellStyle name="40% - 强调文字颜色 1 12 12" xfId="18559"/>
    <cellStyle name="40% - 强调文字颜色 1 12 13" xfId="22260"/>
    <cellStyle name="40% - 强调文字颜色 1 12 14" xfId="19950"/>
    <cellStyle name="40% - 强调文字颜色 1 12 15" xfId="30330"/>
    <cellStyle name="40% - 强调文字颜色 1 12 16" xfId="31228"/>
    <cellStyle name="40% - 强调文字颜色 1 12 2" xfId="705"/>
    <cellStyle name="40% - 强调文字颜色 1 12 2 10" xfId="30331"/>
    <cellStyle name="40% - 强调文字颜色 1 12 2 11" xfId="33399"/>
    <cellStyle name="40% - 强调文字颜色 1 12 2 2" xfId="3366"/>
    <cellStyle name="40% - 强调文字颜色 1 12 2 3" xfId="6254"/>
    <cellStyle name="40% - 强调文字颜色 1 12 2 4" xfId="12403"/>
    <cellStyle name="40% - 强调文字颜色 1 12 2 5" xfId="15050"/>
    <cellStyle name="40% - 强调文字颜色 1 12 2 6" xfId="10364"/>
    <cellStyle name="40% - 强调文字颜色 1 12 2 7" xfId="18560"/>
    <cellStyle name="40% - 强调文字颜色 1 12 2 8" xfId="21738"/>
    <cellStyle name="40% - 强调文字颜色 1 12 2 9" xfId="21175"/>
    <cellStyle name="40% - 强调文字颜色 1 12 3" xfId="706"/>
    <cellStyle name="40% - 强调文字颜色 1 12 3 10" xfId="30332"/>
    <cellStyle name="40% - 强调文字颜色 1 12 3 11" xfId="33154"/>
    <cellStyle name="40% - 强调文字颜色 1 12 3 2" xfId="3367"/>
    <cellStyle name="40% - 强调文字颜色 1 12 3 3" xfId="6255"/>
    <cellStyle name="40% - 强调文字颜色 1 12 3 4" xfId="12404"/>
    <cellStyle name="40% - 强调文字颜色 1 12 3 5" xfId="15051"/>
    <cellStyle name="40% - 强调文字颜色 1 12 3 6" xfId="11497"/>
    <cellStyle name="40% - 强调文字颜色 1 12 3 7" xfId="18561"/>
    <cellStyle name="40% - 强调文字颜色 1 12 3 8" xfId="23242"/>
    <cellStyle name="40% - 强调文字颜色 1 12 3 9" xfId="20602"/>
    <cellStyle name="40% - 强调文字颜色 1 12 4" xfId="707"/>
    <cellStyle name="40% - 强调文字颜色 1 12 4 10" xfId="30333"/>
    <cellStyle name="40% - 强调文字颜色 1 12 4 11" xfId="32755"/>
    <cellStyle name="40% - 强调文字颜色 1 12 4 2" xfId="3368"/>
    <cellStyle name="40% - 强调文字颜色 1 12 4 3" xfId="6256"/>
    <cellStyle name="40% - 强调文字颜色 1 12 4 4" xfId="12405"/>
    <cellStyle name="40% - 强调文字颜色 1 12 4 5" xfId="15052"/>
    <cellStyle name="40% - 强调文字颜色 1 12 4 6" xfId="10360"/>
    <cellStyle name="40% - 强调文字颜色 1 12 4 7" xfId="18562"/>
    <cellStyle name="40% - 强调文字颜色 1 12 4 8" xfId="22259"/>
    <cellStyle name="40% - 强调文字颜色 1 12 4 9" xfId="19949"/>
    <cellStyle name="40% - 强调文字颜色 1 12 5" xfId="708"/>
    <cellStyle name="40% - 强调文字颜色 1 12 5 2" xfId="6257"/>
    <cellStyle name="40% - 强调文字颜色 1 12 5 3" xfId="12406"/>
    <cellStyle name="40% - 强调文字颜色 1 12 5 4" xfId="11499"/>
    <cellStyle name="40% - 强调文字颜色 1 12 5 5" xfId="18563"/>
    <cellStyle name="40% - 强调文字颜色 1 12 5 6" xfId="21737"/>
    <cellStyle name="40% - 强调文字颜色 1 12 5 7" xfId="21174"/>
    <cellStyle name="40% - 强调文字颜色 1 12 5 8" xfId="31540"/>
    <cellStyle name="40% - 强调文字颜色 1 12 5 9" xfId="32573"/>
    <cellStyle name="40% - 强调文字颜色 1 12 6" xfId="3365"/>
    <cellStyle name="40% - 强调文字颜色 1 12 6 2" xfId="23633"/>
    <cellStyle name="40% - 强调文字颜色 1 12 6 3" xfId="26218"/>
    <cellStyle name="40% - 强调文字颜色 1 12 7" xfId="6253"/>
    <cellStyle name="40% - 强调文字颜色 1 12 7 2" xfId="23685"/>
    <cellStyle name="40% - 强调文字颜色 1 12 7 3" xfId="26270"/>
    <cellStyle name="40% - 强调文字颜色 1 12 8" xfId="10991"/>
    <cellStyle name="40% - 强调文字颜色 1 12 8 2" xfId="23771"/>
    <cellStyle name="40% - 强调文字颜色 1 12 8 3" xfId="26356"/>
    <cellStyle name="40% - 强调文字颜色 1 12 9" xfId="12402"/>
    <cellStyle name="40% - 强调文字颜色 1 13" xfId="709"/>
    <cellStyle name="40% - 强调文字颜色 1 13 10" xfId="10362"/>
    <cellStyle name="40% - 强调文字颜色 1 13 11" xfId="18564"/>
    <cellStyle name="40% - 强调文字颜色 1 13 12" xfId="23232"/>
    <cellStyle name="40% - 强调文字颜色 1 13 13" xfId="20601"/>
    <cellStyle name="40% - 强调文字颜色 1 13 14" xfId="30334"/>
    <cellStyle name="40% - 强调文字颜色 1 13 15" xfId="32500"/>
    <cellStyle name="40% - 强调文字颜色 1 13 2" xfId="710"/>
    <cellStyle name="40% - 强调文字颜色 1 13 2 10" xfId="30335"/>
    <cellStyle name="40% - 强调文字颜色 1 13 2 11" xfId="32268"/>
    <cellStyle name="40% - 强调文字颜色 1 13 2 2" xfId="3370"/>
    <cellStyle name="40% - 强调文字颜色 1 13 2 3" xfId="6259"/>
    <cellStyle name="40% - 强调文字颜色 1 13 2 4" xfId="12408"/>
    <cellStyle name="40% - 强调文字颜色 1 13 2 5" xfId="15054"/>
    <cellStyle name="40% - 强调文字颜色 1 13 2 6" xfId="11498"/>
    <cellStyle name="40% - 强调文字颜色 1 13 2 7" xfId="18565"/>
    <cellStyle name="40% - 强调文字颜色 1 13 2 8" xfId="22848"/>
    <cellStyle name="40% - 强调文字颜色 1 13 2 9" xfId="19948"/>
    <cellStyle name="40% - 强调文字颜色 1 13 3" xfId="711"/>
    <cellStyle name="40% - 强调文字颜色 1 13 3 10" xfId="30336"/>
    <cellStyle name="40% - 强调文字颜色 1 13 3 11" xfId="31807"/>
    <cellStyle name="40% - 强调文字颜色 1 13 3 2" xfId="3371"/>
    <cellStyle name="40% - 强调文字颜色 1 13 3 3" xfId="6260"/>
    <cellStyle name="40% - 强调文字颜色 1 13 3 4" xfId="12409"/>
    <cellStyle name="40% - 强调文字颜色 1 13 3 5" xfId="15055"/>
    <cellStyle name="40% - 强调文字颜色 1 13 3 6" xfId="10361"/>
    <cellStyle name="40% - 强调文字颜色 1 13 3 7" xfId="18566"/>
    <cellStyle name="40% - 强调文字颜色 1 13 3 8" xfId="23241"/>
    <cellStyle name="40% - 强调文字颜色 1 13 3 9" xfId="21173"/>
    <cellStyle name="40% - 强调文字颜色 1 13 4" xfId="712"/>
    <cellStyle name="40% - 强调文字颜色 1 13 4 10" xfId="30337"/>
    <cellStyle name="40% - 强调文字颜色 1 13 4 11" xfId="32754"/>
    <cellStyle name="40% - 强调文字颜色 1 13 4 2" xfId="3372"/>
    <cellStyle name="40% - 强调文字颜色 1 13 4 3" xfId="6261"/>
    <cellStyle name="40% - 强调文字颜色 1 13 4 4" xfId="12410"/>
    <cellStyle name="40% - 强调文字颜色 1 13 4 5" xfId="15056"/>
    <cellStyle name="40% - 强调文字颜色 1 13 4 6" xfId="11493"/>
    <cellStyle name="40% - 强调文字颜色 1 13 4 7" xfId="18567"/>
    <cellStyle name="40% - 强调文字颜色 1 13 4 8" xfId="22258"/>
    <cellStyle name="40% - 强调文字颜色 1 13 4 9" xfId="20600"/>
    <cellStyle name="40% - 强调文字颜色 1 13 5" xfId="713"/>
    <cellStyle name="40% - 强调文字颜色 1 13 5 2" xfId="6262"/>
    <cellStyle name="40% - 强调文字颜色 1 13 5 3" xfId="12411"/>
    <cellStyle name="40% - 强调文字颜色 1 13 5 4" xfId="10356"/>
    <cellStyle name="40% - 强调文字颜色 1 13 5 5" xfId="18568"/>
    <cellStyle name="40% - 强调文字颜色 1 13 5 6" xfId="21728"/>
    <cellStyle name="40% - 强调文字颜色 1 13 5 7" xfId="19937"/>
    <cellStyle name="40% - 强调文字颜色 1 13 5 8" xfId="31541"/>
    <cellStyle name="40% - 强调文字颜色 1 13 5 9" xfId="31881"/>
    <cellStyle name="40% - 强调文字颜色 1 13 6" xfId="3369"/>
    <cellStyle name="40% - 强调文字颜色 1 13 6 2" xfId="23686"/>
    <cellStyle name="40% - 强调文字颜色 1 13 6 3" xfId="26271"/>
    <cellStyle name="40% - 强调文字颜色 1 13 7" xfId="6258"/>
    <cellStyle name="40% - 强调文字颜色 1 13 7 2" xfId="23772"/>
    <cellStyle name="40% - 强调文字颜色 1 13 7 3" xfId="26357"/>
    <cellStyle name="40% - 强调文字颜色 1 13 8" xfId="12407"/>
    <cellStyle name="40% - 强调文字颜色 1 13 8 2" xfId="23862"/>
    <cellStyle name="40% - 强调文字颜色 1 13 8 3" xfId="26447"/>
    <cellStyle name="40% - 强调文字颜色 1 13 9" xfId="15053"/>
    <cellStyle name="40% - 强调文字颜色 1 14" xfId="714"/>
    <cellStyle name="40% - 强调文字颜色 1 14 10" xfId="11495"/>
    <cellStyle name="40% - 强调文字颜色 1 14 11" xfId="18569"/>
    <cellStyle name="40% - 强调文字颜色 1 14 12" xfId="22630"/>
    <cellStyle name="40% - 强调文字颜色 1 14 13" xfId="21172"/>
    <cellStyle name="40% - 强调文字颜色 1 14 14" xfId="30338"/>
    <cellStyle name="40% - 强调文字颜色 1 14 15" xfId="31905"/>
    <cellStyle name="40% - 强调文字颜色 1 14 2" xfId="715"/>
    <cellStyle name="40% - 强调文字颜色 1 14 2 10" xfId="30339"/>
    <cellStyle name="40% - 强调文字颜色 1 14 2 11" xfId="31226"/>
    <cellStyle name="40% - 强调文字颜色 1 14 2 2" xfId="3374"/>
    <cellStyle name="40% - 强调文字颜色 1 14 2 3" xfId="6264"/>
    <cellStyle name="40% - 强调文字颜色 1 14 2 4" xfId="12413"/>
    <cellStyle name="40% - 强调文字颜色 1 14 2 5" xfId="15058"/>
    <cellStyle name="40% - 强调文字颜色 1 14 2 6" xfId="10358"/>
    <cellStyle name="40% - 强调文字颜色 1 14 2 7" xfId="18570"/>
    <cellStyle name="40% - 强调文字颜色 1 14 2 8" xfId="23240"/>
    <cellStyle name="40% - 强调文字颜色 1 14 2 9" xfId="20599"/>
    <cellStyle name="40% - 强调文字颜色 1 14 3" xfId="716"/>
    <cellStyle name="40% - 强调文字颜色 1 14 3 10" xfId="30340"/>
    <cellStyle name="40% - 强调文字颜色 1 14 3 11" xfId="32753"/>
    <cellStyle name="40% - 强调文字颜色 1 14 3 2" xfId="3375"/>
    <cellStyle name="40% - 强调文字颜色 1 14 3 3" xfId="6265"/>
    <cellStyle name="40% - 强调文字颜色 1 14 3 4" xfId="12414"/>
    <cellStyle name="40% - 强调文字颜色 1 14 3 5" xfId="15059"/>
    <cellStyle name="40% - 强调文字颜色 1 14 3 6" xfId="11494"/>
    <cellStyle name="40% - 强调文字颜色 1 14 3 7" xfId="18571"/>
    <cellStyle name="40% - 强调文字颜色 1 14 3 8" xfId="22257"/>
    <cellStyle name="40% - 强调文字颜色 1 14 3 9" xfId="19947"/>
    <cellStyle name="40% - 强调文字颜色 1 14 4" xfId="717"/>
    <cellStyle name="40% - 强调文字颜色 1 14 4 10" xfId="30341"/>
    <cellStyle name="40% - 强调文字颜色 1 14 4 11" xfId="31904"/>
    <cellStyle name="40% - 强调文字颜色 1 14 4 2" xfId="3376"/>
    <cellStyle name="40% - 强调文字颜色 1 14 4 3" xfId="6266"/>
    <cellStyle name="40% - 强调文字颜色 1 14 4 4" xfId="12415"/>
    <cellStyle name="40% - 强调文字颜色 1 14 4 5" xfId="15060"/>
    <cellStyle name="40% - 强调文字颜色 1 14 4 6" xfId="10357"/>
    <cellStyle name="40% - 强调文字颜色 1 14 4 7" xfId="18572"/>
    <cellStyle name="40% - 强调文字颜色 1 14 4 8" xfId="21736"/>
    <cellStyle name="40% - 强调文字颜色 1 14 4 9" xfId="21171"/>
    <cellStyle name="40% - 强调文字颜色 1 14 5" xfId="718"/>
    <cellStyle name="40% - 强调文字颜色 1 14 5 2" xfId="6267"/>
    <cellStyle name="40% - 强调文字颜色 1 14 5 3" xfId="12416"/>
    <cellStyle name="40% - 强调文字颜色 1 14 5 4" xfId="11490"/>
    <cellStyle name="40% - 强调文字颜色 1 14 5 5" xfId="18573"/>
    <cellStyle name="40% - 强调文字颜色 1 14 5 6" xfId="23239"/>
    <cellStyle name="40% - 强调文字颜色 1 14 5 7" xfId="20598"/>
    <cellStyle name="40% - 强调文字颜色 1 14 5 8" xfId="31542"/>
    <cellStyle name="40% - 强调文字颜色 1 14 5 9" xfId="30832"/>
    <cellStyle name="40% - 强调文字颜色 1 14 6" xfId="3373"/>
    <cellStyle name="40% - 强调文字颜色 1 14 6 2" xfId="23687"/>
    <cellStyle name="40% - 强调文字颜色 1 14 6 3" xfId="26272"/>
    <cellStyle name="40% - 强调文字颜色 1 14 7" xfId="6263"/>
    <cellStyle name="40% - 强调文字颜色 1 14 7 2" xfId="23773"/>
    <cellStyle name="40% - 强调文字颜色 1 14 7 3" xfId="26358"/>
    <cellStyle name="40% - 强调文字颜色 1 14 8" xfId="12412"/>
    <cellStyle name="40% - 强调文字颜色 1 14 8 2" xfId="23863"/>
    <cellStyle name="40% - 强调文字颜色 1 14 8 3" xfId="26448"/>
    <cellStyle name="40% - 强调文字颜色 1 14 9" xfId="15057"/>
    <cellStyle name="40% - 强调文字颜色 1 15" xfId="719"/>
    <cellStyle name="40% - 强调文字颜色 1 15 10" xfId="18574"/>
    <cellStyle name="40% - 强调文字颜色 1 15 11" xfId="22256"/>
    <cellStyle name="40% - 强调文字颜色 1 15 12" xfId="19946"/>
    <cellStyle name="40% - 强调文字颜色 1 15 13" xfId="30342"/>
    <cellStyle name="40% - 强调文字颜色 1 15 14" xfId="31225"/>
    <cellStyle name="40% - 强调文字颜色 1 15 2" xfId="720"/>
    <cellStyle name="40% - 强调文字颜色 1 15 2 10" xfId="30343"/>
    <cellStyle name="40% - 强调文字颜色 1 15 2 11" xfId="32752"/>
    <cellStyle name="40% - 强调文字颜色 1 15 2 2" xfId="3378"/>
    <cellStyle name="40% - 强调文字颜色 1 15 2 3" xfId="6269"/>
    <cellStyle name="40% - 强调文字颜色 1 15 2 4" xfId="12418"/>
    <cellStyle name="40% - 强调文字颜色 1 15 2 5" xfId="15062"/>
    <cellStyle name="40% - 强调文字颜色 1 15 2 6" xfId="11492"/>
    <cellStyle name="40% - 强调文字颜色 1 15 2 7" xfId="18575"/>
    <cellStyle name="40% - 强调文字颜色 1 15 2 8" xfId="21735"/>
    <cellStyle name="40% - 强调文字颜色 1 15 2 9" xfId="21170"/>
    <cellStyle name="40% - 强调文字颜色 1 15 3" xfId="721"/>
    <cellStyle name="40% - 强调文字颜色 1 15 3 10" xfId="30344"/>
    <cellStyle name="40% - 强调文字颜色 1 15 3 11" xfId="31903"/>
    <cellStyle name="40% - 强调文字颜色 1 15 3 2" xfId="3379"/>
    <cellStyle name="40% - 强调文字颜色 1 15 3 3" xfId="6270"/>
    <cellStyle name="40% - 强调文字颜色 1 15 3 4" xfId="12419"/>
    <cellStyle name="40% - 强调文字颜色 1 15 3 5" xfId="15063"/>
    <cellStyle name="40% - 强调文字颜色 1 15 3 6" xfId="10355"/>
    <cellStyle name="40% - 强调文字颜色 1 15 3 7" xfId="18576"/>
    <cellStyle name="40% - 强调文字颜色 1 15 3 8" xfId="23238"/>
    <cellStyle name="40% - 强调文字颜色 1 15 3 9" xfId="20597"/>
    <cellStyle name="40% - 强调文字颜色 1 15 4" xfId="722"/>
    <cellStyle name="40% - 强调文字颜色 1 15 4 2" xfId="6271"/>
    <cellStyle name="40% - 强调文字颜色 1 15 4 3" xfId="12420"/>
    <cellStyle name="40% - 强调文字颜色 1 15 4 4" xfId="11491"/>
    <cellStyle name="40% - 强调文字颜色 1 15 4 5" xfId="18577"/>
    <cellStyle name="40% - 强调文字颜色 1 15 4 6" xfId="22255"/>
    <cellStyle name="40% - 强调文字颜色 1 15 4 7" xfId="19945"/>
    <cellStyle name="40% - 强调文字颜色 1 15 4 8" xfId="31543"/>
    <cellStyle name="40% - 强调文字颜色 1 15 4 9" xfId="32572"/>
    <cellStyle name="40% - 强调文字颜色 1 15 5" xfId="3377"/>
    <cellStyle name="40% - 强调文字颜色 1 15 6" xfId="6268"/>
    <cellStyle name="40% - 强调文字颜色 1 15 7" xfId="12417"/>
    <cellStyle name="40% - 强调文字颜色 1 15 8" xfId="15061"/>
    <cellStyle name="40% - 强调文字颜色 1 15 9" xfId="10353"/>
    <cellStyle name="40% - 强调文字颜色 1 16" xfId="723"/>
    <cellStyle name="40% - 强调文字颜色 1 16 10" xfId="18578"/>
    <cellStyle name="40% - 强调文字颜色 1 16 11" xfId="21734"/>
    <cellStyle name="40% - 强调文字颜色 1 16 12" xfId="21169"/>
    <cellStyle name="40% - 强调文字颜色 1 16 13" xfId="30345"/>
    <cellStyle name="40% - 强调文字颜色 1 16 14" xfId="31224"/>
    <cellStyle name="40% - 强调文字颜色 1 16 2" xfId="724"/>
    <cellStyle name="40% - 强调文字颜色 1 16 2 10" xfId="30346"/>
    <cellStyle name="40% - 强调文字颜色 1 16 2 11" xfId="32751"/>
    <cellStyle name="40% - 强调文字颜色 1 16 2 2" xfId="3381"/>
    <cellStyle name="40% - 强调文字颜色 1 16 2 3" xfId="6273"/>
    <cellStyle name="40% - 强调文字颜色 1 16 2 4" xfId="12422"/>
    <cellStyle name="40% - 强调文字颜色 1 16 2 5" xfId="15065"/>
    <cellStyle name="40% - 强调文字颜色 1 16 2 6" xfId="11487"/>
    <cellStyle name="40% - 强调文字颜色 1 16 2 7" xfId="18579"/>
    <cellStyle name="40% - 强调文字颜色 1 16 2 8" xfId="23237"/>
    <cellStyle name="40% - 强调文字颜色 1 16 2 9" xfId="20596"/>
    <cellStyle name="40% - 强调文字颜色 1 16 3" xfId="725"/>
    <cellStyle name="40% - 强调文字颜色 1 16 3 10" xfId="30347"/>
    <cellStyle name="40% - 强调文字颜色 1 16 3 11" xfId="31902"/>
    <cellStyle name="40% - 强调文字颜色 1 16 3 2" xfId="3382"/>
    <cellStyle name="40% - 强调文字颜色 1 16 3 3" xfId="6274"/>
    <cellStyle name="40% - 强调文字颜色 1 16 3 4" xfId="12423"/>
    <cellStyle name="40% - 强调文字颜色 1 16 3 5" xfId="15066"/>
    <cellStyle name="40% - 强调文字颜色 1 16 3 6" xfId="10350"/>
    <cellStyle name="40% - 强调文字颜色 1 16 3 7" xfId="18580"/>
    <cellStyle name="40% - 强调文字颜色 1 16 3 8" xfId="22254"/>
    <cellStyle name="40% - 强调文字颜色 1 16 3 9" xfId="19944"/>
    <cellStyle name="40% - 强调文字颜色 1 16 4" xfId="726"/>
    <cellStyle name="40% - 强调文字颜色 1 16 4 2" xfId="6275"/>
    <cellStyle name="40% - 强调文字颜色 1 16 4 3" xfId="12424"/>
    <cellStyle name="40% - 强调文字颜色 1 16 4 4" xfId="11489"/>
    <cellStyle name="40% - 强调文字颜色 1 16 4 5" xfId="18581"/>
    <cellStyle name="40% - 强调文字颜色 1 16 4 6" xfId="21733"/>
    <cellStyle name="40% - 强调文字颜色 1 16 4 7" xfId="21168"/>
    <cellStyle name="40% - 强调文字颜色 1 16 4 8" xfId="31544"/>
    <cellStyle name="40% - 强调文字颜色 1 16 4 9" xfId="32571"/>
    <cellStyle name="40% - 强调文字颜色 1 16 5" xfId="3380"/>
    <cellStyle name="40% - 强调文字颜色 1 16 6" xfId="6272"/>
    <cellStyle name="40% - 强调文字颜色 1 16 7" xfId="12421"/>
    <cellStyle name="40% - 强调文字颜色 1 16 8" xfId="15064"/>
    <cellStyle name="40% - 强调文字颜色 1 16 9" xfId="10354"/>
    <cellStyle name="40% - 强调文字颜色 1 17" xfId="727"/>
    <cellStyle name="40% - 强调文字颜色 1 17 10" xfId="23236"/>
    <cellStyle name="40% - 强调文字颜色 1 17 11" xfId="20595"/>
    <cellStyle name="40% - 强调文字颜色 1 17 12" xfId="30348"/>
    <cellStyle name="40% - 强调文字颜色 1 17 13" xfId="31223"/>
    <cellStyle name="40% - 强调文字颜色 1 17 2" xfId="728"/>
    <cellStyle name="40% - 强调文字颜色 1 17 2 2" xfId="6277"/>
    <cellStyle name="40% - 强调文字颜色 1 17 2 3" xfId="12426"/>
    <cellStyle name="40% - 强调文字颜色 1 17 2 4" xfId="11488"/>
    <cellStyle name="40% - 强调文字颜色 1 17 2 5" xfId="18583"/>
    <cellStyle name="40% - 强调文字颜色 1 17 2 6" xfId="22253"/>
    <cellStyle name="40% - 强调文字颜色 1 17 2 7" xfId="19943"/>
    <cellStyle name="40% - 强调文字颜色 1 17 2 8" xfId="31545"/>
    <cellStyle name="40% - 强调文字颜色 1 17 2 9" xfId="33226"/>
    <cellStyle name="40% - 强调文字颜色 1 17 3" xfId="729"/>
    <cellStyle name="40% - 强调文字颜色 1 17 3 2" xfId="6278"/>
    <cellStyle name="40% - 强调文字颜色 1 17 3 3" xfId="12427"/>
    <cellStyle name="40% - 强调文字颜色 1 17 3 4" xfId="10351"/>
    <cellStyle name="40% - 强调文字颜色 1 17 3 5" xfId="18584"/>
    <cellStyle name="40% - 强调文字颜色 1 17 3 6" xfId="21732"/>
    <cellStyle name="40% - 强调文字颜色 1 17 3 7" xfId="21167"/>
    <cellStyle name="40% - 强调文字颜色 1 17 3 8" xfId="31546"/>
    <cellStyle name="40% - 强调文字颜色 1 17 3 9" xfId="32964"/>
    <cellStyle name="40% - 强调文字颜色 1 17 4" xfId="3383"/>
    <cellStyle name="40% - 强调文字颜色 1 17 5" xfId="6276"/>
    <cellStyle name="40% - 强调文字颜色 1 17 6" xfId="12425"/>
    <cellStyle name="40% - 强调文字颜色 1 17 7" xfId="15067"/>
    <cellStyle name="40% - 强调文字颜色 1 17 8" xfId="10352"/>
    <cellStyle name="40% - 强调文字颜色 1 17 9" xfId="18582"/>
    <cellStyle name="40% - 强调文字颜色 1 18" xfId="730"/>
    <cellStyle name="40% - 强调文字颜色 1 18 10" xfId="30349"/>
    <cellStyle name="40% - 强调文字颜色 1 18 11" xfId="32750"/>
    <cellStyle name="40% - 强调文字颜色 1 18 2" xfId="731"/>
    <cellStyle name="40% - 强调文字颜色 1 18 2 2" xfId="8999"/>
    <cellStyle name="40% - 强调文字颜色 1 18 2 3" xfId="17330"/>
    <cellStyle name="40% - 强调文字颜色 1 18 2 4" xfId="18586"/>
    <cellStyle name="40% - 强调文字颜色 1 18 2 5" xfId="21921"/>
    <cellStyle name="40% - 强调文字颜色 1 18 2 6" xfId="19942"/>
    <cellStyle name="40% - 强调文字颜色 1 18 2 7" xfId="31547"/>
    <cellStyle name="40% - 强调文字颜色 1 18 2 8" xfId="32570"/>
    <cellStyle name="40% - 强调文字颜色 1 18 3" xfId="3384"/>
    <cellStyle name="40% - 强调文字颜色 1 18 4" xfId="6279"/>
    <cellStyle name="40% - 强调文字颜色 1 18 5" xfId="15068"/>
    <cellStyle name="40% - 强调文字颜色 1 18 6" xfId="11483"/>
    <cellStyle name="40% - 强调文字颜色 1 18 7" xfId="18585"/>
    <cellStyle name="40% - 强调文字颜色 1 18 8" xfId="23235"/>
    <cellStyle name="40% - 强调文字颜色 1 18 9" xfId="20594"/>
    <cellStyle name="40% - 强调文字颜色 1 19" xfId="732"/>
    <cellStyle name="40% - 强调文字颜色 1 19 10" xfId="3386"/>
    <cellStyle name="40% - 强调文字颜色 1 19 10 2" xfId="9000"/>
    <cellStyle name="40% - 强调文字颜色 1 19 10 3" xfId="15070"/>
    <cellStyle name="40% - 强调文字颜色 1 19 10 4" xfId="24857"/>
    <cellStyle name="40% - 强调文字颜色 1 19 10 5" xfId="28092"/>
    <cellStyle name="40% - 强调文字颜色 1 19 11" xfId="3387"/>
    <cellStyle name="40% - 强调文字颜色 1 19 11 2" xfId="9001"/>
    <cellStyle name="40% - 强调文字颜色 1 19 11 3" xfId="15071"/>
    <cellStyle name="40% - 强调文字颜色 1 19 11 4" xfId="24858"/>
    <cellStyle name="40% - 强调文字颜色 1 19 11 5" xfId="28093"/>
    <cellStyle name="40% - 强调文字颜色 1 19 12" xfId="3388"/>
    <cellStyle name="40% - 强调文字颜色 1 19 12 2" xfId="9002"/>
    <cellStyle name="40% - 强调文字颜色 1 19 12 3" xfId="15072"/>
    <cellStyle name="40% - 强调文字颜色 1 19 12 4" xfId="24859"/>
    <cellStyle name="40% - 强调文字颜色 1 19 12 5" xfId="28094"/>
    <cellStyle name="40% - 强调文字颜色 1 19 13" xfId="3389"/>
    <cellStyle name="40% - 强调文字颜色 1 19 13 2" xfId="9003"/>
    <cellStyle name="40% - 强调文字颜色 1 19 13 3" xfId="15073"/>
    <cellStyle name="40% - 强调文字颜色 1 19 13 4" xfId="24860"/>
    <cellStyle name="40% - 强调文字颜色 1 19 13 5" xfId="28095"/>
    <cellStyle name="40% - 强调文字颜色 1 19 14" xfId="3390"/>
    <cellStyle name="40% - 强调文字颜色 1 19 14 2" xfId="9004"/>
    <cellStyle name="40% - 强调文字颜色 1 19 14 3" xfId="15074"/>
    <cellStyle name="40% - 强调文字颜色 1 19 14 4" xfId="24861"/>
    <cellStyle name="40% - 强调文字颜色 1 19 14 5" xfId="28096"/>
    <cellStyle name="40% - 强调文字颜色 1 19 15" xfId="3391"/>
    <cellStyle name="40% - 强调文字颜色 1 19 15 2" xfId="9005"/>
    <cellStyle name="40% - 强调文字颜色 1 19 15 3" xfId="15075"/>
    <cellStyle name="40% - 强调文字颜色 1 19 15 4" xfId="24862"/>
    <cellStyle name="40% - 强调文字颜色 1 19 15 5" xfId="28097"/>
    <cellStyle name="40% - 强调文字颜色 1 19 16" xfId="3392"/>
    <cellStyle name="40% - 强调文字颜色 1 19 16 2" xfId="9006"/>
    <cellStyle name="40% - 强调文字颜色 1 19 16 3" xfId="15076"/>
    <cellStyle name="40% - 强调文字颜色 1 19 16 4" xfId="24863"/>
    <cellStyle name="40% - 强调文字颜色 1 19 16 5" xfId="28098"/>
    <cellStyle name="40% - 强调文字颜色 1 19 17" xfId="3393"/>
    <cellStyle name="40% - 强调文字颜色 1 19 17 2" xfId="9007"/>
    <cellStyle name="40% - 强调文字颜色 1 19 17 3" xfId="15077"/>
    <cellStyle name="40% - 强调文字颜色 1 19 17 4" xfId="24864"/>
    <cellStyle name="40% - 强调文字颜色 1 19 17 5" xfId="28099"/>
    <cellStyle name="40% - 强调文字颜色 1 19 18" xfId="3394"/>
    <cellStyle name="40% - 强调文字颜色 1 19 18 2" xfId="9008"/>
    <cellStyle name="40% - 强调文字颜色 1 19 18 3" xfId="15078"/>
    <cellStyle name="40% - 强调文字颜色 1 19 18 4" xfId="24865"/>
    <cellStyle name="40% - 强调文字颜色 1 19 18 5" xfId="28100"/>
    <cellStyle name="40% - 强调文字颜色 1 19 19" xfId="3395"/>
    <cellStyle name="40% - 强调文字颜色 1 19 19 2" xfId="9009"/>
    <cellStyle name="40% - 强调文字颜色 1 19 19 3" xfId="15079"/>
    <cellStyle name="40% - 强调文字颜色 1 19 19 4" xfId="24866"/>
    <cellStyle name="40% - 强调文字颜色 1 19 19 5" xfId="28101"/>
    <cellStyle name="40% - 强调文字颜色 1 19 2" xfId="733"/>
    <cellStyle name="40% - 强调文字颜色 1 19 2 10" xfId="30351"/>
    <cellStyle name="40% - 强调文字颜色 1 19 2 11" xfId="32749"/>
    <cellStyle name="40% - 强调文字颜色 1 19 2 2" xfId="3396"/>
    <cellStyle name="40% - 强调文字颜色 1 19 2 3" xfId="6281"/>
    <cellStyle name="40% - 强调文字颜色 1 19 2 4" xfId="12429"/>
    <cellStyle name="40% - 强调文字颜色 1 19 2 5" xfId="15080"/>
    <cellStyle name="40% - 强调文字颜色 1 19 2 6" xfId="11485"/>
    <cellStyle name="40% - 强调文字颜色 1 19 2 7" xfId="18588"/>
    <cellStyle name="40% - 强调文字颜色 1 19 2 8" xfId="21731"/>
    <cellStyle name="40% - 强调文字颜色 1 19 2 9" xfId="20593"/>
    <cellStyle name="40% - 强调文字颜色 1 19 20" xfId="3397"/>
    <cellStyle name="40% - 强调文字颜色 1 19 20 2" xfId="9010"/>
    <cellStyle name="40% - 强调文字颜色 1 19 20 3" xfId="15081"/>
    <cellStyle name="40% - 强调文字颜色 1 19 20 4" xfId="24867"/>
    <cellStyle name="40% - 强调文字颜色 1 19 20 5" xfId="28102"/>
    <cellStyle name="40% - 强调文字颜色 1 19 21" xfId="3398"/>
    <cellStyle name="40% - 强调文字颜色 1 19 21 2" xfId="9011"/>
    <cellStyle name="40% - 强调文字颜色 1 19 21 3" xfId="15082"/>
    <cellStyle name="40% - 强调文字颜色 1 19 21 4" xfId="24868"/>
    <cellStyle name="40% - 强调文字颜色 1 19 21 5" xfId="28103"/>
    <cellStyle name="40% - 强调文字颜色 1 19 22" xfId="3399"/>
    <cellStyle name="40% - 强调文字颜色 1 19 22 2" xfId="9012"/>
    <cellStyle name="40% - 强调文字颜色 1 19 22 3" xfId="15083"/>
    <cellStyle name="40% - 强调文字颜色 1 19 22 4" xfId="24869"/>
    <cellStyle name="40% - 强调文字颜色 1 19 22 5" xfId="28104"/>
    <cellStyle name="40% - 强调文字颜色 1 19 23" xfId="3400"/>
    <cellStyle name="40% - 强调文字颜色 1 19 23 2" xfId="9013"/>
    <cellStyle name="40% - 强调文字颜色 1 19 23 3" xfId="15084"/>
    <cellStyle name="40% - 强调文字颜色 1 19 23 4" xfId="24870"/>
    <cellStyle name="40% - 强调文字颜色 1 19 23 5" xfId="28105"/>
    <cellStyle name="40% - 强调文字颜色 1 19 24" xfId="6280"/>
    <cellStyle name="40% - 强调文字颜色 1 19 25" xfId="10992"/>
    <cellStyle name="40% - 强调文字颜色 1 19 26" xfId="12428"/>
    <cellStyle name="40% - 强调文字颜色 1 19 27" xfId="15069"/>
    <cellStyle name="40% - 强调文字颜色 1 19 28" xfId="10346"/>
    <cellStyle name="40% - 强调文字颜色 1 19 29" xfId="18587"/>
    <cellStyle name="40% - 强调文字颜色 1 19 3" xfId="3385"/>
    <cellStyle name="40% - 强调文字颜色 1 19 3 2" xfId="9014"/>
    <cellStyle name="40% - 强调文字颜色 1 19 3 3" xfId="15085"/>
    <cellStyle name="40% - 强调文字颜色 1 19 3 4" xfId="24871"/>
    <cellStyle name="40% - 强调文字颜色 1 19 3 5" xfId="28091"/>
    <cellStyle name="40% - 强调文字颜色 1 19 30" xfId="22252"/>
    <cellStyle name="40% - 强调文字颜色 1 19 31" xfId="21166"/>
    <cellStyle name="40% - 强调文字颜色 1 19 32" xfId="30350"/>
    <cellStyle name="40% - 强调文字颜色 1 19 33" xfId="31901"/>
    <cellStyle name="40% - 强调文字颜色 1 19 4" xfId="3402"/>
    <cellStyle name="40% - 强调文字颜色 1 19 4 2" xfId="9015"/>
    <cellStyle name="40% - 强调文字颜色 1 19 4 3" xfId="15086"/>
    <cellStyle name="40% - 强调文字颜色 1 19 4 4" xfId="24872"/>
    <cellStyle name="40% - 强调文字颜色 1 19 4 5" xfId="28107"/>
    <cellStyle name="40% - 强调文字颜色 1 19 5" xfId="3403"/>
    <cellStyle name="40% - 强调文字颜色 1 19 5 2" xfId="9016"/>
    <cellStyle name="40% - 强调文字颜色 1 19 5 3" xfId="15087"/>
    <cellStyle name="40% - 强调文字颜色 1 19 5 4" xfId="24873"/>
    <cellStyle name="40% - 强调文字颜色 1 19 5 5" xfId="28108"/>
    <cellStyle name="40% - 强调文字颜色 1 19 6" xfId="3404"/>
    <cellStyle name="40% - 强调文字颜色 1 19 6 2" xfId="9017"/>
    <cellStyle name="40% - 强调文字颜色 1 19 6 3" xfId="15088"/>
    <cellStyle name="40% - 强调文字颜色 1 19 6 4" xfId="24874"/>
    <cellStyle name="40% - 强调文字颜色 1 19 6 5" xfId="28109"/>
    <cellStyle name="40% - 强调文字颜色 1 19 7" xfId="3405"/>
    <cellStyle name="40% - 强调文字颜色 1 19 7 2" xfId="9018"/>
    <cellStyle name="40% - 强调文字颜色 1 19 7 3" xfId="15089"/>
    <cellStyle name="40% - 强调文字颜色 1 19 7 4" xfId="24875"/>
    <cellStyle name="40% - 强调文字颜色 1 19 7 5" xfId="28110"/>
    <cellStyle name="40% - 强调文字颜色 1 19 8" xfId="3406"/>
    <cellStyle name="40% - 强调文字颜色 1 19 8 2" xfId="9019"/>
    <cellStyle name="40% - 强调文字颜色 1 19 8 3" xfId="15090"/>
    <cellStyle name="40% - 强调文字颜色 1 19 8 4" xfId="24876"/>
    <cellStyle name="40% - 强调文字颜色 1 19 8 5" xfId="28111"/>
    <cellStyle name="40% - 强调文字颜色 1 19 9" xfId="3407"/>
    <cellStyle name="40% - 强调文字颜色 1 19 9 2" xfId="9020"/>
    <cellStyle name="40% - 强调文字颜色 1 19 9 3" xfId="15091"/>
    <cellStyle name="40% - 强调文字颜色 1 19 9 4" xfId="24877"/>
    <cellStyle name="40% - 强调文字颜色 1 19 9 5" xfId="28112"/>
    <cellStyle name="40% - 强调文字颜色 1 2" xfId="734"/>
    <cellStyle name="40% - 强调文字颜色 1 2 10" xfId="17526"/>
    <cellStyle name="40% - 强调文字颜色 1 2 11" xfId="17612"/>
    <cellStyle name="40% - 强调文字颜色 1 2 12" xfId="17698"/>
    <cellStyle name="40% - 强调文字颜色 1 2 13" xfId="17784"/>
    <cellStyle name="40% - 强调文字颜色 1 2 14" xfId="18589"/>
    <cellStyle name="40% - 强调文字颜色 1 2 15" xfId="23234"/>
    <cellStyle name="40% - 强调文字颜色 1 2 16" xfId="19941"/>
    <cellStyle name="40% - 强调文字颜色 1 2 2" xfId="735"/>
    <cellStyle name="40% - 强调文字颜色 1 2 2 10" xfId="30352"/>
    <cellStyle name="40% - 强调文字颜色 1 2 2 11" xfId="32747"/>
    <cellStyle name="40% - 强调文字颜色 1 2 2 2" xfId="3409"/>
    <cellStyle name="40% - 强调文字颜色 1 2 2 3" xfId="6283"/>
    <cellStyle name="40% - 强调文字颜色 1 2 2 4" xfId="12431"/>
    <cellStyle name="40% - 强调文字颜色 1 2 2 5" xfId="15093"/>
    <cellStyle name="40% - 强调文字颜色 1 2 2 6" xfId="11484"/>
    <cellStyle name="40% - 强调文字颜色 1 2 2 7" xfId="18590"/>
    <cellStyle name="40% - 强调文字颜色 1 2 2 8" xfId="22251"/>
    <cellStyle name="40% - 强调文字颜色 1 2 2 9" xfId="21165"/>
    <cellStyle name="40% - 强调文字颜色 1 2 3" xfId="736"/>
    <cellStyle name="40% - 强调文字颜色 1 2 3 10" xfId="30353"/>
    <cellStyle name="40% - 强调文字颜色 1 2 3 11" xfId="32498"/>
    <cellStyle name="40% - 强调文字颜色 1 2 3 2" xfId="3410"/>
    <cellStyle name="40% - 强调文字颜色 1 2 3 3" xfId="6284"/>
    <cellStyle name="40% - 强调文字颜色 1 2 3 4" xfId="12432"/>
    <cellStyle name="40% - 强调文字颜色 1 2 3 5" xfId="15094"/>
    <cellStyle name="40% - 强调文字颜色 1 2 3 6" xfId="10347"/>
    <cellStyle name="40% - 强调文字颜色 1 2 3 7" xfId="18591"/>
    <cellStyle name="40% - 强调文字颜色 1 2 3 8" xfId="21730"/>
    <cellStyle name="40% - 强调文字颜色 1 2 3 9" xfId="20592"/>
    <cellStyle name="40% - 强调文字颜色 1 2 4" xfId="3408"/>
    <cellStyle name="40% - 强调文字颜色 1 2 5" xfId="6282"/>
    <cellStyle name="40% - 强调文字颜色 1 2 6" xfId="12430"/>
    <cellStyle name="40% - 强调文字颜色 1 2 7" xfId="15092"/>
    <cellStyle name="40% - 强调文字颜色 1 2 8" xfId="10348"/>
    <cellStyle name="40% - 强调文字颜色 1 2 9" xfId="17440"/>
    <cellStyle name="40% - 强调文字颜色 1 20" xfId="737"/>
    <cellStyle name="40% - 强调文字颜色 1 20 10" xfId="3412"/>
    <cellStyle name="40% - 强调文字颜色 1 20 10 2" xfId="9021"/>
    <cellStyle name="40% - 强调文字颜色 1 20 10 3" xfId="15096"/>
    <cellStyle name="40% - 强调文字颜色 1 20 10 4" xfId="24878"/>
    <cellStyle name="40% - 强调文字颜色 1 20 10 5" xfId="28114"/>
    <cellStyle name="40% - 强调文字颜色 1 20 11" xfId="3413"/>
    <cellStyle name="40% - 强调文字颜色 1 20 11 2" xfId="9022"/>
    <cellStyle name="40% - 强调文字颜色 1 20 11 3" xfId="15097"/>
    <cellStyle name="40% - 强调文字颜色 1 20 11 4" xfId="24879"/>
    <cellStyle name="40% - 强调文字颜色 1 20 11 5" xfId="28115"/>
    <cellStyle name="40% - 强调文字颜色 1 20 12" xfId="3414"/>
    <cellStyle name="40% - 强调文字颜色 1 20 12 2" xfId="9023"/>
    <cellStyle name="40% - 强调文字颜色 1 20 12 3" xfId="15098"/>
    <cellStyle name="40% - 强调文字颜色 1 20 12 4" xfId="24880"/>
    <cellStyle name="40% - 强调文字颜色 1 20 12 5" xfId="28116"/>
    <cellStyle name="40% - 强调文字颜色 1 20 13" xfId="3415"/>
    <cellStyle name="40% - 强调文字颜色 1 20 13 2" xfId="9024"/>
    <cellStyle name="40% - 强调文字颜色 1 20 13 3" xfId="15099"/>
    <cellStyle name="40% - 强调文字颜色 1 20 13 4" xfId="24881"/>
    <cellStyle name="40% - 强调文字颜色 1 20 13 5" xfId="28117"/>
    <cellStyle name="40% - 强调文字颜色 1 20 14" xfId="3416"/>
    <cellStyle name="40% - 强调文字颜色 1 20 14 2" xfId="9025"/>
    <cellStyle name="40% - 强调文字颜色 1 20 14 3" xfId="15100"/>
    <cellStyle name="40% - 强调文字颜色 1 20 14 4" xfId="24882"/>
    <cellStyle name="40% - 强调文字颜色 1 20 14 5" xfId="28118"/>
    <cellStyle name="40% - 强调文字颜色 1 20 15" xfId="3417"/>
    <cellStyle name="40% - 强调文字颜色 1 20 15 2" xfId="9026"/>
    <cellStyle name="40% - 强调文字颜色 1 20 15 3" xfId="15101"/>
    <cellStyle name="40% - 强调文字颜色 1 20 15 4" xfId="24883"/>
    <cellStyle name="40% - 强调文字颜色 1 20 15 5" xfId="28119"/>
    <cellStyle name="40% - 强调文字颜色 1 20 16" xfId="3418"/>
    <cellStyle name="40% - 强调文字颜色 1 20 16 2" xfId="9027"/>
    <cellStyle name="40% - 强调文字颜色 1 20 16 3" xfId="15102"/>
    <cellStyle name="40% - 强调文字颜色 1 20 16 4" xfId="24884"/>
    <cellStyle name="40% - 强调文字颜色 1 20 16 5" xfId="28120"/>
    <cellStyle name="40% - 强调文字颜色 1 20 17" xfId="3419"/>
    <cellStyle name="40% - 强调文字颜色 1 20 17 2" xfId="9028"/>
    <cellStyle name="40% - 强调文字颜色 1 20 17 3" xfId="15103"/>
    <cellStyle name="40% - 强调文字颜色 1 20 17 4" xfId="24885"/>
    <cellStyle name="40% - 强调文字颜色 1 20 17 5" xfId="28121"/>
    <cellStyle name="40% - 强调文字颜色 1 20 18" xfId="3420"/>
    <cellStyle name="40% - 强调文字颜色 1 20 18 2" xfId="9029"/>
    <cellStyle name="40% - 强调文字颜色 1 20 18 3" xfId="15104"/>
    <cellStyle name="40% - 强调文字颜色 1 20 18 4" xfId="24886"/>
    <cellStyle name="40% - 强调文字颜色 1 20 18 5" xfId="28122"/>
    <cellStyle name="40% - 强调文字颜色 1 20 19" xfId="3421"/>
    <cellStyle name="40% - 强调文字颜色 1 20 19 2" xfId="9030"/>
    <cellStyle name="40% - 强调文字颜色 1 20 19 3" xfId="15105"/>
    <cellStyle name="40% - 强调文字颜色 1 20 19 4" xfId="24887"/>
    <cellStyle name="40% - 强调文字颜色 1 20 19 5" xfId="28123"/>
    <cellStyle name="40% - 强调文字颜色 1 20 2" xfId="3411"/>
    <cellStyle name="40% - 强调文字颜色 1 20 2 2" xfId="9031"/>
    <cellStyle name="40% - 强调文字颜色 1 20 2 3" xfId="15106"/>
    <cellStyle name="40% - 强调文字颜色 1 20 2 4" xfId="24888"/>
    <cellStyle name="40% - 强调文字颜色 1 20 2 5" xfId="28113"/>
    <cellStyle name="40% - 强调文字颜色 1 20 20" xfId="3423"/>
    <cellStyle name="40% - 强调文字颜色 1 20 20 2" xfId="9032"/>
    <cellStyle name="40% - 强调文字颜色 1 20 20 3" xfId="15107"/>
    <cellStyle name="40% - 强调文字颜色 1 20 20 4" xfId="24889"/>
    <cellStyle name="40% - 强调文字颜色 1 20 20 5" xfId="28124"/>
    <cellStyle name="40% - 强调文字颜色 1 20 21" xfId="3424"/>
    <cellStyle name="40% - 强调文字颜色 1 20 21 2" xfId="9033"/>
    <cellStyle name="40% - 强调文字颜色 1 20 21 3" xfId="15108"/>
    <cellStyle name="40% - 强调文字颜色 1 20 21 4" xfId="24890"/>
    <cellStyle name="40% - 强调文字颜色 1 20 21 5" xfId="28125"/>
    <cellStyle name="40% - 强调文字颜色 1 20 22" xfId="3425"/>
    <cellStyle name="40% - 强调文字颜色 1 20 22 2" xfId="9034"/>
    <cellStyle name="40% - 强调文字颜色 1 20 22 3" xfId="15109"/>
    <cellStyle name="40% - 强调文字颜色 1 20 22 4" xfId="24891"/>
    <cellStyle name="40% - 强调文字颜色 1 20 22 5" xfId="28126"/>
    <cellStyle name="40% - 强调文字颜色 1 20 23" xfId="3426"/>
    <cellStyle name="40% - 强调文字颜色 1 20 23 2" xfId="9035"/>
    <cellStyle name="40% - 强调文字颜色 1 20 23 3" xfId="15110"/>
    <cellStyle name="40% - 强调文字颜色 1 20 23 4" xfId="24892"/>
    <cellStyle name="40% - 强调文字颜色 1 20 23 5" xfId="28127"/>
    <cellStyle name="40% - 强调文字颜色 1 20 24" xfId="6285"/>
    <cellStyle name="40% - 强调文字颜色 1 20 25" xfId="10993"/>
    <cellStyle name="40% - 强调文字颜色 1 20 26" xfId="12433"/>
    <cellStyle name="40% - 强调文字颜色 1 20 27" xfId="15095"/>
    <cellStyle name="40% - 强调文字颜色 1 20 28" xfId="11480"/>
    <cellStyle name="40% - 强调文字颜色 1 20 29" xfId="18592"/>
    <cellStyle name="40% - 强调文字颜色 1 20 3" xfId="3427"/>
    <cellStyle name="40% - 强调文字颜色 1 20 3 2" xfId="9036"/>
    <cellStyle name="40% - 强调文字颜色 1 20 3 3" xfId="15111"/>
    <cellStyle name="40% - 强调文字颜色 1 20 3 4" xfId="24893"/>
    <cellStyle name="40% - 强调文字颜色 1 20 3 5" xfId="28128"/>
    <cellStyle name="40% - 强调文字颜色 1 20 30" xfId="23233"/>
    <cellStyle name="40% - 强调文字颜色 1 20 31" xfId="19940"/>
    <cellStyle name="40% - 强调文字颜色 1 20 32" xfId="30354"/>
    <cellStyle name="40% - 强调文字颜色 1 20 33" xfId="32266"/>
    <cellStyle name="40% - 强调文字颜色 1 20 4" xfId="3428"/>
    <cellStyle name="40% - 强调文字颜色 1 20 4 2" xfId="9037"/>
    <cellStyle name="40% - 强调文字颜色 1 20 4 3" xfId="15112"/>
    <cellStyle name="40% - 强调文字颜色 1 20 4 4" xfId="24894"/>
    <cellStyle name="40% - 强调文字颜色 1 20 4 5" xfId="28129"/>
    <cellStyle name="40% - 强调文字颜色 1 20 5" xfId="3429"/>
    <cellStyle name="40% - 强调文字颜色 1 20 5 2" xfId="9038"/>
    <cellStyle name="40% - 强调文字颜色 1 20 5 3" xfId="15113"/>
    <cellStyle name="40% - 强调文字颜色 1 20 5 4" xfId="24895"/>
    <cellStyle name="40% - 强调文字颜色 1 20 5 5" xfId="28130"/>
    <cellStyle name="40% - 强调文字颜色 1 20 6" xfId="3430"/>
    <cellStyle name="40% - 强调文字颜色 1 20 6 2" xfId="9039"/>
    <cellStyle name="40% - 强调文字颜色 1 20 6 3" xfId="15114"/>
    <cellStyle name="40% - 强调文字颜色 1 20 6 4" xfId="24896"/>
    <cellStyle name="40% - 强调文字颜色 1 20 6 5" xfId="28131"/>
    <cellStyle name="40% - 强调文字颜色 1 20 7" xfId="3431"/>
    <cellStyle name="40% - 强调文字颜色 1 20 7 2" xfId="9040"/>
    <cellStyle name="40% - 强调文字颜色 1 20 7 3" xfId="15115"/>
    <cellStyle name="40% - 强调文字颜色 1 20 7 4" xfId="24897"/>
    <cellStyle name="40% - 强调文字颜色 1 20 7 5" xfId="28132"/>
    <cellStyle name="40% - 强调文字颜色 1 20 8" xfId="3432"/>
    <cellStyle name="40% - 强调文字颜色 1 20 8 2" xfId="9041"/>
    <cellStyle name="40% - 强调文字颜色 1 20 8 3" xfId="15116"/>
    <cellStyle name="40% - 强调文字颜色 1 20 8 4" xfId="24898"/>
    <cellStyle name="40% - 强调文字颜色 1 20 8 5" xfId="28133"/>
    <cellStyle name="40% - 强调文字颜色 1 20 9" xfId="3433"/>
    <cellStyle name="40% - 强调文字颜色 1 20 9 2" xfId="9042"/>
    <cellStyle name="40% - 强调文字颜色 1 20 9 3" xfId="15117"/>
    <cellStyle name="40% - 强调文字颜色 1 20 9 4" xfId="24899"/>
    <cellStyle name="40% - 强调文字颜色 1 20 9 5" xfId="28134"/>
    <cellStyle name="40% - 强调文字颜色 1 21" xfId="738"/>
    <cellStyle name="40% - 强调文字颜色 1 21 10" xfId="3435"/>
    <cellStyle name="40% - 强调文字颜色 1 21 10 2" xfId="9043"/>
    <cellStyle name="40% - 强调文字颜色 1 21 10 3" xfId="15119"/>
    <cellStyle name="40% - 强调文字颜色 1 21 10 4" xfId="24900"/>
    <cellStyle name="40% - 强调文字颜色 1 21 10 5" xfId="28136"/>
    <cellStyle name="40% - 强调文字颜色 1 21 11" xfId="3436"/>
    <cellStyle name="40% - 强调文字颜色 1 21 11 2" xfId="9044"/>
    <cellStyle name="40% - 强调文字颜色 1 21 11 3" xfId="15120"/>
    <cellStyle name="40% - 强调文字颜色 1 21 11 4" xfId="24901"/>
    <cellStyle name="40% - 强调文字颜色 1 21 11 5" xfId="28137"/>
    <cellStyle name="40% - 强调文字颜色 1 21 12" xfId="3437"/>
    <cellStyle name="40% - 强调文字颜色 1 21 12 2" xfId="9045"/>
    <cellStyle name="40% - 强调文字颜色 1 21 12 3" xfId="15121"/>
    <cellStyle name="40% - 强调文字颜色 1 21 12 4" xfId="24902"/>
    <cellStyle name="40% - 强调文字颜色 1 21 12 5" xfId="28138"/>
    <cellStyle name="40% - 强调文字颜色 1 21 13" xfId="3438"/>
    <cellStyle name="40% - 强调文字颜色 1 21 13 2" xfId="9046"/>
    <cellStyle name="40% - 强调文字颜色 1 21 13 3" xfId="15122"/>
    <cellStyle name="40% - 强调文字颜色 1 21 13 4" xfId="24903"/>
    <cellStyle name="40% - 强调文字颜色 1 21 13 5" xfId="28139"/>
    <cellStyle name="40% - 强调文字颜色 1 21 14" xfId="3439"/>
    <cellStyle name="40% - 强调文字颜色 1 21 14 2" xfId="9047"/>
    <cellStyle name="40% - 强调文字颜色 1 21 14 3" xfId="15123"/>
    <cellStyle name="40% - 强调文字颜色 1 21 14 4" xfId="24904"/>
    <cellStyle name="40% - 强调文字颜色 1 21 14 5" xfId="28140"/>
    <cellStyle name="40% - 强调文字颜色 1 21 15" xfId="3440"/>
    <cellStyle name="40% - 强调文字颜色 1 21 15 2" xfId="9048"/>
    <cellStyle name="40% - 强调文字颜色 1 21 15 3" xfId="15124"/>
    <cellStyle name="40% - 强调文字颜色 1 21 15 4" xfId="24905"/>
    <cellStyle name="40% - 强调文字颜色 1 21 15 5" xfId="28141"/>
    <cellStyle name="40% - 强调文字颜色 1 21 16" xfId="3441"/>
    <cellStyle name="40% - 强调文字颜色 1 21 16 2" xfId="9049"/>
    <cellStyle name="40% - 强调文字颜色 1 21 16 3" xfId="15125"/>
    <cellStyle name="40% - 强调文字颜色 1 21 16 4" xfId="24906"/>
    <cellStyle name="40% - 强调文字颜色 1 21 16 5" xfId="28142"/>
    <cellStyle name="40% - 强调文字颜色 1 21 17" xfId="3442"/>
    <cellStyle name="40% - 强调文字颜色 1 21 17 2" xfId="9050"/>
    <cellStyle name="40% - 强调文字颜色 1 21 17 3" xfId="15126"/>
    <cellStyle name="40% - 强调文字颜色 1 21 17 4" xfId="24907"/>
    <cellStyle name="40% - 强调文字颜色 1 21 17 5" xfId="28143"/>
    <cellStyle name="40% - 强调文字颜色 1 21 18" xfId="3443"/>
    <cellStyle name="40% - 强调文字颜色 1 21 18 2" xfId="9051"/>
    <cellStyle name="40% - 强调文字颜色 1 21 18 3" xfId="15127"/>
    <cellStyle name="40% - 强调文字颜色 1 21 18 4" xfId="24908"/>
    <cellStyle name="40% - 强调文字颜色 1 21 18 5" xfId="28144"/>
    <cellStyle name="40% - 强调文字颜色 1 21 19" xfId="3444"/>
    <cellStyle name="40% - 强调文字颜色 1 21 19 2" xfId="9052"/>
    <cellStyle name="40% - 强调文字颜色 1 21 19 3" xfId="15128"/>
    <cellStyle name="40% - 强调文字颜色 1 21 19 4" xfId="24909"/>
    <cellStyle name="40% - 强调文字颜色 1 21 19 5" xfId="28145"/>
    <cellStyle name="40% - 强调文字颜色 1 21 2" xfId="3434"/>
    <cellStyle name="40% - 强调文字颜色 1 21 2 2" xfId="9053"/>
    <cellStyle name="40% - 强调文字颜色 1 21 2 3" xfId="15129"/>
    <cellStyle name="40% - 强调文字颜色 1 21 2 4" xfId="24910"/>
    <cellStyle name="40% - 强调文字颜色 1 21 2 5" xfId="28135"/>
    <cellStyle name="40% - 强调文字颜色 1 21 20" xfId="3446"/>
    <cellStyle name="40% - 强调文字颜色 1 21 20 2" xfId="9054"/>
    <cellStyle name="40% - 强调文字颜色 1 21 20 3" xfId="15130"/>
    <cellStyle name="40% - 强调文字颜色 1 21 20 4" xfId="24911"/>
    <cellStyle name="40% - 强调文字颜色 1 21 20 5" xfId="28146"/>
    <cellStyle name="40% - 强调文字颜色 1 21 21" xfId="3447"/>
    <cellStyle name="40% - 强调文字颜色 1 21 21 2" xfId="9055"/>
    <cellStyle name="40% - 强调文字颜色 1 21 21 3" xfId="15131"/>
    <cellStyle name="40% - 强调文字颜色 1 21 21 4" xfId="24912"/>
    <cellStyle name="40% - 强调文字颜色 1 21 21 5" xfId="28147"/>
    <cellStyle name="40% - 强调文字颜色 1 21 22" xfId="3448"/>
    <cellStyle name="40% - 强调文字颜色 1 21 22 2" xfId="9056"/>
    <cellStyle name="40% - 强调文字颜色 1 21 22 3" xfId="15132"/>
    <cellStyle name="40% - 强调文字颜色 1 21 22 4" xfId="24913"/>
    <cellStyle name="40% - 强调文字颜色 1 21 22 5" xfId="28148"/>
    <cellStyle name="40% - 强调文字颜色 1 21 23" xfId="3449"/>
    <cellStyle name="40% - 强调文字颜色 1 21 23 2" xfId="9057"/>
    <cellStyle name="40% - 强调文字颜色 1 21 23 3" xfId="15133"/>
    <cellStyle name="40% - 强调文字颜色 1 21 23 4" xfId="24914"/>
    <cellStyle name="40% - 强调文字颜色 1 21 23 5" xfId="28149"/>
    <cellStyle name="40% - 强调文字颜色 1 21 24" xfId="6286"/>
    <cellStyle name="40% - 强调文字颜色 1 21 25" xfId="10994"/>
    <cellStyle name="40% - 强调文字颜色 1 21 26" xfId="12434"/>
    <cellStyle name="40% - 强调文字颜色 1 21 27" xfId="15118"/>
    <cellStyle name="40% - 强调文字颜色 1 21 28" xfId="10343"/>
    <cellStyle name="40% - 强调文字颜色 1 21 29" xfId="18593"/>
    <cellStyle name="40% - 强调文字颜色 1 21 3" xfId="3450"/>
    <cellStyle name="40% - 强调文字颜色 1 21 3 2" xfId="9058"/>
    <cellStyle name="40% - 强调文字颜色 1 21 3 3" xfId="15134"/>
    <cellStyle name="40% - 强调文字颜色 1 21 3 4" xfId="24915"/>
    <cellStyle name="40% - 强调文字颜色 1 21 3 5" xfId="28150"/>
    <cellStyle name="40% - 强调文字颜色 1 21 30" xfId="22250"/>
    <cellStyle name="40% - 强调文字颜色 1 21 31" xfId="21164"/>
    <cellStyle name="40% - 强调文字颜色 1 21 32" xfId="30355"/>
    <cellStyle name="40% - 强调文字颜色 1 21 33" xfId="32265"/>
    <cellStyle name="40% - 强调文字颜色 1 21 4" xfId="3451"/>
    <cellStyle name="40% - 强调文字颜色 1 21 4 2" xfId="9059"/>
    <cellStyle name="40% - 强调文字颜色 1 21 4 3" xfId="15135"/>
    <cellStyle name="40% - 强调文字颜色 1 21 4 4" xfId="24916"/>
    <cellStyle name="40% - 强调文字颜色 1 21 4 5" xfId="28151"/>
    <cellStyle name="40% - 强调文字颜色 1 21 5" xfId="3452"/>
    <cellStyle name="40% - 强调文字颜色 1 21 5 2" xfId="9060"/>
    <cellStyle name="40% - 强调文字颜色 1 21 5 3" xfId="15136"/>
    <cellStyle name="40% - 强调文字颜色 1 21 5 4" xfId="24917"/>
    <cellStyle name="40% - 强调文字颜色 1 21 5 5" xfId="28152"/>
    <cellStyle name="40% - 强调文字颜色 1 21 6" xfId="3453"/>
    <cellStyle name="40% - 强调文字颜色 1 21 6 2" xfId="9061"/>
    <cellStyle name="40% - 强调文字颜色 1 21 6 3" xfId="15137"/>
    <cellStyle name="40% - 强调文字颜色 1 21 6 4" xfId="24918"/>
    <cellStyle name="40% - 强调文字颜色 1 21 6 5" xfId="28153"/>
    <cellStyle name="40% - 强调文字颜色 1 21 7" xfId="3454"/>
    <cellStyle name="40% - 强调文字颜色 1 21 7 2" xfId="9062"/>
    <cellStyle name="40% - 强调文字颜色 1 21 7 3" xfId="15138"/>
    <cellStyle name="40% - 强调文字颜色 1 21 7 4" xfId="24919"/>
    <cellStyle name="40% - 强调文字颜色 1 21 7 5" xfId="28154"/>
    <cellStyle name="40% - 强调文字颜色 1 21 8" xfId="3455"/>
    <cellStyle name="40% - 强调文字颜色 1 21 8 2" xfId="9063"/>
    <cellStyle name="40% - 强调文字颜色 1 21 8 3" xfId="15139"/>
    <cellStyle name="40% - 强调文字颜色 1 21 8 4" xfId="24920"/>
    <cellStyle name="40% - 强调文字颜色 1 21 8 5" xfId="28155"/>
    <cellStyle name="40% - 强调文字颜色 1 21 9" xfId="3456"/>
    <cellStyle name="40% - 强调文字颜色 1 21 9 2" xfId="9064"/>
    <cellStyle name="40% - 强调文字颜色 1 21 9 3" xfId="15140"/>
    <cellStyle name="40% - 强调文字颜色 1 21 9 4" xfId="24921"/>
    <cellStyle name="40% - 强调文字颜色 1 21 9 5" xfId="28156"/>
    <cellStyle name="40% - 强调文字颜色 1 22" xfId="739"/>
    <cellStyle name="40% - 强调文字颜色 1 22 10" xfId="3458"/>
    <cellStyle name="40% - 强调文字颜色 1 22 10 2" xfId="9065"/>
    <cellStyle name="40% - 强调文字颜色 1 22 10 3" xfId="15142"/>
    <cellStyle name="40% - 强调文字颜色 1 22 10 4" xfId="24922"/>
    <cellStyle name="40% - 强调文字颜色 1 22 10 5" xfId="28158"/>
    <cellStyle name="40% - 强调文字颜色 1 22 11" xfId="3459"/>
    <cellStyle name="40% - 强调文字颜色 1 22 11 2" xfId="9066"/>
    <cellStyle name="40% - 强调文字颜色 1 22 11 3" xfId="15143"/>
    <cellStyle name="40% - 强调文字颜色 1 22 11 4" xfId="24923"/>
    <cellStyle name="40% - 强调文字颜色 1 22 11 5" xfId="28159"/>
    <cellStyle name="40% - 强调文字颜色 1 22 12" xfId="3460"/>
    <cellStyle name="40% - 强调文字颜色 1 22 12 2" xfId="9067"/>
    <cellStyle name="40% - 强调文字颜色 1 22 12 3" xfId="15144"/>
    <cellStyle name="40% - 强调文字颜色 1 22 12 4" xfId="24924"/>
    <cellStyle name="40% - 强调文字颜色 1 22 12 5" xfId="28160"/>
    <cellStyle name="40% - 强调文字颜色 1 22 13" xfId="3461"/>
    <cellStyle name="40% - 强调文字颜色 1 22 13 2" xfId="9068"/>
    <cellStyle name="40% - 强调文字颜色 1 22 13 3" xfId="15145"/>
    <cellStyle name="40% - 强调文字颜色 1 22 13 4" xfId="24925"/>
    <cellStyle name="40% - 强调文字颜色 1 22 13 5" xfId="28161"/>
    <cellStyle name="40% - 强调文字颜色 1 22 14" xfId="3462"/>
    <cellStyle name="40% - 强调文字颜色 1 22 14 2" xfId="9069"/>
    <cellStyle name="40% - 强调文字颜色 1 22 14 3" xfId="15146"/>
    <cellStyle name="40% - 强调文字颜色 1 22 14 4" xfId="24926"/>
    <cellStyle name="40% - 强调文字颜色 1 22 14 5" xfId="28162"/>
    <cellStyle name="40% - 强调文字颜色 1 22 15" xfId="3463"/>
    <cellStyle name="40% - 强调文字颜色 1 22 15 2" xfId="9070"/>
    <cellStyle name="40% - 强调文字颜色 1 22 15 3" xfId="15147"/>
    <cellStyle name="40% - 强调文字颜色 1 22 15 4" xfId="24927"/>
    <cellStyle name="40% - 强调文字颜色 1 22 15 5" xfId="28163"/>
    <cellStyle name="40% - 强调文字颜色 1 22 16" xfId="3464"/>
    <cellStyle name="40% - 强调文字颜色 1 22 16 2" xfId="9071"/>
    <cellStyle name="40% - 强调文字颜色 1 22 16 3" xfId="15148"/>
    <cellStyle name="40% - 强调文字颜色 1 22 16 4" xfId="24928"/>
    <cellStyle name="40% - 强调文字颜色 1 22 16 5" xfId="28164"/>
    <cellStyle name="40% - 强调文字颜色 1 22 17" xfId="3465"/>
    <cellStyle name="40% - 强调文字颜色 1 22 17 2" xfId="9072"/>
    <cellStyle name="40% - 强调文字颜色 1 22 17 3" xfId="15149"/>
    <cellStyle name="40% - 强调文字颜色 1 22 17 4" xfId="24929"/>
    <cellStyle name="40% - 强调文字颜色 1 22 17 5" xfId="28165"/>
    <cellStyle name="40% - 强调文字颜色 1 22 18" xfId="3466"/>
    <cellStyle name="40% - 强调文字颜色 1 22 18 2" xfId="9073"/>
    <cellStyle name="40% - 强调文字颜色 1 22 18 3" xfId="15150"/>
    <cellStyle name="40% - 强调文字颜色 1 22 18 4" xfId="24930"/>
    <cellStyle name="40% - 强调文字颜色 1 22 18 5" xfId="28166"/>
    <cellStyle name="40% - 强调文字颜色 1 22 19" xfId="3467"/>
    <cellStyle name="40% - 强调文字颜色 1 22 19 2" xfId="9074"/>
    <cellStyle name="40% - 强调文字颜色 1 22 19 3" xfId="15151"/>
    <cellStyle name="40% - 强调文字颜色 1 22 19 4" xfId="24931"/>
    <cellStyle name="40% - 强调文字颜色 1 22 19 5" xfId="28167"/>
    <cellStyle name="40% - 强调文字颜色 1 22 2" xfId="3457"/>
    <cellStyle name="40% - 强调文字颜色 1 22 2 2" xfId="9075"/>
    <cellStyle name="40% - 强调文字颜色 1 22 2 3" xfId="15152"/>
    <cellStyle name="40% - 强调文字颜色 1 22 2 4" xfId="24932"/>
    <cellStyle name="40% - 强调文字颜色 1 22 2 5" xfId="28157"/>
    <cellStyle name="40% - 强调文字颜色 1 22 20" xfId="3469"/>
    <cellStyle name="40% - 强调文字颜色 1 22 20 2" xfId="9076"/>
    <cellStyle name="40% - 强调文字颜色 1 22 20 3" xfId="15153"/>
    <cellStyle name="40% - 强调文字颜色 1 22 20 4" xfId="24933"/>
    <cellStyle name="40% - 强调文字颜色 1 22 20 5" xfId="28168"/>
    <cellStyle name="40% - 强调文字颜色 1 22 21" xfId="3470"/>
    <cellStyle name="40% - 强调文字颜色 1 22 21 2" xfId="9077"/>
    <cellStyle name="40% - 强调文字颜色 1 22 21 3" xfId="15154"/>
    <cellStyle name="40% - 强调文字颜色 1 22 21 4" xfId="24934"/>
    <cellStyle name="40% - 强调文字颜色 1 22 21 5" xfId="28169"/>
    <cellStyle name="40% - 强调文字颜色 1 22 22" xfId="3471"/>
    <cellStyle name="40% - 强调文字颜色 1 22 22 2" xfId="9078"/>
    <cellStyle name="40% - 强调文字颜色 1 22 22 3" xfId="15155"/>
    <cellStyle name="40% - 强调文字颜色 1 22 22 4" xfId="24935"/>
    <cellStyle name="40% - 强调文字颜色 1 22 22 5" xfId="28170"/>
    <cellStyle name="40% - 强调文字颜色 1 22 23" xfId="3472"/>
    <cellStyle name="40% - 强调文字颜色 1 22 23 2" xfId="9079"/>
    <cellStyle name="40% - 强调文字颜色 1 22 23 3" xfId="15156"/>
    <cellStyle name="40% - 强调文字颜色 1 22 23 4" xfId="24936"/>
    <cellStyle name="40% - 强调文字颜色 1 22 23 5" xfId="28171"/>
    <cellStyle name="40% - 强调文字颜色 1 22 24" xfId="6287"/>
    <cellStyle name="40% - 强调文字颜色 1 22 25" xfId="10995"/>
    <cellStyle name="40% - 强调文字颜色 1 22 26" xfId="12435"/>
    <cellStyle name="40% - 强调文字颜色 1 22 27" xfId="15141"/>
    <cellStyle name="40% - 强调文字颜色 1 22 28" xfId="11482"/>
    <cellStyle name="40% - 强调文字颜色 1 22 29" xfId="18594"/>
    <cellStyle name="40% - 强调文字颜色 1 22 3" xfId="3473"/>
    <cellStyle name="40% - 强调文字颜色 1 22 3 2" xfId="9080"/>
    <cellStyle name="40% - 强调文字颜色 1 22 3 3" xfId="15157"/>
    <cellStyle name="40% - 强调文字颜色 1 22 3 4" xfId="24937"/>
    <cellStyle name="40% - 强调文字颜色 1 22 3 5" xfId="28172"/>
    <cellStyle name="40% - 强调文字颜色 1 22 30" xfId="21729"/>
    <cellStyle name="40% - 强调文字颜色 1 22 31" xfId="20591"/>
    <cellStyle name="40% - 强调文字颜色 1 22 32" xfId="30356"/>
    <cellStyle name="40% - 强调文字颜色 1 22 33" xfId="32746"/>
    <cellStyle name="40% - 强调文字颜色 1 22 4" xfId="3474"/>
    <cellStyle name="40% - 强调文字颜色 1 22 4 2" xfId="9081"/>
    <cellStyle name="40% - 强调文字颜色 1 22 4 3" xfId="15158"/>
    <cellStyle name="40% - 强调文字颜色 1 22 4 4" xfId="24938"/>
    <cellStyle name="40% - 强调文字颜色 1 22 4 5" xfId="28173"/>
    <cellStyle name="40% - 强调文字颜色 1 22 5" xfId="3475"/>
    <cellStyle name="40% - 强调文字颜色 1 22 5 2" xfId="9082"/>
    <cellStyle name="40% - 强调文字颜色 1 22 5 3" xfId="15159"/>
    <cellStyle name="40% - 强调文字颜色 1 22 5 4" xfId="24939"/>
    <cellStyle name="40% - 强调文字颜色 1 22 5 5" xfId="28174"/>
    <cellStyle name="40% - 强调文字颜色 1 22 6" xfId="3476"/>
    <cellStyle name="40% - 强调文字颜色 1 22 6 2" xfId="9083"/>
    <cellStyle name="40% - 强调文字颜色 1 22 6 3" xfId="15160"/>
    <cellStyle name="40% - 强调文字颜色 1 22 6 4" xfId="24940"/>
    <cellStyle name="40% - 强调文字颜色 1 22 6 5" xfId="28175"/>
    <cellStyle name="40% - 强调文字颜色 1 22 7" xfId="3477"/>
    <cellStyle name="40% - 强调文字颜色 1 22 7 2" xfId="9084"/>
    <cellStyle name="40% - 强调文字颜色 1 22 7 3" xfId="15161"/>
    <cellStyle name="40% - 强调文字颜色 1 22 7 4" xfId="24941"/>
    <cellStyle name="40% - 强调文字颜色 1 22 7 5" xfId="28176"/>
    <cellStyle name="40% - 强调文字颜色 1 22 8" xfId="3478"/>
    <cellStyle name="40% - 强调文字颜色 1 22 8 2" xfId="9085"/>
    <cellStyle name="40% - 强调文字颜色 1 22 8 3" xfId="15162"/>
    <cellStyle name="40% - 强调文字颜色 1 22 8 4" xfId="24942"/>
    <cellStyle name="40% - 强调文字颜色 1 22 8 5" xfId="28177"/>
    <cellStyle name="40% - 强调文字颜色 1 22 9" xfId="3479"/>
    <cellStyle name="40% - 强调文字颜色 1 22 9 2" xfId="9086"/>
    <cellStyle name="40% - 强调文字颜色 1 22 9 3" xfId="15163"/>
    <cellStyle name="40% - 强调文字颜色 1 22 9 4" xfId="24943"/>
    <cellStyle name="40% - 强调文字颜色 1 22 9 5" xfId="28178"/>
    <cellStyle name="40% - 强调文字颜色 1 23" xfId="740"/>
    <cellStyle name="40% - 强调文字颜色 1 23 10" xfId="3481"/>
    <cellStyle name="40% - 强调文字颜色 1 23 10 2" xfId="9087"/>
    <cellStyle name="40% - 强调文字颜色 1 23 10 3" xfId="15165"/>
    <cellStyle name="40% - 强调文字颜色 1 23 10 4" xfId="24944"/>
    <cellStyle name="40% - 强调文字颜色 1 23 10 5" xfId="28180"/>
    <cellStyle name="40% - 强调文字颜色 1 23 11" xfId="3482"/>
    <cellStyle name="40% - 强调文字颜色 1 23 11 2" xfId="9088"/>
    <cellStyle name="40% - 强调文字颜色 1 23 11 3" xfId="15166"/>
    <cellStyle name="40% - 强调文字颜色 1 23 11 4" xfId="24945"/>
    <cellStyle name="40% - 强调文字颜色 1 23 11 5" xfId="28181"/>
    <cellStyle name="40% - 强调文字颜色 1 23 12" xfId="3483"/>
    <cellStyle name="40% - 强调文字颜色 1 23 12 2" xfId="9089"/>
    <cellStyle name="40% - 强调文字颜色 1 23 12 3" xfId="15167"/>
    <cellStyle name="40% - 强调文字颜色 1 23 12 4" xfId="24946"/>
    <cellStyle name="40% - 强调文字颜色 1 23 12 5" xfId="28182"/>
    <cellStyle name="40% - 强调文字颜色 1 23 13" xfId="3484"/>
    <cellStyle name="40% - 强调文字颜色 1 23 13 2" xfId="9090"/>
    <cellStyle name="40% - 强调文字颜色 1 23 13 3" xfId="15168"/>
    <cellStyle name="40% - 强调文字颜色 1 23 13 4" xfId="24947"/>
    <cellStyle name="40% - 强调文字颜色 1 23 13 5" xfId="28183"/>
    <cellStyle name="40% - 强调文字颜色 1 23 14" xfId="3485"/>
    <cellStyle name="40% - 强调文字颜色 1 23 14 2" xfId="9091"/>
    <cellStyle name="40% - 强调文字颜色 1 23 14 3" xfId="15169"/>
    <cellStyle name="40% - 强调文字颜色 1 23 14 4" xfId="24948"/>
    <cellStyle name="40% - 强调文字颜色 1 23 14 5" xfId="28184"/>
    <cellStyle name="40% - 强调文字颜色 1 23 15" xfId="3486"/>
    <cellStyle name="40% - 强调文字颜色 1 23 15 2" xfId="9092"/>
    <cellStyle name="40% - 强调文字颜色 1 23 15 3" xfId="15170"/>
    <cellStyle name="40% - 强调文字颜色 1 23 15 4" xfId="24949"/>
    <cellStyle name="40% - 强调文字颜色 1 23 15 5" xfId="28185"/>
    <cellStyle name="40% - 强调文字颜色 1 23 16" xfId="3487"/>
    <cellStyle name="40% - 强调文字颜色 1 23 16 2" xfId="9093"/>
    <cellStyle name="40% - 强调文字颜色 1 23 16 3" xfId="15171"/>
    <cellStyle name="40% - 强调文字颜色 1 23 16 4" xfId="24950"/>
    <cellStyle name="40% - 强调文字颜色 1 23 16 5" xfId="28186"/>
    <cellStyle name="40% - 强调文字颜色 1 23 17" xfId="3488"/>
    <cellStyle name="40% - 强调文字颜色 1 23 17 2" xfId="9094"/>
    <cellStyle name="40% - 强调文字颜色 1 23 17 3" xfId="15172"/>
    <cellStyle name="40% - 强调文字颜色 1 23 17 4" xfId="24951"/>
    <cellStyle name="40% - 强调文字颜色 1 23 17 5" xfId="28187"/>
    <cellStyle name="40% - 强调文字颜色 1 23 18" xfId="3489"/>
    <cellStyle name="40% - 强调文字颜色 1 23 18 2" xfId="9095"/>
    <cellStyle name="40% - 强调文字颜色 1 23 18 3" xfId="15173"/>
    <cellStyle name="40% - 强调文字颜色 1 23 18 4" xfId="24952"/>
    <cellStyle name="40% - 强调文字颜色 1 23 18 5" xfId="28188"/>
    <cellStyle name="40% - 强调文字颜色 1 23 19" xfId="3490"/>
    <cellStyle name="40% - 强调文字颜色 1 23 19 2" xfId="9096"/>
    <cellStyle name="40% - 强调文字颜色 1 23 19 3" xfId="15174"/>
    <cellStyle name="40% - 强调文字颜色 1 23 19 4" xfId="24953"/>
    <cellStyle name="40% - 强调文字颜色 1 23 19 5" xfId="28189"/>
    <cellStyle name="40% - 强调文字颜色 1 23 2" xfId="3480"/>
    <cellStyle name="40% - 强调文字颜色 1 23 2 2" xfId="9097"/>
    <cellStyle name="40% - 强调文字颜色 1 23 2 3" xfId="15175"/>
    <cellStyle name="40% - 强调文字颜色 1 23 2 4" xfId="24954"/>
    <cellStyle name="40% - 强调文字颜色 1 23 2 5" xfId="28179"/>
    <cellStyle name="40% - 强调文字颜色 1 23 20" xfId="3492"/>
    <cellStyle name="40% - 强调文字颜色 1 23 20 2" xfId="9098"/>
    <cellStyle name="40% - 强调文字颜色 1 23 20 3" xfId="15176"/>
    <cellStyle name="40% - 强调文字颜色 1 23 20 4" xfId="24955"/>
    <cellStyle name="40% - 强调文字颜色 1 23 20 5" xfId="28190"/>
    <cellStyle name="40% - 强调文字颜色 1 23 21" xfId="3493"/>
    <cellStyle name="40% - 强调文字颜色 1 23 21 2" xfId="9099"/>
    <cellStyle name="40% - 强调文字颜色 1 23 21 3" xfId="15177"/>
    <cellStyle name="40% - 强调文字颜色 1 23 21 4" xfId="24956"/>
    <cellStyle name="40% - 强调文字颜色 1 23 21 5" xfId="28191"/>
    <cellStyle name="40% - 强调文字颜色 1 23 22" xfId="3494"/>
    <cellStyle name="40% - 强调文字颜色 1 23 22 2" xfId="9100"/>
    <cellStyle name="40% - 强调文字颜色 1 23 22 3" xfId="15178"/>
    <cellStyle name="40% - 强调文字颜色 1 23 22 4" xfId="24957"/>
    <cellStyle name="40% - 强调文字颜色 1 23 22 5" xfId="28192"/>
    <cellStyle name="40% - 强调文字颜色 1 23 23" xfId="3495"/>
    <cellStyle name="40% - 强调文字颜色 1 23 23 2" xfId="9101"/>
    <cellStyle name="40% - 强调文字颜色 1 23 23 3" xfId="15179"/>
    <cellStyle name="40% - 强调文字颜色 1 23 23 4" xfId="24958"/>
    <cellStyle name="40% - 强调文字颜色 1 23 23 5" xfId="28193"/>
    <cellStyle name="40% - 强调文字颜色 1 23 24" xfId="6288"/>
    <cellStyle name="40% - 强调文字颜色 1 23 25" xfId="10996"/>
    <cellStyle name="40% - 强调文字颜色 1 23 26" xfId="12436"/>
    <cellStyle name="40% - 强调文字颜色 1 23 27" xfId="15164"/>
    <cellStyle name="40% - 强调文字颜色 1 23 28" xfId="10345"/>
    <cellStyle name="40% - 强调文字颜色 1 23 29" xfId="18595"/>
    <cellStyle name="40% - 强调文字颜色 1 23 3" xfId="3496"/>
    <cellStyle name="40% - 强调文字颜色 1 23 3 2" xfId="9102"/>
    <cellStyle name="40% - 强调文字颜色 1 23 3 3" xfId="15180"/>
    <cellStyle name="40% - 强调文字颜色 1 23 3 4" xfId="24959"/>
    <cellStyle name="40% - 强调文字颜色 1 23 3 5" xfId="28194"/>
    <cellStyle name="40% - 强调文字颜色 1 23 30" xfId="23196"/>
    <cellStyle name="40% - 强调文字颜色 1 23 31" xfId="19939"/>
    <cellStyle name="40% - 强调文字颜色 1 23 32" xfId="30357"/>
    <cellStyle name="40% - 强调文字颜色 1 23 33" xfId="32264"/>
    <cellStyle name="40% - 强调文字颜色 1 23 4" xfId="3497"/>
    <cellStyle name="40% - 强调文字颜色 1 23 4 2" xfId="9103"/>
    <cellStyle name="40% - 强调文字颜色 1 23 4 3" xfId="15181"/>
    <cellStyle name="40% - 强调文字颜色 1 23 4 4" xfId="24960"/>
    <cellStyle name="40% - 强调文字颜色 1 23 4 5" xfId="28195"/>
    <cellStyle name="40% - 强调文字颜色 1 23 5" xfId="3498"/>
    <cellStyle name="40% - 强调文字颜色 1 23 5 2" xfId="9104"/>
    <cellStyle name="40% - 强调文字颜色 1 23 5 3" xfId="15182"/>
    <cellStyle name="40% - 强调文字颜色 1 23 5 4" xfId="24961"/>
    <cellStyle name="40% - 强调文字颜色 1 23 5 5" xfId="28196"/>
    <cellStyle name="40% - 强调文字颜色 1 23 6" xfId="3499"/>
    <cellStyle name="40% - 强调文字颜色 1 23 6 2" xfId="9105"/>
    <cellStyle name="40% - 强调文字颜色 1 23 6 3" xfId="15183"/>
    <cellStyle name="40% - 强调文字颜色 1 23 6 4" xfId="24962"/>
    <cellStyle name="40% - 强调文字颜色 1 23 6 5" xfId="28197"/>
    <cellStyle name="40% - 强调文字颜色 1 23 7" xfId="3500"/>
    <cellStyle name="40% - 强调文字颜色 1 23 7 2" xfId="9106"/>
    <cellStyle name="40% - 强调文字颜色 1 23 7 3" xfId="15184"/>
    <cellStyle name="40% - 强调文字颜色 1 23 7 4" xfId="24963"/>
    <cellStyle name="40% - 强调文字颜色 1 23 7 5" xfId="28198"/>
    <cellStyle name="40% - 强调文字颜色 1 23 8" xfId="3501"/>
    <cellStyle name="40% - 强调文字颜色 1 23 8 2" xfId="9107"/>
    <cellStyle name="40% - 强调文字颜色 1 23 8 3" xfId="15185"/>
    <cellStyle name="40% - 强调文字颜色 1 23 8 4" xfId="24964"/>
    <cellStyle name="40% - 强调文字颜色 1 23 8 5" xfId="28199"/>
    <cellStyle name="40% - 强调文字颜色 1 23 9" xfId="3502"/>
    <cellStyle name="40% - 强调文字颜色 1 23 9 2" xfId="9108"/>
    <cellStyle name="40% - 强调文字颜色 1 23 9 3" xfId="15186"/>
    <cellStyle name="40% - 强调文字颜色 1 23 9 4" xfId="24965"/>
    <cellStyle name="40% - 强调文字颜色 1 23 9 5" xfId="28200"/>
    <cellStyle name="40% - 强调文字颜色 1 24" xfId="3356"/>
    <cellStyle name="40% - 强调文字颜色 1 24 2" xfId="3503"/>
    <cellStyle name="40% - 强调文字颜色 1 24 3" xfId="7390"/>
    <cellStyle name="40% - 强调文字颜色 1 24 4" xfId="15187"/>
    <cellStyle name="40% - 强调文字颜色 1 24 5" xfId="7394"/>
    <cellStyle name="40% - 强调文字颜色 1 24 6" xfId="26757"/>
    <cellStyle name="40% - 强调文字颜色 1 24 7" xfId="28090"/>
    <cellStyle name="40% - 强调文字颜色 1 25" xfId="3504"/>
    <cellStyle name="40% - 强调文字颜色 1 25 2" xfId="9109"/>
    <cellStyle name="40% - 强调文字颜色 1 25 3" xfId="15188"/>
    <cellStyle name="40% - 强调文字颜色 1 25 4" xfId="24966"/>
    <cellStyle name="40% - 强调文字颜色 1 25 5" xfId="26556"/>
    <cellStyle name="40% - 强调文字颜色 1 25 6" xfId="26758"/>
    <cellStyle name="40% - 强调文字颜色 1 25 7" xfId="28201"/>
    <cellStyle name="40% - 强调文字颜色 1 26" xfId="3505"/>
    <cellStyle name="40% - 强调文字颜色 1 26 2" xfId="9110"/>
    <cellStyle name="40% - 强调文字颜色 1 26 3" xfId="15189"/>
    <cellStyle name="40% - 强调文字颜色 1 26 4" xfId="24967"/>
    <cellStyle name="40% - 强调文字颜色 1 26 5" xfId="26559"/>
    <cellStyle name="40% - 强调文字颜色 1 26 6" xfId="26759"/>
    <cellStyle name="40% - 强调文字颜色 1 26 7" xfId="28202"/>
    <cellStyle name="40% - 强调文字颜色 1 27" xfId="3506"/>
    <cellStyle name="40% - 强调文字颜色 1 27 2" xfId="9111"/>
    <cellStyle name="40% - 强调文字颜色 1 27 3" xfId="15190"/>
    <cellStyle name="40% - 强调文字颜色 1 27 4" xfId="24968"/>
    <cellStyle name="40% - 强调文字颜色 1 27 5" xfId="26760"/>
    <cellStyle name="40% - 强调文字颜色 1 27 6" xfId="28203"/>
    <cellStyle name="40% - 强调文字颜色 1 28" xfId="3507"/>
    <cellStyle name="40% - 强调文字颜色 1 28 2" xfId="9112"/>
    <cellStyle name="40% - 强调文字颜色 1 28 3" xfId="15191"/>
    <cellStyle name="40% - 强调文字颜色 1 28 4" xfId="24969"/>
    <cellStyle name="40% - 强调文字颜色 1 28 5" xfId="26761"/>
    <cellStyle name="40% - 强调文字颜色 1 28 6" xfId="28204"/>
    <cellStyle name="40% - 强调文字颜色 1 29" xfId="3508"/>
    <cellStyle name="40% - 强调文字颜色 1 29 2" xfId="9113"/>
    <cellStyle name="40% - 强调文字颜色 1 29 3" xfId="15192"/>
    <cellStyle name="40% - 强调文字颜色 1 29 4" xfId="24970"/>
    <cellStyle name="40% - 强调文字颜色 1 29 5" xfId="26762"/>
    <cellStyle name="40% - 强调文字颜色 1 29 6" xfId="28205"/>
    <cellStyle name="40% - 强调文字颜色 1 3" xfId="741"/>
    <cellStyle name="40% - 强调文字颜色 1 3 10" xfId="742"/>
    <cellStyle name="40% - 强调文字颜色 1 3 10 10" xfId="30359"/>
    <cellStyle name="40% - 强调文字颜色 1 3 10 11" xfId="33151"/>
    <cellStyle name="40% - 强调文字颜色 1 3 10 2" xfId="3510"/>
    <cellStyle name="40% - 强调文字颜色 1 3 10 3" xfId="6290"/>
    <cellStyle name="40% - 强调文字颜色 1 3 10 4" xfId="12438"/>
    <cellStyle name="40% - 强调文字颜色 1 3 10 5" xfId="15194"/>
    <cellStyle name="40% - 强调文字颜色 1 3 10 6" xfId="10344"/>
    <cellStyle name="40% - 强调文字颜色 1 3 10 7" xfId="18597"/>
    <cellStyle name="40% - 强调文字颜色 1 3 10 8" xfId="22626"/>
    <cellStyle name="40% - 强调文字颜色 1 3 10 9" xfId="20590"/>
    <cellStyle name="40% - 强调文字颜色 1 3 11" xfId="743"/>
    <cellStyle name="40% - 强调文字颜色 1 3 11 10" xfId="30360"/>
    <cellStyle name="40% - 强调文字颜色 1 3 11 11" xfId="32496"/>
    <cellStyle name="40% - 强调文字颜色 1 3 11 2" xfId="3511"/>
    <cellStyle name="40% - 强调文字颜色 1 3 11 3" xfId="6291"/>
    <cellStyle name="40% - 强调文字颜色 1 3 11 4" xfId="12439"/>
    <cellStyle name="40% - 强调文字颜色 1 3 11 5" xfId="15195"/>
    <cellStyle name="40% - 强调文字颜色 1 3 11 6" xfId="11477"/>
    <cellStyle name="40% - 强调文字颜色 1 3 11 7" xfId="18598"/>
    <cellStyle name="40% - 强调文字颜色 1 3 11 8" xfId="22213"/>
    <cellStyle name="40% - 强调文字颜色 1 3 11 9" xfId="19938"/>
    <cellStyle name="40% - 强调文字颜色 1 3 12" xfId="744"/>
    <cellStyle name="40% - 强调文字颜色 1 3 12 10" xfId="30361"/>
    <cellStyle name="40% - 强调文字颜色 1 3 12 11" xfId="32262"/>
    <cellStyle name="40% - 强调文字颜色 1 3 12 2" xfId="3512"/>
    <cellStyle name="40% - 强调文字颜色 1 3 12 3" xfId="6292"/>
    <cellStyle name="40% - 强调文字颜色 1 3 12 4" xfId="12440"/>
    <cellStyle name="40% - 强调文字颜色 1 3 12 5" xfId="15196"/>
    <cellStyle name="40% - 强调文字颜色 1 3 12 6" xfId="10340"/>
    <cellStyle name="40% - 强调文字颜色 1 3 12 7" xfId="18599"/>
    <cellStyle name="40% - 强调文字颜色 1 3 12 8" xfId="23230"/>
    <cellStyle name="40% - 强调文字颜色 1 3 12 9" xfId="21487"/>
    <cellStyle name="40% - 强调文字颜色 1 3 13" xfId="745"/>
    <cellStyle name="40% - 强调文字颜色 1 3 13 10" xfId="30362"/>
    <cellStyle name="40% - 强调文字颜色 1 3 13 11" xfId="32074"/>
    <cellStyle name="40% - 强调文字颜色 1 3 13 2" xfId="3513"/>
    <cellStyle name="40% - 强调文字颜色 1 3 13 3" xfId="6293"/>
    <cellStyle name="40% - 强调文字颜色 1 3 13 4" xfId="12441"/>
    <cellStyle name="40% - 强调文字颜色 1 3 13 5" xfId="15197"/>
    <cellStyle name="40% - 强调文字颜色 1 3 13 6" xfId="11479"/>
    <cellStyle name="40% - 强调文字颜色 1 3 13 7" xfId="18600"/>
    <cellStyle name="40% - 强调文字颜色 1 3 13 8" xfId="22247"/>
    <cellStyle name="40% - 强调文字颜色 1 3 13 9" xfId="20302"/>
    <cellStyle name="40% - 强调文字颜色 1 3 14" xfId="746"/>
    <cellStyle name="40% - 强调文字颜色 1 3 14 10" xfId="30363"/>
    <cellStyle name="40% - 强调文字颜色 1 3 14 11" xfId="31899"/>
    <cellStyle name="40% - 强调文字颜色 1 3 14 2" xfId="3514"/>
    <cellStyle name="40% - 强调文字颜色 1 3 14 3" xfId="6294"/>
    <cellStyle name="40% - 强调文字颜色 1 3 14 4" xfId="12442"/>
    <cellStyle name="40% - 强调文字颜色 1 3 14 5" xfId="15198"/>
    <cellStyle name="40% - 强调文字颜色 1 3 14 6" xfId="10342"/>
    <cellStyle name="40% - 强调文字颜色 1 3 14 7" xfId="18601"/>
    <cellStyle name="40% - 强调文字颜色 1 3 14 8" xfId="21727"/>
    <cellStyle name="40% - 强调文字颜色 1 3 14 9" xfId="21161"/>
    <cellStyle name="40% - 强调文字颜色 1 3 15" xfId="747"/>
    <cellStyle name="40% - 强调文字颜色 1 3 15 10" xfId="30364"/>
    <cellStyle name="40% - 强调文字颜色 1 3 15 11" xfId="33483"/>
    <cellStyle name="40% - 强调文字颜色 1 3 15 2" xfId="3515"/>
    <cellStyle name="40% - 强调文字颜色 1 3 15 3" xfId="6295"/>
    <cellStyle name="40% - 强调文字颜色 1 3 15 4" xfId="12443"/>
    <cellStyle name="40% - 强调文字颜色 1 3 15 5" xfId="15199"/>
    <cellStyle name="40% - 强调文字颜色 1 3 15 6" xfId="11478"/>
    <cellStyle name="40% - 强调文字颜色 1 3 15 7" xfId="18602"/>
    <cellStyle name="40% - 强调文字颜色 1 3 15 8" xfId="23229"/>
    <cellStyle name="40% - 强调文字颜色 1 3 15 9" xfId="20836"/>
    <cellStyle name="40% - 强调文字颜色 1 3 16" xfId="748"/>
    <cellStyle name="40% - 强调文字颜色 1 3 16 10" xfId="30365"/>
    <cellStyle name="40% - 强调文字颜色 1 3 16 11" xfId="32497"/>
    <cellStyle name="40% - 强调文字颜色 1 3 16 2" xfId="3516"/>
    <cellStyle name="40% - 强调文字颜色 1 3 16 3" xfId="6296"/>
    <cellStyle name="40% - 强调文字颜色 1 3 16 4" xfId="12444"/>
    <cellStyle name="40% - 强调文字颜色 1 3 16 5" xfId="15200"/>
    <cellStyle name="40% - 强调文字颜色 1 3 16 6" xfId="10341"/>
    <cellStyle name="40% - 强调文字颜色 1 3 16 7" xfId="18603"/>
    <cellStyle name="40% - 强调文字颜色 1 3 16 8" xfId="22246"/>
    <cellStyle name="40% - 强调文字颜色 1 3 16 9" xfId="20195"/>
    <cellStyle name="40% - 强调文字颜色 1 3 17" xfId="749"/>
    <cellStyle name="40% - 强调文字颜色 1 3 17 10" xfId="30366"/>
    <cellStyle name="40% - 强调文字颜色 1 3 17 11" xfId="32263"/>
    <cellStyle name="40% - 强调文字颜色 1 3 17 2" xfId="3517"/>
    <cellStyle name="40% - 强调文字颜色 1 3 17 3" xfId="6297"/>
    <cellStyle name="40% - 强调文字颜色 1 3 17 4" xfId="12445"/>
    <cellStyle name="40% - 强调文字颜色 1 3 17 5" xfId="15201"/>
    <cellStyle name="40% - 强调文字颜色 1 3 17 6" xfId="11473"/>
    <cellStyle name="40% - 强调文字颜色 1 3 17 7" xfId="18604"/>
    <cellStyle name="40% - 强调文字颜色 1 3 17 8" xfId="21726"/>
    <cellStyle name="40% - 强调文字颜色 1 3 17 9" xfId="19936"/>
    <cellStyle name="40% - 强调文字颜色 1 3 18" xfId="750"/>
    <cellStyle name="40% - 强调文字颜色 1 3 18 10" xfId="30367"/>
    <cellStyle name="40% - 强调文字颜色 1 3 18 11" xfId="33396"/>
    <cellStyle name="40% - 强调文字颜色 1 3 18 2" xfId="3518"/>
    <cellStyle name="40% - 强调文字颜色 1 3 18 3" xfId="6298"/>
    <cellStyle name="40% - 强调文字颜色 1 3 18 4" xfId="12446"/>
    <cellStyle name="40% - 强调文字颜色 1 3 18 5" xfId="15202"/>
    <cellStyle name="40% - 强调文字颜色 1 3 18 6" xfId="10336"/>
    <cellStyle name="40% - 强调文字颜色 1 3 18 7" xfId="18605"/>
    <cellStyle name="40% - 强调文字颜色 1 3 18 8" xfId="23228"/>
    <cellStyle name="40% - 强调文字颜色 1 3 18 9" xfId="21484"/>
    <cellStyle name="40% - 强调文字颜色 1 3 19" xfId="751"/>
    <cellStyle name="40% - 强调文字颜色 1 3 19 10" xfId="30368"/>
    <cellStyle name="40% - 强调文字颜色 1 3 19 11" xfId="33150"/>
    <cellStyle name="40% - 强调文字颜色 1 3 19 2" xfId="3519"/>
    <cellStyle name="40% - 强调文字颜色 1 3 19 3" xfId="6299"/>
    <cellStyle name="40% - 强调文字颜色 1 3 19 4" xfId="12447"/>
    <cellStyle name="40% - 强调文字颜色 1 3 19 5" xfId="15203"/>
    <cellStyle name="40% - 强调文字颜色 1 3 19 6" xfId="11475"/>
    <cellStyle name="40% - 强调文字颜色 1 3 19 7" xfId="18606"/>
    <cellStyle name="40% - 强调文字颜色 1 3 19 8" xfId="22245"/>
    <cellStyle name="40% - 强调文字颜色 1 3 19 9" xfId="20305"/>
    <cellStyle name="40% - 强调文字颜色 1 3 2" xfId="752"/>
    <cellStyle name="40% - 强调文字颜色 1 3 2 10" xfId="30369"/>
    <cellStyle name="40% - 强调文字颜色 1 3 2 11" xfId="32745"/>
    <cellStyle name="40% - 强调文字颜色 1 3 2 2" xfId="3520"/>
    <cellStyle name="40% - 强调文字颜色 1 3 2 3" xfId="6300"/>
    <cellStyle name="40% - 强调文字颜色 1 3 2 4" xfId="12448"/>
    <cellStyle name="40% - 强调文字颜色 1 3 2 5" xfId="15204"/>
    <cellStyle name="40% - 强调文字颜色 1 3 2 6" xfId="10338"/>
    <cellStyle name="40% - 强调文字颜色 1 3 2 7" xfId="18607"/>
    <cellStyle name="40% - 强调文字颜色 1 3 2 8" xfId="21725"/>
    <cellStyle name="40% - 强调文字颜色 1 3 2 9" xfId="21126"/>
    <cellStyle name="40% - 强调文字颜色 1 3 20" xfId="3509"/>
    <cellStyle name="40% - 强调文字颜色 1 3 20 2" xfId="9114"/>
    <cellStyle name="40% - 强调文字颜色 1 3 20 3" xfId="15205"/>
    <cellStyle name="40% - 强调文字颜色 1 3 20 4" xfId="24971"/>
    <cellStyle name="40% - 强调文字颜色 1 3 20 5" xfId="26763"/>
    <cellStyle name="40% - 强调文字颜色 1 3 20 6" xfId="28206"/>
    <cellStyle name="40% - 强调文字颜色 1 3 21" xfId="3522"/>
    <cellStyle name="40% - 强调文字颜色 1 3 21 2" xfId="9115"/>
    <cellStyle name="40% - 强调文字颜色 1 3 21 3" xfId="15206"/>
    <cellStyle name="40% - 强调文字颜色 1 3 21 4" xfId="24972"/>
    <cellStyle name="40% - 强调文字颜色 1 3 21 5" xfId="26764"/>
    <cellStyle name="40% - 强调文字颜色 1 3 21 6" xfId="28207"/>
    <cellStyle name="40% - 强调文字颜色 1 3 22" xfId="3523"/>
    <cellStyle name="40% - 强调文字颜色 1 3 22 2" xfId="9116"/>
    <cellStyle name="40% - 强调文字颜色 1 3 22 3" xfId="15207"/>
    <cellStyle name="40% - 强调文字颜色 1 3 22 4" xfId="24973"/>
    <cellStyle name="40% - 强调文字颜色 1 3 22 5" xfId="26765"/>
    <cellStyle name="40% - 强调文字颜色 1 3 22 6" xfId="28208"/>
    <cellStyle name="40% - 强调文字颜色 1 3 23" xfId="3524"/>
    <cellStyle name="40% - 强调文字颜色 1 3 23 2" xfId="9117"/>
    <cellStyle name="40% - 强调文字颜色 1 3 23 3" xfId="15208"/>
    <cellStyle name="40% - 强调文字颜色 1 3 23 4" xfId="24974"/>
    <cellStyle name="40% - 强调文字颜色 1 3 23 5" xfId="26766"/>
    <cellStyle name="40% - 强调文字颜色 1 3 23 6" xfId="28209"/>
    <cellStyle name="40% - 强调文字颜色 1 3 24" xfId="3525"/>
    <cellStyle name="40% - 强调文字颜色 1 3 24 2" xfId="9118"/>
    <cellStyle name="40% - 强调文字颜色 1 3 24 3" xfId="15209"/>
    <cellStyle name="40% - 强调文字颜色 1 3 24 4" xfId="24975"/>
    <cellStyle name="40% - 强调文字颜色 1 3 24 5" xfId="26767"/>
    <cellStyle name="40% - 强调文字颜色 1 3 24 6" xfId="28210"/>
    <cellStyle name="40% - 强调文字颜色 1 3 25" xfId="3526"/>
    <cellStyle name="40% - 强调文字颜色 1 3 25 2" xfId="9119"/>
    <cellStyle name="40% - 强调文字颜色 1 3 25 3" xfId="15210"/>
    <cellStyle name="40% - 强调文字颜色 1 3 25 4" xfId="24976"/>
    <cellStyle name="40% - 强调文字颜色 1 3 25 5" xfId="26768"/>
    <cellStyle name="40% - 强调文字颜色 1 3 25 6" xfId="28211"/>
    <cellStyle name="40% - 强调文字颜色 1 3 26" xfId="3527"/>
    <cellStyle name="40% - 强调文字颜色 1 3 26 2" xfId="9120"/>
    <cellStyle name="40% - 强调文字颜色 1 3 26 3" xfId="15211"/>
    <cellStyle name="40% - 强调文字颜色 1 3 26 4" xfId="24977"/>
    <cellStyle name="40% - 强调文字颜色 1 3 26 5" xfId="26769"/>
    <cellStyle name="40% - 强调文字颜色 1 3 26 6" xfId="28212"/>
    <cellStyle name="40% - 强调文字颜色 1 3 27" xfId="3528"/>
    <cellStyle name="40% - 强调文字颜色 1 3 27 2" xfId="9121"/>
    <cellStyle name="40% - 强调文字颜色 1 3 27 3" xfId="15212"/>
    <cellStyle name="40% - 强调文字颜色 1 3 27 4" xfId="24978"/>
    <cellStyle name="40% - 强调文字颜色 1 3 27 5" xfId="26770"/>
    <cellStyle name="40% - 强调文字颜色 1 3 27 6" xfId="28213"/>
    <cellStyle name="40% - 强调文字颜色 1 3 28" xfId="3529"/>
    <cellStyle name="40% - 强调文字颜色 1 3 28 2" xfId="9122"/>
    <cellStyle name="40% - 强调文字颜色 1 3 28 3" xfId="15213"/>
    <cellStyle name="40% - 强调文字颜色 1 3 28 4" xfId="24979"/>
    <cellStyle name="40% - 强调文字颜色 1 3 28 5" xfId="26771"/>
    <cellStyle name="40% - 强调文字颜色 1 3 28 6" xfId="28214"/>
    <cellStyle name="40% - 强调文字颜色 1 3 29" xfId="3530"/>
    <cellStyle name="40% - 强调文字颜色 1 3 29 2" xfId="9123"/>
    <cellStyle name="40% - 强调文字颜色 1 3 29 3" xfId="15214"/>
    <cellStyle name="40% - 强调文字颜色 1 3 29 4" xfId="24980"/>
    <cellStyle name="40% - 强调文字颜色 1 3 29 5" xfId="28215"/>
    <cellStyle name="40% - 强调文字颜色 1 3 3" xfId="753"/>
    <cellStyle name="40% - 强调文字颜色 1 3 3 10" xfId="30370"/>
    <cellStyle name="40% - 强调文字颜色 1 3 3 11" xfId="33149"/>
    <cellStyle name="40% - 强调文字颜色 1 3 3 2" xfId="3531"/>
    <cellStyle name="40% - 强调文字颜色 1 3 3 3" xfId="6301"/>
    <cellStyle name="40% - 强调文字颜色 1 3 3 4" xfId="12449"/>
    <cellStyle name="40% - 强调文字颜色 1 3 3 5" xfId="15215"/>
    <cellStyle name="40% - 强调文字颜色 1 3 3 6" xfId="11474"/>
    <cellStyle name="40% - 强调文字颜色 1 3 3 7" xfId="18608"/>
    <cellStyle name="40% - 强调文字颜色 1 3 3 8" xfId="23227"/>
    <cellStyle name="40% - 强调文字颜色 1 3 3 9" xfId="20833"/>
    <cellStyle name="40% - 强调文字颜色 1 3 30" xfId="3532"/>
    <cellStyle name="40% - 强调文字颜色 1 3 30 2" xfId="9124"/>
    <cellStyle name="40% - 强调文字颜色 1 3 30 3" xfId="15216"/>
    <cellStyle name="40% - 强调文字颜色 1 3 30 4" xfId="24981"/>
    <cellStyle name="40% - 强调文字颜色 1 3 30 5" xfId="28216"/>
    <cellStyle name="40% - 强调文字颜色 1 3 31" xfId="3533"/>
    <cellStyle name="40% - 强调文字颜色 1 3 31 2" xfId="9125"/>
    <cellStyle name="40% - 强调文字颜色 1 3 31 3" xfId="15217"/>
    <cellStyle name="40% - 强调文字颜色 1 3 31 4" xfId="24982"/>
    <cellStyle name="40% - 强调文字颜色 1 3 31 5" xfId="28217"/>
    <cellStyle name="40% - 强调文字颜色 1 3 32" xfId="3534"/>
    <cellStyle name="40% - 强调文字颜色 1 3 32 2" xfId="9126"/>
    <cellStyle name="40% - 强调文字颜色 1 3 32 3" xfId="15218"/>
    <cellStyle name="40% - 强调文字颜色 1 3 32 4" xfId="24983"/>
    <cellStyle name="40% - 强调文字颜色 1 3 32 5" xfId="28218"/>
    <cellStyle name="40% - 强调文字颜色 1 3 33" xfId="3535"/>
    <cellStyle name="40% - 强调文字颜色 1 3 33 2" xfId="9127"/>
    <cellStyle name="40% - 强调文字颜色 1 3 33 3" xfId="15219"/>
    <cellStyle name="40% - 强调文字颜色 1 3 33 4" xfId="24984"/>
    <cellStyle name="40% - 强调文字颜色 1 3 33 5" xfId="28219"/>
    <cellStyle name="40% - 强调文字颜色 1 3 34" xfId="3536"/>
    <cellStyle name="40% - 强调文字颜色 1 3 34 2" xfId="9128"/>
    <cellStyle name="40% - 强调文字颜色 1 3 34 3" xfId="15220"/>
    <cellStyle name="40% - 强调文字颜色 1 3 34 4" xfId="24985"/>
    <cellStyle name="40% - 强调文字颜色 1 3 34 5" xfId="28220"/>
    <cellStyle name="40% - 强调文字颜色 1 3 35" xfId="3537"/>
    <cellStyle name="40% - 强调文字颜色 1 3 35 2" xfId="9129"/>
    <cellStyle name="40% - 强调文字颜色 1 3 35 3" xfId="15221"/>
    <cellStyle name="40% - 强调文字颜色 1 3 35 4" xfId="24986"/>
    <cellStyle name="40% - 强调文字颜色 1 3 35 5" xfId="28221"/>
    <cellStyle name="40% - 强调文字颜色 1 3 36" xfId="3538"/>
    <cellStyle name="40% - 强调文字颜色 1 3 36 2" xfId="9130"/>
    <cellStyle name="40% - 强调文字颜色 1 3 36 3" xfId="15222"/>
    <cellStyle name="40% - 强调文字颜色 1 3 36 4" xfId="24987"/>
    <cellStyle name="40% - 强调文字颜色 1 3 36 5" xfId="28222"/>
    <cellStyle name="40% - 强调文字颜色 1 3 37" xfId="3539"/>
    <cellStyle name="40% - 强调文字颜色 1 3 37 2" xfId="9131"/>
    <cellStyle name="40% - 强调文字颜色 1 3 37 3" xfId="15223"/>
    <cellStyle name="40% - 强调文字颜色 1 3 37 4" xfId="24988"/>
    <cellStyle name="40% - 强调文字颜色 1 3 37 5" xfId="28223"/>
    <cellStyle name="40% - 强调文字颜色 1 3 38" xfId="3540"/>
    <cellStyle name="40% - 强调文字颜色 1 3 38 2" xfId="9132"/>
    <cellStyle name="40% - 强调文字颜色 1 3 38 3" xfId="15224"/>
    <cellStyle name="40% - 强调文字颜色 1 3 38 4" xfId="24989"/>
    <cellStyle name="40% - 强调文字颜色 1 3 38 5" xfId="28224"/>
    <cellStyle name="40% - 强调文字颜色 1 3 39" xfId="3541"/>
    <cellStyle name="40% - 强调文字颜色 1 3 39 2" xfId="9133"/>
    <cellStyle name="40% - 强调文字颜色 1 3 39 3" xfId="15225"/>
    <cellStyle name="40% - 强调文字颜色 1 3 39 4" xfId="24990"/>
    <cellStyle name="40% - 强调文字颜色 1 3 39 5" xfId="28225"/>
    <cellStyle name="40% - 强调文字颜色 1 3 4" xfId="754"/>
    <cellStyle name="40% - 强调文字颜色 1 3 4 10" xfId="30371"/>
    <cellStyle name="40% - 强调文字颜色 1 3 4 11" xfId="31898"/>
    <cellStyle name="40% - 强调文字颜色 1 3 4 2" xfId="3542"/>
    <cellStyle name="40% - 强调文字颜色 1 3 4 3" xfId="6302"/>
    <cellStyle name="40% - 强调文字颜色 1 3 4 4" xfId="12450"/>
    <cellStyle name="40% - 强调文字颜色 1 3 4 5" xfId="15226"/>
    <cellStyle name="40% - 强调文字颜色 1 3 4 6" xfId="10337"/>
    <cellStyle name="40% - 强调文字颜色 1 3 4 7" xfId="18609"/>
    <cellStyle name="40% - 强调文字颜色 1 3 4 8" xfId="22244"/>
    <cellStyle name="40% - 强调文字颜色 1 3 4 9" xfId="20192"/>
    <cellStyle name="40% - 强调文字颜色 1 3 40" xfId="3543"/>
    <cellStyle name="40% - 强调文字颜色 1 3 40 2" xfId="9134"/>
    <cellStyle name="40% - 强调文字颜色 1 3 40 3" xfId="15227"/>
    <cellStyle name="40% - 强调文字颜色 1 3 40 4" xfId="24991"/>
    <cellStyle name="40% - 强调文字颜色 1 3 40 5" xfId="28226"/>
    <cellStyle name="40% - 强调文字颜色 1 3 41" xfId="3544"/>
    <cellStyle name="40% - 强调文字颜色 1 3 41 2" xfId="9135"/>
    <cellStyle name="40% - 强调文字颜色 1 3 41 3" xfId="15228"/>
    <cellStyle name="40% - 强调文字颜色 1 3 41 4" xfId="24992"/>
    <cellStyle name="40% - 强调文字颜色 1 3 41 5" xfId="28227"/>
    <cellStyle name="40% - 强调文字颜色 1 3 42" xfId="6289"/>
    <cellStyle name="40% - 强调文字颜色 1 3 42 2" xfId="23569"/>
    <cellStyle name="40% - 强调文字颜色 1 3 42 3" xfId="26154"/>
    <cellStyle name="40% - 强调文字颜色 1 3 43" xfId="10997"/>
    <cellStyle name="40% - 强调文字颜色 1 3 43 2" xfId="23774"/>
    <cellStyle name="40% - 强调文字颜色 1 3 43 3" xfId="26359"/>
    <cellStyle name="40% - 强调文字颜色 1 3 44" xfId="12437"/>
    <cellStyle name="40% - 强调文字颜色 1 3 44 2" xfId="23864"/>
    <cellStyle name="40% - 强调文字颜色 1 3 44 3" xfId="26449"/>
    <cellStyle name="40% - 强调文字颜色 1 3 45" xfId="15193"/>
    <cellStyle name="40% - 强调文字颜色 1 3 45 2" xfId="23911"/>
    <cellStyle name="40% - 强调文字颜色 1 3 45 3" xfId="26496"/>
    <cellStyle name="40% - 强调文字颜色 1 3 46" xfId="11481"/>
    <cellStyle name="40% - 强调文字颜色 1 3 47" xfId="18596"/>
    <cellStyle name="40% - 强调文字颜色 1 3 48" xfId="22844"/>
    <cellStyle name="40% - 强调文字颜色 1 3 49" xfId="21163"/>
    <cellStyle name="40% - 强调文字颜色 1 3 5" xfId="755"/>
    <cellStyle name="40% - 强调文字颜色 1 3 5 10" xfId="30372"/>
    <cellStyle name="40% - 强调文字颜色 1 3 5 11" xfId="32261"/>
    <cellStyle name="40% - 强调文字颜色 1 3 5 2" xfId="3545"/>
    <cellStyle name="40% - 强调文字颜色 1 3 5 3" xfId="6303"/>
    <cellStyle name="40% - 强调文字颜色 1 3 5 4" xfId="12451"/>
    <cellStyle name="40% - 强调文字颜色 1 3 5 5" xfId="15229"/>
    <cellStyle name="40% - 强调文字颜色 1 3 5 6" xfId="11470"/>
    <cellStyle name="40% - 强调文字颜色 1 3 5 7" xfId="18610"/>
    <cellStyle name="40% - 强调文字颜色 1 3 5 8" xfId="21724"/>
    <cellStyle name="40% - 强调文字颜色 1 3 5 9" xfId="19903"/>
    <cellStyle name="40% - 强调文字颜色 1 3 50" xfId="30358"/>
    <cellStyle name="40% - 强调文字颜色 1 3 51" xfId="33397"/>
    <cellStyle name="40% - 强调文字颜色 1 3 6" xfId="756"/>
    <cellStyle name="40% - 强调文字颜色 1 3 6 10" xfId="30373"/>
    <cellStyle name="40% - 强调文字颜色 1 3 6 11" xfId="33395"/>
    <cellStyle name="40% - 强调文字颜色 1 3 6 2" xfId="3546"/>
    <cellStyle name="40% - 强调文字颜色 1 3 6 3" xfId="6304"/>
    <cellStyle name="40% - 强调文字颜色 1 3 6 4" xfId="12452"/>
    <cellStyle name="40% - 强调文字颜色 1 3 6 5" xfId="15230"/>
    <cellStyle name="40% - 强调文字颜色 1 3 6 6" xfId="10333"/>
    <cellStyle name="40% - 强调文字颜色 1 3 6 7" xfId="18611"/>
    <cellStyle name="40% - 强调文字颜色 1 3 6 8" xfId="23226"/>
    <cellStyle name="40% - 强调文字颜色 1 3 6 9" xfId="21160"/>
    <cellStyle name="40% - 强调文字颜色 1 3 7" xfId="757"/>
    <cellStyle name="40% - 强调文字颜色 1 3 7 10" xfId="30374"/>
    <cellStyle name="40% - 强调文字颜色 1 3 7 11" xfId="33148"/>
    <cellStyle name="40% - 强调文字颜色 1 3 7 2" xfId="3547"/>
    <cellStyle name="40% - 强调文字颜色 1 3 7 3" xfId="6305"/>
    <cellStyle name="40% - 强调文字颜色 1 3 7 4" xfId="12453"/>
    <cellStyle name="40% - 强调文字颜色 1 3 7 5" xfId="15231"/>
    <cellStyle name="40% - 强调文字颜色 1 3 7 6" xfId="11472"/>
    <cellStyle name="40% - 强调文字颜色 1 3 7 7" xfId="18612"/>
    <cellStyle name="40% - 强调文字颜色 1 3 7 8" xfId="22243"/>
    <cellStyle name="40% - 强调文字颜色 1 3 7 9" xfId="20589"/>
    <cellStyle name="40% - 强调文字颜色 1 3 8" xfId="758"/>
    <cellStyle name="40% - 强调文字颜色 1 3 8 10" xfId="30375"/>
    <cellStyle name="40% - 强调文字颜色 1 3 8 11" xfId="32744"/>
    <cellStyle name="40% - 强调文字颜色 1 3 8 2" xfId="3548"/>
    <cellStyle name="40% - 强调文字颜色 1 3 8 3" xfId="6306"/>
    <cellStyle name="40% - 强调文字颜色 1 3 8 4" xfId="12454"/>
    <cellStyle name="40% - 强调文字颜色 1 3 8 5" xfId="15232"/>
    <cellStyle name="40% - 强调文字颜色 1 3 8 6" xfId="10335"/>
    <cellStyle name="40% - 强调文字颜色 1 3 8 7" xfId="18613"/>
    <cellStyle name="40% - 强调文字颜色 1 3 8 8" xfId="21723"/>
    <cellStyle name="40% - 强调文字颜色 1 3 8 9" xfId="19935"/>
    <cellStyle name="40% - 强调文字颜色 1 3 9" xfId="759"/>
    <cellStyle name="40% - 强调文字颜色 1 3 9 10" xfId="30376"/>
    <cellStyle name="40% - 强调文字颜色 1 3 9 11" xfId="32495"/>
    <cellStyle name="40% - 强调文字颜色 1 3 9 2" xfId="3549"/>
    <cellStyle name="40% - 强调文字颜色 1 3 9 3" xfId="6307"/>
    <cellStyle name="40% - 强调文字颜色 1 3 9 4" xfId="12455"/>
    <cellStyle name="40% - 强调文字颜色 1 3 9 5" xfId="15233"/>
    <cellStyle name="40% - 强调文字颜色 1 3 9 6" xfId="11471"/>
    <cellStyle name="40% - 强调文字颜色 1 3 9 7" xfId="18614"/>
    <cellStyle name="40% - 强调文字颜色 1 3 9 8" xfId="23225"/>
    <cellStyle name="40% - 强调文字颜色 1 3 9 9" xfId="21159"/>
    <cellStyle name="40% - 强调文字颜色 1 30" xfId="3550"/>
    <cellStyle name="40% - 强调文字颜色 1 30 2" xfId="9136"/>
    <cellStyle name="40% - 强调文字颜色 1 30 3" xfId="15234"/>
    <cellStyle name="40% - 强调文字颜色 1 30 4" xfId="24993"/>
    <cellStyle name="40% - 强调文字颜色 1 30 5" xfId="26772"/>
    <cellStyle name="40% - 强调文字颜色 1 30 6" xfId="28228"/>
    <cellStyle name="40% - 强调文字颜色 1 31" xfId="3551"/>
    <cellStyle name="40% - 强调文字颜色 1 31 2" xfId="9137"/>
    <cellStyle name="40% - 强调文字颜色 1 31 3" xfId="15235"/>
    <cellStyle name="40% - 强调文字颜色 1 31 4" xfId="24994"/>
    <cellStyle name="40% - 强调文字颜色 1 31 5" xfId="26773"/>
    <cellStyle name="40% - 强调文字颜色 1 31 6" xfId="28229"/>
    <cellStyle name="40% - 强调文字颜色 1 32" xfId="3552"/>
    <cellStyle name="40% - 强调文字颜色 1 32 2" xfId="9138"/>
    <cellStyle name="40% - 强调文字颜色 1 32 3" xfId="15236"/>
    <cellStyle name="40% - 强调文字颜色 1 32 4" xfId="24995"/>
    <cellStyle name="40% - 强调文字颜色 1 32 5" xfId="26774"/>
    <cellStyle name="40% - 强调文字颜色 1 32 6" xfId="28230"/>
    <cellStyle name="40% - 强调文字颜色 1 33" xfId="3553"/>
    <cellStyle name="40% - 强调文字颜色 1 33 2" xfId="9139"/>
    <cellStyle name="40% - 强调文字颜色 1 33 3" xfId="15237"/>
    <cellStyle name="40% - 强调文字颜色 1 33 4" xfId="24996"/>
    <cellStyle name="40% - 强调文字颜色 1 33 5" xfId="28231"/>
    <cellStyle name="40% - 强调文字颜色 1 34" xfId="3554"/>
    <cellStyle name="40% - 强调文字颜色 1 34 2" xfId="9140"/>
    <cellStyle name="40% - 强调文字颜色 1 34 3" xfId="15238"/>
    <cellStyle name="40% - 强调文字颜色 1 34 4" xfId="24997"/>
    <cellStyle name="40% - 强调文字颜色 1 34 5" xfId="28232"/>
    <cellStyle name="40% - 强调文字颜色 1 35" xfId="3555"/>
    <cellStyle name="40% - 强调文字颜色 1 35 2" xfId="9141"/>
    <cellStyle name="40% - 强调文字颜色 1 35 3" xfId="15239"/>
    <cellStyle name="40% - 强调文字颜色 1 35 4" xfId="24998"/>
    <cellStyle name="40% - 强调文字颜色 1 35 5" xfId="28233"/>
    <cellStyle name="40% - 强调文字颜色 1 36" xfId="3556"/>
    <cellStyle name="40% - 强调文字颜色 1 36 2" xfId="9142"/>
    <cellStyle name="40% - 强调文字颜色 1 36 3" xfId="15240"/>
    <cellStyle name="40% - 强调文字颜色 1 36 4" xfId="24999"/>
    <cellStyle name="40% - 强调文字颜色 1 36 5" xfId="28234"/>
    <cellStyle name="40% - 强调文字颜色 1 37" xfId="3557"/>
    <cellStyle name="40% - 强调文字颜色 1 37 2" xfId="9143"/>
    <cellStyle name="40% - 强调文字颜色 1 37 3" xfId="15241"/>
    <cellStyle name="40% - 强调文字颜色 1 37 4" xfId="25000"/>
    <cellStyle name="40% - 强调文字颜色 1 37 5" xfId="28235"/>
    <cellStyle name="40% - 强调文字颜色 1 38" xfId="3558"/>
    <cellStyle name="40% - 强调文字颜色 1 38 2" xfId="9144"/>
    <cellStyle name="40% - 强调文字颜色 1 38 3" xfId="15242"/>
    <cellStyle name="40% - 强调文字颜色 1 38 4" xfId="25001"/>
    <cellStyle name="40% - 强调文字颜色 1 38 5" xfId="28236"/>
    <cellStyle name="40% - 强调文字颜色 1 39" xfId="3559"/>
    <cellStyle name="40% - 强调文字颜色 1 39 2" xfId="9145"/>
    <cellStyle name="40% - 强调文字颜色 1 39 3" xfId="15243"/>
    <cellStyle name="40% - 强调文字颜色 1 39 4" xfId="25002"/>
    <cellStyle name="40% - 强调文字颜色 1 39 5" xfId="28237"/>
    <cellStyle name="40% - 强调文字颜色 1 4" xfId="760"/>
    <cellStyle name="40% - 强调文字颜色 1 4 10" xfId="12456"/>
    <cellStyle name="40% - 强调文字颜色 1 4 11" xfId="15244"/>
    <cellStyle name="40% - 强调文字颜色 1 4 12" xfId="10334"/>
    <cellStyle name="40% - 强调文字颜色 1 4 13" xfId="18615"/>
    <cellStyle name="40% - 强调文字颜色 1 4 14" xfId="22242"/>
    <cellStyle name="40% - 强调文字颜色 1 4 15" xfId="20588"/>
    <cellStyle name="40% - 强调文字颜色 1 4 16" xfId="30377"/>
    <cellStyle name="40% - 强调文字颜色 1 4 17" xfId="32743"/>
    <cellStyle name="40% - 强调文字颜色 1 4 2" xfId="761"/>
    <cellStyle name="40% - 强调文字颜色 1 4 2 10" xfId="30378"/>
    <cellStyle name="40% - 强调文字颜色 1 4 2 11" xfId="32494"/>
    <cellStyle name="40% - 强调文字颜色 1 4 2 2" xfId="3561"/>
    <cellStyle name="40% - 强调文字颜色 1 4 2 3" xfId="6309"/>
    <cellStyle name="40% - 强调文字颜色 1 4 2 4" xfId="12457"/>
    <cellStyle name="40% - 强调文字颜色 1 4 2 5" xfId="15245"/>
    <cellStyle name="40% - 强调文字颜色 1 4 2 6" xfId="11467"/>
    <cellStyle name="40% - 强调文字颜色 1 4 2 7" xfId="18616"/>
    <cellStyle name="40% - 强调文字颜色 1 4 2 8" xfId="21722"/>
    <cellStyle name="40% - 强调文字颜色 1 4 2 9" xfId="19934"/>
    <cellStyle name="40% - 强调文字颜色 1 4 3" xfId="762"/>
    <cellStyle name="40% - 强调文字颜色 1 4 3 10" xfId="30379"/>
    <cellStyle name="40% - 强调文字颜色 1 4 3 11" xfId="32260"/>
    <cellStyle name="40% - 强调文字颜色 1 4 3 2" xfId="3562"/>
    <cellStyle name="40% - 强调文字颜色 1 4 3 3" xfId="6310"/>
    <cellStyle name="40% - 强调文字颜色 1 4 3 4" xfId="12458"/>
    <cellStyle name="40% - 强调文字颜色 1 4 3 5" xfId="15246"/>
    <cellStyle name="40% - 强调文字颜色 1 4 3 6" xfId="10330"/>
    <cellStyle name="40% - 强调文字颜色 1 4 3 7" xfId="18617"/>
    <cellStyle name="40% - 强调文字颜色 1 4 3 8" xfId="23224"/>
    <cellStyle name="40% - 强调文字颜色 1 4 3 9" xfId="21158"/>
    <cellStyle name="40% - 强调文字颜色 1 4 4" xfId="763"/>
    <cellStyle name="40% - 强调文字颜色 1 4 4 10" xfId="30380"/>
    <cellStyle name="40% - 强调文字颜色 1 4 4 11" xfId="31797"/>
    <cellStyle name="40% - 强调文字颜色 1 4 4 2" xfId="3563"/>
    <cellStyle name="40% - 强调文字颜色 1 4 4 3" xfId="6311"/>
    <cellStyle name="40% - 强调文字颜色 1 4 4 4" xfId="12459"/>
    <cellStyle name="40% - 强调文字颜色 1 4 4 5" xfId="15247"/>
    <cellStyle name="40% - 强调文字颜色 1 4 4 6" xfId="11469"/>
    <cellStyle name="40% - 强调文字颜色 1 4 4 7" xfId="18618"/>
    <cellStyle name="40% - 强调文字颜色 1 4 4 8" xfId="22241"/>
    <cellStyle name="40% - 强调文字颜色 1 4 4 9" xfId="20587"/>
    <cellStyle name="40% - 强调文字颜色 1 4 5" xfId="764"/>
    <cellStyle name="40% - 强调文字颜色 1 4 5 10" xfId="30381"/>
    <cellStyle name="40% - 强调文字颜色 1 4 5 11" xfId="33394"/>
    <cellStyle name="40% - 强调文字颜色 1 4 5 2" xfId="3564"/>
    <cellStyle name="40% - 强调文字颜色 1 4 5 3" xfId="6312"/>
    <cellStyle name="40% - 强调文字颜色 1 4 5 4" xfId="12460"/>
    <cellStyle name="40% - 强调文字颜色 1 4 5 5" xfId="15248"/>
    <cellStyle name="40% - 强调文字颜色 1 4 5 6" xfId="10332"/>
    <cellStyle name="40% - 强调文字颜色 1 4 5 7" xfId="18619"/>
    <cellStyle name="40% - 强调文字颜色 1 4 5 8" xfId="21721"/>
    <cellStyle name="40% - 强调文字颜色 1 4 5 9" xfId="19933"/>
    <cellStyle name="40% - 强调文字颜色 1 4 6" xfId="765"/>
    <cellStyle name="40% - 强调文字颜色 1 4 6 10" xfId="30382"/>
    <cellStyle name="40% - 强调文字颜色 1 4 6 11" xfId="33147"/>
    <cellStyle name="40% - 强调文字颜色 1 4 6 2" xfId="3565"/>
    <cellStyle name="40% - 强调文字颜色 1 4 6 3" xfId="6313"/>
    <cellStyle name="40% - 强调文字颜色 1 4 6 4" xfId="12461"/>
    <cellStyle name="40% - 强调文字颜色 1 4 6 5" xfId="15249"/>
    <cellStyle name="40% - 强调文字颜色 1 4 6 6" xfId="11468"/>
    <cellStyle name="40% - 强调文字颜色 1 4 6 7" xfId="18620"/>
    <cellStyle name="40% - 强调文字颜色 1 4 6 8" xfId="23214"/>
    <cellStyle name="40% - 强调文字颜色 1 4 6 9" xfId="21157"/>
    <cellStyle name="40% - 强调文字颜色 1 4 7" xfId="766"/>
    <cellStyle name="40% - 强调文字颜色 1 4 7 10" xfId="30383"/>
    <cellStyle name="40% - 强调文字颜色 1 4 7 11" xfId="32742"/>
    <cellStyle name="40% - 强调文字颜色 1 4 7 2" xfId="3566"/>
    <cellStyle name="40% - 强调文字颜色 1 4 7 3" xfId="6314"/>
    <cellStyle name="40% - 强调文字颜色 1 4 7 4" xfId="12462"/>
    <cellStyle name="40% - 强调文字颜色 1 4 7 5" xfId="15250"/>
    <cellStyle name="40% - 强调文字颜色 1 4 7 6" xfId="10331"/>
    <cellStyle name="40% - 强调文字颜色 1 4 7 7" xfId="18621"/>
    <cellStyle name="40% - 强调文字颜色 1 4 7 8" xfId="22846"/>
    <cellStyle name="40% - 强调文字颜色 1 4 7 9" xfId="20586"/>
    <cellStyle name="40% - 强调文字颜色 1 4 8" xfId="3560"/>
    <cellStyle name="40% - 强调文字颜色 1 4 9" xfId="6308"/>
    <cellStyle name="40% - 强调文字颜色 1 40" xfId="3567"/>
    <cellStyle name="40% - 强调文字颜色 1 40 2" xfId="9146"/>
    <cellStyle name="40% - 强调文字颜色 1 40 3" xfId="15251"/>
    <cellStyle name="40% - 强调文字颜色 1 40 4" xfId="25003"/>
    <cellStyle name="40% - 强调文字颜色 1 40 5" xfId="28238"/>
    <cellStyle name="40% - 强调文字颜色 1 41" xfId="3568"/>
    <cellStyle name="40% - 强调文字颜色 1 41 2" xfId="9147"/>
    <cellStyle name="40% - 强调文字颜色 1 41 3" xfId="15252"/>
    <cellStyle name="40% - 强调文字颜色 1 41 4" xfId="25004"/>
    <cellStyle name="40% - 强调文字颜色 1 41 5" xfId="28239"/>
    <cellStyle name="40% - 强调文字颜色 1 42" xfId="3569"/>
    <cellStyle name="40% - 强调文字颜色 1 42 2" xfId="9148"/>
    <cellStyle name="40% - 强调文字颜色 1 42 3" xfId="15253"/>
    <cellStyle name="40% - 强调文字颜色 1 42 4" xfId="25005"/>
    <cellStyle name="40% - 强调文字颜色 1 42 5" xfId="28240"/>
    <cellStyle name="40% - 强调文字颜色 1 43" xfId="3570"/>
    <cellStyle name="40% - 强调文字颜色 1 43 2" xfId="9149"/>
    <cellStyle name="40% - 强调文字颜色 1 43 3" xfId="15254"/>
    <cellStyle name="40% - 强调文字颜色 1 43 4" xfId="25006"/>
    <cellStyle name="40% - 强调文字颜色 1 43 5" xfId="28241"/>
    <cellStyle name="40% - 强调文字颜色 1 44" xfId="3571"/>
    <cellStyle name="40% - 强调文字颜色 1 44 2" xfId="9150"/>
    <cellStyle name="40% - 强调文字颜色 1 44 3" xfId="15255"/>
    <cellStyle name="40% - 强调文字颜色 1 44 4" xfId="25007"/>
    <cellStyle name="40% - 强调文字颜色 1 44 5" xfId="28242"/>
    <cellStyle name="40% - 强调文字颜色 1 45" xfId="3572"/>
    <cellStyle name="40% - 强调文字颜色 1 45 2" xfId="9151"/>
    <cellStyle name="40% - 强调文字颜色 1 45 3" xfId="15256"/>
    <cellStyle name="40% - 强调文字颜色 1 45 4" xfId="25008"/>
    <cellStyle name="40% - 强调文字颜色 1 45 5" xfId="28243"/>
    <cellStyle name="40% - 强调文字颜色 1 46" xfId="6242"/>
    <cellStyle name="40% - 强调文字颜色 1 46 2" xfId="8998"/>
    <cellStyle name="40% - 强调文字颜色 1 46 3" xfId="17329"/>
    <cellStyle name="40% - 强调文字颜色 1 47" xfId="10988"/>
    <cellStyle name="40% - 强调文字颜色 1 47 2" xfId="23769"/>
    <cellStyle name="40% - 强调文字颜色 1 47 3" xfId="26354"/>
    <cellStyle name="40% - 强调文字颜色 1 48" xfId="12391"/>
    <cellStyle name="40% - 强调文字颜色 1 48 2" xfId="23861"/>
    <cellStyle name="40% - 强调文字颜色 1 48 3" xfId="26446"/>
    <cellStyle name="40% - 强调文字颜色 1 49" xfId="15040"/>
    <cellStyle name="40% - 强调文字颜色 1 49 2" xfId="23910"/>
    <cellStyle name="40% - 强调文字颜色 1 49 3" xfId="26495"/>
    <cellStyle name="40% - 强调文字颜色 1 5" xfId="767"/>
    <cellStyle name="40% - 强调文字颜色 1 5 10" xfId="12463"/>
    <cellStyle name="40% - 强调文字颜色 1 5 11" xfId="15257"/>
    <cellStyle name="40% - 强调文字颜色 1 5 12" xfId="11463"/>
    <cellStyle name="40% - 强调文字颜色 1 5 13" xfId="18622"/>
    <cellStyle name="40% - 强调文字颜色 1 5 14" xfId="23223"/>
    <cellStyle name="40% - 强调文字颜色 1 5 15" xfId="19932"/>
    <cellStyle name="40% - 强调文字颜色 1 5 16" xfId="30384"/>
    <cellStyle name="40% - 强调文字颜色 1 5 17" xfId="33393"/>
    <cellStyle name="40% - 强调文字颜色 1 5 2" xfId="768"/>
    <cellStyle name="40% - 强调文字颜色 1 5 2 10" xfId="30385"/>
    <cellStyle name="40% - 强调文字颜色 1 5 2 11" xfId="33146"/>
    <cellStyle name="40% - 强调文字颜色 1 5 2 2" xfId="3574"/>
    <cellStyle name="40% - 强调文字颜色 1 5 2 3" xfId="6316"/>
    <cellStyle name="40% - 强调文字颜色 1 5 2 4" xfId="12464"/>
    <cellStyle name="40% - 强调文字颜色 1 5 2 5" xfId="15258"/>
    <cellStyle name="40% - 强调文字颜色 1 5 2 6" xfId="10326"/>
    <cellStyle name="40% - 强调文字颜色 1 5 2 7" xfId="18623"/>
    <cellStyle name="40% - 强调文字颜色 1 5 2 8" xfId="22240"/>
    <cellStyle name="40% - 强调文字颜色 1 5 2 9" xfId="21156"/>
    <cellStyle name="40% - 强调文字颜色 1 5 3" xfId="769"/>
    <cellStyle name="40% - 强调文字颜色 1 5 3 10" xfId="30386"/>
    <cellStyle name="40% - 强调文字颜色 1 5 3 11" xfId="32741"/>
    <cellStyle name="40% - 强调文字颜色 1 5 3 2" xfId="3575"/>
    <cellStyle name="40% - 强调文字颜色 1 5 3 3" xfId="6317"/>
    <cellStyle name="40% - 强调文字颜色 1 5 3 4" xfId="12465"/>
    <cellStyle name="40% - 强调文字颜色 1 5 3 5" xfId="15259"/>
    <cellStyle name="40% - 强调文字颜色 1 5 3 6" xfId="11465"/>
    <cellStyle name="40% - 强调文字颜色 1 5 3 7" xfId="18624"/>
    <cellStyle name="40% - 强调文字颜色 1 5 3 8" xfId="21712"/>
    <cellStyle name="40% - 强调文字颜色 1 5 3 9" xfId="20585"/>
    <cellStyle name="40% - 强调文字颜色 1 5 4" xfId="770"/>
    <cellStyle name="40% - 强调文字颜色 1 5 4 10" xfId="30387"/>
    <cellStyle name="40% - 强调文字颜色 1 5 4 11" xfId="32493"/>
    <cellStyle name="40% - 强调文字颜色 1 5 4 2" xfId="3576"/>
    <cellStyle name="40% - 强调文字颜色 1 5 4 3" xfId="6318"/>
    <cellStyle name="40% - 强调文字颜色 1 5 4 4" xfId="12466"/>
    <cellStyle name="40% - 强调文字颜色 1 5 4 5" xfId="15260"/>
    <cellStyle name="40% - 强调文字颜色 1 5 4 6" xfId="10328"/>
    <cellStyle name="40% - 强调文字颜色 1 5 4 7" xfId="18625"/>
    <cellStyle name="40% - 强调文字颜色 1 5 4 8" xfId="22628"/>
    <cellStyle name="40% - 强调文字颜色 1 5 4 9" xfId="19931"/>
    <cellStyle name="40% - 强调文字颜色 1 5 5" xfId="771"/>
    <cellStyle name="40% - 强调文字颜色 1 5 5 10" xfId="30388"/>
    <cellStyle name="40% - 强调文字颜色 1 5 5 11" xfId="32259"/>
    <cellStyle name="40% - 强调文字颜色 1 5 5 2" xfId="3577"/>
    <cellStyle name="40% - 强调文字颜色 1 5 5 3" xfId="6319"/>
    <cellStyle name="40% - 强调文字颜色 1 5 5 4" xfId="12467"/>
    <cellStyle name="40% - 强调文字颜色 1 5 5 5" xfId="15261"/>
    <cellStyle name="40% - 强调文字颜色 1 5 5 6" xfId="11464"/>
    <cellStyle name="40% - 强调文字颜色 1 5 5 7" xfId="18626"/>
    <cellStyle name="40% - 强调文字颜色 1 5 5 8" xfId="23222"/>
    <cellStyle name="40% - 强调文字颜色 1 5 5 9" xfId="21155"/>
    <cellStyle name="40% - 强调文字颜色 1 5 6" xfId="772"/>
    <cellStyle name="40% - 强调文字颜色 1 5 6 10" xfId="30389"/>
    <cellStyle name="40% - 强调文字颜色 1 5 6 11" xfId="31795"/>
    <cellStyle name="40% - 强调文字颜色 1 5 6 2" xfId="3578"/>
    <cellStyle name="40% - 强调文字颜色 1 5 6 3" xfId="6320"/>
    <cellStyle name="40% - 强调文字颜色 1 5 6 4" xfId="12468"/>
    <cellStyle name="40% - 强调文字颜色 1 5 6 5" xfId="15262"/>
    <cellStyle name="40% - 强调文字颜色 1 5 6 6" xfId="10327"/>
    <cellStyle name="40% - 强调文字颜色 1 5 6 7" xfId="18627"/>
    <cellStyle name="40% - 强调文字颜色 1 5 6 8" xfId="22239"/>
    <cellStyle name="40% - 强调文字颜色 1 5 6 9" xfId="20584"/>
    <cellStyle name="40% - 强调文字颜色 1 5 7" xfId="773"/>
    <cellStyle name="40% - 强调文字颜色 1 5 7 10" xfId="30390"/>
    <cellStyle name="40% - 强调文字颜色 1 5 7 11" xfId="33392"/>
    <cellStyle name="40% - 强调文字颜色 1 5 7 2" xfId="3579"/>
    <cellStyle name="40% - 强调文字颜色 1 5 7 3" xfId="6321"/>
    <cellStyle name="40% - 强调文字颜色 1 5 7 4" xfId="12469"/>
    <cellStyle name="40% - 强调文字颜色 1 5 7 5" xfId="15263"/>
    <cellStyle name="40% - 强调文字颜色 1 5 7 6" xfId="11460"/>
    <cellStyle name="40% - 强调文字颜色 1 5 7 7" xfId="18628"/>
    <cellStyle name="40% - 强调文字颜色 1 5 7 8" xfId="21720"/>
    <cellStyle name="40% - 强调文字颜色 1 5 7 9" xfId="19930"/>
    <cellStyle name="40% - 强调文字颜色 1 5 8" xfId="3573"/>
    <cellStyle name="40% - 强调文字颜色 1 5 9" xfId="6315"/>
    <cellStyle name="40% - 强调文字颜色 1 50" xfId="10371"/>
    <cellStyle name="40% - 强调文字颜色 1 50 2" xfId="27014"/>
    <cellStyle name="40% - 强调文字颜色 1 51" xfId="17439"/>
    <cellStyle name="40% - 强调文字颜色 1 52" xfId="17525"/>
    <cellStyle name="40% - 强调文字颜色 1 52 2" xfId="27146"/>
    <cellStyle name="40% - 强调文字颜色 1 53" xfId="17611"/>
    <cellStyle name="40% - 强调文字颜色 1 54" xfId="17697"/>
    <cellStyle name="40% - 强调文字颜色 1 55" xfId="17783"/>
    <cellStyle name="40% - 强调文字颜色 1 56" xfId="18548"/>
    <cellStyle name="40% - 强调文字颜色 1 56 2" xfId="21376"/>
    <cellStyle name="40% - 强调文字颜色 1 56 3" xfId="23459"/>
    <cellStyle name="40% - 强调文字颜色 1 57" xfId="21742"/>
    <cellStyle name="40% - 强调文字颜色 1 58" xfId="21488"/>
    <cellStyle name="40% - 强调文字颜色 1 6" xfId="774"/>
    <cellStyle name="40% - 强调文字颜色 1 6 10" xfId="15264"/>
    <cellStyle name="40% - 强调文字颜色 1 6 11" xfId="10323"/>
    <cellStyle name="40% - 强调文字颜色 1 6 12" xfId="18629"/>
    <cellStyle name="40% - 强调文字颜色 1 6 13" xfId="23221"/>
    <cellStyle name="40% - 强调文字颜色 1 6 14" xfId="21154"/>
    <cellStyle name="40% - 强调文字颜色 1 6 15" xfId="30391"/>
    <cellStyle name="40% - 强调文字颜色 1 6 16" xfId="33145"/>
    <cellStyle name="40% - 强调文字颜色 1 6 2" xfId="775"/>
    <cellStyle name="40% - 强调文字颜色 1 6 2 10" xfId="30392"/>
    <cellStyle name="40% - 强调文字颜色 1 6 2 11" xfId="32740"/>
    <cellStyle name="40% - 强调文字颜色 1 6 2 2" xfId="3581"/>
    <cellStyle name="40% - 强调文字颜色 1 6 2 3" xfId="6323"/>
    <cellStyle name="40% - 强调文字颜色 1 6 2 4" xfId="12471"/>
    <cellStyle name="40% - 强调文字颜色 1 6 2 5" xfId="15265"/>
    <cellStyle name="40% - 强调文字颜色 1 6 2 6" xfId="11462"/>
    <cellStyle name="40% - 强调文字颜色 1 6 2 7" xfId="18630"/>
    <cellStyle name="40% - 强调文字颜色 1 6 2 8" xfId="22238"/>
    <cellStyle name="40% - 强调文字颜色 1 6 2 9" xfId="20583"/>
    <cellStyle name="40% - 强调文字颜色 1 6 3" xfId="776"/>
    <cellStyle name="40% - 强调文字颜色 1 6 3 10" xfId="30393"/>
    <cellStyle name="40% - 强调文字颜色 1 6 3 11" xfId="32492"/>
    <cellStyle name="40% - 强调文字颜色 1 6 3 2" xfId="3582"/>
    <cellStyle name="40% - 强调文字颜色 1 6 3 3" xfId="6324"/>
    <cellStyle name="40% - 强调文字颜色 1 6 3 4" xfId="12472"/>
    <cellStyle name="40% - 强调文字颜色 1 6 3 5" xfId="15266"/>
    <cellStyle name="40% - 强调文字颜色 1 6 3 6" xfId="10325"/>
    <cellStyle name="40% - 强调文字颜色 1 6 3 7" xfId="18631"/>
    <cellStyle name="40% - 强调文字颜色 1 6 3 8" xfId="21719"/>
    <cellStyle name="40% - 强调文字颜色 1 6 3 9" xfId="19929"/>
    <cellStyle name="40% - 强调文字颜色 1 6 4" xfId="777"/>
    <cellStyle name="40% - 强调文字颜色 1 6 4 10" xfId="30394"/>
    <cellStyle name="40% - 强调文字颜色 1 6 4 11" xfId="32258"/>
    <cellStyle name="40% - 强调文字颜色 1 6 4 2" xfId="3583"/>
    <cellStyle name="40% - 强调文字颜色 1 6 4 3" xfId="6325"/>
    <cellStyle name="40% - 强调文字颜色 1 6 4 4" xfId="12473"/>
    <cellStyle name="40% - 强调文字颜色 1 6 4 5" xfId="15267"/>
    <cellStyle name="40% - 强调文字颜色 1 6 4 6" xfId="11461"/>
    <cellStyle name="40% - 强调文字颜色 1 6 4 7" xfId="18632"/>
    <cellStyle name="40% - 强调文字颜色 1 6 4 8" xfId="23220"/>
    <cellStyle name="40% - 强调文字颜色 1 6 4 9" xfId="21486"/>
    <cellStyle name="40% - 强调文字颜色 1 6 5" xfId="778"/>
    <cellStyle name="40% - 强调文字颜色 1 6 5 10" xfId="30395"/>
    <cellStyle name="40% - 强调文字颜色 1 6 5 11" xfId="31794"/>
    <cellStyle name="40% - 强调文字颜色 1 6 5 2" xfId="3584"/>
    <cellStyle name="40% - 强调文字颜色 1 6 5 3" xfId="6326"/>
    <cellStyle name="40% - 强调文字颜色 1 6 5 4" xfId="12474"/>
    <cellStyle name="40% - 强调文字颜色 1 6 5 5" xfId="15268"/>
    <cellStyle name="40% - 强调文字颜色 1 6 5 6" xfId="10324"/>
    <cellStyle name="40% - 强调文字颜色 1 6 5 7" xfId="18633"/>
    <cellStyle name="40% - 强调文字颜色 1 6 5 8" xfId="22237"/>
    <cellStyle name="40% - 强调文字颜色 1 6 5 9" xfId="20303"/>
    <cellStyle name="40% - 强调文字颜色 1 6 6" xfId="779"/>
    <cellStyle name="40% - 强调文字颜色 1 6 6 10" xfId="30396"/>
    <cellStyle name="40% - 强调文字颜色 1 6 6 11" xfId="33391"/>
    <cellStyle name="40% - 强调文字颜色 1 6 6 2" xfId="3585"/>
    <cellStyle name="40% - 强调文字颜色 1 6 6 3" xfId="6327"/>
    <cellStyle name="40% - 强调文字颜色 1 6 6 4" xfId="12475"/>
    <cellStyle name="40% - 强调文字颜色 1 6 6 5" xfId="15269"/>
    <cellStyle name="40% - 强调文字颜色 1 6 6 6" xfId="11457"/>
    <cellStyle name="40% - 强调文字颜色 1 6 6 7" xfId="18634"/>
    <cellStyle name="40% - 强调文字颜色 1 6 6 8" xfId="21718"/>
    <cellStyle name="40% - 强调文字颜色 1 6 6 9" xfId="21144"/>
    <cellStyle name="40% - 强调文字颜色 1 6 7" xfId="3580"/>
    <cellStyle name="40% - 强调文字颜色 1 6 8" xfId="6322"/>
    <cellStyle name="40% - 强调文字颜色 1 6 9" xfId="12470"/>
    <cellStyle name="40% - 强调文字颜色 1 7" xfId="780"/>
    <cellStyle name="40% - 强调文字颜色 1 7 10" xfId="23219"/>
    <cellStyle name="40% - 强调文字颜色 1 7 11" xfId="20835"/>
    <cellStyle name="40% - 强调文字颜色 1 7 12" xfId="30397"/>
    <cellStyle name="40% - 强调文字颜色 1 7 13" xfId="33144"/>
    <cellStyle name="40% - 强调文字颜色 1 7 2" xfId="781"/>
    <cellStyle name="40% - 强调文字颜色 1 7 2 10" xfId="30398"/>
    <cellStyle name="40% - 强调文字颜色 1 7 2 11" xfId="32739"/>
    <cellStyle name="40% - 强调文字颜色 1 7 2 2" xfId="3587"/>
    <cellStyle name="40% - 强调文字颜色 1 7 2 3" xfId="6329"/>
    <cellStyle name="40% - 强调文字颜色 1 7 2 4" xfId="12477"/>
    <cellStyle name="40% - 强调文字颜色 1 7 2 5" xfId="15271"/>
    <cellStyle name="40% - 强调文字颜色 1 7 2 6" xfId="11459"/>
    <cellStyle name="40% - 强调文字颜色 1 7 2 7" xfId="18636"/>
    <cellStyle name="40% - 强调文字颜色 1 7 2 8" xfId="22236"/>
    <cellStyle name="40% - 强调文字颜色 1 7 2 9" xfId="21153"/>
    <cellStyle name="40% - 强调文字颜色 1 7 3" xfId="782"/>
    <cellStyle name="40% - 强调文字颜色 1 7 3 10" xfId="30399"/>
    <cellStyle name="40% - 强调文字颜色 1 7 3 11" xfId="32491"/>
    <cellStyle name="40% - 强调文字颜色 1 7 3 2" xfId="3588"/>
    <cellStyle name="40% - 强调文字颜色 1 7 3 3" xfId="6330"/>
    <cellStyle name="40% - 强调文字颜色 1 7 3 4" xfId="12478"/>
    <cellStyle name="40% - 强调文字颜色 1 7 3 5" xfId="15272"/>
    <cellStyle name="40% - 强调文字颜色 1 7 3 6" xfId="10322"/>
    <cellStyle name="40% - 强调文字颜色 1 7 3 7" xfId="18637"/>
    <cellStyle name="40% - 强调文字颜色 1 7 3 8" xfId="21717"/>
    <cellStyle name="40% - 强调文字颜色 1 7 3 9" xfId="20582"/>
    <cellStyle name="40% - 强调文字颜色 1 7 4" xfId="3586"/>
    <cellStyle name="40% - 强调文字颜色 1 7 5" xfId="6328"/>
    <cellStyle name="40% - 强调文字颜色 1 7 6" xfId="12476"/>
    <cellStyle name="40% - 强调文字颜色 1 7 7" xfId="15270"/>
    <cellStyle name="40% - 强调文字颜色 1 7 8" xfId="10320"/>
    <cellStyle name="40% - 强调文字颜色 1 7 9" xfId="18635"/>
    <cellStyle name="40% - 强调文字颜色 1 8" xfId="783"/>
    <cellStyle name="40% - 强调文字颜色 1 8 10" xfId="15273"/>
    <cellStyle name="40% - 强调文字颜色 1 8 11" xfId="11458"/>
    <cellStyle name="40% - 强调文字颜色 1 8 12" xfId="18638"/>
    <cellStyle name="40% - 强调文字颜色 1 8 13" xfId="23218"/>
    <cellStyle name="40% - 强调文字颜色 1 8 14" xfId="19920"/>
    <cellStyle name="40% - 强调文字颜色 1 8 15" xfId="30400"/>
    <cellStyle name="40% - 强调文字颜色 1 8 16" xfId="32257"/>
    <cellStyle name="40% - 强调文字颜色 1 8 2" xfId="784"/>
    <cellStyle name="40% - 强调文字颜色 1 8 2 10" xfId="30401"/>
    <cellStyle name="40% - 强调文字颜色 1 8 2 11" xfId="31793"/>
    <cellStyle name="40% - 强调文字颜色 1 8 2 2" xfId="3590"/>
    <cellStyle name="40% - 强调文字颜色 1 8 2 3" xfId="6332"/>
    <cellStyle name="40% - 强调文字颜色 1 8 2 4" xfId="12480"/>
    <cellStyle name="40% - 强调文字颜色 1 8 2 5" xfId="15274"/>
    <cellStyle name="40% - 强调文字颜色 1 8 2 6" xfId="10321"/>
    <cellStyle name="40% - 强调文字颜色 1 8 2 7" xfId="18639"/>
    <cellStyle name="40% - 强调文字颜色 1 8 2 8" xfId="22235"/>
    <cellStyle name="40% - 强调文字颜色 1 8 2 9" xfId="20751"/>
    <cellStyle name="40% - 强调文字颜色 1 8 3" xfId="785"/>
    <cellStyle name="40% - 强调文字颜色 1 8 3 10" xfId="30402"/>
    <cellStyle name="40% - 强调文字颜色 1 8 3 11" xfId="33390"/>
    <cellStyle name="40% - 强调文字颜色 1 8 3 2" xfId="3591"/>
    <cellStyle name="40% - 强调文字颜色 1 8 3 3" xfId="6333"/>
    <cellStyle name="40% - 强调文字颜色 1 8 3 4" xfId="12481"/>
    <cellStyle name="40% - 强调文字颜色 1 8 3 5" xfId="15275"/>
    <cellStyle name="40% - 强调文字颜色 1 8 3 6" xfId="11453"/>
    <cellStyle name="40% - 强调文字颜色 1 8 3 7" xfId="18640"/>
    <cellStyle name="40% - 强调文字颜色 1 8 3 8" xfId="21716"/>
    <cellStyle name="40% - 强调文字颜色 1 8 3 9" xfId="21359"/>
    <cellStyle name="40% - 强调文字颜色 1 8 4" xfId="786"/>
    <cellStyle name="40% - 强调文字颜色 1 8 4 10" xfId="30403"/>
    <cellStyle name="40% - 强调文字颜色 1 8 4 11" xfId="33143"/>
    <cellStyle name="40% - 强调文字颜色 1 8 4 2" xfId="3592"/>
    <cellStyle name="40% - 强调文字颜色 1 8 4 3" xfId="6334"/>
    <cellStyle name="40% - 强调文字颜色 1 8 4 4" xfId="12482"/>
    <cellStyle name="40% - 强调文字颜色 1 8 4 5" xfId="15276"/>
    <cellStyle name="40% - 强调文字颜色 1 8 4 6" xfId="10316"/>
    <cellStyle name="40% - 强调文字颜色 1 8 4 7" xfId="18641"/>
    <cellStyle name="40% - 强调文字颜色 1 8 4 8" xfId="23217"/>
    <cellStyle name="40% - 强调文字颜色 1 8 4 9" xfId="20573"/>
    <cellStyle name="40% - 强调文字颜色 1 8 5" xfId="787"/>
    <cellStyle name="40% - 强调文字颜色 1 8 5 2" xfId="6335"/>
    <cellStyle name="40% - 强调文字颜色 1 8 5 3" xfId="12483"/>
    <cellStyle name="40% - 强调文字颜色 1 8 5 4" xfId="11455"/>
    <cellStyle name="40% - 强调文字颜色 1 8 5 5" xfId="18642"/>
    <cellStyle name="40% - 强调文字颜色 1 8 5 6" xfId="22234"/>
    <cellStyle name="40% - 强调文字颜色 1 8 5 7" xfId="20194"/>
    <cellStyle name="40% - 强调文字颜色 1 8 5 8" xfId="31548"/>
    <cellStyle name="40% - 强调文字颜色 1 8 5 9" xfId="32569"/>
    <cellStyle name="40% - 强调文字颜色 1 8 6" xfId="3589"/>
    <cellStyle name="40% - 强调文字颜色 1 8 7" xfId="6331"/>
    <cellStyle name="40% - 强调文字颜色 1 8 8" xfId="10998"/>
    <cellStyle name="40% - 强调文字颜色 1 8 9" xfId="12479"/>
    <cellStyle name="40% - 强调文字颜色 1 9" xfId="788"/>
    <cellStyle name="40% - 强调文字颜色 1 9 10" xfId="15277"/>
    <cellStyle name="40% - 强调文字颜色 1 9 11" xfId="10318"/>
    <cellStyle name="40% - 强调文字颜色 1 9 12" xfId="18643"/>
    <cellStyle name="40% - 强调文字颜色 1 9 13" xfId="21715"/>
    <cellStyle name="40% - 强调文字颜色 1 9 14" xfId="21152"/>
    <cellStyle name="40% - 强调文字颜色 1 9 15" xfId="30404"/>
    <cellStyle name="40% - 强调文字颜色 1 9 16" xfId="32738"/>
    <cellStyle name="40% - 强调文字颜色 1 9 2" xfId="789"/>
    <cellStyle name="40% - 强调文字颜色 1 9 2 10" xfId="30405"/>
    <cellStyle name="40% - 强调文字颜色 1 9 2 11" xfId="33136"/>
    <cellStyle name="40% - 强调文字颜色 1 9 2 2" xfId="3594"/>
    <cellStyle name="40% - 强调文字颜色 1 9 2 3" xfId="6337"/>
    <cellStyle name="40% - 强调文字颜色 1 9 2 4" xfId="12485"/>
    <cellStyle name="40% - 强调文字颜色 1 9 2 5" xfId="15278"/>
    <cellStyle name="40% - 强调文字颜色 1 9 2 6" xfId="11454"/>
    <cellStyle name="40% - 强调文字颜色 1 9 2 7" xfId="18644"/>
    <cellStyle name="40% - 强调文字颜色 1 9 2 8" xfId="23216"/>
    <cellStyle name="40% - 强调文字颜色 1 9 2 9" xfId="20581"/>
    <cellStyle name="40% - 强调文字颜色 1 9 3" xfId="790"/>
    <cellStyle name="40% - 强调文字颜色 1 9 3 10" xfId="30406"/>
    <cellStyle name="40% - 强调文字颜色 1 9 3 11" xfId="32731"/>
    <cellStyle name="40% - 强调文字颜色 1 9 3 2" xfId="3595"/>
    <cellStyle name="40% - 强调文字颜色 1 9 3 3" xfId="6338"/>
    <cellStyle name="40% - 强调文字颜色 1 9 3 4" xfId="12486"/>
    <cellStyle name="40% - 强调文字颜色 1 9 3 5" xfId="15279"/>
    <cellStyle name="40% - 强调文字颜色 1 9 3 6" xfId="10317"/>
    <cellStyle name="40% - 强调文字颜色 1 9 3 7" xfId="18645"/>
    <cellStyle name="40% - 强调文字颜色 1 9 3 8" xfId="22233"/>
    <cellStyle name="40% - 强调文字颜色 1 9 3 9" xfId="19928"/>
    <cellStyle name="40% - 强调文字颜色 1 9 4" xfId="791"/>
    <cellStyle name="40% - 强调文字颜色 1 9 4 10" xfId="30407"/>
    <cellStyle name="40% - 强调文字颜色 1 9 4 11" xfId="32485"/>
    <cellStyle name="40% - 强调文字颜色 1 9 4 2" xfId="3596"/>
    <cellStyle name="40% - 强调文字颜色 1 9 4 3" xfId="6339"/>
    <cellStyle name="40% - 强调文字颜色 1 9 4 4" xfId="12487"/>
    <cellStyle name="40% - 强调文字颜色 1 9 4 5" xfId="15280"/>
    <cellStyle name="40% - 强调文字颜色 1 9 4 6" xfId="11450"/>
    <cellStyle name="40% - 强调文字颜色 1 9 4 7" xfId="18646"/>
    <cellStyle name="40% - 强调文字颜色 1 9 4 8" xfId="21714"/>
    <cellStyle name="40% - 强调文字颜色 1 9 4 9" xfId="21151"/>
    <cellStyle name="40% - 强调文字颜色 1 9 5" xfId="792"/>
    <cellStyle name="40% - 强调文字颜色 1 9 5 2" xfId="6340"/>
    <cellStyle name="40% - 强调文字颜色 1 9 5 3" xfId="12488"/>
    <cellStyle name="40% - 强调文字颜色 1 9 5 4" xfId="10313"/>
    <cellStyle name="40% - 强调文字颜色 1 9 5 5" xfId="18647"/>
    <cellStyle name="40% - 强调文字颜色 1 9 5 6" xfId="23215"/>
    <cellStyle name="40% - 强调文字颜色 1 9 5 7" xfId="20580"/>
    <cellStyle name="40% - 强调文字颜色 1 9 5 8" xfId="31549"/>
    <cellStyle name="40% - 强调文字颜色 1 9 5 9" xfId="31880"/>
    <cellStyle name="40% - 强调文字颜色 1 9 6" xfId="3593"/>
    <cellStyle name="40% - 强调文字颜色 1 9 7" xfId="6336"/>
    <cellStyle name="40% - 强调文字颜色 1 9 8" xfId="10999"/>
    <cellStyle name="40% - 强调文字颜色 1 9 9" xfId="12484"/>
    <cellStyle name="40% - 强调文字颜色 2" xfId="793" builtinId="35" customBuiltin="1"/>
    <cellStyle name="40% - 强调文字颜色 2 10" xfId="794"/>
    <cellStyle name="40% - 强调文字颜色 2 10 10" xfId="15282"/>
    <cellStyle name="40% - 强调文字颜色 2 10 11" xfId="10315"/>
    <cellStyle name="40% - 强调文字颜色 2 10 12" xfId="18649"/>
    <cellStyle name="40% - 强调文字颜色 2 10 13" xfId="21713"/>
    <cellStyle name="40% - 强调文字颜色 2 10 14" xfId="21150"/>
    <cellStyle name="40% - 强调文字颜色 2 10 15" xfId="30408"/>
    <cellStyle name="40% - 强调文字颜色 2 10 16" xfId="32073"/>
    <cellStyle name="40% - 强调文字颜色 2 10 2" xfId="795"/>
    <cellStyle name="40% - 强调文字颜色 2 10 2 10" xfId="30409"/>
    <cellStyle name="40% - 强调文字颜色 2 10 2 11" xfId="31787"/>
    <cellStyle name="40% - 强调文字颜色 2 10 2 2" xfId="3599"/>
    <cellStyle name="40% - 强调文字颜色 2 10 2 3" xfId="6343"/>
    <cellStyle name="40% - 强调文字颜色 2 10 2 4" xfId="12491"/>
    <cellStyle name="40% - 强调文字颜色 2 10 2 5" xfId="15283"/>
    <cellStyle name="40% - 强调文字颜色 2 10 2 6" xfId="11451"/>
    <cellStyle name="40% - 强调文字颜色 2 10 2 7" xfId="18650"/>
    <cellStyle name="40% - 强调文字颜色 2 10 2 8" xfId="23213"/>
    <cellStyle name="40% - 强调文字颜色 2 10 2 9" xfId="20579"/>
    <cellStyle name="40% - 强调文字颜色 2 10 3" xfId="796"/>
    <cellStyle name="40% - 强调文字颜色 2 10 3 10" xfId="30410"/>
    <cellStyle name="40% - 强调文字颜色 2 10 3 11" xfId="33387"/>
    <cellStyle name="40% - 强调文字颜色 2 10 3 2" xfId="3600"/>
    <cellStyle name="40% - 强调文字颜色 2 10 3 3" xfId="6344"/>
    <cellStyle name="40% - 强调文字颜色 2 10 3 4" xfId="12492"/>
    <cellStyle name="40% - 强调文字颜色 2 10 3 5" xfId="15284"/>
    <cellStyle name="40% - 强调文字颜色 2 10 3 6" xfId="10314"/>
    <cellStyle name="40% - 强调文字颜色 2 10 3 7" xfId="18651"/>
    <cellStyle name="40% - 强调文字颜色 2 10 3 8" xfId="22230"/>
    <cellStyle name="40% - 强调文字颜色 2 10 3 9" xfId="19926"/>
    <cellStyle name="40% - 强调文字颜色 2 10 4" xfId="797"/>
    <cellStyle name="40% - 强调文字颜色 2 10 4 10" xfId="30411"/>
    <cellStyle name="40% - 强调文字颜色 2 10 4 11" xfId="33140"/>
    <cellStyle name="40% - 强调文字颜色 2 10 4 2" xfId="3601"/>
    <cellStyle name="40% - 强调文字颜色 2 10 4 3" xfId="6345"/>
    <cellStyle name="40% - 强调文字颜色 2 10 4 4" xfId="12493"/>
    <cellStyle name="40% - 强调文字颜色 2 10 4 5" xfId="15285"/>
    <cellStyle name="40% - 强调文字颜色 2 10 4 6" xfId="11447"/>
    <cellStyle name="40% - 强调文字颜色 2 10 4 7" xfId="18652"/>
    <cellStyle name="40% - 强调文字颜色 2 10 4 8" xfId="21711"/>
    <cellStyle name="40% - 强调文字颜色 2 10 4 9" xfId="21149"/>
    <cellStyle name="40% - 强调文字颜色 2 10 5" xfId="798"/>
    <cellStyle name="40% - 强调文字颜色 2 10 5 2" xfId="6346"/>
    <cellStyle name="40% - 强调文字颜色 2 10 5 3" xfId="12494"/>
    <cellStyle name="40% - 强调文字颜色 2 10 5 4" xfId="10310"/>
    <cellStyle name="40% - 强调文字颜色 2 10 5 5" xfId="18653"/>
    <cellStyle name="40% - 强调文字颜色 2 10 5 6" xfId="23212"/>
    <cellStyle name="40% - 强调文字颜色 2 10 5 7" xfId="20578"/>
    <cellStyle name="40% - 强调文字颜色 2 10 5 8" xfId="31550"/>
    <cellStyle name="40% - 强调文字颜色 2 10 5 9" xfId="32568"/>
    <cellStyle name="40% - 强调文字颜色 2 10 6" xfId="3598"/>
    <cellStyle name="40% - 强调文字颜色 2 10 7" xfId="6342"/>
    <cellStyle name="40% - 强调文字颜色 2 10 8" xfId="11002"/>
    <cellStyle name="40% - 强调文字颜色 2 10 9" xfId="12490"/>
    <cellStyle name="40% - 强调文字颜色 2 11" xfId="799"/>
    <cellStyle name="40% - 强调文字颜色 2 11 10" xfId="15286"/>
    <cellStyle name="40% - 强调文字颜色 2 11 11" xfId="11449"/>
    <cellStyle name="40% - 强调文字颜色 2 11 12" xfId="18654"/>
    <cellStyle name="40% - 强调文字颜色 2 11 13" xfId="22229"/>
    <cellStyle name="40% - 强调文字颜色 2 11 14" xfId="19925"/>
    <cellStyle name="40% - 强调文字颜色 2 11 15" xfId="30412"/>
    <cellStyle name="40% - 强调文字颜色 2 11 16" xfId="32735"/>
    <cellStyle name="40% - 强调文字颜色 2 11 2" xfId="800"/>
    <cellStyle name="40% - 强调文字颜色 2 11 2 10" xfId="30413"/>
    <cellStyle name="40% - 强调文字颜色 2 11 2 11" xfId="32488"/>
    <cellStyle name="40% - 强调文字颜色 2 11 2 2" xfId="3603"/>
    <cellStyle name="40% - 强调文字颜色 2 11 2 3" xfId="6348"/>
    <cellStyle name="40% - 强调文字颜色 2 11 2 4" xfId="12496"/>
    <cellStyle name="40% - 强调文字颜色 2 11 2 5" xfId="15287"/>
    <cellStyle name="40% - 强调文字颜色 2 11 2 6" xfId="10312"/>
    <cellStyle name="40% - 强调文字颜色 2 11 2 7" xfId="18655"/>
    <cellStyle name="40% - 强调文字颜色 2 11 2 8" xfId="21710"/>
    <cellStyle name="40% - 强调文字颜色 2 11 2 9" xfId="21148"/>
    <cellStyle name="40% - 强调文字颜色 2 11 3" xfId="801"/>
    <cellStyle name="40% - 强调文字颜色 2 11 3 10" xfId="30414"/>
    <cellStyle name="40% - 强调文字颜色 2 11 3 11" xfId="32254"/>
    <cellStyle name="40% - 强调文字颜色 2 11 3 2" xfId="3604"/>
    <cellStyle name="40% - 强调文字颜色 2 11 3 3" xfId="6349"/>
    <cellStyle name="40% - 强调文字颜色 2 11 3 4" xfId="12497"/>
    <cellStyle name="40% - 强调文字颜色 2 11 3 5" xfId="15288"/>
    <cellStyle name="40% - 强调文字颜色 2 11 3 6" xfId="11448"/>
    <cellStyle name="40% - 强调文字颜色 2 11 3 7" xfId="18656"/>
    <cellStyle name="40% - 强调文字颜色 2 11 3 8" xfId="23211"/>
    <cellStyle name="40% - 强调文字颜色 2 11 3 9" xfId="20577"/>
    <cellStyle name="40% - 强调文字颜色 2 11 4" xfId="802"/>
    <cellStyle name="40% - 强调文字颜色 2 11 4 10" xfId="30415"/>
    <cellStyle name="40% - 强调文字颜色 2 11 4 11" xfId="31789"/>
    <cellStyle name="40% - 强调文字颜色 2 11 4 2" xfId="3605"/>
    <cellStyle name="40% - 强调文字颜色 2 11 4 3" xfId="6350"/>
    <cellStyle name="40% - 强调文字颜色 2 11 4 4" xfId="12498"/>
    <cellStyle name="40% - 强调文字颜色 2 11 4 5" xfId="15289"/>
    <cellStyle name="40% - 强调文字颜色 2 11 4 6" xfId="10311"/>
    <cellStyle name="40% - 强调文字颜色 2 11 4 7" xfId="18657"/>
    <cellStyle name="40% - 强调文字颜色 2 11 4 8" xfId="22228"/>
    <cellStyle name="40% - 强调文字颜色 2 11 4 9" xfId="19924"/>
    <cellStyle name="40% - 强调文字颜色 2 11 5" xfId="803"/>
    <cellStyle name="40% - 强调文字颜色 2 11 5 2" xfId="6351"/>
    <cellStyle name="40% - 强调文字颜色 2 11 5 3" xfId="12499"/>
    <cellStyle name="40% - 强调文字颜色 2 11 5 4" xfId="11443"/>
    <cellStyle name="40% - 强调文字颜色 2 11 5 5" xfId="18658"/>
    <cellStyle name="40% - 强调文字颜色 2 11 5 6" xfId="21709"/>
    <cellStyle name="40% - 强调文字颜色 2 11 5 7" xfId="21147"/>
    <cellStyle name="40% - 强调文字颜色 2 11 5 8" xfId="31551"/>
    <cellStyle name="40% - 强调文字颜色 2 11 5 9" xfId="31879"/>
    <cellStyle name="40% - 强调文字颜色 2 11 6" xfId="3602"/>
    <cellStyle name="40% - 强调文字颜色 2 11 6 2" xfId="23634"/>
    <cellStyle name="40% - 强调文字颜色 2 11 6 3" xfId="26219"/>
    <cellStyle name="40% - 强调文字颜色 2 11 7" xfId="6347"/>
    <cellStyle name="40% - 强调文字颜色 2 11 7 2" xfId="23688"/>
    <cellStyle name="40% - 强调文字颜色 2 11 7 3" xfId="26273"/>
    <cellStyle name="40% - 强调文字颜色 2 11 8" xfId="11003"/>
    <cellStyle name="40% - 强调文字颜色 2 11 8 2" xfId="23776"/>
    <cellStyle name="40% - 强调文字颜色 2 11 8 3" xfId="26361"/>
    <cellStyle name="40% - 强调文字颜色 2 11 9" xfId="12495"/>
    <cellStyle name="40% - 强调文字颜色 2 12" xfId="804"/>
    <cellStyle name="40% - 强调文字颜色 2 12 10" xfId="15290"/>
    <cellStyle name="40% - 强调文字颜色 2 12 11" xfId="10306"/>
    <cellStyle name="40% - 强调文字颜色 2 12 12" xfId="18659"/>
    <cellStyle name="40% - 强调文字颜色 2 12 13" xfId="23210"/>
    <cellStyle name="40% - 强调文字颜色 2 12 14" xfId="20576"/>
    <cellStyle name="40% - 强调文字颜色 2 12 15" xfId="30416"/>
    <cellStyle name="40% - 强调文字颜色 2 12 16" xfId="33389"/>
    <cellStyle name="40% - 强调文字颜色 2 12 2" xfId="805"/>
    <cellStyle name="40% - 强调文字颜色 2 12 2 10" xfId="30417"/>
    <cellStyle name="40% - 强调文字颜色 2 12 2 11" xfId="33142"/>
    <cellStyle name="40% - 强调文字颜色 2 12 2 2" xfId="3607"/>
    <cellStyle name="40% - 强调文字颜色 2 12 2 3" xfId="6353"/>
    <cellStyle name="40% - 强调文字颜色 2 12 2 4" xfId="12501"/>
    <cellStyle name="40% - 强调文字颜色 2 12 2 5" xfId="15291"/>
    <cellStyle name="40% - 强调文字颜色 2 12 2 6" xfId="11445"/>
    <cellStyle name="40% - 强调文字颜色 2 12 2 7" xfId="18660"/>
    <cellStyle name="40% - 强调文字颜色 2 12 2 8" xfId="22227"/>
    <cellStyle name="40% - 强调文字颜色 2 12 2 9" xfId="19923"/>
    <cellStyle name="40% - 强调文字颜色 2 12 3" xfId="806"/>
    <cellStyle name="40% - 强调文字颜色 2 12 3 10" xfId="30418"/>
    <cellStyle name="40% - 强调文字颜色 2 12 3 11" xfId="32737"/>
    <cellStyle name="40% - 强调文字颜色 2 12 3 2" xfId="3608"/>
    <cellStyle name="40% - 强调文字颜色 2 12 3 3" xfId="6354"/>
    <cellStyle name="40% - 强调文字颜色 2 12 3 4" xfId="12502"/>
    <cellStyle name="40% - 强调文字颜色 2 12 3 5" xfId="15292"/>
    <cellStyle name="40% - 强调文字颜色 2 12 3 6" xfId="10308"/>
    <cellStyle name="40% - 强调文字颜色 2 12 3 7" xfId="18661"/>
    <cellStyle name="40% - 强调文字颜色 2 12 3 8" xfId="21708"/>
    <cellStyle name="40% - 强调文字颜色 2 12 3 9" xfId="21146"/>
    <cellStyle name="40% - 强调文字颜色 2 12 4" xfId="807"/>
    <cellStyle name="40% - 强调文字颜色 2 12 4 10" xfId="30419"/>
    <cellStyle name="40% - 强调文字颜色 2 12 4 11" xfId="32490"/>
    <cellStyle name="40% - 强调文字颜色 2 12 4 2" xfId="3609"/>
    <cellStyle name="40% - 强调文字颜色 2 12 4 3" xfId="6355"/>
    <cellStyle name="40% - 强调文字颜色 2 12 4 4" xfId="12503"/>
    <cellStyle name="40% - 强调文字颜色 2 12 4 5" xfId="15293"/>
    <cellStyle name="40% - 强调文字颜色 2 12 4 6" xfId="11444"/>
    <cellStyle name="40% - 强调文字颜色 2 12 4 7" xfId="18662"/>
    <cellStyle name="40% - 强调文字颜色 2 12 4 8" xfId="23209"/>
    <cellStyle name="40% - 强调文字颜色 2 12 4 9" xfId="20575"/>
    <cellStyle name="40% - 强调文字颜色 2 12 5" xfId="808"/>
    <cellStyle name="40% - 强调文字颜色 2 12 5 2" xfId="6356"/>
    <cellStyle name="40% - 强调文字颜色 2 12 5 3" xfId="12504"/>
    <cellStyle name="40% - 强调文字颜色 2 12 5 4" xfId="10307"/>
    <cellStyle name="40% - 强调文字颜色 2 12 5 5" xfId="18663"/>
    <cellStyle name="40% - 强调文字颜色 2 12 5 6" xfId="22226"/>
    <cellStyle name="40% - 强调文字颜色 2 12 5 7" xfId="19922"/>
    <cellStyle name="40% - 强调文字颜色 2 12 5 8" xfId="31552"/>
    <cellStyle name="40% - 强调文字颜色 2 12 5 9" xfId="30830"/>
    <cellStyle name="40% - 强调文字颜色 2 12 6" xfId="3606"/>
    <cellStyle name="40% - 强调文字颜色 2 12 6 2" xfId="23635"/>
    <cellStyle name="40% - 强调文字颜色 2 12 6 3" xfId="26220"/>
    <cellStyle name="40% - 强调文字颜色 2 12 7" xfId="6352"/>
    <cellStyle name="40% - 强调文字颜色 2 12 7 2" xfId="23689"/>
    <cellStyle name="40% - 强调文字颜色 2 12 7 3" xfId="26274"/>
    <cellStyle name="40% - 强调文字颜色 2 12 8" xfId="11004"/>
    <cellStyle name="40% - 强调文字颜色 2 12 8 2" xfId="23777"/>
    <cellStyle name="40% - 强调文字颜色 2 12 8 3" xfId="26362"/>
    <cellStyle name="40% - 强调文字颜色 2 12 9" xfId="12500"/>
    <cellStyle name="40% - 强调文字颜色 2 13" xfId="809"/>
    <cellStyle name="40% - 强调文字颜色 2 13 10" xfId="11440"/>
    <cellStyle name="40% - 强调文字颜色 2 13 11" xfId="18664"/>
    <cellStyle name="40% - 强调文字颜色 2 13 12" xfId="21707"/>
    <cellStyle name="40% - 强调文字颜色 2 13 13" xfId="21145"/>
    <cellStyle name="40% - 强调文字颜色 2 13 14" xfId="30420"/>
    <cellStyle name="40% - 强调文字颜色 2 13 15" xfId="32256"/>
    <cellStyle name="40% - 强调文字颜色 2 13 2" xfId="810"/>
    <cellStyle name="40% - 强调文字颜色 2 13 2 10" xfId="30421"/>
    <cellStyle name="40% - 强调文字颜色 2 13 2 11" xfId="31791"/>
    <cellStyle name="40% - 强调文字颜色 2 13 2 2" xfId="3611"/>
    <cellStyle name="40% - 强调文字颜色 2 13 2 3" xfId="6358"/>
    <cellStyle name="40% - 强调文字颜色 2 13 2 4" xfId="12506"/>
    <cellStyle name="40% - 强调文字颜色 2 13 2 5" xfId="15295"/>
    <cellStyle name="40% - 强调文字颜色 2 13 2 6" xfId="10303"/>
    <cellStyle name="40% - 强调文字颜色 2 13 2 7" xfId="18665"/>
    <cellStyle name="40% - 强调文字颜色 2 13 2 8" xfId="23208"/>
    <cellStyle name="40% - 强调文字颜色 2 13 2 9" xfId="20574"/>
    <cellStyle name="40% - 强调文字颜色 2 13 3" xfId="811"/>
    <cellStyle name="40% - 强调文字颜色 2 13 3 10" xfId="30422"/>
    <cellStyle name="40% - 强调文字颜色 2 13 3 11" xfId="33388"/>
    <cellStyle name="40% - 强调文字颜色 2 13 3 2" xfId="3612"/>
    <cellStyle name="40% - 强调文字颜色 2 13 3 3" xfId="6359"/>
    <cellStyle name="40% - 强调文字颜色 2 13 3 4" xfId="12507"/>
    <cellStyle name="40% - 强调文字颜色 2 13 3 5" xfId="15296"/>
    <cellStyle name="40% - 强调文字颜色 2 13 3 6" xfId="11442"/>
    <cellStyle name="40% - 强调文字颜色 2 13 3 7" xfId="18666"/>
    <cellStyle name="40% - 强调文字颜色 2 13 3 8" xfId="22225"/>
    <cellStyle name="40% - 强调文字颜色 2 13 3 9" xfId="19921"/>
    <cellStyle name="40% - 强调文字颜色 2 13 4" xfId="812"/>
    <cellStyle name="40% - 强调文字颜色 2 13 4 10" xfId="30423"/>
    <cellStyle name="40% - 强调文字颜色 2 13 4 11" xfId="33141"/>
    <cellStyle name="40% - 强调文字颜色 2 13 4 2" xfId="3613"/>
    <cellStyle name="40% - 强调文字颜色 2 13 4 3" xfId="6360"/>
    <cellStyle name="40% - 强调文字颜色 2 13 4 4" xfId="12508"/>
    <cellStyle name="40% - 强调文字颜色 2 13 4 5" xfId="15297"/>
    <cellStyle name="40% - 强调文字颜色 2 13 4 6" xfId="10305"/>
    <cellStyle name="40% - 强调文字颜色 2 13 4 7" xfId="18667"/>
    <cellStyle name="40% - 强调文字颜色 2 13 4 8" xfId="21706"/>
    <cellStyle name="40% - 强调文字颜色 2 13 4 9" xfId="21143"/>
    <cellStyle name="40% - 强调文字颜色 2 13 5" xfId="813"/>
    <cellStyle name="40% - 强调文字颜色 2 13 5 2" xfId="6361"/>
    <cellStyle name="40% - 强调文字颜色 2 13 5 3" xfId="12509"/>
    <cellStyle name="40% - 强调文字颜色 2 13 5 4" xfId="11441"/>
    <cellStyle name="40% - 强调文字颜色 2 13 5 5" xfId="18668"/>
    <cellStyle name="40% - 强调文字颜色 2 13 5 6" xfId="23207"/>
    <cellStyle name="40% - 强调文字颜色 2 13 5 7" xfId="20572"/>
    <cellStyle name="40% - 强调文字颜色 2 13 5 8" xfId="31553"/>
    <cellStyle name="40% - 强调文字颜色 2 13 5 9" xfId="32329"/>
    <cellStyle name="40% - 强调文字颜色 2 13 6" xfId="3610"/>
    <cellStyle name="40% - 强调文字颜色 2 13 6 2" xfId="23690"/>
    <cellStyle name="40% - 强调文字颜色 2 13 6 3" xfId="26275"/>
    <cellStyle name="40% - 强调文字颜色 2 13 7" xfId="6357"/>
    <cellStyle name="40% - 强调文字颜色 2 13 7 2" xfId="23778"/>
    <cellStyle name="40% - 强调文字颜色 2 13 7 3" xfId="26363"/>
    <cellStyle name="40% - 强调文字颜色 2 13 8" xfId="12505"/>
    <cellStyle name="40% - 强调文字颜色 2 13 8 2" xfId="23866"/>
    <cellStyle name="40% - 强调文字颜色 2 13 8 3" xfId="26451"/>
    <cellStyle name="40% - 强调文字颜色 2 13 9" xfId="15294"/>
    <cellStyle name="40% - 强调文字颜色 2 14" xfId="814"/>
    <cellStyle name="40% - 强调文字颜色 2 14 10" xfId="10304"/>
    <cellStyle name="40% - 强调文字颜色 2 14 11" xfId="18669"/>
    <cellStyle name="40% - 强调文字颜色 2 14 12" xfId="22224"/>
    <cellStyle name="40% - 强调文字颜色 2 14 13" xfId="19919"/>
    <cellStyle name="40% - 强调文字颜色 2 14 14" xfId="30424"/>
    <cellStyle name="40% - 强调文字颜色 2 14 15" xfId="32736"/>
    <cellStyle name="40% - 强调文字颜色 2 14 2" xfId="815"/>
    <cellStyle name="40% - 强调文字颜色 2 14 2 10" xfId="30425"/>
    <cellStyle name="40% - 强调文字颜色 2 14 2 11" xfId="32489"/>
    <cellStyle name="40% - 强调文字颜色 2 14 2 2" xfId="3615"/>
    <cellStyle name="40% - 强调文字颜色 2 14 2 3" xfId="6363"/>
    <cellStyle name="40% - 强调文字颜色 2 14 2 4" xfId="12511"/>
    <cellStyle name="40% - 强调文字颜色 2 14 2 5" xfId="15299"/>
    <cellStyle name="40% - 强调文字颜色 2 14 2 6" xfId="11437"/>
    <cellStyle name="40% - 强调文字颜色 2 14 2 7" xfId="18670"/>
    <cellStyle name="40% - 强调文字颜色 2 14 2 8" xfId="21705"/>
    <cellStyle name="40% - 强调文字颜色 2 14 2 9" xfId="21142"/>
    <cellStyle name="40% - 强调文字颜色 2 14 3" xfId="816"/>
    <cellStyle name="40% - 强调文字颜色 2 14 3 10" xfId="30426"/>
    <cellStyle name="40% - 强调文字颜色 2 14 3 11" xfId="32255"/>
    <cellStyle name="40% - 强调文字颜色 2 14 3 2" xfId="3616"/>
    <cellStyle name="40% - 强调文字颜色 2 14 3 3" xfId="6364"/>
    <cellStyle name="40% - 强调文字颜色 2 14 3 4" xfId="12512"/>
    <cellStyle name="40% - 强调文字颜色 2 14 3 5" xfId="15300"/>
    <cellStyle name="40% - 强调文字颜色 2 14 3 6" xfId="10300"/>
    <cellStyle name="40% - 强调文字颜色 2 14 3 7" xfId="18671"/>
    <cellStyle name="40% - 强调文字颜色 2 14 3 8" xfId="23197"/>
    <cellStyle name="40% - 强调文字颜色 2 14 3 9" xfId="20571"/>
    <cellStyle name="40% - 强调文字颜色 2 14 4" xfId="817"/>
    <cellStyle name="40% - 强调文字颜色 2 14 4 10" xfId="30427"/>
    <cellStyle name="40% - 强调文字颜色 2 14 4 11" xfId="31790"/>
    <cellStyle name="40% - 强调文字颜色 2 14 4 2" xfId="3617"/>
    <cellStyle name="40% - 强调文字颜色 2 14 4 3" xfId="6365"/>
    <cellStyle name="40% - 强调文字颜色 2 14 4 4" xfId="12513"/>
    <cellStyle name="40% - 强调文字颜色 2 14 4 5" xfId="15301"/>
    <cellStyle name="40% - 强调文字颜色 2 14 4 6" xfId="11439"/>
    <cellStyle name="40% - 强调文字颜色 2 14 4 7" xfId="18672"/>
    <cellStyle name="40% - 强调文字颜色 2 14 4 8" xfId="22845"/>
    <cellStyle name="40% - 强调文字颜色 2 14 4 9" xfId="19918"/>
    <cellStyle name="40% - 强调文字颜色 2 14 5" xfId="818"/>
    <cellStyle name="40% - 强调文字颜色 2 14 5 2" xfId="6366"/>
    <cellStyle name="40% - 强调文字颜色 2 14 5 3" xfId="12514"/>
    <cellStyle name="40% - 强调文字颜色 2 14 5 4" xfId="10302"/>
    <cellStyle name="40% - 强调文字颜色 2 14 5 5" xfId="18673"/>
    <cellStyle name="40% - 强调文字颜色 2 14 5 6" xfId="23206"/>
    <cellStyle name="40% - 强调文字颜色 2 14 5 7" xfId="21141"/>
    <cellStyle name="40% - 强调文字颜色 2 14 5 8" xfId="31554"/>
    <cellStyle name="40% - 强调文字颜色 2 14 5 9" xfId="31878"/>
    <cellStyle name="40% - 强调文字颜色 2 14 6" xfId="3614"/>
    <cellStyle name="40% - 强调文字颜色 2 14 6 2" xfId="23691"/>
    <cellStyle name="40% - 强调文字颜色 2 14 6 3" xfId="26276"/>
    <cellStyle name="40% - 强调文字颜色 2 14 7" xfId="6362"/>
    <cellStyle name="40% - 强调文字颜色 2 14 7 2" xfId="23779"/>
    <cellStyle name="40% - 强调文字颜色 2 14 7 3" xfId="26364"/>
    <cellStyle name="40% - 强调文字颜色 2 14 8" xfId="12510"/>
    <cellStyle name="40% - 强调文字颜色 2 14 8 2" xfId="23867"/>
    <cellStyle name="40% - 强调文字颜色 2 14 8 3" xfId="26452"/>
    <cellStyle name="40% - 强调文字颜色 2 14 9" xfId="15298"/>
    <cellStyle name="40% - 强调文字颜色 2 15" xfId="819"/>
    <cellStyle name="40% - 强调文字颜色 2 15 10" xfId="18674"/>
    <cellStyle name="40% - 强调文字颜色 2 15 11" xfId="22223"/>
    <cellStyle name="40% - 强调文字颜色 2 15 12" xfId="20570"/>
    <cellStyle name="40% - 强调文字颜色 2 15 13" xfId="30428"/>
    <cellStyle name="40% - 强调文字颜色 2 15 14" xfId="33385"/>
    <cellStyle name="40% - 强调文字颜色 2 15 2" xfId="820"/>
    <cellStyle name="40% - 强调文字颜色 2 15 2 10" xfId="30429"/>
    <cellStyle name="40% - 强调文字颜色 2 15 2 11" xfId="33138"/>
    <cellStyle name="40% - 强调文字颜色 2 15 2 2" xfId="3619"/>
    <cellStyle name="40% - 强调文字颜色 2 15 2 3" xfId="6368"/>
    <cellStyle name="40% - 强调文字颜色 2 15 2 4" xfId="12516"/>
    <cellStyle name="40% - 强调文字颜色 2 15 2 5" xfId="15303"/>
    <cellStyle name="40% - 强调文字颜色 2 15 2 6" xfId="10301"/>
    <cellStyle name="40% - 强调文字颜色 2 15 2 7" xfId="18675"/>
    <cellStyle name="40% - 强调文字颜色 2 15 2 8" xfId="21696"/>
    <cellStyle name="40% - 强调文字颜色 2 15 2 9" xfId="19917"/>
    <cellStyle name="40% - 强调文字颜色 2 15 3" xfId="821"/>
    <cellStyle name="40% - 强调文字颜色 2 15 3 10" xfId="30430"/>
    <cellStyle name="40% - 强调文字颜色 2 15 3 11" xfId="32733"/>
    <cellStyle name="40% - 强调文字颜色 2 15 3 2" xfId="3620"/>
    <cellStyle name="40% - 强调文字颜色 2 15 3 3" xfId="6369"/>
    <cellStyle name="40% - 强调文字颜色 2 15 3 4" xfId="12517"/>
    <cellStyle name="40% - 强调文字颜色 2 15 3 5" xfId="15304"/>
    <cellStyle name="40% - 强调文字颜色 2 15 3 6" xfId="11433"/>
    <cellStyle name="40% - 强调文字颜色 2 15 3 7" xfId="18676"/>
    <cellStyle name="40% - 强调文字颜色 2 15 3 8" xfId="22627"/>
    <cellStyle name="40% - 强调文字颜色 2 15 3 9" xfId="21140"/>
    <cellStyle name="40% - 强调文字颜色 2 15 4" xfId="822"/>
    <cellStyle name="40% - 强调文字颜色 2 15 4 2" xfId="6370"/>
    <cellStyle name="40% - 强调文字颜色 2 15 4 3" xfId="12518"/>
    <cellStyle name="40% - 强调文字颜色 2 15 4 4" xfId="10296"/>
    <cellStyle name="40% - 强调文字颜色 2 15 4 5" xfId="18677"/>
    <cellStyle name="40% - 强调文字颜色 2 15 4 6" xfId="23205"/>
    <cellStyle name="40% - 强调文字颜色 2 15 4 7" xfId="20569"/>
    <cellStyle name="40% - 强调文字颜色 2 15 4 8" xfId="31555"/>
    <cellStyle name="40% - 强调文字颜色 2 15 4 9" xfId="30829"/>
    <cellStyle name="40% - 强调文字颜色 2 15 5" xfId="3618"/>
    <cellStyle name="40% - 强调文字颜色 2 15 6" xfId="6367"/>
    <cellStyle name="40% - 强调文字颜色 2 15 7" xfId="12515"/>
    <cellStyle name="40% - 强调文字颜色 2 15 8" xfId="15302"/>
    <cellStyle name="40% - 强调文字颜色 2 15 9" xfId="11438"/>
    <cellStyle name="40% - 强调文字颜色 2 16" xfId="823"/>
    <cellStyle name="40% - 强调文字颜色 2 16 10" xfId="18678"/>
    <cellStyle name="40% - 强调文字颜色 2 16 11" xfId="22222"/>
    <cellStyle name="40% - 强调文字颜色 2 16 12" xfId="19916"/>
    <cellStyle name="40% - 强调文字颜色 2 16 13" xfId="30431"/>
    <cellStyle name="40% - 强调文字颜色 2 16 14" xfId="32487"/>
    <cellStyle name="40% - 强调文字颜色 2 16 2" xfId="824"/>
    <cellStyle name="40% - 强调文字颜色 2 16 2 10" xfId="30432"/>
    <cellStyle name="40% - 强调文字颜色 2 16 2 11" xfId="32253"/>
    <cellStyle name="40% - 强调文字颜色 2 16 2 2" xfId="3622"/>
    <cellStyle name="40% - 强调文字颜色 2 16 2 3" xfId="6372"/>
    <cellStyle name="40% - 强调文字颜色 2 16 2 4" xfId="12520"/>
    <cellStyle name="40% - 强调文字颜色 2 16 2 5" xfId="15306"/>
    <cellStyle name="40% - 强调文字颜色 2 16 2 6" xfId="10298"/>
    <cellStyle name="40% - 强调文字颜色 2 16 2 7" xfId="18679"/>
    <cellStyle name="40% - 强调文字颜色 2 16 2 8" xfId="21704"/>
    <cellStyle name="40% - 强调文字颜色 2 16 2 9" xfId="21139"/>
    <cellStyle name="40% - 强调文字颜色 2 16 3" xfId="825"/>
    <cellStyle name="40% - 强调文字颜色 2 16 3 10" xfId="30433"/>
    <cellStyle name="40% - 强调文字颜色 2 16 3 11" xfId="31788"/>
    <cellStyle name="40% - 强调文字颜色 2 16 3 2" xfId="3623"/>
    <cellStyle name="40% - 强调文字颜色 2 16 3 3" xfId="6373"/>
    <cellStyle name="40% - 强调文字颜色 2 16 3 4" xfId="12521"/>
    <cellStyle name="40% - 强调文字颜色 2 16 3 5" xfId="15307"/>
    <cellStyle name="40% - 强调文字颜色 2 16 3 6" xfId="11434"/>
    <cellStyle name="40% - 强调文字颜色 2 16 3 7" xfId="18680"/>
    <cellStyle name="40% - 强调文字颜色 2 16 3 8" xfId="23204"/>
    <cellStyle name="40% - 强调文字颜色 2 16 3 9" xfId="20568"/>
    <cellStyle name="40% - 强调文字颜色 2 16 4" xfId="826"/>
    <cellStyle name="40% - 强调文字颜色 2 16 4 2" xfId="6374"/>
    <cellStyle name="40% - 强调文字颜色 2 16 4 3" xfId="12522"/>
    <cellStyle name="40% - 强调文字颜色 2 16 4 4" xfId="10297"/>
    <cellStyle name="40% - 强调文字颜色 2 16 4 5" xfId="18681"/>
    <cellStyle name="40% - 强调文字颜色 2 16 4 6" xfId="22221"/>
    <cellStyle name="40% - 强调文字颜色 2 16 4 7" xfId="19915"/>
    <cellStyle name="40% - 强调文字颜色 2 16 4 8" xfId="31556"/>
    <cellStyle name="40% - 强调文字颜色 2 16 4 9" xfId="30828"/>
    <cellStyle name="40% - 强调文字颜色 2 16 5" xfId="3621"/>
    <cellStyle name="40% - 强调文字颜色 2 16 6" xfId="6371"/>
    <cellStyle name="40% - 强调文字颜色 2 16 7" xfId="12519"/>
    <cellStyle name="40% - 强调文字颜色 2 16 8" xfId="15305"/>
    <cellStyle name="40% - 强调文字颜色 2 16 9" xfId="11435"/>
    <cellStyle name="40% - 强调文字颜色 2 17" xfId="827"/>
    <cellStyle name="40% - 强调文字颜色 2 17 10" xfId="21703"/>
    <cellStyle name="40% - 强调文字颜色 2 17 11" xfId="21138"/>
    <cellStyle name="40% - 强调文字颜色 2 17 12" xfId="30434"/>
    <cellStyle name="40% - 强调文字颜色 2 17 13" xfId="33386"/>
    <cellStyle name="40% - 强调文字颜色 2 17 2" xfId="828"/>
    <cellStyle name="40% - 强调文字颜色 2 17 2 2" xfId="6376"/>
    <cellStyle name="40% - 强调文字颜色 2 17 2 3" xfId="12524"/>
    <cellStyle name="40% - 强调文字颜色 2 17 2 4" xfId="10293"/>
    <cellStyle name="40% - 强调文字颜色 2 17 2 5" xfId="18683"/>
    <cellStyle name="40% - 强调文字颜色 2 17 2 6" xfId="23203"/>
    <cellStyle name="40% - 强调文字颜色 2 17 2 7" xfId="20567"/>
    <cellStyle name="40% - 强调文字颜色 2 17 2 8" xfId="31557"/>
    <cellStyle name="40% - 强调文字颜色 2 17 2 9" xfId="30827"/>
    <cellStyle name="40% - 强调文字颜色 2 17 3" xfId="829"/>
    <cellStyle name="40% - 强调文字颜色 2 17 3 2" xfId="6377"/>
    <cellStyle name="40% - 强调文字颜色 2 17 3 3" xfId="12525"/>
    <cellStyle name="40% - 强调文字颜色 2 17 3 4" xfId="11432"/>
    <cellStyle name="40% - 强调文字颜色 2 17 3 5" xfId="18684"/>
    <cellStyle name="40% - 强调文字颜色 2 17 3 6" xfId="22220"/>
    <cellStyle name="40% - 强调文字颜色 2 17 3 7" xfId="19914"/>
    <cellStyle name="40% - 强调文字颜色 2 17 3 8" xfId="31558"/>
    <cellStyle name="40% - 强调文字颜色 2 17 3 9" xfId="32567"/>
    <cellStyle name="40% - 强调文字颜色 2 17 4" xfId="3624"/>
    <cellStyle name="40% - 强调文字颜色 2 17 5" xfId="6375"/>
    <cellStyle name="40% - 强调文字颜色 2 17 6" xfId="12523"/>
    <cellStyle name="40% - 强调文字颜色 2 17 7" xfId="15308"/>
    <cellStyle name="40% - 强调文字颜色 2 17 8" xfId="11430"/>
    <cellStyle name="40% - 强调文字颜色 2 17 9" xfId="18682"/>
    <cellStyle name="40% - 强调文字颜色 2 18" xfId="830"/>
    <cellStyle name="40% - 强调文字颜色 2 18 10" xfId="30435"/>
    <cellStyle name="40% - 强调文字颜色 2 18 11" xfId="33139"/>
    <cellStyle name="40% - 强调文字颜色 2 18 2" xfId="831"/>
    <cellStyle name="40% - 强调文字颜色 2 18 2 2" xfId="9153"/>
    <cellStyle name="40% - 强调文字颜色 2 18 2 3" xfId="17332"/>
    <cellStyle name="40% - 强调文字颜色 2 18 2 4" xfId="18686"/>
    <cellStyle name="40% - 强调文字颜色 2 18 2 5" xfId="21920"/>
    <cellStyle name="40% - 强调文字颜色 2 18 2 6" xfId="20566"/>
    <cellStyle name="40% - 强调文字颜色 2 18 2 7" xfId="31559"/>
    <cellStyle name="40% - 强调文字颜色 2 18 2 8" xfId="31877"/>
    <cellStyle name="40% - 强调文字颜色 2 18 3" xfId="3625"/>
    <cellStyle name="40% - 强调文字颜色 2 18 4" xfId="6378"/>
    <cellStyle name="40% - 强调文字颜色 2 18 5" xfId="15309"/>
    <cellStyle name="40% - 强调文字颜色 2 18 6" xfId="10295"/>
    <cellStyle name="40% - 强调文字颜色 2 18 7" xfId="18685"/>
    <cellStyle name="40% - 强调文字颜色 2 18 8" xfId="21702"/>
    <cellStyle name="40% - 强调文字颜色 2 18 9" xfId="21137"/>
    <cellStyle name="40% - 强调文字颜色 2 19" xfId="832"/>
    <cellStyle name="40% - 强调文字颜色 2 19 10" xfId="3627"/>
    <cellStyle name="40% - 强调文字颜色 2 19 10 2" xfId="9154"/>
    <cellStyle name="40% - 强调文字颜色 2 19 10 3" xfId="15311"/>
    <cellStyle name="40% - 强调文字颜色 2 19 10 4" xfId="25009"/>
    <cellStyle name="40% - 强调文字颜色 2 19 10 5" xfId="28246"/>
    <cellStyle name="40% - 强调文字颜色 2 19 11" xfId="3628"/>
    <cellStyle name="40% - 强调文字颜色 2 19 11 2" xfId="9155"/>
    <cellStyle name="40% - 强调文字颜色 2 19 11 3" xfId="15312"/>
    <cellStyle name="40% - 强调文字颜色 2 19 11 4" xfId="25010"/>
    <cellStyle name="40% - 强调文字颜色 2 19 11 5" xfId="28247"/>
    <cellStyle name="40% - 强调文字颜色 2 19 12" xfId="3629"/>
    <cellStyle name="40% - 强调文字颜色 2 19 12 2" xfId="9156"/>
    <cellStyle name="40% - 强调文字颜色 2 19 12 3" xfId="15313"/>
    <cellStyle name="40% - 强调文字颜色 2 19 12 4" xfId="25011"/>
    <cellStyle name="40% - 强调文字颜色 2 19 12 5" xfId="28248"/>
    <cellStyle name="40% - 强调文字颜色 2 19 13" xfId="3630"/>
    <cellStyle name="40% - 强调文字颜色 2 19 13 2" xfId="9157"/>
    <cellStyle name="40% - 强调文字颜色 2 19 13 3" xfId="15314"/>
    <cellStyle name="40% - 强调文字颜色 2 19 13 4" xfId="25012"/>
    <cellStyle name="40% - 强调文字颜色 2 19 13 5" xfId="28249"/>
    <cellStyle name="40% - 强调文字颜色 2 19 14" xfId="3631"/>
    <cellStyle name="40% - 强调文字颜色 2 19 14 2" xfId="9158"/>
    <cellStyle name="40% - 强调文字颜色 2 19 14 3" xfId="15315"/>
    <cellStyle name="40% - 强调文字颜色 2 19 14 4" xfId="25013"/>
    <cellStyle name="40% - 强调文字颜色 2 19 14 5" xfId="28250"/>
    <cellStyle name="40% - 强调文字颜色 2 19 15" xfId="3632"/>
    <cellStyle name="40% - 强调文字颜色 2 19 15 2" xfId="9159"/>
    <cellStyle name="40% - 强调文字颜色 2 19 15 3" xfId="15316"/>
    <cellStyle name="40% - 强调文字颜色 2 19 15 4" xfId="25014"/>
    <cellStyle name="40% - 强调文字颜色 2 19 15 5" xfId="28251"/>
    <cellStyle name="40% - 强调文字颜色 2 19 16" xfId="3633"/>
    <cellStyle name="40% - 强调文字颜色 2 19 16 2" xfId="9160"/>
    <cellStyle name="40% - 强调文字颜色 2 19 16 3" xfId="15317"/>
    <cellStyle name="40% - 强调文字颜色 2 19 16 4" xfId="25015"/>
    <cellStyle name="40% - 强调文字颜色 2 19 16 5" xfId="28252"/>
    <cellStyle name="40% - 强调文字颜色 2 19 17" xfId="3634"/>
    <cellStyle name="40% - 强调文字颜色 2 19 17 2" xfId="9161"/>
    <cellStyle name="40% - 强调文字颜色 2 19 17 3" xfId="15318"/>
    <cellStyle name="40% - 强调文字颜色 2 19 17 4" xfId="25016"/>
    <cellStyle name="40% - 强调文字颜色 2 19 17 5" xfId="28253"/>
    <cellStyle name="40% - 强调文字颜色 2 19 18" xfId="3635"/>
    <cellStyle name="40% - 强调文字颜色 2 19 18 2" xfId="9162"/>
    <cellStyle name="40% - 强调文字颜色 2 19 18 3" xfId="15319"/>
    <cellStyle name="40% - 强调文字颜色 2 19 18 4" xfId="25017"/>
    <cellStyle name="40% - 强调文字颜色 2 19 18 5" xfId="28254"/>
    <cellStyle name="40% - 强调文字颜色 2 19 19" xfId="3636"/>
    <cellStyle name="40% - 强调文字颜色 2 19 19 2" xfId="9163"/>
    <cellStyle name="40% - 强调文字颜色 2 19 19 3" xfId="15320"/>
    <cellStyle name="40% - 强调文字颜色 2 19 19 4" xfId="25018"/>
    <cellStyle name="40% - 强调文字颜色 2 19 19 5" xfId="28255"/>
    <cellStyle name="40% - 强调文字颜色 2 19 2" xfId="833"/>
    <cellStyle name="40% - 强调文字颜色 2 19 2 10" xfId="30437"/>
    <cellStyle name="40% - 强调文字颜色 2 19 2 11" xfId="33137"/>
    <cellStyle name="40% - 强调文字颜色 2 19 2 2" xfId="3637"/>
    <cellStyle name="40% - 强调文字颜色 2 19 2 3" xfId="6380"/>
    <cellStyle name="40% - 强调文字颜色 2 19 2 4" xfId="12527"/>
    <cellStyle name="40% - 强调文字颜色 2 19 2 5" xfId="15321"/>
    <cellStyle name="40% - 强调文字颜色 2 19 2 6" xfId="10294"/>
    <cellStyle name="40% - 强调文字颜色 2 19 2 7" xfId="18688"/>
    <cellStyle name="40% - 强调文字颜色 2 19 2 8" xfId="22219"/>
    <cellStyle name="40% - 强调文字颜色 2 19 2 9" xfId="21485"/>
    <cellStyle name="40% - 强调文字颜色 2 19 20" xfId="3638"/>
    <cellStyle name="40% - 强调文字颜色 2 19 20 2" xfId="9164"/>
    <cellStyle name="40% - 强调文字颜色 2 19 20 3" xfId="15322"/>
    <cellStyle name="40% - 强调文字颜色 2 19 20 4" xfId="25019"/>
    <cellStyle name="40% - 强调文字颜色 2 19 20 5" xfId="28256"/>
    <cellStyle name="40% - 强调文字颜色 2 19 21" xfId="3639"/>
    <cellStyle name="40% - 强调文字颜色 2 19 21 2" xfId="9165"/>
    <cellStyle name="40% - 强调文字颜色 2 19 21 3" xfId="15323"/>
    <cellStyle name="40% - 强调文字颜色 2 19 21 4" xfId="25020"/>
    <cellStyle name="40% - 强调文字颜色 2 19 21 5" xfId="28257"/>
    <cellStyle name="40% - 强调文字颜色 2 19 22" xfId="3640"/>
    <cellStyle name="40% - 强调文字颜色 2 19 22 2" xfId="9166"/>
    <cellStyle name="40% - 强调文字颜色 2 19 22 3" xfId="15324"/>
    <cellStyle name="40% - 强调文字颜色 2 19 22 4" xfId="25021"/>
    <cellStyle name="40% - 强调文字颜色 2 19 22 5" xfId="28258"/>
    <cellStyle name="40% - 强调文字颜色 2 19 23" xfId="3641"/>
    <cellStyle name="40% - 强调文字颜色 2 19 23 2" xfId="9167"/>
    <cellStyle name="40% - 强调文字颜色 2 19 23 3" xfId="15325"/>
    <cellStyle name="40% - 强调文字颜色 2 19 23 4" xfId="25022"/>
    <cellStyle name="40% - 强调文字颜色 2 19 23 5" xfId="28259"/>
    <cellStyle name="40% - 强调文字颜色 2 19 24" xfId="6379"/>
    <cellStyle name="40% - 强调文字颜色 2 19 25" xfId="11005"/>
    <cellStyle name="40% - 强调文字颜色 2 19 26" xfId="12526"/>
    <cellStyle name="40% - 强调文字颜色 2 19 27" xfId="15310"/>
    <cellStyle name="40% - 强调文字颜色 2 19 28" xfId="11431"/>
    <cellStyle name="40% - 强调文字颜色 2 19 29" xfId="18687"/>
    <cellStyle name="40% - 强调文字颜色 2 19 3" xfId="3626"/>
    <cellStyle name="40% - 强调文字颜色 2 19 3 2" xfId="9168"/>
    <cellStyle name="40% - 强调文字颜色 2 19 3 3" xfId="15326"/>
    <cellStyle name="40% - 强调文字颜色 2 19 3 4" xfId="25023"/>
    <cellStyle name="40% - 强调文字颜色 2 19 3 5" xfId="28245"/>
    <cellStyle name="40% - 强调文字颜色 2 19 30" xfId="23202"/>
    <cellStyle name="40% - 强调文字颜色 2 19 31" xfId="19913"/>
    <cellStyle name="40% - 强调文字颜色 2 19 32" xfId="30436"/>
    <cellStyle name="40% - 强调文字颜色 2 19 33" xfId="32734"/>
    <cellStyle name="40% - 强调文字颜色 2 19 4" xfId="3643"/>
    <cellStyle name="40% - 强调文字颜色 2 19 4 2" xfId="9169"/>
    <cellStyle name="40% - 强调文字颜色 2 19 4 3" xfId="15327"/>
    <cellStyle name="40% - 强调文字颜色 2 19 4 4" xfId="25024"/>
    <cellStyle name="40% - 强调文字颜色 2 19 4 5" xfId="28261"/>
    <cellStyle name="40% - 强调文字颜色 2 19 5" xfId="3644"/>
    <cellStyle name="40% - 强调文字颜色 2 19 5 2" xfId="9170"/>
    <cellStyle name="40% - 强调文字颜色 2 19 5 3" xfId="15328"/>
    <cellStyle name="40% - 强调文字颜色 2 19 5 4" xfId="25025"/>
    <cellStyle name="40% - 强调文字颜色 2 19 5 5" xfId="28262"/>
    <cellStyle name="40% - 强调文字颜色 2 19 6" xfId="3645"/>
    <cellStyle name="40% - 强调文字颜色 2 19 6 2" xfId="9171"/>
    <cellStyle name="40% - 强调文字颜色 2 19 6 3" xfId="15329"/>
    <cellStyle name="40% - 强调文字颜色 2 19 6 4" xfId="25026"/>
    <cellStyle name="40% - 强调文字颜色 2 19 6 5" xfId="28263"/>
    <cellStyle name="40% - 强调文字颜色 2 19 7" xfId="3646"/>
    <cellStyle name="40% - 强调文字颜色 2 19 7 2" xfId="9172"/>
    <cellStyle name="40% - 强调文字颜色 2 19 7 3" xfId="15330"/>
    <cellStyle name="40% - 强调文字颜色 2 19 7 4" xfId="25027"/>
    <cellStyle name="40% - 强调文字颜色 2 19 7 5" xfId="28264"/>
    <cellStyle name="40% - 强调文字颜色 2 19 8" xfId="3647"/>
    <cellStyle name="40% - 强调文字颜色 2 19 8 2" xfId="9173"/>
    <cellStyle name="40% - 强调文字颜色 2 19 8 3" xfId="15331"/>
    <cellStyle name="40% - 强调文字颜色 2 19 8 4" xfId="25028"/>
    <cellStyle name="40% - 强调文字颜色 2 19 8 5" xfId="28265"/>
    <cellStyle name="40% - 强调文字颜色 2 19 9" xfId="3648"/>
    <cellStyle name="40% - 强调文字颜色 2 19 9 2" xfId="9174"/>
    <cellStyle name="40% - 强调文字颜色 2 19 9 3" xfId="15332"/>
    <cellStyle name="40% - 强调文字颜色 2 19 9 4" xfId="25029"/>
    <cellStyle name="40% - 强调文字颜色 2 19 9 5" xfId="28266"/>
    <cellStyle name="40% - 强调文字颜色 2 2" xfId="834"/>
    <cellStyle name="40% - 强调文字颜色 2 2 10" xfId="17528"/>
    <cellStyle name="40% - 强调文字颜色 2 2 11" xfId="17614"/>
    <cellStyle name="40% - 强调文字颜色 2 2 12" xfId="17700"/>
    <cellStyle name="40% - 强调文字颜色 2 2 13" xfId="17786"/>
    <cellStyle name="40% - 强调文字颜色 2 2 14" xfId="18689"/>
    <cellStyle name="40% - 强调文字颜色 2 2 15" xfId="21701"/>
    <cellStyle name="40% - 强调文字颜色 2 2 16" xfId="20304"/>
    <cellStyle name="40% - 强调文字颜色 2 2 2" xfId="835"/>
    <cellStyle name="40% - 强调文字颜色 2 2 2 10" xfId="30438"/>
    <cellStyle name="40% - 强调文字颜色 2 2 2 11" xfId="32732"/>
    <cellStyle name="40% - 强调文字颜色 2 2 2 2" xfId="3650"/>
    <cellStyle name="40% - 强调文字颜色 2 2 2 3" xfId="6382"/>
    <cellStyle name="40% - 强调文字颜色 2 2 2 4" xfId="12529"/>
    <cellStyle name="40% - 强调文字颜色 2 2 2 5" xfId="15334"/>
    <cellStyle name="40% - 强调文字颜色 2 2 2 6" xfId="10290"/>
    <cellStyle name="40% - 强调文字颜色 2 2 2 7" xfId="18690"/>
    <cellStyle name="40% - 强调文字颜色 2 2 2 8" xfId="23201"/>
    <cellStyle name="40% - 强调文字颜色 2 2 2 9" xfId="21127"/>
    <cellStyle name="40% - 强调文字颜色 2 2 3" xfId="836"/>
    <cellStyle name="40% - 强调文字颜色 2 2 3 10" xfId="30439"/>
    <cellStyle name="40% - 强调文字颜色 2 2 3 11" xfId="32486"/>
    <cellStyle name="40% - 强调文字颜色 2 2 3 2" xfId="3651"/>
    <cellStyle name="40% - 强调文字颜色 2 2 3 3" xfId="6383"/>
    <cellStyle name="40% - 强调文字颜色 2 2 3 4" xfId="12530"/>
    <cellStyle name="40% - 强调文字颜色 2 2 3 5" xfId="15335"/>
    <cellStyle name="40% - 强调文字颜色 2 2 3 6" xfId="11429"/>
    <cellStyle name="40% - 强调文字颜色 2 2 3 7" xfId="18691"/>
    <cellStyle name="40% - 强调文字颜色 2 2 3 8" xfId="22218"/>
    <cellStyle name="40% - 强调文字颜色 2 2 3 9" xfId="20834"/>
    <cellStyle name="40% - 强调文字颜色 2 2 4" xfId="3649"/>
    <cellStyle name="40% - 强调文字颜色 2 2 5" xfId="6381"/>
    <cellStyle name="40% - 强调文字颜色 2 2 6" xfId="12528"/>
    <cellStyle name="40% - 强调文字颜色 2 2 7" xfId="15333"/>
    <cellStyle name="40% - 强调文字颜色 2 2 8" xfId="11427"/>
    <cellStyle name="40% - 强调文字颜色 2 2 9" xfId="17442"/>
    <cellStyle name="40% - 强调文字颜色 2 20" xfId="837"/>
    <cellStyle name="40% - 强调文字颜色 2 20 10" xfId="3653"/>
    <cellStyle name="40% - 强调文字颜色 2 20 10 2" xfId="9175"/>
    <cellStyle name="40% - 强调文字颜色 2 20 10 3" xfId="15337"/>
    <cellStyle name="40% - 强调文字颜色 2 20 10 4" xfId="25030"/>
    <cellStyle name="40% - 强调文字颜色 2 20 10 5" xfId="28268"/>
    <cellStyle name="40% - 强调文字颜色 2 20 11" xfId="3654"/>
    <cellStyle name="40% - 强调文字颜色 2 20 11 2" xfId="9176"/>
    <cellStyle name="40% - 强调文字颜色 2 20 11 3" xfId="15338"/>
    <cellStyle name="40% - 强调文字颜色 2 20 11 4" xfId="25031"/>
    <cellStyle name="40% - 强调文字颜色 2 20 11 5" xfId="28269"/>
    <cellStyle name="40% - 强调文字颜色 2 20 12" xfId="3655"/>
    <cellStyle name="40% - 强调文字颜色 2 20 12 2" xfId="9177"/>
    <cellStyle name="40% - 强调文字颜色 2 20 12 3" xfId="15339"/>
    <cellStyle name="40% - 强调文字颜色 2 20 12 4" xfId="25032"/>
    <cellStyle name="40% - 强调文字颜色 2 20 12 5" xfId="28270"/>
    <cellStyle name="40% - 强调文字颜色 2 20 13" xfId="3656"/>
    <cellStyle name="40% - 强调文字颜色 2 20 13 2" xfId="9178"/>
    <cellStyle name="40% - 强调文字颜色 2 20 13 3" xfId="15340"/>
    <cellStyle name="40% - 强调文字颜色 2 20 13 4" xfId="25033"/>
    <cellStyle name="40% - 强调文字颜色 2 20 13 5" xfId="28271"/>
    <cellStyle name="40% - 强调文字颜色 2 20 14" xfId="3657"/>
    <cellStyle name="40% - 强调文字颜色 2 20 14 2" xfId="9179"/>
    <cellStyle name="40% - 强调文字颜色 2 20 14 3" xfId="15341"/>
    <cellStyle name="40% - 强调文字颜色 2 20 14 4" xfId="25034"/>
    <cellStyle name="40% - 强调文字颜色 2 20 14 5" xfId="28272"/>
    <cellStyle name="40% - 强调文字颜色 2 20 15" xfId="3658"/>
    <cellStyle name="40% - 强调文字颜色 2 20 15 2" xfId="9180"/>
    <cellStyle name="40% - 强调文字颜色 2 20 15 3" xfId="15342"/>
    <cellStyle name="40% - 强调文字颜色 2 20 15 4" xfId="25035"/>
    <cellStyle name="40% - 强调文字颜色 2 20 15 5" xfId="28273"/>
    <cellStyle name="40% - 强调文字颜色 2 20 16" xfId="3659"/>
    <cellStyle name="40% - 强调文字颜色 2 20 16 2" xfId="9181"/>
    <cellStyle name="40% - 强调文字颜色 2 20 16 3" xfId="15343"/>
    <cellStyle name="40% - 强调文字颜色 2 20 16 4" xfId="25036"/>
    <cellStyle name="40% - 强调文字颜色 2 20 16 5" xfId="28274"/>
    <cellStyle name="40% - 强调文字颜色 2 20 17" xfId="3660"/>
    <cellStyle name="40% - 强调文字颜色 2 20 17 2" xfId="9182"/>
    <cellStyle name="40% - 强调文字颜色 2 20 17 3" xfId="15344"/>
    <cellStyle name="40% - 强调文字颜色 2 20 17 4" xfId="25037"/>
    <cellStyle name="40% - 强调文字颜色 2 20 17 5" xfId="28275"/>
    <cellStyle name="40% - 强调文字颜色 2 20 18" xfId="3661"/>
    <cellStyle name="40% - 强调文字颜色 2 20 18 2" xfId="9183"/>
    <cellStyle name="40% - 强调文字颜色 2 20 18 3" xfId="15345"/>
    <cellStyle name="40% - 强调文字颜色 2 20 18 4" xfId="25038"/>
    <cellStyle name="40% - 强调文字颜色 2 20 18 5" xfId="28276"/>
    <cellStyle name="40% - 强调文字颜色 2 20 19" xfId="3662"/>
    <cellStyle name="40% - 强调文字颜色 2 20 19 2" xfId="9184"/>
    <cellStyle name="40% - 强调文字颜色 2 20 19 3" xfId="15346"/>
    <cellStyle name="40% - 强调文字颜色 2 20 19 4" xfId="25039"/>
    <cellStyle name="40% - 强调文字颜色 2 20 19 5" xfId="28277"/>
    <cellStyle name="40% - 强调文字颜色 2 20 2" xfId="3652"/>
    <cellStyle name="40% - 强调文字颜色 2 20 2 2" xfId="9185"/>
    <cellStyle name="40% - 强调文字颜色 2 20 2 3" xfId="15347"/>
    <cellStyle name="40% - 强调文字颜色 2 20 2 4" xfId="25040"/>
    <cellStyle name="40% - 强调文字颜色 2 20 2 5" xfId="28267"/>
    <cellStyle name="40% - 强调文字颜色 2 20 20" xfId="3664"/>
    <cellStyle name="40% - 强调文字颜色 2 20 20 2" xfId="9186"/>
    <cellStyle name="40% - 强调文字颜色 2 20 20 3" xfId="15348"/>
    <cellStyle name="40% - 强调文字颜色 2 20 20 4" xfId="25041"/>
    <cellStyle name="40% - 强调文字颜色 2 20 20 5" xfId="28278"/>
    <cellStyle name="40% - 强调文字颜色 2 20 21" xfId="3665"/>
    <cellStyle name="40% - 强调文字颜色 2 20 21 2" xfId="9187"/>
    <cellStyle name="40% - 强调文字颜色 2 20 21 3" xfId="15349"/>
    <cellStyle name="40% - 强调文字颜色 2 20 21 4" xfId="25042"/>
    <cellStyle name="40% - 强调文字颜色 2 20 21 5" xfId="28279"/>
    <cellStyle name="40% - 强调文字颜色 2 20 22" xfId="3666"/>
    <cellStyle name="40% - 强调文字颜色 2 20 22 2" xfId="9188"/>
    <cellStyle name="40% - 强调文字颜色 2 20 22 3" xfId="15350"/>
    <cellStyle name="40% - 强调文字颜色 2 20 22 4" xfId="25043"/>
    <cellStyle name="40% - 强调文字颜色 2 20 22 5" xfId="28280"/>
    <cellStyle name="40% - 强调文字颜色 2 20 23" xfId="3667"/>
    <cellStyle name="40% - 强调文字颜色 2 20 23 2" xfId="9189"/>
    <cellStyle name="40% - 强调文字颜色 2 20 23 3" xfId="15351"/>
    <cellStyle name="40% - 强调文字颜色 2 20 23 4" xfId="25044"/>
    <cellStyle name="40% - 强调文字颜色 2 20 23 5" xfId="28281"/>
    <cellStyle name="40% - 强调文字颜色 2 20 24" xfId="6384"/>
    <cellStyle name="40% - 强调文字颜色 2 20 25" xfId="11006"/>
    <cellStyle name="40% - 强调文字颜色 2 20 26" xfId="12531"/>
    <cellStyle name="40% - 强调文字颜色 2 20 27" xfId="15336"/>
    <cellStyle name="40% - 强调文字颜色 2 20 28" xfId="10292"/>
    <cellStyle name="40% - 强调文字颜色 2 20 29" xfId="18692"/>
    <cellStyle name="40% - 强调文字颜色 2 20 3" xfId="3668"/>
    <cellStyle name="40% - 强调文字颜色 2 20 3 2" xfId="9190"/>
    <cellStyle name="40% - 强调文字颜色 2 20 3 3" xfId="15352"/>
    <cellStyle name="40% - 强调文字颜色 2 20 3 4" xfId="25045"/>
    <cellStyle name="40% - 强调文字颜色 2 20 3 5" xfId="28282"/>
    <cellStyle name="40% - 强调文字颜色 2 20 30" xfId="21700"/>
    <cellStyle name="40% - 强调文字颜色 2 20 31" xfId="21136"/>
    <cellStyle name="40% - 强调文字颜色 2 20 32" xfId="30440"/>
    <cellStyle name="40% - 强调文字颜色 2 20 33" xfId="32252"/>
    <cellStyle name="40% - 强调文字颜色 2 20 4" xfId="3669"/>
    <cellStyle name="40% - 强调文字颜色 2 20 4 2" xfId="9191"/>
    <cellStyle name="40% - 强调文字颜色 2 20 4 3" xfId="15353"/>
    <cellStyle name="40% - 强调文字颜色 2 20 4 4" xfId="25046"/>
    <cellStyle name="40% - 强调文字颜色 2 20 4 5" xfId="28283"/>
    <cellStyle name="40% - 强调文字颜色 2 20 5" xfId="3670"/>
    <cellStyle name="40% - 强调文字颜色 2 20 5 2" xfId="9192"/>
    <cellStyle name="40% - 强调文字颜色 2 20 5 3" xfId="15354"/>
    <cellStyle name="40% - 强调文字颜色 2 20 5 4" xfId="25047"/>
    <cellStyle name="40% - 强调文字颜色 2 20 5 5" xfId="28284"/>
    <cellStyle name="40% - 强调文字颜色 2 20 6" xfId="3671"/>
    <cellStyle name="40% - 强调文字颜色 2 20 6 2" xfId="9193"/>
    <cellStyle name="40% - 强调文字颜色 2 20 6 3" xfId="15355"/>
    <cellStyle name="40% - 强调文字颜色 2 20 6 4" xfId="25048"/>
    <cellStyle name="40% - 强调文字颜色 2 20 6 5" xfId="28285"/>
    <cellStyle name="40% - 强调文字颜色 2 20 7" xfId="3672"/>
    <cellStyle name="40% - 强调文字颜色 2 20 7 2" xfId="9194"/>
    <cellStyle name="40% - 强调文字颜色 2 20 7 3" xfId="15356"/>
    <cellStyle name="40% - 强调文字颜色 2 20 7 4" xfId="25049"/>
    <cellStyle name="40% - 强调文字颜色 2 20 7 5" xfId="28286"/>
    <cellStyle name="40% - 强调文字颜色 2 20 8" xfId="3673"/>
    <cellStyle name="40% - 强调文字颜色 2 20 8 2" xfId="9195"/>
    <cellStyle name="40% - 强调文字颜色 2 20 8 3" xfId="15357"/>
    <cellStyle name="40% - 强调文字颜色 2 20 8 4" xfId="25050"/>
    <cellStyle name="40% - 强调文字颜色 2 20 8 5" xfId="28287"/>
    <cellStyle name="40% - 强调文字颜色 2 20 9" xfId="3674"/>
    <cellStyle name="40% - 强调文字颜色 2 20 9 2" xfId="9196"/>
    <cellStyle name="40% - 强调文字颜色 2 20 9 3" xfId="15358"/>
    <cellStyle name="40% - 强调文字颜色 2 20 9 4" xfId="25051"/>
    <cellStyle name="40% - 强调文字颜色 2 20 9 5" xfId="28288"/>
    <cellStyle name="40% - 强调文字颜色 2 21" xfId="838"/>
    <cellStyle name="40% - 强调文字颜色 2 21 10" xfId="3676"/>
    <cellStyle name="40% - 强调文字颜色 2 21 10 2" xfId="9197"/>
    <cellStyle name="40% - 强调文字颜色 2 21 10 3" xfId="15360"/>
    <cellStyle name="40% - 强调文字颜色 2 21 10 4" xfId="25052"/>
    <cellStyle name="40% - 强调文字颜色 2 21 10 5" xfId="28290"/>
    <cellStyle name="40% - 强调文字颜色 2 21 11" xfId="3677"/>
    <cellStyle name="40% - 强调文字颜色 2 21 11 2" xfId="9198"/>
    <cellStyle name="40% - 强调文字颜色 2 21 11 3" xfId="15361"/>
    <cellStyle name="40% - 强调文字颜色 2 21 11 4" xfId="25053"/>
    <cellStyle name="40% - 强调文字颜色 2 21 11 5" xfId="28291"/>
    <cellStyle name="40% - 强调文字颜色 2 21 12" xfId="3678"/>
    <cellStyle name="40% - 强调文字颜色 2 21 12 2" xfId="9199"/>
    <cellStyle name="40% - 强调文字颜色 2 21 12 3" xfId="15362"/>
    <cellStyle name="40% - 强调文字颜色 2 21 12 4" xfId="25054"/>
    <cellStyle name="40% - 强调文字颜色 2 21 12 5" xfId="28292"/>
    <cellStyle name="40% - 强调文字颜色 2 21 13" xfId="3679"/>
    <cellStyle name="40% - 强调文字颜色 2 21 13 2" xfId="9200"/>
    <cellStyle name="40% - 强调文字颜色 2 21 13 3" xfId="15363"/>
    <cellStyle name="40% - 强调文字颜色 2 21 13 4" xfId="25055"/>
    <cellStyle name="40% - 强调文字颜色 2 21 13 5" xfId="28293"/>
    <cellStyle name="40% - 强调文字颜色 2 21 14" xfId="3680"/>
    <cellStyle name="40% - 强调文字颜色 2 21 14 2" xfId="9201"/>
    <cellStyle name="40% - 强调文字颜色 2 21 14 3" xfId="15364"/>
    <cellStyle name="40% - 强调文字颜色 2 21 14 4" xfId="25056"/>
    <cellStyle name="40% - 强调文字颜色 2 21 14 5" xfId="28294"/>
    <cellStyle name="40% - 强调文字颜色 2 21 15" xfId="3681"/>
    <cellStyle name="40% - 强调文字颜色 2 21 15 2" xfId="9202"/>
    <cellStyle name="40% - 强调文字颜色 2 21 15 3" xfId="15365"/>
    <cellStyle name="40% - 强调文字颜色 2 21 15 4" xfId="25057"/>
    <cellStyle name="40% - 强调文字颜色 2 21 15 5" xfId="28295"/>
    <cellStyle name="40% - 强调文字颜色 2 21 16" xfId="3682"/>
    <cellStyle name="40% - 强调文字颜色 2 21 16 2" xfId="9203"/>
    <cellStyle name="40% - 强调文字颜色 2 21 16 3" xfId="15366"/>
    <cellStyle name="40% - 强调文字颜色 2 21 16 4" xfId="25058"/>
    <cellStyle name="40% - 强调文字颜色 2 21 16 5" xfId="28296"/>
    <cellStyle name="40% - 强调文字颜色 2 21 17" xfId="3683"/>
    <cellStyle name="40% - 强调文字颜色 2 21 17 2" xfId="9204"/>
    <cellStyle name="40% - 强调文字颜色 2 21 17 3" xfId="15367"/>
    <cellStyle name="40% - 强调文字颜色 2 21 17 4" xfId="25059"/>
    <cellStyle name="40% - 强调文字颜色 2 21 17 5" xfId="28297"/>
    <cellStyle name="40% - 强调文字颜色 2 21 18" xfId="3684"/>
    <cellStyle name="40% - 强调文字颜色 2 21 18 2" xfId="9205"/>
    <cellStyle name="40% - 强调文字颜色 2 21 18 3" xfId="15368"/>
    <cellStyle name="40% - 强调文字颜色 2 21 18 4" xfId="25060"/>
    <cellStyle name="40% - 强调文字颜色 2 21 18 5" xfId="28298"/>
    <cellStyle name="40% - 强调文字颜色 2 21 19" xfId="3685"/>
    <cellStyle name="40% - 强调文字颜色 2 21 19 2" xfId="9206"/>
    <cellStyle name="40% - 强调文字颜色 2 21 19 3" xfId="15369"/>
    <cellStyle name="40% - 强调文字颜色 2 21 19 4" xfId="25061"/>
    <cellStyle name="40% - 强调文字颜色 2 21 19 5" xfId="28299"/>
    <cellStyle name="40% - 强调文字颜色 2 21 2" xfId="3675"/>
    <cellStyle name="40% - 强调文字颜色 2 21 2 2" xfId="9207"/>
    <cellStyle name="40% - 强调文字颜色 2 21 2 3" xfId="15370"/>
    <cellStyle name="40% - 强调文字颜色 2 21 2 4" xfId="25062"/>
    <cellStyle name="40% - 强调文字颜色 2 21 2 5" xfId="28289"/>
    <cellStyle name="40% - 强调文字颜色 2 21 20" xfId="3687"/>
    <cellStyle name="40% - 强调文字颜色 2 21 20 2" xfId="9208"/>
    <cellStyle name="40% - 强调文字颜色 2 21 20 3" xfId="15371"/>
    <cellStyle name="40% - 强调文字颜色 2 21 20 4" xfId="25063"/>
    <cellStyle name="40% - 强调文字颜色 2 21 20 5" xfId="28300"/>
    <cellStyle name="40% - 强调文字颜色 2 21 21" xfId="3688"/>
    <cellStyle name="40% - 强调文字颜色 2 21 21 2" xfId="9209"/>
    <cellStyle name="40% - 强调文字颜色 2 21 21 3" xfId="15372"/>
    <cellStyle name="40% - 强调文字颜色 2 21 21 4" xfId="25064"/>
    <cellStyle name="40% - 强调文字颜色 2 21 21 5" xfId="28301"/>
    <cellStyle name="40% - 强调文字颜色 2 21 22" xfId="3689"/>
    <cellStyle name="40% - 强调文字颜色 2 21 22 2" xfId="9210"/>
    <cellStyle name="40% - 强调文字颜色 2 21 22 3" xfId="15373"/>
    <cellStyle name="40% - 强调文字颜色 2 21 22 4" xfId="25065"/>
    <cellStyle name="40% - 强调文字颜色 2 21 22 5" xfId="28302"/>
    <cellStyle name="40% - 强调文字颜色 2 21 23" xfId="3690"/>
    <cellStyle name="40% - 强调文字颜色 2 21 23 2" xfId="9211"/>
    <cellStyle name="40% - 强调文字颜色 2 21 23 3" xfId="15374"/>
    <cellStyle name="40% - 强调文字颜色 2 21 23 4" xfId="25066"/>
    <cellStyle name="40% - 强调文字颜色 2 21 23 5" xfId="28303"/>
    <cellStyle name="40% - 强调文字颜色 2 21 24" xfId="6385"/>
    <cellStyle name="40% - 强调文字颜色 2 21 25" xfId="11007"/>
    <cellStyle name="40% - 强调文字颜色 2 21 26" xfId="12532"/>
    <cellStyle name="40% - 强调文字颜色 2 21 27" xfId="15359"/>
    <cellStyle name="40% - 强调文字颜色 2 21 28" xfId="11428"/>
    <cellStyle name="40% - 强调文字颜色 2 21 29" xfId="18693"/>
    <cellStyle name="40% - 强调文字颜色 2 21 3" xfId="3691"/>
    <cellStyle name="40% - 强调文字颜色 2 21 3 2" xfId="9212"/>
    <cellStyle name="40% - 强调文字颜色 2 21 3 3" xfId="15375"/>
    <cellStyle name="40% - 强调文字颜色 2 21 3 4" xfId="25067"/>
    <cellStyle name="40% - 强调文字颜色 2 21 3 5" xfId="28304"/>
    <cellStyle name="40% - 强调文字颜色 2 21 30" xfId="23200"/>
    <cellStyle name="40% - 强调文字颜色 2 21 31" xfId="20565"/>
    <cellStyle name="40% - 强调文字颜色 2 21 32" xfId="30441"/>
    <cellStyle name="40% - 强调文字颜色 2 21 33" xfId="32730"/>
    <cellStyle name="40% - 强调文字颜色 2 21 4" xfId="3692"/>
    <cellStyle name="40% - 强调文字颜色 2 21 4 2" xfId="9213"/>
    <cellStyle name="40% - 强调文字颜色 2 21 4 3" xfId="15376"/>
    <cellStyle name="40% - 强调文字颜色 2 21 4 4" xfId="25068"/>
    <cellStyle name="40% - 强调文字颜色 2 21 4 5" xfId="28305"/>
    <cellStyle name="40% - 强调文字颜色 2 21 5" xfId="3693"/>
    <cellStyle name="40% - 强调文字颜色 2 21 5 2" xfId="9214"/>
    <cellStyle name="40% - 强调文字颜色 2 21 5 3" xfId="15377"/>
    <cellStyle name="40% - 强调文字颜色 2 21 5 4" xfId="25069"/>
    <cellStyle name="40% - 强调文字颜色 2 21 5 5" xfId="28306"/>
    <cellStyle name="40% - 强调文字颜色 2 21 6" xfId="3694"/>
    <cellStyle name="40% - 强调文字颜色 2 21 6 2" xfId="9215"/>
    <cellStyle name="40% - 强调文字颜色 2 21 6 3" xfId="15378"/>
    <cellStyle name="40% - 强调文字颜色 2 21 6 4" xfId="25070"/>
    <cellStyle name="40% - 强调文字颜色 2 21 6 5" xfId="28307"/>
    <cellStyle name="40% - 强调文字颜色 2 21 7" xfId="3695"/>
    <cellStyle name="40% - 强调文字颜色 2 21 7 2" xfId="9216"/>
    <cellStyle name="40% - 强调文字颜色 2 21 7 3" xfId="15379"/>
    <cellStyle name="40% - 强调文字颜色 2 21 7 4" xfId="25071"/>
    <cellStyle name="40% - 强调文字颜色 2 21 7 5" xfId="28308"/>
    <cellStyle name="40% - 强调文字颜色 2 21 8" xfId="3696"/>
    <cellStyle name="40% - 强调文字颜色 2 21 8 2" xfId="9217"/>
    <cellStyle name="40% - 强调文字颜色 2 21 8 3" xfId="15380"/>
    <cellStyle name="40% - 强调文字颜色 2 21 8 4" xfId="25072"/>
    <cellStyle name="40% - 强调文字颜色 2 21 8 5" xfId="28309"/>
    <cellStyle name="40% - 强调文字颜色 2 21 9" xfId="3697"/>
    <cellStyle name="40% - 强调文字颜色 2 21 9 2" xfId="9218"/>
    <cellStyle name="40% - 强调文字颜色 2 21 9 3" xfId="15381"/>
    <cellStyle name="40% - 强调文字颜色 2 21 9 4" xfId="25073"/>
    <cellStyle name="40% - 强调文字颜色 2 21 9 5" xfId="28310"/>
    <cellStyle name="40% - 强调文字颜色 2 22" xfId="839"/>
    <cellStyle name="40% - 强调文字颜色 2 22 10" xfId="3699"/>
    <cellStyle name="40% - 强调文字颜色 2 22 10 2" xfId="9219"/>
    <cellStyle name="40% - 强调文字颜色 2 22 10 3" xfId="15383"/>
    <cellStyle name="40% - 强调文字颜色 2 22 10 4" xfId="25074"/>
    <cellStyle name="40% - 强调文字颜色 2 22 10 5" xfId="28312"/>
    <cellStyle name="40% - 强调文字颜色 2 22 11" xfId="3700"/>
    <cellStyle name="40% - 强调文字颜色 2 22 11 2" xfId="9220"/>
    <cellStyle name="40% - 强调文字颜色 2 22 11 3" xfId="15384"/>
    <cellStyle name="40% - 强调文字颜色 2 22 11 4" xfId="25075"/>
    <cellStyle name="40% - 强调文字颜色 2 22 11 5" xfId="28313"/>
    <cellStyle name="40% - 强调文字颜色 2 22 12" xfId="3701"/>
    <cellStyle name="40% - 强调文字颜色 2 22 12 2" xfId="9221"/>
    <cellStyle name="40% - 强调文字颜色 2 22 12 3" xfId="15385"/>
    <cellStyle name="40% - 强调文字颜色 2 22 12 4" xfId="25076"/>
    <cellStyle name="40% - 强调文字颜色 2 22 12 5" xfId="28314"/>
    <cellStyle name="40% - 强调文字颜色 2 22 13" xfId="3702"/>
    <cellStyle name="40% - 强调文字颜色 2 22 13 2" xfId="9222"/>
    <cellStyle name="40% - 强调文字颜色 2 22 13 3" xfId="15386"/>
    <cellStyle name="40% - 强调文字颜色 2 22 13 4" xfId="25077"/>
    <cellStyle name="40% - 强调文字颜色 2 22 13 5" xfId="28315"/>
    <cellStyle name="40% - 强调文字颜色 2 22 14" xfId="3703"/>
    <cellStyle name="40% - 强调文字颜色 2 22 14 2" xfId="9223"/>
    <cellStyle name="40% - 强调文字颜色 2 22 14 3" xfId="15387"/>
    <cellStyle name="40% - 强调文字颜色 2 22 14 4" xfId="25078"/>
    <cellStyle name="40% - 强调文字颜色 2 22 14 5" xfId="28316"/>
    <cellStyle name="40% - 强调文字颜色 2 22 15" xfId="3704"/>
    <cellStyle name="40% - 强调文字颜色 2 22 15 2" xfId="9224"/>
    <cellStyle name="40% - 强调文字颜色 2 22 15 3" xfId="15388"/>
    <cellStyle name="40% - 强调文字颜色 2 22 15 4" xfId="25079"/>
    <cellStyle name="40% - 强调文字颜色 2 22 15 5" xfId="28317"/>
    <cellStyle name="40% - 强调文字颜色 2 22 16" xfId="3705"/>
    <cellStyle name="40% - 强调文字颜色 2 22 16 2" xfId="9225"/>
    <cellStyle name="40% - 强调文字颜色 2 22 16 3" xfId="15389"/>
    <cellStyle name="40% - 强调文字颜色 2 22 16 4" xfId="25080"/>
    <cellStyle name="40% - 强调文字颜色 2 22 16 5" xfId="28318"/>
    <cellStyle name="40% - 强调文字颜色 2 22 17" xfId="3706"/>
    <cellStyle name="40% - 强调文字颜色 2 22 17 2" xfId="9226"/>
    <cellStyle name="40% - 强调文字颜色 2 22 17 3" xfId="15390"/>
    <cellStyle name="40% - 强调文字颜色 2 22 17 4" xfId="25081"/>
    <cellStyle name="40% - 强调文字颜色 2 22 17 5" xfId="28319"/>
    <cellStyle name="40% - 强调文字颜色 2 22 18" xfId="3707"/>
    <cellStyle name="40% - 强调文字颜色 2 22 18 2" xfId="9227"/>
    <cellStyle name="40% - 强调文字颜色 2 22 18 3" xfId="15391"/>
    <cellStyle name="40% - 强调文字颜色 2 22 18 4" xfId="25082"/>
    <cellStyle name="40% - 强调文字颜色 2 22 18 5" xfId="28320"/>
    <cellStyle name="40% - 强调文字颜色 2 22 19" xfId="3708"/>
    <cellStyle name="40% - 强调文字颜色 2 22 19 2" xfId="9228"/>
    <cellStyle name="40% - 强调文字颜色 2 22 19 3" xfId="15392"/>
    <cellStyle name="40% - 强调文字颜色 2 22 19 4" xfId="25083"/>
    <cellStyle name="40% - 强调文字颜色 2 22 19 5" xfId="28321"/>
    <cellStyle name="40% - 强调文字颜色 2 22 2" xfId="3698"/>
    <cellStyle name="40% - 强调文字颜色 2 22 2 2" xfId="9229"/>
    <cellStyle name="40% - 强调文字颜色 2 22 2 3" xfId="15393"/>
    <cellStyle name="40% - 强调文字颜色 2 22 2 4" xfId="25084"/>
    <cellStyle name="40% - 强调文字颜色 2 22 2 5" xfId="28311"/>
    <cellStyle name="40% - 强调文字颜色 2 22 20" xfId="3710"/>
    <cellStyle name="40% - 强调文字颜色 2 22 20 2" xfId="9230"/>
    <cellStyle name="40% - 强调文字颜色 2 22 20 3" xfId="15394"/>
    <cellStyle name="40% - 强调文字颜色 2 22 20 4" xfId="25085"/>
    <cellStyle name="40% - 强调文字颜色 2 22 20 5" xfId="28322"/>
    <cellStyle name="40% - 强调文字颜色 2 22 21" xfId="3711"/>
    <cellStyle name="40% - 强调文字颜色 2 22 21 2" xfId="9231"/>
    <cellStyle name="40% - 强调文字颜色 2 22 21 3" xfId="15395"/>
    <cellStyle name="40% - 强调文字颜色 2 22 21 4" xfId="25086"/>
    <cellStyle name="40% - 强调文字颜色 2 22 21 5" xfId="28323"/>
    <cellStyle name="40% - 强调文字颜色 2 22 22" xfId="3712"/>
    <cellStyle name="40% - 强调文字颜色 2 22 22 2" xfId="9232"/>
    <cellStyle name="40% - 强调文字颜色 2 22 22 3" xfId="15396"/>
    <cellStyle name="40% - 强调文字颜色 2 22 22 4" xfId="25087"/>
    <cellStyle name="40% - 强调文字颜色 2 22 22 5" xfId="28324"/>
    <cellStyle name="40% - 强调文字颜色 2 22 23" xfId="3713"/>
    <cellStyle name="40% - 强调文字颜色 2 22 23 2" xfId="9233"/>
    <cellStyle name="40% - 强调文字颜色 2 22 23 3" xfId="15397"/>
    <cellStyle name="40% - 强调文字颜色 2 22 23 4" xfId="25088"/>
    <cellStyle name="40% - 强调文字颜色 2 22 23 5" xfId="28325"/>
    <cellStyle name="40% - 强调文字颜色 2 22 24" xfId="6386"/>
    <cellStyle name="40% - 强调文字颜色 2 22 25" xfId="11008"/>
    <cellStyle name="40% - 强调文字颜色 2 22 26" xfId="12533"/>
    <cellStyle name="40% - 强调文字颜色 2 22 27" xfId="15382"/>
    <cellStyle name="40% - 强调文字颜色 2 22 28" xfId="10291"/>
    <cellStyle name="40% - 强调文字颜色 2 22 29" xfId="18694"/>
    <cellStyle name="40% - 强调文字颜色 2 22 3" xfId="3714"/>
    <cellStyle name="40% - 强调文字颜色 2 22 3 2" xfId="9234"/>
    <cellStyle name="40% - 强调文字颜色 2 22 3 3" xfId="15398"/>
    <cellStyle name="40% - 强调文字颜色 2 22 3 4" xfId="25089"/>
    <cellStyle name="40% - 强调文字颜色 2 22 3 5" xfId="28326"/>
    <cellStyle name="40% - 强调文字颜色 2 22 30" xfId="22217"/>
    <cellStyle name="40% - 强调文字颜色 2 22 31" xfId="19904"/>
    <cellStyle name="40% - 强调文字颜色 2 22 32" xfId="30442"/>
    <cellStyle name="40% - 强调文字颜色 2 22 33" xfId="33135"/>
    <cellStyle name="40% - 强调文字颜色 2 22 4" xfId="3715"/>
    <cellStyle name="40% - 强调文字颜色 2 22 4 2" xfId="9235"/>
    <cellStyle name="40% - 强调文字颜色 2 22 4 3" xfId="15399"/>
    <cellStyle name="40% - 强调文字颜色 2 22 4 4" xfId="25090"/>
    <cellStyle name="40% - 强调文字颜色 2 22 4 5" xfId="28327"/>
    <cellStyle name="40% - 强调文字颜色 2 22 5" xfId="3716"/>
    <cellStyle name="40% - 强调文字颜色 2 22 5 2" xfId="9236"/>
    <cellStyle name="40% - 强调文字颜色 2 22 5 3" xfId="15400"/>
    <cellStyle name="40% - 强调文字颜色 2 22 5 4" xfId="25091"/>
    <cellStyle name="40% - 强调文字颜色 2 22 5 5" xfId="28328"/>
    <cellStyle name="40% - 强调文字颜色 2 22 6" xfId="3717"/>
    <cellStyle name="40% - 强调文字颜色 2 22 6 2" xfId="9237"/>
    <cellStyle name="40% - 强调文字颜色 2 22 6 3" xfId="15401"/>
    <cellStyle name="40% - 强调文字颜色 2 22 6 4" xfId="25092"/>
    <cellStyle name="40% - 强调文字颜色 2 22 6 5" xfId="28329"/>
    <cellStyle name="40% - 强调文字颜色 2 22 7" xfId="3718"/>
    <cellStyle name="40% - 强调文字颜色 2 22 7 2" xfId="9238"/>
    <cellStyle name="40% - 强调文字颜色 2 22 7 3" xfId="15402"/>
    <cellStyle name="40% - 强调文字颜色 2 22 7 4" xfId="25093"/>
    <cellStyle name="40% - 强调文字颜色 2 22 7 5" xfId="28330"/>
    <cellStyle name="40% - 强调文字颜色 2 22 8" xfId="3719"/>
    <cellStyle name="40% - 强调文字颜色 2 22 8 2" xfId="9239"/>
    <cellStyle name="40% - 强调文字颜色 2 22 8 3" xfId="15403"/>
    <cellStyle name="40% - 强调文字颜色 2 22 8 4" xfId="25094"/>
    <cellStyle name="40% - 强调文字颜色 2 22 8 5" xfId="28331"/>
    <cellStyle name="40% - 强调文字颜色 2 22 9" xfId="3720"/>
    <cellStyle name="40% - 强调文字颜色 2 22 9 2" xfId="9240"/>
    <cellStyle name="40% - 强调文字颜色 2 22 9 3" xfId="15404"/>
    <cellStyle name="40% - 强调文字颜色 2 22 9 4" xfId="25095"/>
    <cellStyle name="40% - 强调文字颜色 2 22 9 5" xfId="28332"/>
    <cellStyle name="40% - 强调文字颜色 2 23" xfId="840"/>
    <cellStyle name="40% - 强调文字颜色 2 23 10" xfId="3722"/>
    <cellStyle name="40% - 强调文字颜色 2 23 10 2" xfId="9241"/>
    <cellStyle name="40% - 强调文字颜色 2 23 10 3" xfId="15406"/>
    <cellStyle name="40% - 强调文字颜色 2 23 10 4" xfId="25096"/>
    <cellStyle name="40% - 强调文字颜色 2 23 10 5" xfId="28334"/>
    <cellStyle name="40% - 强调文字颜色 2 23 11" xfId="3723"/>
    <cellStyle name="40% - 强调文字颜色 2 23 11 2" xfId="9242"/>
    <cellStyle name="40% - 强调文字颜色 2 23 11 3" xfId="15407"/>
    <cellStyle name="40% - 强调文字颜色 2 23 11 4" xfId="25097"/>
    <cellStyle name="40% - 强调文字颜色 2 23 11 5" xfId="28335"/>
    <cellStyle name="40% - 强调文字颜色 2 23 12" xfId="3724"/>
    <cellStyle name="40% - 强调文字颜色 2 23 12 2" xfId="9243"/>
    <cellStyle name="40% - 强调文字颜色 2 23 12 3" xfId="15408"/>
    <cellStyle name="40% - 强调文字颜色 2 23 12 4" xfId="25098"/>
    <cellStyle name="40% - 强调文字颜色 2 23 12 5" xfId="28336"/>
    <cellStyle name="40% - 强调文字颜色 2 23 13" xfId="3725"/>
    <cellStyle name="40% - 强调文字颜色 2 23 13 2" xfId="9244"/>
    <cellStyle name="40% - 强调文字颜色 2 23 13 3" xfId="15409"/>
    <cellStyle name="40% - 强调文字颜色 2 23 13 4" xfId="25099"/>
    <cellStyle name="40% - 强调文字颜色 2 23 13 5" xfId="28337"/>
    <cellStyle name="40% - 强调文字颜色 2 23 14" xfId="3726"/>
    <cellStyle name="40% - 强调文字颜色 2 23 14 2" xfId="9245"/>
    <cellStyle name="40% - 强调文字颜色 2 23 14 3" xfId="15410"/>
    <cellStyle name="40% - 强调文字颜色 2 23 14 4" xfId="25100"/>
    <cellStyle name="40% - 强调文字颜色 2 23 14 5" xfId="28338"/>
    <cellStyle name="40% - 强调文字颜色 2 23 15" xfId="3727"/>
    <cellStyle name="40% - 强调文字颜色 2 23 15 2" xfId="9246"/>
    <cellStyle name="40% - 强调文字颜色 2 23 15 3" xfId="15411"/>
    <cellStyle name="40% - 强调文字颜色 2 23 15 4" xfId="25101"/>
    <cellStyle name="40% - 强调文字颜色 2 23 15 5" xfId="28339"/>
    <cellStyle name="40% - 强调文字颜色 2 23 16" xfId="3728"/>
    <cellStyle name="40% - 强调文字颜色 2 23 16 2" xfId="9247"/>
    <cellStyle name="40% - 强调文字颜色 2 23 16 3" xfId="15412"/>
    <cellStyle name="40% - 强调文字颜色 2 23 16 4" xfId="25102"/>
    <cellStyle name="40% - 强调文字颜色 2 23 16 5" xfId="28340"/>
    <cellStyle name="40% - 强调文字颜色 2 23 17" xfId="3729"/>
    <cellStyle name="40% - 强调文字颜色 2 23 17 2" xfId="9248"/>
    <cellStyle name="40% - 强调文字颜色 2 23 17 3" xfId="15413"/>
    <cellStyle name="40% - 强调文字颜色 2 23 17 4" xfId="25103"/>
    <cellStyle name="40% - 强调文字颜色 2 23 17 5" xfId="28341"/>
    <cellStyle name="40% - 强调文字颜色 2 23 18" xfId="3730"/>
    <cellStyle name="40% - 强调文字颜色 2 23 18 2" xfId="9249"/>
    <cellStyle name="40% - 强调文字颜色 2 23 18 3" xfId="15414"/>
    <cellStyle name="40% - 强调文字颜色 2 23 18 4" xfId="25104"/>
    <cellStyle name="40% - 强调文字颜色 2 23 18 5" xfId="28342"/>
    <cellStyle name="40% - 强调文字颜色 2 23 19" xfId="3731"/>
    <cellStyle name="40% - 强调文字颜色 2 23 19 2" xfId="9250"/>
    <cellStyle name="40% - 强调文字颜色 2 23 19 3" xfId="15415"/>
    <cellStyle name="40% - 强调文字颜色 2 23 19 4" xfId="25105"/>
    <cellStyle name="40% - 强调文字颜色 2 23 19 5" xfId="28343"/>
    <cellStyle name="40% - 强调文字颜色 2 23 2" xfId="3721"/>
    <cellStyle name="40% - 强调文字颜色 2 23 2 2" xfId="9251"/>
    <cellStyle name="40% - 强调文字颜色 2 23 2 3" xfId="15416"/>
    <cellStyle name="40% - 强调文字颜色 2 23 2 4" xfId="25106"/>
    <cellStyle name="40% - 强调文字颜色 2 23 2 5" xfId="28333"/>
    <cellStyle name="40% - 强调文字颜色 2 23 20" xfId="3733"/>
    <cellStyle name="40% - 强调文字颜色 2 23 20 2" xfId="9252"/>
    <cellStyle name="40% - 强调文字颜色 2 23 20 3" xfId="15417"/>
    <cellStyle name="40% - 强调文字颜色 2 23 20 4" xfId="25107"/>
    <cellStyle name="40% - 强调文字颜色 2 23 20 5" xfId="28344"/>
    <cellStyle name="40% - 强调文字颜色 2 23 21" xfId="3734"/>
    <cellStyle name="40% - 强调文字颜色 2 23 21 2" xfId="9253"/>
    <cellStyle name="40% - 强调文字颜色 2 23 21 3" xfId="15418"/>
    <cellStyle name="40% - 强调文字颜色 2 23 21 4" xfId="25108"/>
    <cellStyle name="40% - 强调文字颜色 2 23 21 5" xfId="28345"/>
    <cellStyle name="40% - 强调文字颜色 2 23 22" xfId="3735"/>
    <cellStyle name="40% - 强调文字颜色 2 23 22 2" xfId="9254"/>
    <cellStyle name="40% - 强调文字颜色 2 23 22 3" xfId="15419"/>
    <cellStyle name="40% - 强调文字颜色 2 23 22 4" xfId="25109"/>
    <cellStyle name="40% - 强调文字颜色 2 23 22 5" xfId="28346"/>
    <cellStyle name="40% - 强调文字颜色 2 23 23" xfId="3736"/>
    <cellStyle name="40% - 强调文字颜色 2 23 23 2" xfId="9255"/>
    <cellStyle name="40% - 强调文字颜色 2 23 23 3" xfId="15420"/>
    <cellStyle name="40% - 强调文字颜色 2 23 23 4" xfId="25110"/>
    <cellStyle name="40% - 强调文字颜色 2 23 23 5" xfId="28347"/>
    <cellStyle name="40% - 强调文字颜色 2 23 24" xfId="6387"/>
    <cellStyle name="40% - 强调文字颜色 2 23 25" xfId="11009"/>
    <cellStyle name="40% - 强调文字颜色 2 23 26" xfId="12534"/>
    <cellStyle name="40% - 强调文字颜色 2 23 27" xfId="15405"/>
    <cellStyle name="40% - 强调文字颜色 2 23 28" xfId="11423"/>
    <cellStyle name="40% - 强调文字颜色 2 23 29" xfId="18695"/>
    <cellStyle name="40% - 强调文字颜色 2 23 3" xfId="3737"/>
    <cellStyle name="40% - 强调文字颜色 2 23 3 2" xfId="9256"/>
    <cellStyle name="40% - 强调文字颜色 2 23 3 3" xfId="15421"/>
    <cellStyle name="40% - 强调文字颜色 2 23 3 4" xfId="25111"/>
    <cellStyle name="40% - 强调文字颜色 2 23 3 5" xfId="28348"/>
    <cellStyle name="40% - 强调文字颜色 2 23 30" xfId="21699"/>
    <cellStyle name="40% - 强调文字颜色 2 23 31" xfId="20750"/>
    <cellStyle name="40% - 强调文字颜色 2 23 32" xfId="30443"/>
    <cellStyle name="40% - 强调文字颜色 2 23 33" xfId="31784"/>
    <cellStyle name="40% - 强调文字颜色 2 23 4" xfId="3738"/>
    <cellStyle name="40% - 强调文字颜色 2 23 4 2" xfId="9257"/>
    <cellStyle name="40% - 强调文字颜色 2 23 4 3" xfId="15422"/>
    <cellStyle name="40% - 强调文字颜色 2 23 4 4" xfId="25112"/>
    <cellStyle name="40% - 强调文字颜色 2 23 4 5" xfId="28349"/>
    <cellStyle name="40% - 强调文字颜色 2 23 5" xfId="3739"/>
    <cellStyle name="40% - 强调文字颜色 2 23 5 2" xfId="9258"/>
    <cellStyle name="40% - 强调文字颜色 2 23 5 3" xfId="15423"/>
    <cellStyle name="40% - 强调文字颜色 2 23 5 4" xfId="25113"/>
    <cellStyle name="40% - 强调文字颜色 2 23 5 5" xfId="28350"/>
    <cellStyle name="40% - 强调文字颜色 2 23 6" xfId="3740"/>
    <cellStyle name="40% - 强调文字颜色 2 23 6 2" xfId="9259"/>
    <cellStyle name="40% - 强调文字颜色 2 23 6 3" xfId="15424"/>
    <cellStyle name="40% - 强调文字颜色 2 23 6 4" xfId="25114"/>
    <cellStyle name="40% - 强调文字颜色 2 23 6 5" xfId="28351"/>
    <cellStyle name="40% - 强调文字颜色 2 23 7" xfId="3741"/>
    <cellStyle name="40% - 强调文字颜色 2 23 7 2" xfId="9260"/>
    <cellStyle name="40% - 强调文字颜色 2 23 7 3" xfId="15425"/>
    <cellStyle name="40% - 强调文字颜色 2 23 7 4" xfId="25115"/>
    <cellStyle name="40% - 强调文字颜色 2 23 7 5" xfId="28352"/>
    <cellStyle name="40% - 强调文字颜色 2 23 8" xfId="3742"/>
    <cellStyle name="40% - 强调文字颜色 2 23 8 2" xfId="9261"/>
    <cellStyle name="40% - 强调文字颜色 2 23 8 3" xfId="15426"/>
    <cellStyle name="40% - 强调文字颜色 2 23 8 4" xfId="25116"/>
    <cellStyle name="40% - 强调文字颜色 2 23 8 5" xfId="28353"/>
    <cellStyle name="40% - 强调文字颜色 2 23 9" xfId="3743"/>
    <cellStyle name="40% - 强调文字颜色 2 23 9 2" xfId="9262"/>
    <cellStyle name="40% - 强调文字颜色 2 23 9 3" xfId="15427"/>
    <cellStyle name="40% - 强调文字颜色 2 23 9 4" xfId="25117"/>
    <cellStyle name="40% - 强调文字颜色 2 23 9 5" xfId="28354"/>
    <cellStyle name="40% - 强调文字颜色 2 24" xfId="3597"/>
    <cellStyle name="40% - 强调文字颜色 2 24 2" xfId="3744"/>
    <cellStyle name="40% - 强调文字颜色 2 24 3" xfId="7393"/>
    <cellStyle name="40% - 强调文字颜色 2 24 4" xfId="15428"/>
    <cellStyle name="40% - 强调文字颜色 2 24 5" xfId="11000"/>
    <cellStyle name="40% - 强调文字颜色 2 24 6" xfId="26775"/>
    <cellStyle name="40% - 强调文字颜色 2 24 7" xfId="28244"/>
    <cellStyle name="40% - 强调文字颜色 2 25" xfId="3745"/>
    <cellStyle name="40% - 强调文字颜色 2 25 2" xfId="9263"/>
    <cellStyle name="40% - 强调文字颜色 2 25 3" xfId="15429"/>
    <cellStyle name="40% - 强调文字颜色 2 25 4" xfId="25118"/>
    <cellStyle name="40% - 强调文字颜色 2 25 5" xfId="26561"/>
    <cellStyle name="40% - 强调文字颜色 2 25 6" xfId="26776"/>
    <cellStyle name="40% - 强调文字颜色 2 25 7" xfId="28355"/>
    <cellStyle name="40% - 强调文字颜色 2 26" xfId="3746"/>
    <cellStyle name="40% - 强调文字颜色 2 26 2" xfId="9264"/>
    <cellStyle name="40% - 强调文字颜色 2 26 3" xfId="15430"/>
    <cellStyle name="40% - 强调文字颜色 2 26 4" xfId="25119"/>
    <cellStyle name="40% - 强调文字颜色 2 26 5" xfId="26565"/>
    <cellStyle name="40% - 强调文字颜色 2 26 6" xfId="26777"/>
    <cellStyle name="40% - 强调文字颜色 2 26 7" xfId="28356"/>
    <cellStyle name="40% - 强调文字颜色 2 27" xfId="3747"/>
    <cellStyle name="40% - 强调文字颜色 2 27 2" xfId="9265"/>
    <cellStyle name="40% - 强调文字颜色 2 27 3" xfId="15431"/>
    <cellStyle name="40% - 强调文字颜色 2 27 4" xfId="25120"/>
    <cellStyle name="40% - 强调文字颜色 2 27 5" xfId="26778"/>
    <cellStyle name="40% - 强调文字颜色 2 27 6" xfId="28357"/>
    <cellStyle name="40% - 强调文字颜色 2 28" xfId="3748"/>
    <cellStyle name="40% - 强调文字颜色 2 28 2" xfId="9266"/>
    <cellStyle name="40% - 强调文字颜色 2 28 3" xfId="15432"/>
    <cellStyle name="40% - 强调文字颜色 2 28 4" xfId="25121"/>
    <cellStyle name="40% - 强调文字颜色 2 28 5" xfId="26779"/>
    <cellStyle name="40% - 强调文字颜色 2 28 6" xfId="28358"/>
    <cellStyle name="40% - 强调文字颜色 2 29" xfId="3749"/>
    <cellStyle name="40% - 强调文字颜色 2 29 2" xfId="9267"/>
    <cellStyle name="40% - 强调文字颜色 2 29 3" xfId="15433"/>
    <cellStyle name="40% - 强调文字颜色 2 29 4" xfId="25122"/>
    <cellStyle name="40% - 强调文字颜色 2 29 5" xfId="26780"/>
    <cellStyle name="40% - 强调文字颜色 2 29 6" xfId="28359"/>
    <cellStyle name="40% - 强调文字颜色 2 3" xfId="841"/>
    <cellStyle name="40% - 强调文字颜色 2 3 10" xfId="842"/>
    <cellStyle name="40% - 强调文字颜色 2 3 10 10" xfId="30445"/>
    <cellStyle name="40% - 强调文字颜色 2 3 10 11" xfId="31786"/>
    <cellStyle name="40% - 强调文字颜色 2 3 10 2" xfId="3751"/>
    <cellStyle name="40% - 强调文字颜色 2 3 10 3" xfId="6389"/>
    <cellStyle name="40% - 强调文字颜色 2 3 10 4" xfId="12536"/>
    <cellStyle name="40% - 强调文字颜色 2 3 10 5" xfId="15435"/>
    <cellStyle name="40% - 强调文字颜色 2 3 10 6" xfId="11425"/>
    <cellStyle name="40% - 强调文字颜色 2 3 10 7" xfId="18697"/>
    <cellStyle name="40% - 强调文字颜色 2 3 10 8" xfId="22216"/>
    <cellStyle name="40% - 强调文字颜色 2 3 10 9" xfId="20556"/>
    <cellStyle name="40% - 强调文字颜色 2 3 11" xfId="843"/>
    <cellStyle name="40% - 强调文字颜色 2 3 11 10" xfId="30446"/>
    <cellStyle name="40% - 强调文字颜色 2 3 11 11" xfId="33384"/>
    <cellStyle name="40% - 强调文字颜色 2 3 11 2" xfId="3752"/>
    <cellStyle name="40% - 强调文字颜色 2 3 11 3" xfId="6390"/>
    <cellStyle name="40% - 强调文字颜色 2 3 11 4" xfId="12537"/>
    <cellStyle name="40% - 强调文字颜色 2 3 11 5" xfId="15436"/>
    <cellStyle name="40% - 强调文字颜色 2 3 11 6" xfId="10288"/>
    <cellStyle name="40% - 强调文字颜色 2 3 11 7" xfId="18698"/>
    <cellStyle name="40% - 强调文字颜色 2 3 11 8" xfId="21698"/>
    <cellStyle name="40% - 强调文字颜色 2 3 11 9" xfId="20193"/>
    <cellStyle name="40% - 强调文字颜色 2 3 12" xfId="844"/>
    <cellStyle name="40% - 强调文字颜色 2 3 12 10" xfId="30447"/>
    <cellStyle name="40% - 强调文字颜色 2 3 12 11" xfId="33134"/>
    <cellStyle name="40% - 强调文字颜色 2 3 12 2" xfId="3753"/>
    <cellStyle name="40% - 强调文字颜色 2 3 12 3" xfId="6391"/>
    <cellStyle name="40% - 强调文字颜色 2 3 12 4" xfId="12538"/>
    <cellStyle name="40% - 强调文字颜色 2 3 12 5" xfId="15437"/>
    <cellStyle name="40% - 强调文字颜色 2 3 12 6" xfId="11424"/>
    <cellStyle name="40% - 强调文字颜色 2 3 12 7" xfId="18699"/>
    <cellStyle name="40% - 强调文字颜色 2 3 12 8" xfId="23198"/>
    <cellStyle name="40% - 强调文字颜色 2 3 12 9" xfId="21135"/>
    <cellStyle name="40% - 强调文字颜色 2 3 13" xfId="845"/>
    <cellStyle name="40% - 强调文字颜色 2 3 13 10" xfId="30448"/>
    <cellStyle name="40% - 强调文字颜色 2 3 13 11" xfId="32729"/>
    <cellStyle name="40% - 强调文字颜色 2 3 13 2" xfId="3754"/>
    <cellStyle name="40% - 强调文字颜色 2 3 13 3" xfId="6392"/>
    <cellStyle name="40% - 强调文字颜色 2 3 13 4" xfId="12539"/>
    <cellStyle name="40% - 强调文字颜色 2 3 13 5" xfId="15438"/>
    <cellStyle name="40% - 强调文字颜色 2 3 13 6" xfId="10287"/>
    <cellStyle name="40% - 强调文字颜色 2 3 13 7" xfId="18700"/>
    <cellStyle name="40% - 强调文字颜色 2 3 13 8" xfId="22215"/>
    <cellStyle name="40% - 强调文字颜色 2 3 13 9" xfId="20564"/>
    <cellStyle name="40% - 强调文字颜色 2 3 14" xfId="846"/>
    <cellStyle name="40% - 强调文字颜色 2 3 14 10" xfId="30449"/>
    <cellStyle name="40% - 强调文字颜色 2 3 14 11" xfId="32484"/>
    <cellStyle name="40% - 强调文字颜色 2 3 14 2" xfId="3755"/>
    <cellStyle name="40% - 强调文字颜色 2 3 14 3" xfId="6393"/>
    <cellStyle name="40% - 强调文字颜色 2 3 14 4" xfId="12540"/>
    <cellStyle name="40% - 强调文字颜色 2 3 14 5" xfId="15439"/>
    <cellStyle name="40% - 强调文字颜色 2 3 14 6" xfId="11420"/>
    <cellStyle name="40% - 强调文字颜色 2 3 14 7" xfId="18701"/>
    <cellStyle name="40% - 强调文字颜色 2 3 14 8" xfId="21697"/>
    <cellStyle name="40% - 强调文字颜色 2 3 14 9" xfId="19912"/>
    <cellStyle name="40% - 强调文字颜色 2 3 15" xfId="847"/>
    <cellStyle name="40% - 强调文字颜色 2 3 15 10" xfId="30450"/>
    <cellStyle name="40% - 强调文字颜色 2 3 15 11" xfId="32250"/>
    <cellStyle name="40% - 强调文字颜色 2 3 15 2" xfId="3756"/>
    <cellStyle name="40% - 强调文字颜色 2 3 15 3" xfId="6394"/>
    <cellStyle name="40% - 强调文字颜色 2 3 15 4" xfId="12541"/>
    <cellStyle name="40% - 强调文字颜色 2 3 15 5" xfId="15440"/>
    <cellStyle name="40% - 强调文字颜色 2 3 15 6" xfId="10283"/>
    <cellStyle name="40% - 强调文字颜色 2 3 15 7" xfId="18702"/>
    <cellStyle name="40% - 强调文字颜色 2 3 15 8" xfId="23195"/>
    <cellStyle name="40% - 强调文字颜色 2 3 15 9" xfId="21134"/>
    <cellStyle name="40% - 强调文字颜色 2 3 16" xfId="848"/>
    <cellStyle name="40% - 强调文字颜色 2 3 16 10" xfId="30451"/>
    <cellStyle name="40% - 强调文字颜色 2 3 16 11" xfId="31785"/>
    <cellStyle name="40% - 强调文字颜色 2 3 16 2" xfId="3757"/>
    <cellStyle name="40% - 强调文字颜色 2 3 16 3" xfId="6395"/>
    <cellStyle name="40% - 强调文字颜色 2 3 16 4" xfId="12542"/>
    <cellStyle name="40% - 强调文字颜色 2 3 16 5" xfId="15441"/>
    <cellStyle name="40% - 强调文字颜色 2 3 16 6" xfId="11422"/>
    <cellStyle name="40% - 强调文字颜色 2 3 16 7" xfId="18703"/>
    <cellStyle name="40% - 强调文字颜色 2 3 16 8" xfId="22843"/>
    <cellStyle name="40% - 强调文字颜色 2 3 16 9" xfId="20563"/>
    <cellStyle name="40% - 强调文字颜色 2 3 17" xfId="849"/>
    <cellStyle name="40% - 强调文字颜色 2 3 17 10" xfId="30452"/>
    <cellStyle name="40% - 强调文字颜色 2 3 17 11" xfId="33383"/>
    <cellStyle name="40% - 强调文字颜色 2 3 17 2" xfId="3758"/>
    <cellStyle name="40% - 强调文字颜色 2 3 17 3" xfId="6396"/>
    <cellStyle name="40% - 强调文字颜色 2 3 17 4" xfId="12543"/>
    <cellStyle name="40% - 强调文字颜色 2 3 17 5" xfId="15442"/>
    <cellStyle name="40% - 强调文字颜色 2 3 17 6" xfId="10285"/>
    <cellStyle name="40% - 强调文字颜色 2 3 17 7" xfId="18704"/>
    <cellStyle name="40% - 强调文字颜色 2 3 17 8" xfId="22625"/>
    <cellStyle name="40% - 强调文字颜色 2 3 17 9" xfId="19911"/>
    <cellStyle name="40% - 强调文字颜色 2 3 18" xfId="850"/>
    <cellStyle name="40% - 强调文字颜色 2 3 18 10" xfId="30453"/>
    <cellStyle name="40% - 强调文字颜色 2 3 18 11" xfId="33133"/>
    <cellStyle name="40% - 强调文字颜色 2 3 18 2" xfId="3759"/>
    <cellStyle name="40% - 强调文字颜色 2 3 18 3" xfId="6397"/>
    <cellStyle name="40% - 强调文字颜色 2 3 18 4" xfId="12544"/>
    <cellStyle name="40% - 强调文字颜色 2 3 18 5" xfId="15443"/>
    <cellStyle name="40% - 强调文字颜色 2 3 18 6" xfId="11421"/>
    <cellStyle name="40% - 强调文字颜色 2 3 18 7" xfId="18705"/>
    <cellStyle name="40% - 强调文字颜色 2 3 18 8" xfId="22212"/>
    <cellStyle name="40% - 强调文字颜色 2 3 18 9" xfId="21133"/>
    <cellStyle name="40% - 强调文字颜色 2 3 19" xfId="851"/>
    <cellStyle name="40% - 强调文字颜色 2 3 19 10" xfId="30454"/>
    <cellStyle name="40% - 强调文字颜色 2 3 19 11" xfId="32727"/>
    <cellStyle name="40% - 强调文字颜色 2 3 19 2" xfId="3760"/>
    <cellStyle name="40% - 强调文字颜色 2 3 19 3" xfId="6398"/>
    <cellStyle name="40% - 强调文字颜色 2 3 19 4" xfId="12545"/>
    <cellStyle name="40% - 强调文字颜色 2 3 19 5" xfId="15444"/>
    <cellStyle name="40% - 强调文字颜色 2 3 19 6" xfId="10284"/>
    <cellStyle name="40% - 强调文字颜色 2 3 19 7" xfId="18706"/>
    <cellStyle name="40% - 强调文字颜色 2 3 19 8" xfId="23194"/>
    <cellStyle name="40% - 强调文字颜色 2 3 19 9" xfId="20562"/>
    <cellStyle name="40% - 强调文字颜色 2 3 2" xfId="852"/>
    <cellStyle name="40% - 强调文字颜色 2 3 2 10" xfId="30455"/>
    <cellStyle name="40% - 强调文字颜色 2 3 2 11" xfId="32483"/>
    <cellStyle name="40% - 强调文字颜色 2 3 2 2" xfId="3761"/>
    <cellStyle name="40% - 强调文字颜色 2 3 2 3" xfId="6399"/>
    <cellStyle name="40% - 强调文字颜色 2 3 2 4" xfId="12546"/>
    <cellStyle name="40% - 强调文字颜色 2 3 2 5" xfId="15445"/>
    <cellStyle name="40% - 强调文字颜色 2 3 2 6" xfId="11417"/>
    <cellStyle name="40% - 强调文字颜色 2 3 2 7" xfId="18707"/>
    <cellStyle name="40% - 强调文字颜色 2 3 2 8" xfId="22842"/>
    <cellStyle name="40% - 强调文字颜色 2 3 2 9" xfId="19910"/>
    <cellStyle name="40% - 强调文字颜色 2 3 20" xfId="3750"/>
    <cellStyle name="40% - 强调文字颜色 2 3 20 2" xfId="9268"/>
    <cellStyle name="40% - 强调文字颜色 2 3 20 3" xfId="15446"/>
    <cellStyle name="40% - 强调文字颜色 2 3 20 4" xfId="25123"/>
    <cellStyle name="40% - 强调文字颜色 2 3 20 5" xfId="26781"/>
    <cellStyle name="40% - 强调文字颜色 2 3 20 6" xfId="28360"/>
    <cellStyle name="40% - 强调文字颜色 2 3 21" xfId="3763"/>
    <cellStyle name="40% - 强调文字颜色 2 3 21 2" xfId="9269"/>
    <cellStyle name="40% - 强调文字颜色 2 3 21 3" xfId="15447"/>
    <cellStyle name="40% - 强调文字颜色 2 3 21 4" xfId="25124"/>
    <cellStyle name="40% - 强调文字颜色 2 3 21 5" xfId="26782"/>
    <cellStyle name="40% - 强调文字颜色 2 3 21 6" xfId="28362"/>
    <cellStyle name="40% - 强调文字颜色 2 3 22" xfId="3764"/>
    <cellStyle name="40% - 强调文字颜色 2 3 22 2" xfId="9270"/>
    <cellStyle name="40% - 强调文字颜色 2 3 22 3" xfId="15448"/>
    <cellStyle name="40% - 强调文字颜色 2 3 22 4" xfId="25125"/>
    <cellStyle name="40% - 强调文字颜色 2 3 22 5" xfId="26783"/>
    <cellStyle name="40% - 强调文字颜色 2 3 22 6" xfId="28363"/>
    <cellStyle name="40% - 强调文字颜色 2 3 23" xfId="3765"/>
    <cellStyle name="40% - 强调文字颜色 2 3 23 2" xfId="9271"/>
    <cellStyle name="40% - 强调文字颜色 2 3 23 3" xfId="15449"/>
    <cellStyle name="40% - 强调文字颜色 2 3 23 4" xfId="25126"/>
    <cellStyle name="40% - 强调文字颜色 2 3 23 5" xfId="26784"/>
    <cellStyle name="40% - 强调文字颜色 2 3 23 6" xfId="28364"/>
    <cellStyle name="40% - 强调文字颜色 2 3 24" xfId="3766"/>
    <cellStyle name="40% - 强调文字颜色 2 3 24 2" xfId="9272"/>
    <cellStyle name="40% - 强调文字颜色 2 3 24 3" xfId="15450"/>
    <cellStyle name="40% - 强调文字颜色 2 3 24 4" xfId="25127"/>
    <cellStyle name="40% - 强调文字颜色 2 3 24 5" xfId="26785"/>
    <cellStyle name="40% - 强调文字颜色 2 3 24 6" xfId="28365"/>
    <cellStyle name="40% - 强调文字颜色 2 3 25" xfId="3767"/>
    <cellStyle name="40% - 强调文字颜色 2 3 25 2" xfId="9273"/>
    <cellStyle name="40% - 强调文字颜色 2 3 25 3" xfId="15451"/>
    <cellStyle name="40% - 强调文字颜色 2 3 25 4" xfId="25128"/>
    <cellStyle name="40% - 强调文字颜色 2 3 25 5" xfId="26786"/>
    <cellStyle name="40% - 强调文字颜色 2 3 25 6" xfId="28366"/>
    <cellStyle name="40% - 强调文字颜色 2 3 26" xfId="3768"/>
    <cellStyle name="40% - 强调文字颜色 2 3 26 2" xfId="9274"/>
    <cellStyle name="40% - 强调文字颜色 2 3 26 3" xfId="15452"/>
    <cellStyle name="40% - 强调文字颜色 2 3 26 4" xfId="25129"/>
    <cellStyle name="40% - 强调文字颜色 2 3 26 5" xfId="26787"/>
    <cellStyle name="40% - 强调文字颜色 2 3 26 6" xfId="28367"/>
    <cellStyle name="40% - 强调文字颜色 2 3 27" xfId="3769"/>
    <cellStyle name="40% - 强调文字颜色 2 3 27 2" xfId="9275"/>
    <cellStyle name="40% - 强调文字颜色 2 3 27 3" xfId="15453"/>
    <cellStyle name="40% - 强调文字颜色 2 3 27 4" xfId="25130"/>
    <cellStyle name="40% - 强调文字颜色 2 3 27 5" xfId="26788"/>
    <cellStyle name="40% - 强调文字颜色 2 3 27 6" xfId="28368"/>
    <cellStyle name="40% - 强调文字颜色 2 3 28" xfId="3770"/>
    <cellStyle name="40% - 强调文字颜色 2 3 28 2" xfId="9276"/>
    <cellStyle name="40% - 强调文字颜色 2 3 28 3" xfId="15454"/>
    <cellStyle name="40% - 强调文字颜色 2 3 28 4" xfId="25131"/>
    <cellStyle name="40% - 强调文字颜色 2 3 28 5" xfId="26789"/>
    <cellStyle name="40% - 强调文字颜色 2 3 28 6" xfId="28369"/>
    <cellStyle name="40% - 强调文字颜色 2 3 29" xfId="3771"/>
    <cellStyle name="40% - 强调文字颜色 2 3 29 2" xfId="9277"/>
    <cellStyle name="40% - 强调文字颜色 2 3 29 3" xfId="15455"/>
    <cellStyle name="40% - 强调文字颜色 2 3 29 4" xfId="25132"/>
    <cellStyle name="40% - 强调文字颜色 2 3 29 5" xfId="28370"/>
    <cellStyle name="40% - 强调文字颜色 2 3 3" xfId="853"/>
    <cellStyle name="40% - 强调文字颜色 2 3 3 10" xfId="30456"/>
    <cellStyle name="40% - 强调文字颜色 2 3 3 11" xfId="32728"/>
    <cellStyle name="40% - 强调文字颜色 2 3 3 2" xfId="3772"/>
    <cellStyle name="40% - 强调文字颜色 2 3 3 3" xfId="6400"/>
    <cellStyle name="40% - 强调文字颜色 2 3 3 4" xfId="12547"/>
    <cellStyle name="40% - 强调文字颜色 2 3 3 5" xfId="15456"/>
    <cellStyle name="40% - 强调文字颜色 2 3 3 6" xfId="10280"/>
    <cellStyle name="40% - 强调文字颜色 2 3 3 7" xfId="18708"/>
    <cellStyle name="40% - 强调文字颜色 2 3 3 8" xfId="22624"/>
    <cellStyle name="40% - 强调文字颜色 2 3 3 9" xfId="21132"/>
    <cellStyle name="40% - 强调文字颜色 2 3 30" xfId="3773"/>
    <cellStyle name="40% - 强调文字颜色 2 3 30 2" xfId="9278"/>
    <cellStyle name="40% - 强调文字颜色 2 3 30 3" xfId="15457"/>
    <cellStyle name="40% - 强调文字颜色 2 3 30 4" xfId="25133"/>
    <cellStyle name="40% - 强调文字颜色 2 3 30 5" xfId="28371"/>
    <cellStyle name="40% - 强调文字颜色 2 3 31" xfId="3774"/>
    <cellStyle name="40% - 强调文字颜色 2 3 31 2" xfId="9279"/>
    <cellStyle name="40% - 强调文字颜色 2 3 31 3" xfId="15458"/>
    <cellStyle name="40% - 强调文字颜色 2 3 31 4" xfId="25134"/>
    <cellStyle name="40% - 强调文字颜色 2 3 31 5" xfId="28372"/>
    <cellStyle name="40% - 强调文字颜色 2 3 32" xfId="3775"/>
    <cellStyle name="40% - 强调文字颜色 2 3 32 2" xfId="9280"/>
    <cellStyle name="40% - 强调文字颜色 2 3 32 3" xfId="15459"/>
    <cellStyle name="40% - 强调文字颜色 2 3 32 4" xfId="25135"/>
    <cellStyle name="40% - 强调文字颜色 2 3 32 5" xfId="28373"/>
    <cellStyle name="40% - 强调文字颜色 2 3 33" xfId="3776"/>
    <cellStyle name="40% - 强调文字颜色 2 3 33 2" xfId="9281"/>
    <cellStyle name="40% - 强调文字颜色 2 3 33 3" xfId="15460"/>
    <cellStyle name="40% - 强调文字颜色 2 3 33 4" xfId="25136"/>
    <cellStyle name="40% - 强调文字颜色 2 3 33 5" xfId="28374"/>
    <cellStyle name="40% - 强调文字颜色 2 3 34" xfId="3777"/>
    <cellStyle name="40% - 强调文字颜色 2 3 34 2" xfId="9282"/>
    <cellStyle name="40% - 强调文字颜色 2 3 34 3" xfId="15461"/>
    <cellStyle name="40% - 强调文字颜色 2 3 34 4" xfId="25137"/>
    <cellStyle name="40% - 强调文字颜色 2 3 34 5" xfId="28375"/>
    <cellStyle name="40% - 强调文字颜色 2 3 35" xfId="3778"/>
    <cellStyle name="40% - 强调文字颜色 2 3 35 2" xfId="9283"/>
    <cellStyle name="40% - 强调文字颜色 2 3 35 3" xfId="15462"/>
    <cellStyle name="40% - 强调文字颜色 2 3 35 4" xfId="25138"/>
    <cellStyle name="40% - 强调文字颜色 2 3 35 5" xfId="28376"/>
    <cellStyle name="40% - 强调文字颜色 2 3 36" xfId="3779"/>
    <cellStyle name="40% - 强调文字颜色 2 3 36 2" xfId="9284"/>
    <cellStyle name="40% - 强调文字颜色 2 3 36 3" xfId="15463"/>
    <cellStyle name="40% - 强调文字颜色 2 3 36 4" xfId="25139"/>
    <cellStyle name="40% - 强调文字颜色 2 3 36 5" xfId="28377"/>
    <cellStyle name="40% - 强调文字颜色 2 3 37" xfId="3780"/>
    <cellStyle name="40% - 强调文字颜色 2 3 37 2" xfId="9285"/>
    <cellStyle name="40% - 强调文字颜色 2 3 37 3" xfId="15464"/>
    <cellStyle name="40% - 强调文字颜色 2 3 37 4" xfId="25140"/>
    <cellStyle name="40% - 强调文字颜色 2 3 37 5" xfId="28378"/>
    <cellStyle name="40% - 强调文字颜色 2 3 38" xfId="3781"/>
    <cellStyle name="40% - 强调文字颜色 2 3 38 2" xfId="9286"/>
    <cellStyle name="40% - 强调文字颜色 2 3 38 3" xfId="15465"/>
    <cellStyle name="40% - 强调文字颜色 2 3 38 4" xfId="25141"/>
    <cellStyle name="40% - 强调文字颜色 2 3 38 5" xfId="28379"/>
    <cellStyle name="40% - 强调文字颜色 2 3 39" xfId="3782"/>
    <cellStyle name="40% - 强调文字颜色 2 3 39 2" xfId="9287"/>
    <cellStyle name="40% - 强调文字颜色 2 3 39 3" xfId="15466"/>
    <cellStyle name="40% - 强调文字颜色 2 3 39 4" xfId="25142"/>
    <cellStyle name="40% - 强调文字颜色 2 3 39 5" xfId="28380"/>
    <cellStyle name="40% - 强调文字颜色 2 3 4" xfId="854"/>
    <cellStyle name="40% - 强调文字颜色 2 3 4 10" xfId="30457"/>
    <cellStyle name="40% - 强调文字颜色 2 3 4 11" xfId="33381"/>
    <cellStyle name="40% - 强调文字颜色 2 3 4 2" xfId="3783"/>
    <cellStyle name="40% - 强调文字颜色 2 3 4 3" xfId="6401"/>
    <cellStyle name="40% - 强调文字颜色 2 3 4 4" xfId="12548"/>
    <cellStyle name="40% - 强调文字颜色 2 3 4 5" xfId="15467"/>
    <cellStyle name="40% - 强调文字颜色 2 3 4 6" xfId="11419"/>
    <cellStyle name="40% - 强调文字颜色 2 3 4 7" xfId="18709"/>
    <cellStyle name="40% - 强调文字颜色 2 3 4 8" xfId="22211"/>
    <cellStyle name="40% - 强调文字颜色 2 3 4 9" xfId="20561"/>
    <cellStyle name="40% - 强调文字颜色 2 3 40" xfId="3784"/>
    <cellStyle name="40% - 强调文字颜色 2 3 40 2" xfId="9288"/>
    <cellStyle name="40% - 强调文字颜色 2 3 40 3" xfId="15468"/>
    <cellStyle name="40% - 强调文字颜色 2 3 40 4" xfId="25143"/>
    <cellStyle name="40% - 强调文字颜色 2 3 40 5" xfId="28381"/>
    <cellStyle name="40% - 强调文字颜色 2 3 41" xfId="3785"/>
    <cellStyle name="40% - 强调文字颜色 2 3 41 2" xfId="9289"/>
    <cellStyle name="40% - 强调文字颜色 2 3 41 3" xfId="15469"/>
    <cellStyle name="40% - 强调文字颜色 2 3 41 4" xfId="25144"/>
    <cellStyle name="40% - 强调文字颜色 2 3 41 5" xfId="28382"/>
    <cellStyle name="40% - 强调文字颜色 2 3 42" xfId="6388"/>
    <cellStyle name="40% - 强调文字颜色 2 3 42 2" xfId="23570"/>
    <cellStyle name="40% - 强调文字颜色 2 3 42 3" xfId="26155"/>
    <cellStyle name="40% - 强调文字颜色 2 3 43" xfId="11010"/>
    <cellStyle name="40% - 强调文字颜色 2 3 43 2" xfId="23780"/>
    <cellStyle name="40% - 强调文字颜色 2 3 43 3" xfId="26365"/>
    <cellStyle name="40% - 强调文字颜色 2 3 44" xfId="12535"/>
    <cellStyle name="40% - 强调文字颜色 2 3 44 2" xfId="23868"/>
    <cellStyle name="40% - 强调文字颜色 2 3 44 3" xfId="26453"/>
    <cellStyle name="40% - 强调文字颜色 2 3 45" xfId="15434"/>
    <cellStyle name="40% - 强调文字颜色 2 3 45 2" xfId="23913"/>
    <cellStyle name="40% - 强调文字颜色 2 3 45 3" xfId="26498"/>
    <cellStyle name="40% - 强调文字颜色 2 3 46" xfId="10286"/>
    <cellStyle name="40% - 强调文字颜色 2 3 47" xfId="18696"/>
    <cellStyle name="40% - 强调文字颜色 2 3 48" xfId="23199"/>
    <cellStyle name="40% - 强调文字颜色 2 3 49" xfId="21358"/>
    <cellStyle name="40% - 强调文字颜色 2 3 5" xfId="855"/>
    <cellStyle name="40% - 强调文字颜色 2 3 5 10" xfId="30458"/>
    <cellStyle name="40% - 强调文字颜色 2 3 5 11" xfId="32482"/>
    <cellStyle name="40% - 强调文字颜色 2 3 5 2" xfId="3786"/>
    <cellStyle name="40% - 强调文字颜色 2 3 5 3" xfId="6402"/>
    <cellStyle name="40% - 强调文字颜色 2 3 5 4" xfId="12549"/>
    <cellStyle name="40% - 强调文字颜色 2 3 5 5" xfId="15470"/>
    <cellStyle name="40% - 强调文字颜色 2 3 5 6" xfId="10282"/>
    <cellStyle name="40% - 强调文字颜色 2 3 5 7" xfId="18710"/>
    <cellStyle name="40% - 强调文字颜色 2 3 5 8" xfId="23049"/>
    <cellStyle name="40% - 强调文字颜色 2 3 5 9" xfId="19909"/>
    <cellStyle name="40% - 强调文字颜色 2 3 50" xfId="30444"/>
    <cellStyle name="40% - 强调文字颜色 2 3 51" xfId="32251"/>
    <cellStyle name="40% - 强调文字颜色 2 3 6" xfId="856"/>
    <cellStyle name="40% - 强调文字颜色 2 3 6 10" xfId="30459"/>
    <cellStyle name="40% - 强调文字颜色 2 3 6 11" xfId="32249"/>
    <cellStyle name="40% - 强调文字颜色 2 3 6 2" xfId="3787"/>
    <cellStyle name="40% - 强调文字颜色 2 3 6 3" xfId="6403"/>
    <cellStyle name="40% - 强调文字颜色 2 3 6 4" xfId="12550"/>
    <cellStyle name="40% - 强调文字颜色 2 3 6 5" xfId="15471"/>
    <cellStyle name="40% - 强调文字颜色 2 3 6 6" xfId="11418"/>
    <cellStyle name="40% - 强调文字颜色 2 3 6 7" xfId="18711"/>
    <cellStyle name="40% - 强调文字颜色 2 3 6 8" xfId="22813"/>
    <cellStyle name="40% - 强调文字颜色 2 3 6 9" xfId="21131"/>
    <cellStyle name="40% - 强调文字颜色 2 3 7" xfId="857"/>
    <cellStyle name="40% - 强调文字颜色 2 3 7 10" xfId="30460"/>
    <cellStyle name="40% - 强调文字颜色 2 3 7 11" xfId="31783"/>
    <cellStyle name="40% - 强调文字颜色 2 3 7 2" xfId="3788"/>
    <cellStyle name="40% - 强调文字颜色 2 3 7 3" xfId="6404"/>
    <cellStyle name="40% - 强调文字颜色 2 3 7 4" xfId="12551"/>
    <cellStyle name="40% - 强调文字颜色 2 3 7 5" xfId="15472"/>
    <cellStyle name="40% - 强调文字颜色 2 3 7 6" xfId="10281"/>
    <cellStyle name="40% - 强调文字颜色 2 3 7 7" xfId="18712"/>
    <cellStyle name="40% - 强调文字颜色 2 3 7 8" xfId="22595"/>
    <cellStyle name="40% - 强调文字颜色 2 3 7 9" xfId="20560"/>
    <cellStyle name="40% - 强调文字颜色 2 3 8" xfId="858"/>
    <cellStyle name="40% - 强调文字颜色 2 3 8 10" xfId="30461"/>
    <cellStyle name="40% - 强调文字颜色 2 3 8 11" xfId="33382"/>
    <cellStyle name="40% - 强调文字颜色 2 3 8 2" xfId="3789"/>
    <cellStyle name="40% - 强调文字颜色 2 3 8 3" xfId="6405"/>
    <cellStyle name="40% - 强调文字颜色 2 3 8 4" xfId="12552"/>
    <cellStyle name="40% - 强调文字颜色 2 3 8 5" xfId="15473"/>
    <cellStyle name="40% - 强调文字颜色 2 3 8 6" xfId="11413"/>
    <cellStyle name="40% - 强调文字颜色 2 3 8 7" xfId="18713"/>
    <cellStyle name="40% - 强调文字颜色 2 3 8 8" xfId="22066"/>
    <cellStyle name="40% - 强调文字颜色 2 3 8 9" xfId="19908"/>
    <cellStyle name="40% - 强调文字颜色 2 3 9" xfId="859"/>
    <cellStyle name="40% - 强调文字颜色 2 3 9 10" xfId="30462"/>
    <cellStyle name="40% - 强调文字颜色 2 3 9 11" xfId="33132"/>
    <cellStyle name="40% - 强调文字颜色 2 3 9 2" xfId="3790"/>
    <cellStyle name="40% - 强调文字颜色 2 3 9 3" xfId="6406"/>
    <cellStyle name="40% - 强调文字颜色 2 3 9 4" xfId="12553"/>
    <cellStyle name="40% - 强调文字颜色 2 3 9 5" xfId="15474"/>
    <cellStyle name="40% - 强调文字颜色 2 3 9 6" xfId="10276"/>
    <cellStyle name="40% - 强调文字颜色 2 3 9 7" xfId="18714"/>
    <cellStyle name="40% - 强调文字颜色 2 3 9 8" xfId="23193"/>
    <cellStyle name="40% - 强调文字颜色 2 3 9 9" xfId="21130"/>
    <cellStyle name="40% - 强调文字颜色 2 30" xfId="3791"/>
    <cellStyle name="40% - 强调文字颜色 2 30 2" xfId="9290"/>
    <cellStyle name="40% - 强调文字颜色 2 30 3" xfId="15475"/>
    <cellStyle name="40% - 强调文字颜色 2 30 4" xfId="25145"/>
    <cellStyle name="40% - 强调文字颜色 2 30 5" xfId="26790"/>
    <cellStyle name="40% - 强调文字颜色 2 30 6" xfId="28383"/>
    <cellStyle name="40% - 强调文字颜色 2 31" xfId="3792"/>
    <cellStyle name="40% - 强调文字颜色 2 31 2" xfId="9291"/>
    <cellStyle name="40% - 强调文字颜色 2 31 3" xfId="15476"/>
    <cellStyle name="40% - 强调文字颜色 2 31 4" xfId="25146"/>
    <cellStyle name="40% - 强调文字颜色 2 31 5" xfId="26791"/>
    <cellStyle name="40% - 强调文字颜色 2 31 6" xfId="28384"/>
    <cellStyle name="40% - 强调文字颜色 2 32" xfId="3793"/>
    <cellStyle name="40% - 强调文字颜色 2 32 2" xfId="9292"/>
    <cellStyle name="40% - 强调文字颜色 2 32 3" xfId="15477"/>
    <cellStyle name="40% - 强调文字颜色 2 32 4" xfId="25147"/>
    <cellStyle name="40% - 强调文字颜色 2 32 5" xfId="26792"/>
    <cellStyle name="40% - 强调文字颜色 2 32 6" xfId="28385"/>
    <cellStyle name="40% - 强调文字颜色 2 33" xfId="3794"/>
    <cellStyle name="40% - 强调文字颜色 2 33 2" xfId="9293"/>
    <cellStyle name="40% - 强调文字颜色 2 33 3" xfId="15478"/>
    <cellStyle name="40% - 强调文字颜色 2 33 4" xfId="25148"/>
    <cellStyle name="40% - 强调文字颜色 2 33 5" xfId="28386"/>
    <cellStyle name="40% - 强调文字颜色 2 34" xfId="3795"/>
    <cellStyle name="40% - 强调文字颜色 2 34 2" xfId="9294"/>
    <cellStyle name="40% - 强调文字颜色 2 34 3" xfId="15479"/>
    <cellStyle name="40% - 强调文字颜色 2 34 4" xfId="25149"/>
    <cellStyle name="40% - 强调文字颜色 2 34 5" xfId="28387"/>
    <cellStyle name="40% - 强调文字颜色 2 35" xfId="3796"/>
    <cellStyle name="40% - 强调文字颜色 2 35 2" xfId="9295"/>
    <cellStyle name="40% - 强调文字颜色 2 35 3" xfId="15480"/>
    <cellStyle name="40% - 强调文字颜色 2 35 4" xfId="25150"/>
    <cellStyle name="40% - 强调文字颜色 2 35 5" xfId="28388"/>
    <cellStyle name="40% - 强调文字颜色 2 36" xfId="3797"/>
    <cellStyle name="40% - 强调文字颜色 2 36 2" xfId="9296"/>
    <cellStyle name="40% - 强调文字颜色 2 36 3" xfId="15481"/>
    <cellStyle name="40% - 强调文字颜色 2 36 4" xfId="25151"/>
    <cellStyle name="40% - 强调文字颜色 2 36 5" xfId="28389"/>
    <cellStyle name="40% - 强调文字颜色 2 37" xfId="3798"/>
    <cellStyle name="40% - 强调文字颜色 2 37 2" xfId="9297"/>
    <cellStyle name="40% - 强调文字颜色 2 37 3" xfId="15482"/>
    <cellStyle name="40% - 强调文字颜色 2 37 4" xfId="25152"/>
    <cellStyle name="40% - 强调文字颜色 2 37 5" xfId="28390"/>
    <cellStyle name="40% - 强调文字颜色 2 38" xfId="3799"/>
    <cellStyle name="40% - 强调文字颜色 2 38 2" xfId="9298"/>
    <cellStyle name="40% - 强调文字颜色 2 38 3" xfId="15483"/>
    <cellStyle name="40% - 强调文字颜色 2 38 4" xfId="25153"/>
    <cellStyle name="40% - 强调文字颜色 2 38 5" xfId="28391"/>
    <cellStyle name="40% - 强调文字颜色 2 39" xfId="3800"/>
    <cellStyle name="40% - 强调文字颜色 2 39 2" xfId="9299"/>
    <cellStyle name="40% - 强调文字颜色 2 39 3" xfId="15484"/>
    <cellStyle name="40% - 强调文字颜色 2 39 4" xfId="25154"/>
    <cellStyle name="40% - 强调文字颜色 2 39 5" xfId="28392"/>
    <cellStyle name="40% - 强调文字颜色 2 4" xfId="860"/>
    <cellStyle name="40% - 强调文字颜色 2 4 10" xfId="12554"/>
    <cellStyle name="40% - 强调文字颜色 2 4 11" xfId="15485"/>
    <cellStyle name="40% - 强调文字颜色 2 4 12" xfId="11415"/>
    <cellStyle name="40% - 强调文字颜色 2 4 13" xfId="18715"/>
    <cellStyle name="40% - 强调文字颜色 2 4 14" xfId="22210"/>
    <cellStyle name="40% - 强调文字颜色 2 4 15" xfId="20559"/>
    <cellStyle name="40% - 强调文字颜色 2 4 16" xfId="30463"/>
    <cellStyle name="40% - 强调文字颜色 2 4 17" xfId="33379"/>
    <cellStyle name="40% - 强调文字颜色 2 4 2" xfId="861"/>
    <cellStyle name="40% - 强调文字颜色 2 4 2 10" xfId="30464"/>
    <cellStyle name="40% - 强调文字颜色 2 4 2 11" xfId="33130"/>
    <cellStyle name="40% - 强调文字颜色 2 4 2 2" xfId="3802"/>
    <cellStyle name="40% - 强调文字颜色 2 4 2 3" xfId="6408"/>
    <cellStyle name="40% - 强调文字颜色 2 4 2 4" xfId="12555"/>
    <cellStyle name="40% - 强调文字颜色 2 4 2 5" xfId="15486"/>
    <cellStyle name="40% - 强调文字颜色 2 4 2 6" xfId="10278"/>
    <cellStyle name="40% - 强调文字颜色 2 4 2 7" xfId="18716"/>
    <cellStyle name="40% - 强调文字颜色 2 4 2 8" xfId="21695"/>
    <cellStyle name="40% - 强调文字颜色 2 4 2 9" xfId="19907"/>
    <cellStyle name="40% - 强调文字颜色 2 4 3" xfId="862"/>
    <cellStyle name="40% - 强调文字颜色 2 4 3 10" xfId="30465"/>
    <cellStyle name="40% - 强调文字颜色 2 4 3 11" xfId="32725"/>
    <cellStyle name="40% - 强调文字颜色 2 4 3 2" xfId="3803"/>
    <cellStyle name="40% - 强调文字颜色 2 4 3 3" xfId="6409"/>
    <cellStyle name="40% - 强调文字颜色 2 4 3 4" xfId="12556"/>
    <cellStyle name="40% - 强调文字颜色 2 4 3 5" xfId="15487"/>
    <cellStyle name="40% - 强调文字颜色 2 4 3 6" xfId="11414"/>
    <cellStyle name="40% - 强调文字颜色 2 4 3 7" xfId="18717"/>
    <cellStyle name="40% - 强调文字颜色 2 4 3 8" xfId="23192"/>
    <cellStyle name="40% - 强调文字颜色 2 4 3 9" xfId="21129"/>
    <cellStyle name="40% - 强调文字颜色 2 4 4" xfId="863"/>
    <cellStyle name="40% - 强调文字颜色 2 4 4 10" xfId="30466"/>
    <cellStyle name="40% - 强调文字颜色 2 4 4 11" xfId="32480"/>
    <cellStyle name="40% - 强调文字颜色 2 4 4 2" xfId="3804"/>
    <cellStyle name="40% - 强调文字颜色 2 4 4 3" xfId="6410"/>
    <cellStyle name="40% - 强调文字颜色 2 4 4 4" xfId="12557"/>
    <cellStyle name="40% - 强调文字颜色 2 4 4 5" xfId="15488"/>
    <cellStyle name="40% - 强调文字颜色 2 4 4 6" xfId="10277"/>
    <cellStyle name="40% - 强调文字颜色 2 4 4 7" xfId="18718"/>
    <cellStyle name="40% - 强调文字颜色 2 4 4 8" xfId="22209"/>
    <cellStyle name="40% - 强调文字颜色 2 4 4 9" xfId="20558"/>
    <cellStyle name="40% - 强调文字颜色 2 4 5" xfId="864"/>
    <cellStyle name="40% - 强调文字颜色 2 4 5 10" xfId="30467"/>
    <cellStyle name="40% - 强调文字颜色 2 4 5 11" xfId="32247"/>
    <cellStyle name="40% - 强调文字颜色 2 4 5 2" xfId="3805"/>
    <cellStyle name="40% - 强调文字颜色 2 4 5 3" xfId="6411"/>
    <cellStyle name="40% - 强调文字颜色 2 4 5 4" xfId="12558"/>
    <cellStyle name="40% - 强调文字颜色 2 4 5 5" xfId="15489"/>
    <cellStyle name="40% - 强调文字颜色 2 4 5 6" xfId="11410"/>
    <cellStyle name="40% - 强调文字颜色 2 4 5 7" xfId="18719"/>
    <cellStyle name="40% - 强调文字颜色 2 4 5 8" xfId="21694"/>
    <cellStyle name="40% - 强调文字颜色 2 4 5 9" xfId="19906"/>
    <cellStyle name="40% - 强调文字颜色 2 4 6" xfId="865"/>
    <cellStyle name="40% - 强调文字颜色 2 4 6 10" xfId="30468"/>
    <cellStyle name="40% - 强调文字颜色 2 4 6 11" xfId="31781"/>
    <cellStyle name="40% - 强调文字颜色 2 4 6 2" xfId="3806"/>
    <cellStyle name="40% - 强调文字颜色 2 4 6 3" xfId="6412"/>
    <cellStyle name="40% - 强调文字颜色 2 4 6 4" xfId="12559"/>
    <cellStyle name="40% - 强调文字颜色 2 4 6 5" xfId="15490"/>
    <cellStyle name="40% - 强调文字颜色 2 4 6 6" xfId="10273"/>
    <cellStyle name="40% - 强调文字颜色 2 4 6 7" xfId="18720"/>
    <cellStyle name="40% - 强调文字颜色 2 4 6 8" xfId="23191"/>
    <cellStyle name="40% - 强调文字颜色 2 4 6 9" xfId="21128"/>
    <cellStyle name="40% - 强调文字颜色 2 4 7" xfId="866"/>
    <cellStyle name="40% - 强调文字颜色 2 4 7 10" xfId="30469"/>
    <cellStyle name="40% - 强调文字颜色 2 4 7 11" xfId="33380"/>
    <cellStyle name="40% - 强调文字颜色 2 4 7 2" xfId="3807"/>
    <cellStyle name="40% - 强调文字颜色 2 4 7 3" xfId="6413"/>
    <cellStyle name="40% - 强调文字颜色 2 4 7 4" xfId="12560"/>
    <cellStyle name="40% - 强调文字颜色 2 4 7 5" xfId="15491"/>
    <cellStyle name="40% - 强调文字颜色 2 4 7 6" xfId="11412"/>
    <cellStyle name="40% - 强调文字颜色 2 4 7 7" xfId="18721"/>
    <cellStyle name="40% - 强调文字颜色 2 4 7 8" xfId="22208"/>
    <cellStyle name="40% - 强调文字颜色 2 4 7 9" xfId="20557"/>
    <cellStyle name="40% - 强调文字颜色 2 4 8" xfId="3801"/>
    <cellStyle name="40% - 强调文字颜色 2 4 9" xfId="6407"/>
    <cellStyle name="40% - 强调文字颜色 2 40" xfId="3808"/>
    <cellStyle name="40% - 强调文字颜色 2 40 2" xfId="9300"/>
    <cellStyle name="40% - 强调文字颜色 2 40 3" xfId="15492"/>
    <cellStyle name="40% - 强调文字颜色 2 40 4" xfId="25155"/>
    <cellStyle name="40% - 强调文字颜色 2 40 5" xfId="28393"/>
    <cellStyle name="40% - 强调文字颜色 2 41" xfId="3809"/>
    <cellStyle name="40% - 强调文字颜色 2 41 2" xfId="9301"/>
    <cellStyle name="40% - 强调文字颜色 2 41 3" xfId="15493"/>
    <cellStyle name="40% - 强调文字颜色 2 41 4" xfId="25156"/>
    <cellStyle name="40% - 强调文字颜色 2 41 5" xfId="28394"/>
    <cellStyle name="40% - 强调文字颜色 2 42" xfId="3810"/>
    <cellStyle name="40% - 强调文字颜色 2 42 2" xfId="9302"/>
    <cellStyle name="40% - 强调文字颜色 2 42 3" xfId="15494"/>
    <cellStyle name="40% - 强调文字颜色 2 42 4" xfId="25157"/>
    <cellStyle name="40% - 强调文字颜色 2 42 5" xfId="28395"/>
    <cellStyle name="40% - 强调文字颜色 2 43" xfId="3811"/>
    <cellStyle name="40% - 强调文字颜色 2 43 2" xfId="9303"/>
    <cellStyle name="40% - 强调文字颜色 2 43 3" xfId="15495"/>
    <cellStyle name="40% - 强调文字颜色 2 43 4" xfId="25158"/>
    <cellStyle name="40% - 强调文字颜色 2 43 5" xfId="28396"/>
    <cellStyle name="40% - 强调文字颜色 2 44" xfId="3812"/>
    <cellStyle name="40% - 强调文字颜色 2 44 2" xfId="9304"/>
    <cellStyle name="40% - 强调文字颜色 2 44 3" xfId="15496"/>
    <cellStyle name="40% - 强调文字颜色 2 44 4" xfId="25159"/>
    <cellStyle name="40% - 强调文字颜色 2 44 5" xfId="28397"/>
    <cellStyle name="40% - 强调文字颜色 2 45" xfId="3813"/>
    <cellStyle name="40% - 强调文字颜色 2 45 2" xfId="9305"/>
    <cellStyle name="40% - 强调文字颜色 2 45 3" xfId="15497"/>
    <cellStyle name="40% - 强调文字颜色 2 45 4" xfId="25160"/>
    <cellStyle name="40% - 强调文字颜色 2 45 5" xfId="28398"/>
    <cellStyle name="40% - 强调文字颜色 2 46" xfId="6341"/>
    <cellStyle name="40% - 强调文字颜色 2 46 2" xfId="9152"/>
    <cellStyle name="40% - 强调文字颜色 2 46 3" xfId="17331"/>
    <cellStyle name="40% - 强调文字颜色 2 47" xfId="11001"/>
    <cellStyle name="40% - 强调文字颜色 2 47 2" xfId="23775"/>
    <cellStyle name="40% - 强调文字颜色 2 47 3" xfId="26360"/>
    <cellStyle name="40% - 强调文字颜色 2 48" xfId="12489"/>
    <cellStyle name="40% - 强调文字颜色 2 48 2" xfId="23865"/>
    <cellStyle name="40% - 强调文字颜色 2 48 3" xfId="26450"/>
    <cellStyle name="40% - 强调文字颜色 2 49" xfId="15281"/>
    <cellStyle name="40% - 强调文字颜色 2 49 2" xfId="23912"/>
    <cellStyle name="40% - 强调文字颜色 2 49 3" xfId="26497"/>
    <cellStyle name="40% - 强调文字颜色 2 5" xfId="867"/>
    <cellStyle name="40% - 强调文字颜色 2 5 10" xfId="12561"/>
    <cellStyle name="40% - 强调文字颜色 2 5 11" xfId="15498"/>
    <cellStyle name="40% - 强调文字颜色 2 5 12" xfId="10275"/>
    <cellStyle name="40% - 强调文字颜色 2 5 13" xfId="18722"/>
    <cellStyle name="40% - 强调文字颜色 2 5 14" xfId="21693"/>
    <cellStyle name="40% - 强调文字颜色 2 5 15" xfId="19905"/>
    <cellStyle name="40% - 强调文字颜色 2 5 16" xfId="30470"/>
    <cellStyle name="40% - 强调文字颜色 2 5 17" xfId="33131"/>
    <cellStyle name="40% - 强调文字颜色 2 5 2" xfId="868"/>
    <cellStyle name="40% - 强调文字颜色 2 5 2 10" xfId="30471"/>
    <cellStyle name="40% - 强调文字颜色 2 5 2 11" xfId="32726"/>
    <cellStyle name="40% - 强调文字颜色 2 5 2 2" xfId="3815"/>
    <cellStyle name="40% - 强调文字颜色 2 5 2 3" xfId="6415"/>
    <cellStyle name="40% - 强调文字颜色 2 5 2 4" xfId="12562"/>
    <cellStyle name="40% - 强调文字颜色 2 5 2 5" xfId="15499"/>
    <cellStyle name="40% - 强调文字颜色 2 5 2 6" xfId="11411"/>
    <cellStyle name="40% - 强调文字颜色 2 5 2 7" xfId="18723"/>
    <cellStyle name="40% - 强调文字颜色 2 5 2 8" xfId="23190"/>
    <cellStyle name="40% - 强调文字颜色 2 5 2 9" xfId="21481"/>
    <cellStyle name="40% - 强调文字颜色 2 5 3" xfId="869"/>
    <cellStyle name="40% - 强调文字颜色 2 5 3 10" xfId="30472"/>
    <cellStyle name="40% - 强调文字颜色 2 5 3 11" xfId="32481"/>
    <cellStyle name="40% - 强调文字颜色 2 5 3 2" xfId="3816"/>
    <cellStyle name="40% - 强调文字颜色 2 5 3 3" xfId="6416"/>
    <cellStyle name="40% - 强调文字颜色 2 5 3 4" xfId="12563"/>
    <cellStyle name="40% - 强调文字颜色 2 5 3 5" xfId="15500"/>
    <cellStyle name="40% - 强调文字颜色 2 5 3 6" xfId="10274"/>
    <cellStyle name="40% - 强调文字颜色 2 5 3 7" xfId="18724"/>
    <cellStyle name="40% - 强调文字颜色 2 5 3 8" xfId="22207"/>
    <cellStyle name="40% - 强调文字颜色 2 5 3 9" xfId="20308"/>
    <cellStyle name="40% - 强调文字颜色 2 5 4" xfId="870"/>
    <cellStyle name="40% - 强调文字颜色 2 5 4 10" xfId="30473"/>
    <cellStyle name="40% - 强调文字颜色 2 5 4 11" xfId="32248"/>
    <cellStyle name="40% - 强调文字颜色 2 5 4 2" xfId="3817"/>
    <cellStyle name="40% - 强调文字颜色 2 5 4 3" xfId="6417"/>
    <cellStyle name="40% - 强调文字颜色 2 5 4 4" xfId="12564"/>
    <cellStyle name="40% - 强调文字颜色 2 5 4 5" xfId="15501"/>
    <cellStyle name="40% - 强调文字颜色 2 5 4 6" xfId="11403"/>
    <cellStyle name="40% - 强调文字颜色 2 5 4 7" xfId="18725"/>
    <cellStyle name="40% - 强调文字颜色 2 5 4 8" xfId="21692"/>
    <cellStyle name="40% - 强调文字颜色 2 5 4 9" xfId="21091"/>
    <cellStyle name="40% - 强调文字颜色 2 5 5" xfId="871"/>
    <cellStyle name="40% - 强调文字颜色 2 5 5 10" xfId="30474"/>
    <cellStyle name="40% - 强调文字颜色 2 5 5 11" xfId="31782"/>
    <cellStyle name="40% - 强调文字颜色 2 5 5 2" xfId="3818"/>
    <cellStyle name="40% - 强调文字颜色 2 5 5 3" xfId="6418"/>
    <cellStyle name="40% - 强调文字颜色 2 5 5 4" xfId="12565"/>
    <cellStyle name="40% - 强调文字颜色 2 5 5 5" xfId="15502"/>
    <cellStyle name="40% - 强调文字颜色 2 5 5 6" xfId="10266"/>
    <cellStyle name="40% - 强调文字颜色 2 5 5 7" xfId="18726"/>
    <cellStyle name="40% - 强调文字颜色 2 5 5 8" xfId="23189"/>
    <cellStyle name="40% - 强调文字颜色 2 5 5 9" xfId="20830"/>
    <cellStyle name="40% - 强调文字颜色 2 5 6" xfId="872"/>
    <cellStyle name="40% - 强调文字颜色 2 5 6 10" xfId="30475"/>
    <cellStyle name="40% - 强调文字颜色 2 5 6 11" xfId="33376"/>
    <cellStyle name="40% - 强调文字颜色 2 5 6 2" xfId="3819"/>
    <cellStyle name="40% - 强调文字颜色 2 5 6 3" xfId="6419"/>
    <cellStyle name="40% - 强调文字颜色 2 5 6 4" xfId="12566"/>
    <cellStyle name="40% - 强调文字颜色 2 5 6 5" xfId="15503"/>
    <cellStyle name="40% - 强调文字颜色 2 5 6 6" xfId="11407"/>
    <cellStyle name="40% - 强调文字颜色 2 5 6 7" xfId="18727"/>
    <cellStyle name="40% - 强调文字颜色 2 5 6 8" xfId="22206"/>
    <cellStyle name="40% - 强调文字颜色 2 5 6 9" xfId="20189"/>
    <cellStyle name="40% - 强调文字颜色 2 5 7" xfId="873"/>
    <cellStyle name="40% - 强调文字颜色 2 5 7 10" xfId="30476"/>
    <cellStyle name="40% - 强调文字颜色 2 5 7 11" xfId="33127"/>
    <cellStyle name="40% - 强调文字颜色 2 5 7 2" xfId="3820"/>
    <cellStyle name="40% - 强调文字颜色 2 5 7 3" xfId="6420"/>
    <cellStyle name="40% - 强调文字颜色 2 5 7 4" xfId="12567"/>
    <cellStyle name="40% - 强调文字颜色 2 5 7 5" xfId="15504"/>
    <cellStyle name="40% - 强调文字颜色 2 5 7 6" xfId="10270"/>
    <cellStyle name="40% - 强调文字颜色 2 5 7 7" xfId="18728"/>
    <cellStyle name="40% - 强调文字颜色 2 5 7 8" xfId="21691"/>
    <cellStyle name="40% - 强调文字颜色 2 5 7 9" xfId="19870"/>
    <cellStyle name="40% - 强调文字颜色 2 5 8" xfId="3814"/>
    <cellStyle name="40% - 强调文字颜色 2 5 9" xfId="6414"/>
    <cellStyle name="40% - 强调文字颜色 2 50" xfId="11452"/>
    <cellStyle name="40% - 强调文字颜色 2 50 2" xfId="27015"/>
    <cellStyle name="40% - 强调文字颜色 2 51" xfId="17441"/>
    <cellStyle name="40% - 强调文字颜色 2 52" xfId="17527"/>
    <cellStyle name="40% - 强调文字颜色 2 52 2" xfId="27147"/>
    <cellStyle name="40% - 强调文字颜色 2 53" xfId="17613"/>
    <cellStyle name="40% - 强调文字颜色 2 54" xfId="17699"/>
    <cellStyle name="40% - 强调文字颜色 2 55" xfId="17785"/>
    <cellStyle name="40% - 强调文字颜色 2 56" xfId="18648"/>
    <cellStyle name="40% - 强调文字颜色 2 56 2" xfId="21377"/>
    <cellStyle name="40% - 强调文字颜色 2 56 3" xfId="23460"/>
    <cellStyle name="40% - 强调文字颜色 2 57" xfId="22232"/>
    <cellStyle name="40% - 强调文字颜色 2 58" xfId="19927"/>
    <cellStyle name="40% - 强调文字颜色 2 6" xfId="874"/>
    <cellStyle name="40% - 强调文字颜色 2 6 10" xfId="15505"/>
    <cellStyle name="40% - 强调文字颜色 2 6 11" xfId="11409"/>
    <cellStyle name="40% - 强调文字颜色 2 6 12" xfId="18729"/>
    <cellStyle name="40% - 强调文字颜色 2 6 13" xfId="23188"/>
    <cellStyle name="40% - 强调文字颜色 2 6 14" xfId="21125"/>
    <cellStyle name="40% - 强调文字颜色 2 6 15" xfId="30477"/>
    <cellStyle name="40% - 强调文字颜色 2 6 16" xfId="32722"/>
    <cellStyle name="40% - 强调文字颜色 2 6 2" xfId="875"/>
    <cellStyle name="40% - 强调文字颜色 2 6 2 10" xfId="30478"/>
    <cellStyle name="40% - 强调文字颜色 2 6 2 11" xfId="32477"/>
    <cellStyle name="40% - 强调文字颜色 2 6 2 2" xfId="3822"/>
    <cellStyle name="40% - 强调文字颜色 2 6 2 3" xfId="6422"/>
    <cellStyle name="40% - 强调文字颜色 2 6 2 4" xfId="12569"/>
    <cellStyle name="40% - 强调文字颜色 2 6 2 5" xfId="15506"/>
    <cellStyle name="40% - 强调文字颜色 2 6 2 6" xfId="10272"/>
    <cellStyle name="40% - 强调文字颜色 2 6 2 7" xfId="18730"/>
    <cellStyle name="40% - 强调文字颜色 2 6 2 8" xfId="22841"/>
    <cellStyle name="40% - 强调文字颜色 2 6 2 9" xfId="20555"/>
    <cellStyle name="40% - 强调文字颜色 2 6 3" xfId="876"/>
    <cellStyle name="40% - 强调文字颜色 2 6 3 10" xfId="30479"/>
    <cellStyle name="40% - 强调文字颜色 2 6 3 11" xfId="32244"/>
    <cellStyle name="40% - 强调文字颜色 2 6 3 2" xfId="3823"/>
    <cellStyle name="40% - 强调文字颜色 2 6 3 3" xfId="6423"/>
    <cellStyle name="40% - 强调文字颜色 2 6 3 4" xfId="12570"/>
    <cellStyle name="40% - 强调文字颜色 2 6 3 5" xfId="15507"/>
    <cellStyle name="40% - 强调文字颜色 2 6 3 6" xfId="11408"/>
    <cellStyle name="40% - 强调文字颜色 2 6 3 7" xfId="18731"/>
    <cellStyle name="40% - 强调文字颜色 2 6 3 8" xfId="22623"/>
    <cellStyle name="40% - 强调文字颜色 2 6 3 9" xfId="19902"/>
    <cellStyle name="40% - 强调文字颜色 2 6 4" xfId="877"/>
    <cellStyle name="40% - 强调文字颜色 2 6 4 10" xfId="30480"/>
    <cellStyle name="40% - 强调文字颜色 2 6 4 11" xfId="31778"/>
    <cellStyle name="40% - 强调文字颜色 2 6 4 2" xfId="3824"/>
    <cellStyle name="40% - 强调文字颜色 2 6 4 3" xfId="6424"/>
    <cellStyle name="40% - 强调文字颜色 2 6 4 4" xfId="12571"/>
    <cellStyle name="40% - 强调文字颜色 2 6 4 5" xfId="15508"/>
    <cellStyle name="40% - 强调文字颜色 2 6 4 6" xfId="10271"/>
    <cellStyle name="40% - 强调文字颜色 2 6 4 7" xfId="18732"/>
    <cellStyle name="40% - 强调文字颜色 2 6 4 8" xfId="22205"/>
    <cellStyle name="40% - 强调文字颜色 2 6 4 9" xfId="21124"/>
    <cellStyle name="40% - 强调文字颜色 2 6 5" xfId="878"/>
    <cellStyle name="40% - 强调文字颜色 2 6 5 10" xfId="30481"/>
    <cellStyle name="40% - 强调文字颜色 2 6 5 11" xfId="33378"/>
    <cellStyle name="40% - 强调文字颜色 2 6 5 2" xfId="3825"/>
    <cellStyle name="40% - 强调文字颜色 2 6 5 3" xfId="6425"/>
    <cellStyle name="40% - 强调文字颜色 2 6 5 4" xfId="12572"/>
    <cellStyle name="40% - 强调文字颜色 2 6 5 5" xfId="15509"/>
    <cellStyle name="40% - 强调文字颜色 2 6 5 6" xfId="11404"/>
    <cellStyle name="40% - 强调文字颜色 2 6 5 7" xfId="18733"/>
    <cellStyle name="40% - 强调文字颜色 2 6 5 8" xfId="23187"/>
    <cellStyle name="40% - 强调文字颜色 2 6 5 9" xfId="20554"/>
    <cellStyle name="40% - 强调文字颜色 2 6 6" xfId="879"/>
    <cellStyle name="40% - 强调文字颜色 2 6 6 10" xfId="30482"/>
    <cellStyle name="40% - 强调文字颜色 2 6 6 11" xfId="33129"/>
    <cellStyle name="40% - 强调文字颜色 2 6 6 2" xfId="3826"/>
    <cellStyle name="40% - 强调文字颜色 2 6 6 3" xfId="6426"/>
    <cellStyle name="40% - 强调文字颜色 2 6 6 4" xfId="12573"/>
    <cellStyle name="40% - 强调文字颜色 2 6 6 5" xfId="15510"/>
    <cellStyle name="40% - 强调文字颜色 2 6 6 6" xfId="10267"/>
    <cellStyle name="40% - 强调文字颜色 2 6 6 7" xfId="18734"/>
    <cellStyle name="40% - 强调文字颜色 2 6 6 8" xfId="22204"/>
    <cellStyle name="40% - 强调文字颜色 2 6 6 9" xfId="19901"/>
    <cellStyle name="40% - 强调文字颜色 2 6 7" xfId="3821"/>
    <cellStyle name="40% - 强调文字颜色 2 6 8" xfId="6421"/>
    <cellStyle name="40% - 强调文字颜色 2 6 9" xfId="12568"/>
    <cellStyle name="40% - 强调文字颜色 2 7" xfId="880"/>
    <cellStyle name="40% - 强调文字颜色 2 7 10" xfId="21690"/>
    <cellStyle name="40% - 强调文字颜色 2 7 11" xfId="21123"/>
    <cellStyle name="40% - 强调文字颜色 2 7 12" xfId="30483"/>
    <cellStyle name="40% - 强调文字颜色 2 7 13" xfId="32724"/>
    <cellStyle name="40% - 强调文字颜色 2 7 2" xfId="881"/>
    <cellStyle name="40% - 强调文字颜色 2 7 2 10" xfId="30484"/>
    <cellStyle name="40% - 强调文字颜色 2 7 2 11" xfId="32479"/>
    <cellStyle name="40% - 强调文字颜色 2 7 2 2" xfId="3828"/>
    <cellStyle name="40% - 强调文字颜色 2 7 2 3" xfId="6428"/>
    <cellStyle name="40% - 强调文字颜色 2 7 2 4" xfId="12575"/>
    <cellStyle name="40% - 强调文字颜色 2 7 2 5" xfId="15512"/>
    <cellStyle name="40% - 强调文字颜色 2 7 2 6" xfId="10269"/>
    <cellStyle name="40% - 强调文字颜色 2 7 2 7" xfId="18736"/>
    <cellStyle name="40% - 强调文字颜色 2 7 2 8" xfId="23186"/>
    <cellStyle name="40% - 强调文字颜色 2 7 2 9" xfId="20553"/>
    <cellStyle name="40% - 强调文字颜色 2 7 3" xfId="882"/>
    <cellStyle name="40% - 强调文字颜色 2 7 3 10" xfId="30485"/>
    <cellStyle name="40% - 强调文字颜色 2 7 3 11" xfId="32246"/>
    <cellStyle name="40% - 强调文字颜色 2 7 3 2" xfId="3829"/>
    <cellStyle name="40% - 强调文字颜色 2 7 3 3" xfId="6429"/>
    <cellStyle name="40% - 强调文字颜色 2 7 3 4" xfId="12576"/>
    <cellStyle name="40% - 强调文字颜色 2 7 3 5" xfId="15513"/>
    <cellStyle name="40% - 强调文字颜色 2 7 3 6" xfId="11405"/>
    <cellStyle name="40% - 强调文字颜色 2 7 3 7" xfId="18737"/>
    <cellStyle name="40% - 强调文字颜色 2 7 3 8" xfId="22203"/>
    <cellStyle name="40% - 强调文字颜色 2 7 3 9" xfId="19900"/>
    <cellStyle name="40% - 强调文字颜色 2 7 4" xfId="3827"/>
    <cellStyle name="40% - 强调文字颜色 2 7 5" xfId="6427"/>
    <cellStyle name="40% - 强调文字颜色 2 7 6" xfId="12574"/>
    <cellStyle name="40% - 强调文字颜色 2 7 7" xfId="15511"/>
    <cellStyle name="40% - 强调文字颜色 2 7 8" xfId="11406"/>
    <cellStyle name="40% - 强调文字颜色 2 7 9" xfId="18735"/>
    <cellStyle name="40% - 强调文字颜色 2 8" xfId="883"/>
    <cellStyle name="40% - 强调文字颜色 2 8 10" xfId="15514"/>
    <cellStyle name="40% - 强调文字颜色 2 8 11" xfId="10268"/>
    <cellStyle name="40% - 强调文字颜色 2 8 12" xfId="18738"/>
    <cellStyle name="40% - 强调文字颜色 2 8 13" xfId="21689"/>
    <cellStyle name="40% - 强调文字颜色 2 8 14" xfId="21122"/>
    <cellStyle name="40% - 强调文字颜色 2 8 15" xfId="30486"/>
    <cellStyle name="40% - 强调文字颜色 2 8 16" xfId="31780"/>
    <cellStyle name="40% - 强调文字颜色 2 8 2" xfId="884"/>
    <cellStyle name="40% - 强调文字颜色 2 8 2 10" xfId="30487"/>
    <cellStyle name="40% - 强调文字颜色 2 8 2 11" xfId="33377"/>
    <cellStyle name="40% - 强调文字颜色 2 8 2 2" xfId="3831"/>
    <cellStyle name="40% - 强调文字颜色 2 8 2 3" xfId="6431"/>
    <cellStyle name="40% - 强调文字颜色 2 8 2 4" xfId="12578"/>
    <cellStyle name="40% - 强调文字颜色 2 8 2 5" xfId="15515"/>
    <cellStyle name="40% - 强调文字颜色 2 8 2 6" xfId="11400"/>
    <cellStyle name="40% - 强调文字颜色 2 8 2 7" xfId="18739"/>
    <cellStyle name="40% - 强调文字颜色 2 8 2 8" xfId="23185"/>
    <cellStyle name="40% - 强调文字颜色 2 8 2 9" xfId="20552"/>
    <cellStyle name="40% - 强调文字颜色 2 8 3" xfId="885"/>
    <cellStyle name="40% - 强调文字颜色 2 8 3 10" xfId="30488"/>
    <cellStyle name="40% - 强调文字颜色 2 8 3 11" xfId="33128"/>
    <cellStyle name="40% - 强调文字颜色 2 8 3 2" xfId="3832"/>
    <cellStyle name="40% - 强调文字颜色 2 8 3 3" xfId="6432"/>
    <cellStyle name="40% - 强调文字颜色 2 8 3 4" xfId="12579"/>
    <cellStyle name="40% - 强调文字颜色 2 8 3 5" xfId="15516"/>
    <cellStyle name="40% - 强调文字颜色 2 8 3 6" xfId="10263"/>
    <cellStyle name="40% - 强调文字颜色 2 8 3 7" xfId="18740"/>
    <cellStyle name="40% - 强调文字颜色 2 8 3 8" xfId="22202"/>
    <cellStyle name="40% - 强调文字颜色 2 8 3 9" xfId="19899"/>
    <cellStyle name="40% - 强调文字颜色 2 8 4" xfId="886"/>
    <cellStyle name="40% - 强调文字颜色 2 8 4 10" xfId="30489"/>
    <cellStyle name="40% - 强调文字颜色 2 8 4 11" xfId="32723"/>
    <cellStyle name="40% - 强调文字颜色 2 8 4 2" xfId="3833"/>
    <cellStyle name="40% - 强调文字颜色 2 8 4 3" xfId="6433"/>
    <cellStyle name="40% - 强调文字颜色 2 8 4 4" xfId="12580"/>
    <cellStyle name="40% - 强调文字颜色 2 8 4 5" xfId="15517"/>
    <cellStyle name="40% - 强调文字颜色 2 8 4 6" xfId="11402"/>
    <cellStyle name="40% - 强调文字颜色 2 8 4 7" xfId="18741"/>
    <cellStyle name="40% - 强调文字颜色 2 8 4 8" xfId="21688"/>
    <cellStyle name="40% - 强调文字颜色 2 8 4 9" xfId="21121"/>
    <cellStyle name="40% - 强调文字颜色 2 8 5" xfId="887"/>
    <cellStyle name="40% - 强调文字颜色 2 8 5 2" xfId="6434"/>
    <cellStyle name="40% - 强调文字颜色 2 8 5 3" xfId="12581"/>
    <cellStyle name="40% - 强调文字颜色 2 8 5 4" xfId="10265"/>
    <cellStyle name="40% - 强调文字颜色 2 8 5 5" xfId="18742"/>
    <cellStyle name="40% - 强调文字颜色 2 8 5 6" xfId="23184"/>
    <cellStyle name="40% - 强调文字颜色 2 8 5 7" xfId="20551"/>
    <cellStyle name="40% - 强调文字颜色 2 8 5 8" xfId="31560"/>
    <cellStyle name="40% - 强调文字颜色 2 8 5 9" xfId="30825"/>
    <cellStyle name="40% - 强调文字颜色 2 8 6" xfId="3830"/>
    <cellStyle name="40% - 强调文字颜色 2 8 7" xfId="6430"/>
    <cellStyle name="40% - 强调文字颜色 2 8 8" xfId="11012"/>
    <cellStyle name="40% - 强调文字颜色 2 8 9" xfId="12577"/>
    <cellStyle name="40% - 强调文字颜色 2 9" xfId="888"/>
    <cellStyle name="40% - 强调文字颜色 2 9 10" xfId="15518"/>
    <cellStyle name="40% - 强调文字颜色 2 9 11" xfId="11401"/>
    <cellStyle name="40% - 强调文字颜色 2 9 12" xfId="18743"/>
    <cellStyle name="40% - 强调文字颜色 2 9 13" xfId="22201"/>
    <cellStyle name="40% - 强调文字颜色 2 9 14" xfId="19898"/>
    <cellStyle name="40% - 强调文字颜色 2 9 15" xfId="30490"/>
    <cellStyle name="40% - 强调文字颜色 2 9 16" xfId="32478"/>
    <cellStyle name="40% - 强调文字颜色 2 9 2" xfId="889"/>
    <cellStyle name="40% - 强调文字颜色 2 9 2 10" xfId="30491"/>
    <cellStyle name="40% - 强调文字颜色 2 9 2 11" xfId="32245"/>
    <cellStyle name="40% - 强调文字颜色 2 9 2 2" xfId="3835"/>
    <cellStyle name="40% - 强调文字颜色 2 9 2 3" xfId="6436"/>
    <cellStyle name="40% - 强调文字颜色 2 9 2 4" xfId="12583"/>
    <cellStyle name="40% - 强调文字颜色 2 9 2 5" xfId="15519"/>
    <cellStyle name="40% - 强调文字颜色 2 9 2 6" xfId="10264"/>
    <cellStyle name="40% - 强调文字颜色 2 9 2 7" xfId="18744"/>
    <cellStyle name="40% - 强调文字颜色 2 9 2 8" xfId="21687"/>
    <cellStyle name="40% - 强调文字颜色 2 9 2 9" xfId="21120"/>
    <cellStyle name="40% - 强调文字颜色 2 9 3" xfId="890"/>
    <cellStyle name="40% - 强调文字颜色 2 9 3 10" xfId="30492"/>
    <cellStyle name="40% - 强调文字颜色 2 9 3 11" xfId="31779"/>
    <cellStyle name="40% - 强调文字颜色 2 9 3 2" xfId="3836"/>
    <cellStyle name="40% - 强调文字颜色 2 9 3 3" xfId="6437"/>
    <cellStyle name="40% - 强调文字颜色 2 9 3 4" xfId="12584"/>
    <cellStyle name="40% - 强调文字颜色 2 9 3 5" xfId="15520"/>
    <cellStyle name="40% - 强调文字颜色 2 9 3 6" xfId="11393"/>
    <cellStyle name="40% - 强调文字颜色 2 9 3 7" xfId="18745"/>
    <cellStyle name="40% - 强调文字颜色 2 9 3 8" xfId="23183"/>
    <cellStyle name="40% - 强调文字颜色 2 9 3 9" xfId="20550"/>
    <cellStyle name="40% - 强调文字颜色 2 9 4" xfId="891"/>
    <cellStyle name="40% - 强调文字颜色 2 9 4 10" xfId="30493"/>
    <cellStyle name="40% - 强调文字颜色 2 9 4 11" xfId="33375"/>
    <cellStyle name="40% - 强调文字颜色 2 9 4 2" xfId="3837"/>
    <cellStyle name="40% - 强调文字颜色 2 9 4 3" xfId="6438"/>
    <cellStyle name="40% - 强调文字颜色 2 9 4 4" xfId="12585"/>
    <cellStyle name="40% - 强调文字颜色 2 9 4 5" xfId="15521"/>
    <cellStyle name="40% - 强调文字颜色 2 9 4 6" xfId="10256"/>
    <cellStyle name="40% - 强调文字颜色 2 9 4 7" xfId="18746"/>
    <cellStyle name="40% - 强调文字颜色 2 9 4 8" xfId="22200"/>
    <cellStyle name="40% - 强调文字颜色 2 9 4 9" xfId="19897"/>
    <cellStyle name="40% - 强调文字颜色 2 9 5" xfId="892"/>
    <cellStyle name="40% - 强调文字颜色 2 9 5 2" xfId="6439"/>
    <cellStyle name="40% - 强调文字颜色 2 9 5 3" xfId="12586"/>
    <cellStyle name="40% - 强调文字颜色 2 9 5 4" xfId="11397"/>
    <cellStyle name="40% - 强调文字颜色 2 9 5 5" xfId="18747"/>
    <cellStyle name="40% - 强调文字颜色 2 9 5 6" xfId="21686"/>
    <cellStyle name="40% - 强调文字颜色 2 9 5 7" xfId="21119"/>
    <cellStyle name="40% - 强调文字颜色 2 9 5 8" xfId="31561"/>
    <cellStyle name="40% - 强调文字颜色 2 9 5 9" xfId="32328"/>
    <cellStyle name="40% - 强调文字颜色 2 9 6" xfId="3834"/>
    <cellStyle name="40% - 强调文字颜色 2 9 7" xfId="6435"/>
    <cellStyle name="40% - 强调文字颜色 2 9 8" xfId="11013"/>
    <cellStyle name="40% - 强调文字颜色 2 9 9" xfId="12582"/>
    <cellStyle name="40% - 强调文字颜色 3" xfId="893" builtinId="39" customBuiltin="1"/>
    <cellStyle name="40% - 强调文字颜色 3 10" xfId="894"/>
    <cellStyle name="40% - 强调文字颜色 3 10 10" xfId="15523"/>
    <cellStyle name="40% - 强调文字颜色 3 10 11" xfId="11399"/>
    <cellStyle name="40% - 强调文字颜色 3 10 12" xfId="18749"/>
    <cellStyle name="40% - 强调文字颜色 3 10 13" xfId="22199"/>
    <cellStyle name="40% - 强调文字颜色 3 10 14" xfId="19896"/>
    <cellStyle name="40% - 强调文字颜色 3 10 15" xfId="30494"/>
    <cellStyle name="40% - 强调文字颜色 3 10 16" xfId="32716"/>
    <cellStyle name="40% - 强调文字颜色 3 10 2" xfId="895"/>
    <cellStyle name="40% - 强调文字颜色 3 10 2 10" xfId="30495"/>
    <cellStyle name="40% - 强调文字颜色 3 10 2 11" xfId="32471"/>
    <cellStyle name="40% - 强调文字颜色 3 10 2 2" xfId="3840"/>
    <cellStyle name="40% - 强调文字颜色 3 10 2 3" xfId="6442"/>
    <cellStyle name="40% - 强调文字颜色 3 10 2 4" xfId="12589"/>
    <cellStyle name="40% - 强调文字颜色 3 10 2 5" xfId="15524"/>
    <cellStyle name="40% - 强调文字颜色 3 10 2 6" xfId="10262"/>
    <cellStyle name="40% - 强调文字颜色 3 10 2 7" xfId="18750"/>
    <cellStyle name="40% - 强调文字颜色 3 10 2 8" xfId="21685"/>
    <cellStyle name="40% - 强调文字颜色 3 10 2 9" xfId="21483"/>
    <cellStyle name="40% - 强调文字颜色 3 10 3" xfId="896"/>
    <cellStyle name="40% - 强调文字颜色 3 10 3 10" xfId="30496"/>
    <cellStyle name="40% - 强调文字颜色 3 10 3 11" xfId="32237"/>
    <cellStyle name="40% - 强调文字颜色 3 10 3 2" xfId="3841"/>
    <cellStyle name="40% - 强调文字颜色 3 10 3 3" xfId="6443"/>
    <cellStyle name="40% - 强调文字颜色 3 10 3 4" xfId="12590"/>
    <cellStyle name="40% - 强调文字颜色 3 10 3 5" xfId="15525"/>
    <cellStyle name="40% - 强调文字颜色 3 10 3 6" xfId="11398"/>
    <cellStyle name="40% - 强调文字颜色 3 10 3 7" xfId="18751"/>
    <cellStyle name="40% - 强调文字颜色 3 10 3 8" xfId="23181"/>
    <cellStyle name="40% - 强调文字颜色 3 10 3 9" xfId="20306"/>
    <cellStyle name="40% - 强调文字颜色 3 10 4" xfId="897"/>
    <cellStyle name="40% - 强调文字颜色 3 10 4 10" xfId="30497"/>
    <cellStyle name="40% - 强调文字颜色 3 10 4 11" xfId="32072"/>
    <cellStyle name="40% - 强调文字颜色 3 10 4 2" xfId="3842"/>
    <cellStyle name="40% - 强调文字颜色 3 10 4 3" xfId="6444"/>
    <cellStyle name="40% - 强调文字颜色 3 10 4 4" xfId="12591"/>
    <cellStyle name="40% - 强调文字颜色 3 10 4 5" xfId="15526"/>
    <cellStyle name="40% - 强调文字颜色 3 10 4 6" xfId="10261"/>
    <cellStyle name="40% - 强调文字颜色 3 10 4 7" xfId="18752"/>
    <cellStyle name="40% - 强调文字颜色 3 10 4 8" xfId="22198"/>
    <cellStyle name="40% - 强调文字颜色 3 10 4 9" xfId="21109"/>
    <cellStyle name="40% - 强调文字颜色 3 10 5" xfId="898"/>
    <cellStyle name="40% - 强调文字颜色 3 10 5 2" xfId="6445"/>
    <cellStyle name="40% - 强调文字颜色 3 10 5 3" xfId="12592"/>
    <cellStyle name="40% - 强调文字颜色 3 10 5 4" xfId="11394"/>
    <cellStyle name="40% - 强调文字颜色 3 10 5 5" xfId="18753"/>
    <cellStyle name="40% - 强调文字颜色 3 10 5 6" xfId="21684"/>
    <cellStyle name="40% - 强调文字颜色 3 10 5 7" xfId="20832"/>
    <cellStyle name="40% - 强调文字颜色 3 10 5 8" xfId="31562"/>
    <cellStyle name="40% - 强调文字颜色 3 10 5 9" xfId="30824"/>
    <cellStyle name="40% - 强调文字颜色 3 10 6" xfId="3839"/>
    <cellStyle name="40% - 强调文字颜色 3 10 7" xfId="6441"/>
    <cellStyle name="40% - 强调文字颜色 3 10 8" xfId="11015"/>
    <cellStyle name="40% - 强调文字颜色 3 10 9" xfId="12588"/>
    <cellStyle name="40% - 强调文字颜色 3 11" xfId="899"/>
    <cellStyle name="40% - 强调文字颜色 3 11 10" xfId="15527"/>
    <cellStyle name="40% - 强调文字颜色 3 11 11" xfId="10257"/>
    <cellStyle name="40% - 强调文字颜色 3 11 12" xfId="18754"/>
    <cellStyle name="40% - 强调文字颜色 3 11 13" xfId="23180"/>
    <cellStyle name="40% - 强调文字颜色 3 11 14" xfId="21118"/>
    <cellStyle name="40% - 强调文字颜色 3 11 15" xfId="30498"/>
    <cellStyle name="40% - 强调文字颜色 3 11 16" xfId="31771"/>
    <cellStyle name="40% - 强调文字颜色 3 11 2" xfId="900"/>
    <cellStyle name="40% - 强调文字颜色 3 11 2 10" xfId="30499"/>
    <cellStyle name="40% - 强调文字颜色 3 11 2 11" xfId="33372"/>
    <cellStyle name="40% - 强调文字颜色 3 11 2 2" xfId="3844"/>
    <cellStyle name="40% - 强调文字颜色 3 11 2 3" xfId="6447"/>
    <cellStyle name="40% - 强调文字颜色 3 11 2 4" xfId="12594"/>
    <cellStyle name="40% - 强调文字颜色 3 11 2 5" xfId="15528"/>
    <cellStyle name="40% - 强调文字颜色 3 11 2 6" xfId="11396"/>
    <cellStyle name="40% - 强调文字颜色 3 11 2 7" xfId="18755"/>
    <cellStyle name="40% - 强调文字颜色 3 11 2 8" xfId="22197"/>
    <cellStyle name="40% - 强调文字颜色 3 11 2 9" xfId="20548"/>
    <cellStyle name="40% - 强调文字颜色 3 11 3" xfId="901"/>
    <cellStyle name="40% - 强调文字颜色 3 11 3 10" xfId="30500"/>
    <cellStyle name="40% - 强调文字颜色 3 11 3 11" xfId="33124"/>
    <cellStyle name="40% - 强调文字颜色 3 11 3 2" xfId="3845"/>
    <cellStyle name="40% - 强调文字颜色 3 11 3 3" xfId="6448"/>
    <cellStyle name="40% - 强调文字颜色 3 11 3 4" xfId="12595"/>
    <cellStyle name="40% - 强调文字颜色 3 11 3 5" xfId="15529"/>
    <cellStyle name="40% - 强调文字颜色 3 11 3 6" xfId="10259"/>
    <cellStyle name="40% - 强调文字颜色 3 11 3 7" xfId="18756"/>
    <cellStyle name="40% - 强调文字颜色 3 11 3 8" xfId="21683"/>
    <cellStyle name="40% - 强调文字颜色 3 11 3 9" xfId="19887"/>
    <cellStyle name="40% - 强调文字颜色 3 11 4" xfId="902"/>
    <cellStyle name="40% - 强调文字颜色 3 11 4 10" xfId="30501"/>
    <cellStyle name="40% - 强调文字颜色 3 11 4 11" xfId="32719"/>
    <cellStyle name="40% - 强调文字颜色 3 11 4 2" xfId="3846"/>
    <cellStyle name="40% - 强调文字颜色 3 11 4 3" xfId="6449"/>
    <cellStyle name="40% - 强调文字颜色 3 11 4 4" xfId="12596"/>
    <cellStyle name="40% - 强调文字颜色 3 11 4 5" xfId="15530"/>
    <cellStyle name="40% - 强调文字颜色 3 11 4 6" xfId="11395"/>
    <cellStyle name="40% - 强调文字颜色 3 11 4 7" xfId="18757"/>
    <cellStyle name="40% - 强调文字颜色 3 11 4 8" xfId="23179"/>
    <cellStyle name="40% - 强调文字颜色 3 11 4 9" xfId="20749"/>
    <cellStyle name="40% - 强调文字颜色 3 11 5" xfId="903"/>
    <cellStyle name="40% - 强调文字颜色 3 11 5 2" xfId="6450"/>
    <cellStyle name="40% - 强调文字颜色 3 11 5 3" xfId="12597"/>
    <cellStyle name="40% - 强调文字颜色 3 11 5 4" xfId="10258"/>
    <cellStyle name="40% - 强调文字颜色 3 11 5 5" xfId="18758"/>
    <cellStyle name="40% - 强调文字颜色 3 11 5 6" xfId="22196"/>
    <cellStyle name="40% - 强调文字颜色 3 11 5 7" xfId="21357"/>
    <cellStyle name="40% - 强调文字颜色 3 11 5 8" xfId="31563"/>
    <cellStyle name="40% - 强调文字颜色 3 11 5 9" xfId="32566"/>
    <cellStyle name="40% - 强调文字颜色 3 11 6" xfId="3843"/>
    <cellStyle name="40% - 强调文字颜色 3 11 6 2" xfId="23636"/>
    <cellStyle name="40% - 强调文字颜色 3 11 6 3" xfId="26221"/>
    <cellStyle name="40% - 强调文字颜色 3 11 7" xfId="6446"/>
    <cellStyle name="40% - 强调文字颜色 3 11 7 2" xfId="23692"/>
    <cellStyle name="40% - 强调文字颜色 3 11 7 3" xfId="26277"/>
    <cellStyle name="40% - 强调文字颜色 3 11 8" xfId="11016"/>
    <cellStyle name="40% - 强调文字颜色 3 11 8 2" xfId="23782"/>
    <cellStyle name="40% - 强调文字颜色 3 11 8 3" xfId="26367"/>
    <cellStyle name="40% - 强调文字颜色 3 11 9" xfId="12593"/>
    <cellStyle name="40% - 强调文字颜色 3 12" xfId="904"/>
    <cellStyle name="40% - 强调文字颜色 3 12 10" xfId="15531"/>
    <cellStyle name="40% - 强调文字颜色 3 12 11" xfId="11390"/>
    <cellStyle name="40% - 强调文字颜色 3 12 12" xfId="18759"/>
    <cellStyle name="40% - 强调文字颜色 3 12 13" xfId="21682"/>
    <cellStyle name="40% - 强调文字颜色 3 12 14" xfId="20539"/>
    <cellStyle name="40% - 强调文字颜色 3 12 15" xfId="30502"/>
    <cellStyle name="40% - 强调文字颜色 3 12 16" xfId="32474"/>
    <cellStyle name="40% - 强调文字颜色 3 12 2" xfId="905"/>
    <cellStyle name="40% - 强调文字颜色 3 12 2 10" xfId="30503"/>
    <cellStyle name="40% - 强调文字颜色 3 12 2 11" xfId="32241"/>
    <cellStyle name="40% - 强调文字颜色 3 12 2 2" xfId="3848"/>
    <cellStyle name="40% - 强调文字颜色 3 12 2 3" xfId="6452"/>
    <cellStyle name="40% - 强调文字颜色 3 12 2 4" xfId="12599"/>
    <cellStyle name="40% - 强调文字颜色 3 12 2 5" xfId="15532"/>
    <cellStyle name="40% - 强调文字颜色 3 12 2 6" xfId="10253"/>
    <cellStyle name="40% - 强调文字颜色 3 12 2 7" xfId="18760"/>
    <cellStyle name="40% - 强调文字颜色 3 12 2 8" xfId="23178"/>
    <cellStyle name="40% - 强调文字颜色 3 12 2 9" xfId="20191"/>
    <cellStyle name="40% - 强调文字颜色 3 12 3" xfId="906"/>
    <cellStyle name="40% - 强调文字颜色 3 12 3 10" xfId="30504"/>
    <cellStyle name="40% - 强调文字颜色 3 12 3 11" xfId="31775"/>
    <cellStyle name="40% - 强调文字颜色 3 12 3 2" xfId="3849"/>
    <cellStyle name="40% - 强调文字颜色 3 12 3 3" xfId="6453"/>
    <cellStyle name="40% - 强调文字颜色 3 12 3 4" xfId="12600"/>
    <cellStyle name="40% - 强调文字颜色 3 12 3 5" xfId="15533"/>
    <cellStyle name="40% - 强调文字颜色 3 12 3 6" xfId="11392"/>
    <cellStyle name="40% - 强调文字颜色 3 12 3 7" xfId="18761"/>
    <cellStyle name="40% - 强调文字颜色 3 12 3 8" xfId="22195"/>
    <cellStyle name="40% - 强调文字颜色 3 12 3 9" xfId="21117"/>
    <cellStyle name="40% - 强调文字颜色 3 12 4" xfId="907"/>
    <cellStyle name="40% - 强调文字颜色 3 12 4 10" xfId="30505"/>
    <cellStyle name="40% - 强调文字颜色 3 12 4 11" xfId="33374"/>
    <cellStyle name="40% - 强调文字颜色 3 12 4 2" xfId="3850"/>
    <cellStyle name="40% - 强调文字颜色 3 12 4 3" xfId="6454"/>
    <cellStyle name="40% - 强调文字颜色 3 12 4 4" xfId="12601"/>
    <cellStyle name="40% - 强调文字颜色 3 12 4 5" xfId="15534"/>
    <cellStyle name="40% - 强调文字颜色 3 12 4 6" xfId="10255"/>
    <cellStyle name="40% - 强调文字颜色 3 12 4 7" xfId="18762"/>
    <cellStyle name="40% - 强调文字颜色 3 12 4 8" xfId="21681"/>
    <cellStyle name="40% - 强调文字颜色 3 12 4 9" xfId="20547"/>
    <cellStyle name="40% - 强调文字颜色 3 12 5" xfId="908"/>
    <cellStyle name="40% - 强调文字颜色 3 12 5 2" xfId="6455"/>
    <cellStyle name="40% - 强调文字颜色 3 12 5 3" xfId="12602"/>
    <cellStyle name="40% - 强调文字颜色 3 12 5 4" xfId="11391"/>
    <cellStyle name="40% - 强调文字颜色 3 12 5 5" xfId="18763"/>
    <cellStyle name="40% - 强调文字颜色 3 12 5 6" xfId="23177"/>
    <cellStyle name="40% - 强调文字颜色 3 12 5 7" xfId="19895"/>
    <cellStyle name="40% - 强调文字颜色 3 12 5 8" xfId="31564"/>
    <cellStyle name="40% - 强调文字颜色 3 12 5 9" xfId="31876"/>
    <cellStyle name="40% - 强调文字颜色 3 12 6" xfId="3847"/>
    <cellStyle name="40% - 强调文字颜色 3 12 6 2" xfId="23637"/>
    <cellStyle name="40% - 强调文字颜色 3 12 6 3" xfId="26222"/>
    <cellStyle name="40% - 强调文字颜色 3 12 7" xfId="6451"/>
    <cellStyle name="40% - 强调文字颜色 3 12 7 2" xfId="23693"/>
    <cellStyle name="40% - 强调文字颜色 3 12 7 3" xfId="26278"/>
    <cellStyle name="40% - 强调文字颜色 3 12 8" xfId="11017"/>
    <cellStyle name="40% - 强调文字颜色 3 12 8 2" xfId="23783"/>
    <cellStyle name="40% - 强调文字颜色 3 12 8 3" xfId="26368"/>
    <cellStyle name="40% - 强调文字颜色 3 12 9" xfId="12598"/>
    <cellStyle name="40% - 强调文字颜色 3 13" xfId="909"/>
    <cellStyle name="40% - 强调文字颜色 3 13 10" xfId="10254"/>
    <cellStyle name="40% - 强调文字颜色 3 13 11" xfId="18764"/>
    <cellStyle name="40% - 强调文字颜色 3 13 12" xfId="22840"/>
    <cellStyle name="40% - 强调文字颜色 3 13 13" xfId="21116"/>
    <cellStyle name="40% - 强调文字颜色 3 13 14" xfId="30506"/>
    <cellStyle name="40% - 强调文字颜色 3 13 15" xfId="33126"/>
    <cellStyle name="40% - 强调文字颜色 3 13 2" xfId="910"/>
    <cellStyle name="40% - 强调文字颜色 3 13 2 10" xfId="30507"/>
    <cellStyle name="40% - 强调文字颜色 3 13 2 11" xfId="32721"/>
    <cellStyle name="40% - 强调文字颜色 3 13 2 2" xfId="3852"/>
    <cellStyle name="40% - 强调文字颜色 3 13 2 3" xfId="6457"/>
    <cellStyle name="40% - 强调文字颜色 3 13 2 4" xfId="12604"/>
    <cellStyle name="40% - 强调文字颜色 3 13 2 5" xfId="15536"/>
    <cellStyle name="40% - 强调文字颜色 3 13 2 6" xfId="11387"/>
    <cellStyle name="40% - 强调文字颜色 3 13 2 7" xfId="18765"/>
    <cellStyle name="40% - 强调文字颜色 3 13 2 8" xfId="22622"/>
    <cellStyle name="40% - 强调文字颜色 3 13 2 9" xfId="20546"/>
    <cellStyle name="40% - 强调文字颜色 3 13 3" xfId="911"/>
    <cellStyle name="40% - 强调文字颜色 3 13 3 10" xfId="30508"/>
    <cellStyle name="40% - 强调文字颜色 3 13 3 11" xfId="32476"/>
    <cellStyle name="40% - 强调文字颜色 3 13 3 2" xfId="3853"/>
    <cellStyle name="40% - 强调文字颜色 3 13 3 3" xfId="6458"/>
    <cellStyle name="40% - 强调文字颜色 3 13 3 4" xfId="12605"/>
    <cellStyle name="40% - 强调文字颜色 3 13 3 5" xfId="15537"/>
    <cellStyle name="40% - 强调文字颜色 3 13 3 6" xfId="10250"/>
    <cellStyle name="40% - 强调文字颜色 3 13 3 7" xfId="18766"/>
    <cellStyle name="40% - 强调文字颜色 3 13 3 8" xfId="22194"/>
    <cellStyle name="40% - 强调文字颜色 3 13 3 9" xfId="19894"/>
    <cellStyle name="40% - 强调文字颜色 3 13 4" xfId="912"/>
    <cellStyle name="40% - 强调文字颜色 3 13 4 10" xfId="30509"/>
    <cellStyle name="40% - 强调文字颜色 3 13 4 11" xfId="32243"/>
    <cellStyle name="40% - 强调文字颜色 3 13 4 2" xfId="3854"/>
    <cellStyle name="40% - 强调文字颜色 3 13 4 3" xfId="6459"/>
    <cellStyle name="40% - 强调文字颜色 3 13 4 4" xfId="12606"/>
    <cellStyle name="40% - 强调文字颜色 3 13 4 5" xfId="15538"/>
    <cellStyle name="40% - 强调文字颜色 3 13 4 6" xfId="11389"/>
    <cellStyle name="40% - 强调文字颜色 3 13 4 7" xfId="18767"/>
    <cellStyle name="40% - 强调文字颜色 3 13 4 8" xfId="23176"/>
    <cellStyle name="40% - 强调文字颜色 3 13 4 9" xfId="21115"/>
    <cellStyle name="40% - 强调文字颜色 3 13 5" xfId="913"/>
    <cellStyle name="40% - 强调文字颜色 3 13 5 2" xfId="6460"/>
    <cellStyle name="40% - 强调文字颜色 3 13 5 3" xfId="12607"/>
    <cellStyle name="40% - 强调文字颜色 3 13 5 4" xfId="10252"/>
    <cellStyle name="40% - 强调文字颜色 3 13 5 5" xfId="18768"/>
    <cellStyle name="40% - 强调文字颜色 3 13 5 6" xfId="22193"/>
    <cellStyle name="40% - 强调文字颜色 3 13 5 7" xfId="20545"/>
    <cellStyle name="40% - 强调文字颜色 3 13 5 8" xfId="31565"/>
    <cellStyle name="40% - 强调文字颜色 3 13 5 9" xfId="30823"/>
    <cellStyle name="40% - 强调文字颜色 3 13 6" xfId="3851"/>
    <cellStyle name="40% - 强调文字颜色 3 13 6 2" xfId="23694"/>
    <cellStyle name="40% - 强调文字颜色 3 13 6 3" xfId="26279"/>
    <cellStyle name="40% - 强调文字颜色 3 13 7" xfId="6456"/>
    <cellStyle name="40% - 强调文字颜色 3 13 7 2" xfId="23784"/>
    <cellStyle name="40% - 强调文字颜色 3 13 7 3" xfId="26369"/>
    <cellStyle name="40% - 强调文字颜色 3 13 8" xfId="12603"/>
    <cellStyle name="40% - 强调文字颜色 3 13 8 2" xfId="23870"/>
    <cellStyle name="40% - 强调文字颜色 3 13 8 3" xfId="26455"/>
    <cellStyle name="40% - 强调文字颜色 3 13 9" xfId="15535"/>
    <cellStyle name="40% - 强调文字颜色 3 14" xfId="914"/>
    <cellStyle name="40% - 强调文字颜色 3 14 10" xfId="11388"/>
    <cellStyle name="40% - 强调文字颜色 3 14 11" xfId="18769"/>
    <cellStyle name="40% - 强调文字颜色 3 14 12" xfId="21680"/>
    <cellStyle name="40% - 强调文字颜色 3 14 13" xfId="19893"/>
    <cellStyle name="40% - 强调文字颜色 3 14 14" xfId="30510"/>
    <cellStyle name="40% - 强调文字颜色 3 14 15" xfId="31777"/>
    <cellStyle name="40% - 强调文字颜色 3 14 2" xfId="915"/>
    <cellStyle name="40% - 强调文字颜色 3 14 2 10" xfId="30511"/>
    <cellStyle name="40% - 强调文字颜色 3 14 2 11" xfId="33373"/>
    <cellStyle name="40% - 强调文字颜色 3 14 2 2" xfId="3856"/>
    <cellStyle name="40% - 强调文字颜色 3 14 2 3" xfId="6462"/>
    <cellStyle name="40% - 强调文字颜色 3 14 2 4" xfId="12609"/>
    <cellStyle name="40% - 强调文字颜色 3 14 2 5" xfId="15540"/>
    <cellStyle name="40% - 强调文字颜色 3 14 2 6" xfId="10251"/>
    <cellStyle name="40% - 强调文字颜色 3 14 2 7" xfId="18770"/>
    <cellStyle name="40% - 强调文字颜色 3 14 2 8" xfId="23175"/>
    <cellStyle name="40% - 强调文字颜色 3 14 2 9" xfId="21114"/>
    <cellStyle name="40% - 强调文字颜色 3 14 3" xfId="916"/>
    <cellStyle name="40% - 强调文字颜色 3 14 3 10" xfId="30512"/>
    <cellStyle name="40% - 强调文字颜色 3 14 3 11" xfId="33125"/>
    <cellStyle name="40% - 强调文字颜色 3 14 3 2" xfId="3857"/>
    <cellStyle name="40% - 强调文字颜色 3 14 3 3" xfId="6463"/>
    <cellStyle name="40% - 强调文字颜色 3 14 3 4" xfId="12610"/>
    <cellStyle name="40% - 强调文字颜色 3 14 3 5" xfId="15541"/>
    <cellStyle name="40% - 强调文字颜色 3 14 3 6" xfId="11384"/>
    <cellStyle name="40% - 强调文字颜色 3 14 3 7" xfId="18771"/>
    <cellStyle name="40% - 强调文字颜色 3 14 3 8" xfId="22192"/>
    <cellStyle name="40% - 强调文字颜色 3 14 3 9" xfId="20544"/>
    <cellStyle name="40% - 强调文字颜色 3 14 4" xfId="917"/>
    <cellStyle name="40% - 强调文字颜色 3 14 4 10" xfId="30513"/>
    <cellStyle name="40% - 强调文字颜色 3 14 4 11" xfId="32720"/>
    <cellStyle name="40% - 强调文字颜色 3 14 4 2" xfId="3858"/>
    <cellStyle name="40% - 强调文字颜色 3 14 4 3" xfId="6464"/>
    <cellStyle name="40% - 强调文字颜色 3 14 4 4" xfId="12611"/>
    <cellStyle name="40% - 强调文字颜色 3 14 4 5" xfId="15542"/>
    <cellStyle name="40% - 强调文字颜色 3 14 4 6" xfId="10247"/>
    <cellStyle name="40% - 强调文字颜色 3 14 4 7" xfId="18772"/>
    <cellStyle name="40% - 强调文字颜色 3 14 4 8" xfId="21679"/>
    <cellStyle name="40% - 强调文字颜色 3 14 4 9" xfId="19892"/>
    <cellStyle name="40% - 强调文字颜色 3 14 5" xfId="918"/>
    <cellStyle name="40% - 强调文字颜色 3 14 5 2" xfId="6465"/>
    <cellStyle name="40% - 强调文字颜色 3 14 5 3" xfId="12612"/>
    <cellStyle name="40% - 强调文字颜色 3 14 5 4" xfId="11386"/>
    <cellStyle name="40% - 强调文字颜色 3 14 5 5" xfId="18773"/>
    <cellStyle name="40% - 强调文字颜色 3 14 5 6" xfId="23174"/>
    <cellStyle name="40% - 强调文字颜色 3 14 5 7" xfId="21113"/>
    <cellStyle name="40% - 强调文字颜色 3 14 5 8" xfId="31566"/>
    <cellStyle name="40% - 强调文字颜色 3 14 5 9" xfId="32565"/>
    <cellStyle name="40% - 强调文字颜色 3 14 6" xfId="3855"/>
    <cellStyle name="40% - 强调文字颜色 3 14 6 2" xfId="23695"/>
    <cellStyle name="40% - 强调文字颜色 3 14 6 3" xfId="26280"/>
    <cellStyle name="40% - 强调文字颜色 3 14 7" xfId="6461"/>
    <cellStyle name="40% - 强调文字颜色 3 14 7 2" xfId="23785"/>
    <cellStyle name="40% - 强调文字颜色 3 14 7 3" xfId="26370"/>
    <cellStyle name="40% - 强调文字颜色 3 14 8" xfId="12608"/>
    <cellStyle name="40% - 强调文字颜色 3 14 8 2" xfId="23871"/>
    <cellStyle name="40% - 强调文字颜色 3 14 8 3" xfId="26456"/>
    <cellStyle name="40% - 强调文字颜色 3 14 9" xfId="15539"/>
    <cellStyle name="40% - 强调文字颜色 3 15" xfId="919"/>
    <cellStyle name="40% - 强调文字颜色 3 15 10" xfId="18774"/>
    <cellStyle name="40% - 强调文字颜色 3 15 11" xfId="22191"/>
    <cellStyle name="40% - 强调文字颜色 3 15 12" xfId="20543"/>
    <cellStyle name="40% - 强调文字颜色 3 15 13" xfId="30514"/>
    <cellStyle name="40% - 强调文字颜色 3 15 14" xfId="32475"/>
    <cellStyle name="40% - 强调文字颜色 3 15 2" xfId="920"/>
    <cellStyle name="40% - 强调文字颜色 3 15 2 10" xfId="30515"/>
    <cellStyle name="40% - 强调文字颜色 3 15 2 11" xfId="32242"/>
    <cellStyle name="40% - 强调文字颜色 3 15 2 2" xfId="3860"/>
    <cellStyle name="40% - 强调文字颜色 3 15 2 3" xfId="6467"/>
    <cellStyle name="40% - 强调文字颜色 3 15 2 4" xfId="12614"/>
    <cellStyle name="40% - 强调文字颜色 3 15 2 5" xfId="15544"/>
    <cellStyle name="40% - 强调文字颜色 3 15 2 6" xfId="11385"/>
    <cellStyle name="40% - 强调文字颜色 3 15 2 7" xfId="18775"/>
    <cellStyle name="40% - 强调文字颜色 3 15 2 8" xfId="21678"/>
    <cellStyle name="40% - 强调文字颜色 3 15 2 9" xfId="19891"/>
    <cellStyle name="40% - 强调文字颜色 3 15 3" xfId="921"/>
    <cellStyle name="40% - 强调文字颜色 3 15 3 10" xfId="30516"/>
    <cellStyle name="40% - 强调文字颜色 3 15 3 11" xfId="31776"/>
    <cellStyle name="40% - 强调文字颜色 3 15 3 2" xfId="3861"/>
    <cellStyle name="40% - 强调文字颜色 3 15 3 3" xfId="6468"/>
    <cellStyle name="40% - 强调文字颜色 3 15 3 4" xfId="12615"/>
    <cellStyle name="40% - 强调文字颜色 3 15 3 5" xfId="15545"/>
    <cellStyle name="40% - 强调文字颜色 3 15 3 6" xfId="10248"/>
    <cellStyle name="40% - 强调文字颜色 3 15 3 7" xfId="18776"/>
    <cellStyle name="40% - 强调文字颜色 3 15 3 8" xfId="23173"/>
    <cellStyle name="40% - 强调文字颜色 3 15 3 9" xfId="21112"/>
    <cellStyle name="40% - 强调文字颜色 3 15 4" xfId="922"/>
    <cellStyle name="40% - 强调文字颜色 3 15 4 2" xfId="6469"/>
    <cellStyle name="40% - 强调文字颜色 3 15 4 3" xfId="12616"/>
    <cellStyle name="40% - 强调文字颜色 3 15 4 4" xfId="11380"/>
    <cellStyle name="40% - 强调文字颜色 3 15 4 5" xfId="18777"/>
    <cellStyle name="40% - 强调文字颜色 3 15 4 6" xfId="22190"/>
    <cellStyle name="40% - 强调文字颜色 3 15 4 7" xfId="20542"/>
    <cellStyle name="40% - 强调文字颜色 3 15 4 8" xfId="31567"/>
    <cellStyle name="40% - 强调文字颜色 3 15 4 9" xfId="31875"/>
    <cellStyle name="40% - 强调文字颜色 3 15 5" xfId="3859"/>
    <cellStyle name="40% - 强调文字颜色 3 15 6" xfId="6466"/>
    <cellStyle name="40% - 强调文字颜色 3 15 7" xfId="12613"/>
    <cellStyle name="40% - 强调文字颜色 3 15 8" xfId="15543"/>
    <cellStyle name="40% - 强调文字颜色 3 15 9" xfId="10249"/>
    <cellStyle name="40% - 强调文字颜色 3 16" xfId="923"/>
    <cellStyle name="40% - 强调文字颜色 3 16 10" xfId="18778"/>
    <cellStyle name="40% - 强调文字颜色 3 16 11" xfId="21677"/>
    <cellStyle name="40% - 强调文字颜色 3 16 12" xfId="19890"/>
    <cellStyle name="40% - 强调文字颜色 3 16 13" xfId="30517"/>
    <cellStyle name="40% - 强调文字颜色 3 16 14" xfId="33371"/>
    <cellStyle name="40% - 强调文字颜色 3 16 2" xfId="924"/>
    <cellStyle name="40% - 强调文字颜色 3 16 2 10" xfId="30518"/>
    <cellStyle name="40% - 强调文字颜色 3 16 2 11" xfId="33123"/>
    <cellStyle name="40% - 强调文字颜色 3 16 2 2" xfId="3863"/>
    <cellStyle name="40% - 强调文字颜色 3 16 2 3" xfId="6471"/>
    <cellStyle name="40% - 强调文字颜色 3 16 2 4" xfId="12618"/>
    <cellStyle name="40% - 强调文字颜色 3 16 2 5" xfId="15547"/>
    <cellStyle name="40% - 强调文字颜色 3 16 2 6" xfId="11382"/>
    <cellStyle name="40% - 强调文字颜色 3 16 2 7" xfId="18779"/>
    <cellStyle name="40% - 强调文字颜色 3 16 2 8" xfId="23172"/>
    <cellStyle name="40% - 强调文字颜色 3 16 2 9" xfId="21111"/>
    <cellStyle name="40% - 强调文字颜色 3 16 3" xfId="925"/>
    <cellStyle name="40% - 强调文字颜色 3 16 3 10" xfId="30519"/>
    <cellStyle name="40% - 强调文字颜色 3 16 3 11" xfId="32718"/>
    <cellStyle name="40% - 强调文字颜色 3 16 3 2" xfId="3864"/>
    <cellStyle name="40% - 强调文字颜色 3 16 3 3" xfId="6472"/>
    <cellStyle name="40% - 强调文字颜色 3 16 3 4" xfId="12619"/>
    <cellStyle name="40% - 强调文字颜色 3 16 3 5" xfId="15548"/>
    <cellStyle name="40% - 强调文字颜色 3 16 3 6" xfId="10245"/>
    <cellStyle name="40% - 强调文字颜色 3 16 3 7" xfId="18780"/>
    <cellStyle name="40% - 强调文字颜色 3 16 3 8" xfId="22189"/>
    <cellStyle name="40% - 强调文字颜色 3 16 3 9" xfId="20541"/>
    <cellStyle name="40% - 强调文字颜色 3 16 4" xfId="926"/>
    <cellStyle name="40% - 强调文字颜色 3 16 4 2" xfId="6473"/>
    <cellStyle name="40% - 强调文字颜色 3 16 4 3" xfId="12620"/>
    <cellStyle name="40% - 强调文字颜色 3 16 4 4" xfId="11381"/>
    <cellStyle name="40% - 强调文字颜色 3 16 4 5" xfId="18781"/>
    <cellStyle name="40% - 强调文字颜色 3 16 4 6" xfId="21676"/>
    <cellStyle name="40% - 强调文字颜色 3 16 4 7" xfId="19889"/>
    <cellStyle name="40% - 强调文字颜色 3 16 4 8" xfId="31568"/>
    <cellStyle name="40% - 强调文字颜色 3 16 4 9" xfId="31874"/>
    <cellStyle name="40% - 强调文字颜色 3 16 5" xfId="3862"/>
    <cellStyle name="40% - 强调文字颜色 3 16 6" xfId="6470"/>
    <cellStyle name="40% - 强调文字颜色 3 16 7" xfId="12617"/>
    <cellStyle name="40% - 强调文字颜色 3 16 8" xfId="15546"/>
    <cellStyle name="40% - 强调文字颜色 3 16 9" xfId="10243"/>
    <cellStyle name="40% - 强调文字颜色 3 17" xfId="927"/>
    <cellStyle name="40% - 强调文字颜色 3 17 10" xfId="23171"/>
    <cellStyle name="40% - 强调文字颜色 3 17 11" xfId="21110"/>
    <cellStyle name="40% - 强调文字颜色 3 17 12" xfId="30520"/>
    <cellStyle name="40% - 强调文字颜色 3 17 13" xfId="32473"/>
    <cellStyle name="40% - 强调文字颜色 3 17 2" xfId="928"/>
    <cellStyle name="40% - 强调文字颜色 3 17 2 2" xfId="6475"/>
    <cellStyle name="40% - 强调文字颜色 3 17 2 3" xfId="12622"/>
    <cellStyle name="40% - 强调文字颜色 3 17 2 4" xfId="11377"/>
    <cellStyle name="40% - 强调文字颜色 3 17 2 5" xfId="18783"/>
    <cellStyle name="40% - 强调文字颜色 3 17 2 6" xfId="22188"/>
    <cellStyle name="40% - 强调文字颜色 3 17 2 7" xfId="20540"/>
    <cellStyle name="40% - 强调文字颜色 3 17 2 8" xfId="31569"/>
    <cellStyle name="40% - 强调文字颜色 3 17 2 9" xfId="31873"/>
    <cellStyle name="40% - 强调文字颜色 3 17 3" xfId="929"/>
    <cellStyle name="40% - 强调文字颜色 3 17 3 2" xfId="6476"/>
    <cellStyle name="40% - 强调文字颜色 3 17 3 3" xfId="12623"/>
    <cellStyle name="40% - 强调文字颜色 3 17 3 4" xfId="10240"/>
    <cellStyle name="40% - 强调文字颜色 3 17 3 5" xfId="18784"/>
    <cellStyle name="40% - 强调文字颜色 3 17 3 6" xfId="21675"/>
    <cellStyle name="40% - 强调文字颜色 3 17 3 7" xfId="19888"/>
    <cellStyle name="40% - 强调文字颜色 3 17 3 8" xfId="31570"/>
    <cellStyle name="40% - 强调文字颜色 3 17 3 9" xfId="30822"/>
    <cellStyle name="40% - 强调文字颜色 3 17 4" xfId="3865"/>
    <cellStyle name="40% - 强调文字颜色 3 17 5" xfId="6474"/>
    <cellStyle name="40% - 强调文字颜色 3 17 6" xfId="12621"/>
    <cellStyle name="40% - 强调文字颜色 3 17 7" xfId="15549"/>
    <cellStyle name="40% - 强调文字颜色 3 17 8" xfId="10244"/>
    <cellStyle name="40% - 强调文字颜色 3 17 9" xfId="18782"/>
    <cellStyle name="40% - 强调文字颜色 3 18" xfId="930"/>
    <cellStyle name="40% - 强调文字颜色 3 18 10" xfId="30521"/>
    <cellStyle name="40% - 强调文字颜色 3 18 11" xfId="32239"/>
    <cellStyle name="40% - 强调文字颜色 3 18 2" xfId="931"/>
    <cellStyle name="40% - 强调文字颜色 3 18 2 2" xfId="9307"/>
    <cellStyle name="40% - 强调文字颜色 3 18 2 3" xfId="17334"/>
    <cellStyle name="40% - 强调文字颜色 3 18 2 4" xfId="18786"/>
    <cellStyle name="40% - 强调文字颜色 3 18 2 5" xfId="22914"/>
    <cellStyle name="40% - 强调文字颜色 3 18 2 6" xfId="20538"/>
    <cellStyle name="40% - 强调文字颜色 3 18 2 7" xfId="31571"/>
    <cellStyle name="40% - 强调文字颜色 3 18 2 8" xfId="32564"/>
    <cellStyle name="40% - 强调文字颜色 3 18 3" xfId="3866"/>
    <cellStyle name="40% - 强调文字颜色 3 18 4" xfId="6477"/>
    <cellStyle name="40% - 强调文字颜色 3 18 5" xfId="15550"/>
    <cellStyle name="40% - 强调文字颜色 3 18 6" xfId="11379"/>
    <cellStyle name="40% - 强调文字颜色 3 18 7" xfId="18785"/>
    <cellStyle name="40% - 强调文字颜色 3 18 8" xfId="23170"/>
    <cellStyle name="40% - 强调文字颜色 3 18 9" xfId="21108"/>
    <cellStyle name="40% - 强调文字颜色 3 19" xfId="932"/>
    <cellStyle name="40% - 强调文字颜色 3 19 10" xfId="3868"/>
    <cellStyle name="40% - 强调文字颜色 3 19 10 2" xfId="9308"/>
    <cellStyle name="40% - 强调文字颜色 3 19 10 3" xfId="15552"/>
    <cellStyle name="40% - 强调文字颜色 3 19 10 4" xfId="25161"/>
    <cellStyle name="40% - 强调文字颜色 3 19 10 5" xfId="28401"/>
    <cellStyle name="40% - 强调文字颜色 3 19 11" xfId="3869"/>
    <cellStyle name="40% - 强调文字颜色 3 19 11 2" xfId="9309"/>
    <cellStyle name="40% - 强调文字颜色 3 19 11 3" xfId="15553"/>
    <cellStyle name="40% - 强调文字颜色 3 19 11 4" xfId="25162"/>
    <cellStyle name="40% - 强调文字颜色 3 19 11 5" xfId="28402"/>
    <cellStyle name="40% - 强调文字颜色 3 19 12" xfId="3870"/>
    <cellStyle name="40% - 强调文字颜色 3 19 12 2" xfId="9310"/>
    <cellStyle name="40% - 强调文字颜色 3 19 12 3" xfId="15554"/>
    <cellStyle name="40% - 强调文字颜色 3 19 12 4" xfId="25163"/>
    <cellStyle name="40% - 强调文字颜色 3 19 12 5" xfId="28403"/>
    <cellStyle name="40% - 强调文字颜色 3 19 13" xfId="3871"/>
    <cellStyle name="40% - 强调文字颜色 3 19 13 2" xfId="9311"/>
    <cellStyle name="40% - 强调文字颜色 3 19 13 3" xfId="15555"/>
    <cellStyle name="40% - 强调文字颜色 3 19 13 4" xfId="25164"/>
    <cellStyle name="40% - 强调文字颜色 3 19 13 5" xfId="28404"/>
    <cellStyle name="40% - 强调文字颜色 3 19 14" xfId="3872"/>
    <cellStyle name="40% - 强调文字颜色 3 19 14 2" xfId="9312"/>
    <cellStyle name="40% - 强调文字颜色 3 19 14 3" xfId="15556"/>
    <cellStyle name="40% - 强调文字颜色 3 19 14 4" xfId="25165"/>
    <cellStyle name="40% - 强调文字颜色 3 19 14 5" xfId="28405"/>
    <cellStyle name="40% - 强调文字颜色 3 19 15" xfId="3873"/>
    <cellStyle name="40% - 强调文字颜色 3 19 15 2" xfId="9313"/>
    <cellStyle name="40% - 强调文字颜色 3 19 15 3" xfId="15557"/>
    <cellStyle name="40% - 强调文字颜色 3 19 15 4" xfId="25166"/>
    <cellStyle name="40% - 强调文字颜色 3 19 15 5" xfId="28406"/>
    <cellStyle name="40% - 强调文字颜色 3 19 16" xfId="3874"/>
    <cellStyle name="40% - 强调文字颜色 3 19 16 2" xfId="9314"/>
    <cellStyle name="40% - 强调文字颜色 3 19 16 3" xfId="15558"/>
    <cellStyle name="40% - 强调文字颜色 3 19 16 4" xfId="25167"/>
    <cellStyle name="40% - 强调文字颜色 3 19 16 5" xfId="28407"/>
    <cellStyle name="40% - 强调文字颜色 3 19 17" xfId="3875"/>
    <cellStyle name="40% - 强调文字颜色 3 19 17 2" xfId="9315"/>
    <cellStyle name="40% - 强调文字颜色 3 19 17 3" xfId="15559"/>
    <cellStyle name="40% - 强调文字颜色 3 19 17 4" xfId="25168"/>
    <cellStyle name="40% - 强调文字颜色 3 19 17 5" xfId="28408"/>
    <cellStyle name="40% - 强调文字颜色 3 19 18" xfId="3876"/>
    <cellStyle name="40% - 强调文字颜色 3 19 18 2" xfId="9316"/>
    <cellStyle name="40% - 强调文字颜色 3 19 18 3" xfId="15560"/>
    <cellStyle name="40% - 强调文字颜色 3 19 18 4" xfId="25169"/>
    <cellStyle name="40% - 强调文字颜色 3 19 18 5" xfId="28409"/>
    <cellStyle name="40% - 强调文字颜色 3 19 19" xfId="3877"/>
    <cellStyle name="40% - 强调文字颜色 3 19 19 2" xfId="9317"/>
    <cellStyle name="40% - 强调文字颜色 3 19 19 3" xfId="15561"/>
    <cellStyle name="40% - 强调文字颜色 3 19 19 4" xfId="25170"/>
    <cellStyle name="40% - 强调文字颜色 3 19 19 5" xfId="28410"/>
    <cellStyle name="40% - 强调文字颜色 3 19 2" xfId="933"/>
    <cellStyle name="40% - 强调文字颜色 3 19 2 10" xfId="30523"/>
    <cellStyle name="40% - 强调文字颜色 3 19 2 11" xfId="32240"/>
    <cellStyle name="40% - 强调文字颜色 3 19 2 2" xfId="3878"/>
    <cellStyle name="40% - 强调文字颜色 3 19 2 3" xfId="6479"/>
    <cellStyle name="40% - 强调文字颜色 3 19 2 4" xfId="12625"/>
    <cellStyle name="40% - 强调文字颜色 3 19 2 5" xfId="15562"/>
    <cellStyle name="40% - 强调文字颜色 3 19 2 6" xfId="11378"/>
    <cellStyle name="40% - 强调文字颜色 3 19 2 7" xfId="18788"/>
    <cellStyle name="40% - 强调文字颜色 3 19 2 8" xfId="21578"/>
    <cellStyle name="40% - 强调文字颜色 3 19 2 9" xfId="21107"/>
    <cellStyle name="40% - 强调文字颜色 3 19 20" xfId="3879"/>
    <cellStyle name="40% - 强调文字颜色 3 19 20 2" xfId="9318"/>
    <cellStyle name="40% - 强调文字颜色 3 19 20 3" xfId="15563"/>
    <cellStyle name="40% - 强调文字颜色 3 19 20 4" xfId="25171"/>
    <cellStyle name="40% - 强调文字颜色 3 19 20 5" xfId="28411"/>
    <cellStyle name="40% - 强调文字颜色 3 19 21" xfId="3880"/>
    <cellStyle name="40% - 强调文字颜色 3 19 21 2" xfId="9319"/>
    <cellStyle name="40% - 强调文字颜色 3 19 21 3" xfId="15564"/>
    <cellStyle name="40% - 强调文字颜色 3 19 21 4" xfId="25172"/>
    <cellStyle name="40% - 强调文字颜色 3 19 21 5" xfId="28412"/>
    <cellStyle name="40% - 强调文字颜色 3 19 22" xfId="3881"/>
    <cellStyle name="40% - 强调文字颜色 3 19 22 2" xfId="9320"/>
    <cellStyle name="40% - 强调文字颜色 3 19 22 3" xfId="15565"/>
    <cellStyle name="40% - 强调文字颜色 3 19 22 4" xfId="25173"/>
    <cellStyle name="40% - 强调文字颜色 3 19 22 5" xfId="28413"/>
    <cellStyle name="40% - 强调文字颜色 3 19 23" xfId="3882"/>
    <cellStyle name="40% - 强调文字颜色 3 19 23 2" xfId="9321"/>
    <cellStyle name="40% - 强调文字颜色 3 19 23 3" xfId="15566"/>
    <cellStyle name="40% - 强调文字颜色 3 19 23 4" xfId="25174"/>
    <cellStyle name="40% - 强调文字颜色 3 19 23 5" xfId="28414"/>
    <cellStyle name="40% - 强调文字颜色 3 19 24" xfId="6478"/>
    <cellStyle name="40% - 强调文字颜色 3 19 25" xfId="11018"/>
    <cellStyle name="40% - 强调文字颜色 3 19 26" xfId="12624"/>
    <cellStyle name="40% - 强调文字颜色 3 19 27" xfId="15551"/>
    <cellStyle name="40% - 强调文字颜色 3 19 28" xfId="10242"/>
    <cellStyle name="40% - 强调文字颜色 3 19 29" xfId="18787"/>
    <cellStyle name="40% - 强调文字颜色 3 19 3" xfId="3867"/>
    <cellStyle name="40% - 强调文字颜色 3 19 3 2" xfId="9322"/>
    <cellStyle name="40% - 强调文字颜色 3 19 3 3" xfId="15567"/>
    <cellStyle name="40% - 强调文字颜色 3 19 3 4" xfId="25175"/>
    <cellStyle name="40% - 强调文字颜色 3 19 3 5" xfId="28400"/>
    <cellStyle name="40% - 强调文字颜色 3 19 30" xfId="22187"/>
    <cellStyle name="40% - 强调文字颜色 3 19 31" xfId="19886"/>
    <cellStyle name="40% - 强调文字颜色 3 19 32" xfId="30522"/>
    <cellStyle name="40% - 强调文字颜色 3 19 33" xfId="31774"/>
    <cellStyle name="40% - 强调文字颜色 3 19 4" xfId="3884"/>
    <cellStyle name="40% - 强调文字颜色 3 19 4 2" xfId="9323"/>
    <cellStyle name="40% - 强调文字颜色 3 19 4 3" xfId="15568"/>
    <cellStyle name="40% - 强调文字颜色 3 19 4 4" xfId="25176"/>
    <cellStyle name="40% - 强调文字颜色 3 19 4 5" xfId="28415"/>
    <cellStyle name="40% - 强调文字颜色 3 19 5" xfId="3885"/>
    <cellStyle name="40% - 强调文字颜色 3 19 5 2" xfId="9324"/>
    <cellStyle name="40% - 强调文字颜色 3 19 5 3" xfId="15569"/>
    <cellStyle name="40% - 强调文字颜色 3 19 5 4" xfId="25177"/>
    <cellStyle name="40% - 强调文字颜色 3 19 5 5" xfId="28416"/>
    <cellStyle name="40% - 强调文字颜色 3 19 6" xfId="3886"/>
    <cellStyle name="40% - 强调文字颜色 3 19 6 2" xfId="9325"/>
    <cellStyle name="40% - 强调文字颜色 3 19 6 3" xfId="15570"/>
    <cellStyle name="40% - 强调文字颜色 3 19 6 4" xfId="25178"/>
    <cellStyle name="40% - 强调文字颜色 3 19 6 5" xfId="28417"/>
    <cellStyle name="40% - 强调文字颜色 3 19 7" xfId="3887"/>
    <cellStyle name="40% - 强调文字颜色 3 19 7 2" xfId="9326"/>
    <cellStyle name="40% - 强调文字颜色 3 19 7 3" xfId="15571"/>
    <cellStyle name="40% - 强调文字颜色 3 19 7 4" xfId="25179"/>
    <cellStyle name="40% - 强调文字颜色 3 19 7 5" xfId="28418"/>
    <cellStyle name="40% - 强调文字颜色 3 19 8" xfId="3888"/>
    <cellStyle name="40% - 强调文字颜色 3 19 8 2" xfId="9327"/>
    <cellStyle name="40% - 强调文字颜色 3 19 8 3" xfId="15572"/>
    <cellStyle name="40% - 强调文字颜色 3 19 8 4" xfId="25180"/>
    <cellStyle name="40% - 强调文字颜色 3 19 8 5" xfId="28419"/>
    <cellStyle name="40% - 强调文字颜色 3 19 9" xfId="3889"/>
    <cellStyle name="40% - 强调文字颜色 3 19 9 2" xfId="9328"/>
    <cellStyle name="40% - 强调文字颜色 3 19 9 3" xfId="15573"/>
    <cellStyle name="40% - 强调文字颜色 3 19 9 4" xfId="25181"/>
    <cellStyle name="40% - 强调文字颜色 3 19 9 5" xfId="28420"/>
    <cellStyle name="40% - 强调文字颜色 3 2" xfId="934"/>
    <cellStyle name="40% - 强调文字颜色 3 2 10" xfId="935"/>
    <cellStyle name="40% - 强调文字颜色 3 2 10 10" xfId="30524"/>
    <cellStyle name="40% - 强调文字颜色 3 2 10 11" xfId="31773"/>
    <cellStyle name="40% - 强调文字颜色 3 2 10 2" xfId="3891"/>
    <cellStyle name="40% - 强调文字颜色 3 2 10 3" xfId="6481"/>
    <cellStyle name="40% - 强调文字颜色 3 2 10 4" xfId="12627"/>
    <cellStyle name="40% - 强调文字颜色 3 2 10 5" xfId="15575"/>
    <cellStyle name="40% - 强调文字颜色 3 2 10 6" xfId="11374"/>
    <cellStyle name="40% - 强调文字颜色 3 2 10 7" xfId="18790"/>
    <cellStyle name="40% - 强调文字颜色 3 2 10 8" xfId="22839"/>
    <cellStyle name="40% - 强调文字颜色 3 2 10 9" xfId="19885"/>
    <cellStyle name="40% - 强调文字颜色 3 2 11" xfId="936"/>
    <cellStyle name="40% - 强调文字颜色 3 2 11 10" xfId="30525"/>
    <cellStyle name="40% - 强调文字颜色 3 2 11 11" xfId="33370"/>
    <cellStyle name="40% - 强调文字颜色 3 2 11 2" xfId="3892"/>
    <cellStyle name="40% - 强调文字颜色 3 2 11 3" xfId="6482"/>
    <cellStyle name="40% - 强调文字颜色 3 2 11 4" xfId="12628"/>
    <cellStyle name="40% - 强调文字颜色 3 2 11 5" xfId="15576"/>
    <cellStyle name="40% - 强调文字颜色 3 2 11 6" xfId="10237"/>
    <cellStyle name="40% - 强调文字颜色 3 2 11 7" xfId="18791"/>
    <cellStyle name="40% - 强调文字颜色 3 2 11 8" xfId="22621"/>
    <cellStyle name="40% - 强调文字颜色 3 2 11 9" xfId="21106"/>
    <cellStyle name="40% - 强调文字颜色 3 2 12" xfId="937"/>
    <cellStyle name="40% - 强调文字颜色 3 2 12 10" xfId="30526"/>
    <cellStyle name="40% - 强调文字颜色 3 2 12 11" xfId="33122"/>
    <cellStyle name="40% - 强调文字颜色 3 2 12 2" xfId="3893"/>
    <cellStyle name="40% - 强调文字颜色 3 2 12 3" xfId="6483"/>
    <cellStyle name="40% - 强调文字颜色 3 2 12 4" xfId="12629"/>
    <cellStyle name="40% - 强调文字颜色 3 2 12 5" xfId="15577"/>
    <cellStyle name="40% - 强调文字颜色 3 2 12 6" xfId="11376"/>
    <cellStyle name="40% - 强调文字颜色 3 2 12 7" xfId="18792"/>
    <cellStyle name="40% - 强调文字颜色 3 2 12 8" xfId="22186"/>
    <cellStyle name="40% - 强调文字颜色 3 2 12 9" xfId="20536"/>
    <cellStyle name="40% - 强调文字颜色 3 2 13" xfId="938"/>
    <cellStyle name="40% - 强调文字颜色 3 2 13 10" xfId="30527"/>
    <cellStyle name="40% - 强调文字颜色 3 2 13 11" xfId="32717"/>
    <cellStyle name="40% - 强调文字颜色 3 2 13 2" xfId="3894"/>
    <cellStyle name="40% - 强调文字颜色 3 2 13 3" xfId="6484"/>
    <cellStyle name="40% - 强调文字颜色 3 2 13 4" xfId="12630"/>
    <cellStyle name="40% - 强调文字颜色 3 2 13 5" xfId="15578"/>
    <cellStyle name="40% - 强调文字颜色 3 2 13 6" xfId="10239"/>
    <cellStyle name="40% - 强调文字颜色 3 2 13 7" xfId="18793"/>
    <cellStyle name="40% - 强调文字颜色 3 2 13 8" xfId="23168"/>
    <cellStyle name="40% - 强调文字颜色 3 2 13 9" xfId="19884"/>
    <cellStyle name="40% - 强调文字颜色 3 2 14" xfId="939"/>
    <cellStyle name="40% - 强调文字颜色 3 2 14 10" xfId="22838"/>
    <cellStyle name="40% - 强调文字颜色 3 2 14 10 2" xfId="29520"/>
    <cellStyle name="40% - 强调文字颜色 3 2 14 11" xfId="21105"/>
    <cellStyle name="40% - 强调文字颜色 3 2 14 11 2" xfId="29715"/>
    <cellStyle name="40% - 强调文字颜色 3 2 14 12" xfId="30528"/>
    <cellStyle name="40% - 强调文字颜色 3 2 14 13" xfId="32472"/>
    <cellStyle name="40% - 强调文字颜色 3 2 14 2" xfId="940"/>
    <cellStyle name="40% - 强调文字颜色 3 2 14 2 2" xfId="6486"/>
    <cellStyle name="40% - 强调文字颜色 3 2 14 2 2 2" xfId="23573"/>
    <cellStyle name="40% - 强调文字颜色 3 2 14 2 2 3" xfId="26158"/>
    <cellStyle name="40% - 强调文字颜色 3 2 14 2 2 4" xfId="23572"/>
    <cellStyle name="40% - 强调文字颜色 3 2 14 2 3" xfId="12632"/>
    <cellStyle name="40% - 强调文字颜色 3 2 14 2 4" xfId="10238"/>
    <cellStyle name="40% - 强调文字颜色 3 2 14 2 4 2" xfId="26573"/>
    <cellStyle name="40% - 强调文字颜色 3 2 14 2 4 2 2" xfId="27046"/>
    <cellStyle name="40% - 强调文字颜色 3 2 14 2 4 3" xfId="26157"/>
    <cellStyle name="40% - 强调文字颜色 3 2 14 2 5" xfId="18795"/>
    <cellStyle name="40% - 强调文字颜色 3 2 14 2 6" xfId="22620"/>
    <cellStyle name="40% - 强调文字颜色 3 2 14 2 6 2" xfId="29606"/>
    <cellStyle name="40% - 强调文字颜色 3 2 14 2 7" xfId="20535"/>
    <cellStyle name="40% - 强调文字颜色 3 2 14 2 7 2" xfId="29610"/>
    <cellStyle name="40% - 强调文字颜色 3 2 14 2 8" xfId="31576"/>
    <cellStyle name="40% - 强调文字颜色 3 2 14 2 9" xfId="30821"/>
    <cellStyle name="40% - 强调文字颜色 3 2 14 3" xfId="3895"/>
    <cellStyle name="40% - 强调文字颜色 3 2 14 4" xfId="6485"/>
    <cellStyle name="40% - 强调文字颜色 3 2 14 4 2" xfId="9330"/>
    <cellStyle name="40% - 强调文字颜色 3 2 14 4 2 2" xfId="29433"/>
    <cellStyle name="40% - 强调文字颜色 3 2 14 4 2 3" xfId="29366"/>
    <cellStyle name="40% - 强调文字颜色 3 2 14 4 3" xfId="17336"/>
    <cellStyle name="40% - 强调文字颜色 3 2 14 4 4" xfId="21916"/>
    <cellStyle name="40% - 强调文字颜色 3 2 14 4 5" xfId="22692"/>
    <cellStyle name="40% - 强调文字颜色 3 2 14 4 6" xfId="29696"/>
    <cellStyle name="40% - 强调文字颜色 3 2 14 4 7" xfId="32050"/>
    <cellStyle name="40% - 强调文字颜色 3 2 14 4 8" xfId="32315"/>
    <cellStyle name="40% - 强调文字颜色 3 2 14 5" xfId="11020"/>
    <cellStyle name="40% - 强调文字颜色 3 2 14 6" xfId="12631"/>
    <cellStyle name="40% - 强调文字颜色 3 2 14 7" xfId="15579"/>
    <cellStyle name="40% - 强调文字颜色 3 2 14 8" xfId="11375"/>
    <cellStyle name="40% - 强调文字颜色 3 2 14 8 2" xfId="26572"/>
    <cellStyle name="40% - 强调文字颜色 3 2 14 8 3" xfId="25183"/>
    <cellStyle name="40% - 强调文字颜色 3 2 14 9" xfId="18794"/>
    <cellStyle name="40% - 强调文字颜色 3 2 14 9 2" xfId="29478"/>
    <cellStyle name="40% - 强调文字颜色 3 2 14 9 2 2" xfId="33215"/>
    <cellStyle name="40% - 强调文字颜色 3 2 14 9 3" xfId="33548"/>
    <cellStyle name="40% - 强调文字颜色 3 2 14 9 4" xfId="26794"/>
    <cellStyle name="40% - 强调文字颜色 3 2 15" xfId="941"/>
    <cellStyle name="40% - 强调文字颜色 3 2 15 10" xfId="30529"/>
    <cellStyle name="40% - 强调文字颜色 3 2 15 11" xfId="32238"/>
    <cellStyle name="40% - 强调文字颜色 3 2 15 2" xfId="3896"/>
    <cellStyle name="40% - 强调文字颜色 3 2 15 3" xfId="6487"/>
    <cellStyle name="40% - 强调文字颜色 3 2 15 4" xfId="12633"/>
    <cellStyle name="40% - 强调文字颜色 3 2 15 5" xfId="15580"/>
    <cellStyle name="40% - 强调文字颜色 3 2 15 6" xfId="11371"/>
    <cellStyle name="40% - 强调文字颜色 3 2 15 7" xfId="18796"/>
    <cellStyle name="40% - 强调文字颜色 3 2 15 8" xfId="22185"/>
    <cellStyle name="40% - 强调文字颜色 3 2 15 9" xfId="19883"/>
    <cellStyle name="40% - 强调文字颜色 3 2 16" xfId="942"/>
    <cellStyle name="40% - 强调文字颜色 3 2 16 10" xfId="30530"/>
    <cellStyle name="40% - 强调文字颜色 3 2 16 11" xfId="31772"/>
    <cellStyle name="40% - 强调文字颜色 3 2 16 2" xfId="3897"/>
    <cellStyle name="40% - 强调文字颜色 3 2 16 3" xfId="6488"/>
    <cellStyle name="40% - 强调文字颜色 3 2 16 4" xfId="12634"/>
    <cellStyle name="40% - 强调文字颜色 3 2 16 5" xfId="15581"/>
    <cellStyle name="40% - 强调文字颜色 3 2 16 6" xfId="10234"/>
    <cellStyle name="40% - 强调文字颜色 3 2 16 7" xfId="18797"/>
    <cellStyle name="40% - 强调文字颜色 3 2 16 8" xfId="23167"/>
    <cellStyle name="40% - 强调文字颜色 3 2 16 9" xfId="21104"/>
    <cellStyle name="40% - 强调文字颜色 3 2 17" xfId="943"/>
    <cellStyle name="40% - 强调文字颜色 3 2 17 10" xfId="30531"/>
    <cellStyle name="40% - 强调文字颜色 3 2 17 11" xfId="33369"/>
    <cellStyle name="40% - 强调文字颜色 3 2 17 2" xfId="3898"/>
    <cellStyle name="40% - 强调文字颜色 3 2 17 3" xfId="6489"/>
    <cellStyle name="40% - 强调文字颜色 3 2 17 4" xfId="12635"/>
    <cellStyle name="40% - 强调文字颜色 3 2 17 5" xfId="15582"/>
    <cellStyle name="40% - 强调文字颜色 3 2 17 6" xfId="11373"/>
    <cellStyle name="40% - 强调文字颜色 3 2 17 7" xfId="18798"/>
    <cellStyle name="40% - 强调文字颜色 3 2 17 8" xfId="22837"/>
    <cellStyle name="40% - 强调文字颜色 3 2 17 9" xfId="20534"/>
    <cellStyle name="40% - 强调文字颜色 3 2 18" xfId="944"/>
    <cellStyle name="40% - 强调文字颜色 3 2 18 10" xfId="30532"/>
    <cellStyle name="40% - 强调文字颜色 3 2 18 11" xfId="33119"/>
    <cellStyle name="40% - 强调文字颜色 3 2 18 2" xfId="3899"/>
    <cellStyle name="40% - 强调文字颜色 3 2 18 3" xfId="6490"/>
    <cellStyle name="40% - 强调文字颜色 3 2 18 4" xfId="12636"/>
    <cellStyle name="40% - 强调文字颜色 3 2 18 5" xfId="15583"/>
    <cellStyle name="40% - 强调文字颜色 3 2 18 6" xfId="10236"/>
    <cellStyle name="40% - 强调文字颜色 3 2 18 7" xfId="18799"/>
    <cellStyle name="40% - 强调文字颜色 3 2 18 8" xfId="22619"/>
    <cellStyle name="40% - 强调文字颜色 3 2 18 9" xfId="19882"/>
    <cellStyle name="40% - 强调文字颜色 3 2 19" xfId="3890"/>
    <cellStyle name="40% - 强调文字颜色 3 2 19 2" xfId="23571"/>
    <cellStyle name="40% - 强调文字颜色 3 2 19 2 2" xfId="23638"/>
    <cellStyle name="40% - 强调文字颜色 3 2 19 2 2 2" xfId="29605"/>
    <cellStyle name="40% - 强调文字颜色 3 2 19 2 2 2 2" xfId="29646"/>
    <cellStyle name="40% - 强调文字颜色 3 2 19 2 3" xfId="26223"/>
    <cellStyle name="40% - 强调文字颜色 3 2 19 2 4" xfId="31862"/>
    <cellStyle name="40% - 强调文字颜色 3 2 19 2 5" xfId="31869"/>
    <cellStyle name="40% - 强调文字颜色 3 2 19 3" xfId="26156"/>
    <cellStyle name="40% - 强调文字颜色 3 2 19 3 2" xfId="26977"/>
    <cellStyle name="40% - 强调文字颜色 3 2 19 3 2 2" xfId="27045"/>
    <cellStyle name="40% - 强调文字颜色 3 2 19 3 2 2 2" xfId="33454"/>
    <cellStyle name="40% - 强调文字颜色 3 2 19 3 2 2 2 2" xfId="33474"/>
    <cellStyle name="40% - 强调文字颜色 3 2 19 3 2 3" xfId="33592"/>
    <cellStyle name="40% - 强调文字颜色 3 2 19 3 3" xfId="29672"/>
    <cellStyle name="40% - 强调文字颜色 3 2 19 3 3 2" xfId="33575"/>
    <cellStyle name="40% - 强调文字颜色 3 2 19 4" xfId="28421"/>
    <cellStyle name="40% - 强调文字颜色 3 2 19 4 2" xfId="31572"/>
    <cellStyle name="40% - 强调文字颜色 3 2 19 5" xfId="32563"/>
    <cellStyle name="40% - 强调文字颜色 3 2 2" xfId="945"/>
    <cellStyle name="40% - 强调文字颜色 3 2 2 10" xfId="11021"/>
    <cellStyle name="40% - 强调文字颜色 3 2 2 10 2" xfId="23787"/>
    <cellStyle name="40% - 强调文字颜色 3 2 2 10 2 2" xfId="26980"/>
    <cellStyle name="40% - 强调文字颜色 3 2 2 10 2 2 2" xfId="27117"/>
    <cellStyle name="40% - 强调文字颜色 3 2 2 10 3" xfId="26372"/>
    <cellStyle name="40% - 强调文字颜色 3 2 2 10 4" xfId="23512"/>
    <cellStyle name="40% - 强调文字颜色 3 2 2 11" xfId="12637"/>
    <cellStyle name="40% - 强调文字颜色 3 2 2 12" xfId="15584"/>
    <cellStyle name="40% - 强调文字颜色 3 2 2 13" xfId="11372"/>
    <cellStyle name="40% - 强调文字颜色 3 2 2 13 2" xfId="29460"/>
    <cellStyle name="40% - 强调文字颜色 3 2 2 13 2 2" xfId="32949"/>
    <cellStyle name="40% - 强调文字颜色 3 2 2 13 3" xfId="32082"/>
    <cellStyle name="40% - 强调文字颜色 3 2 2 13 4" xfId="25184"/>
    <cellStyle name="40% - 强调文字颜色 3 2 2 14" xfId="18800"/>
    <cellStyle name="40% - 强调文字颜色 3 2 2 15" xfId="22184"/>
    <cellStyle name="40% - 强调文字颜色 3 2 2 15 2" xfId="29521"/>
    <cellStyle name="40% - 强调文字颜色 3 2 2 16" xfId="21103"/>
    <cellStyle name="40% - 强调文字颜色 3 2 2 16 2" xfId="29690"/>
    <cellStyle name="40% - 强调文字颜色 3 2 2 17" xfId="30533"/>
    <cellStyle name="40% - 强调文字颜色 3 2 2 18" xfId="32712"/>
    <cellStyle name="40% - 强调文字颜色 3 2 2 2" xfId="946"/>
    <cellStyle name="40% - 强调文字颜色 3 2 2 2 10" xfId="22608"/>
    <cellStyle name="40% - 强调文字颜色 3 2 2 2 10 2" xfId="29522"/>
    <cellStyle name="40% - 强调文字颜色 3 2 2 2 11" xfId="20533"/>
    <cellStyle name="40% - 强调文字颜色 3 2 2 2 11 2" xfId="29680"/>
    <cellStyle name="40% - 强调文字颜色 3 2 2 2 12" xfId="30534"/>
    <cellStyle name="40% - 强调文字颜色 3 2 2 2 13" xfId="32468"/>
    <cellStyle name="40% - 强调文字颜色 3 2 2 2 2" xfId="947"/>
    <cellStyle name="40% - 强调文字颜色 3 2 2 2 2 2" xfId="6493"/>
    <cellStyle name="40% - 强调文字颜色 3 2 2 2 2 3" xfId="12639"/>
    <cellStyle name="40% - 强调文字颜色 3 2 2 2 2 3 2" xfId="23872"/>
    <cellStyle name="40% - 强调文字颜色 3 2 2 2 2 3 3" xfId="26457"/>
    <cellStyle name="40% - 强调文字颜色 3 2 2 2 2 3 4" xfId="23575"/>
    <cellStyle name="40% - 强调文字颜色 3 2 2 2 2 4" xfId="11368"/>
    <cellStyle name="40% - 强调文字颜色 3 2 2 2 2 4 2" xfId="26575"/>
    <cellStyle name="40% - 强调文字颜色 3 2 2 2 2 4 2 2" xfId="27048"/>
    <cellStyle name="40% - 强调文字颜色 3 2 2 2 2 4 3" xfId="26160"/>
    <cellStyle name="40% - 强调文字颜色 3 2 2 2 2 5" xfId="18802"/>
    <cellStyle name="40% - 强调文字颜色 3 2 2 2 2 6" xfId="22109"/>
    <cellStyle name="40% - 强调文字颜色 3 2 2 2 2 6 2" xfId="29608"/>
    <cellStyle name="40% - 强调文字颜色 3 2 2 2 2 6 2 2" xfId="33217"/>
    <cellStyle name="40% - 强调文字颜色 3 2 2 2 2 6 3" xfId="33549"/>
    <cellStyle name="40% - 强调文字颜色 3 2 2 2 2 7" xfId="19881"/>
    <cellStyle name="40% - 强调文字颜色 3 2 2 2 2 7 2" xfId="29671"/>
    <cellStyle name="40% - 强调文字颜色 3 2 2 2 2 8" xfId="31578"/>
    <cellStyle name="40% - 强调文字颜色 3 2 2 2 2 9" xfId="32562"/>
    <cellStyle name="40% - 强调文字颜色 3 2 2 2 3" xfId="3901"/>
    <cellStyle name="40% - 强调文字颜色 3 2 2 2 3 2" xfId="23640"/>
    <cellStyle name="40% - 强调文字颜色 3 2 2 2 3 2 2" xfId="26576"/>
    <cellStyle name="40% - 强调文字颜色 3 2 2 2 3 2 2 2" xfId="27076"/>
    <cellStyle name="40% - 强调文字颜色 3 2 2 2 3 3" xfId="26225"/>
    <cellStyle name="40% - 强调文字颜色 3 2 2 2 4" xfId="6492"/>
    <cellStyle name="40% - 强调文字颜色 3 2 2 2 4 2" xfId="9332"/>
    <cellStyle name="40% - 强调文字颜色 3 2 2 2 4 2 2" xfId="26577"/>
    <cellStyle name="40% - 强调文字颜色 3 2 2 2 4 2 2 2" xfId="27094"/>
    <cellStyle name="40% - 强调文字颜色 3 2 2 2 4 2 2 2 2" xfId="32951"/>
    <cellStyle name="40% - 强调文字颜色 3 2 2 2 4 2 2 2 2 2" xfId="33499"/>
    <cellStyle name="40% - 强调文字颜色 3 2 2 2 4 2 2 3" xfId="33615"/>
    <cellStyle name="40% - 强调文字颜色 3 2 2 2 4 2 3" xfId="29435"/>
    <cellStyle name="40% - 强调文字颜色 3 2 2 2 4 2 3 2" xfId="31848"/>
    <cellStyle name="40% - 强调文字颜色 3 2 2 2 4 3" xfId="17338"/>
    <cellStyle name="40% - 强调文字颜色 3 2 2 2 4 3 2" xfId="29368"/>
    <cellStyle name="40% - 强调文字颜色 3 2 2 2 4 3 2 2" xfId="29464"/>
    <cellStyle name="40% - 强调文字颜色 3 2 2 2 4 4" xfId="21918"/>
    <cellStyle name="40% - 强调文字颜色 3 2 2 2 4 5" xfId="21919"/>
    <cellStyle name="40% - 强调文字颜色 3 2 2 2 4 6" xfId="29511"/>
    <cellStyle name="40% - 强调文字颜色 3 2 2 2 4 7" xfId="32052"/>
    <cellStyle name="40% - 强调文字颜色 3 2 2 2 4 8" xfId="33216"/>
    <cellStyle name="40% - 强调文字颜色 3 2 2 2 5" xfId="11022"/>
    <cellStyle name="40% - 强调文字颜色 3 2 2 2 5 2" xfId="23788"/>
    <cellStyle name="40% - 强调文字颜色 3 2 2 2 5 2 2" xfId="26981"/>
    <cellStyle name="40% - 强调文字颜色 3 2 2 2 5 2 2 2" xfId="27118"/>
    <cellStyle name="40% - 强调文字颜色 3 2 2 2 5 3" xfId="26373"/>
    <cellStyle name="40% - 强调文字颜色 3 2 2 2 5 4" xfId="23513"/>
    <cellStyle name="40% - 强调文字颜色 3 2 2 2 6" xfId="12638"/>
    <cellStyle name="40% - 强调文字颜色 3 2 2 2 7" xfId="15585"/>
    <cellStyle name="40% - 强调文字颜色 3 2 2 2 8" xfId="10235"/>
    <cellStyle name="40% - 强调文字颜色 3 2 2 2 8 2" xfId="29450"/>
    <cellStyle name="40% - 强调文字颜色 3 2 2 2 8 2 2" xfId="32950"/>
    <cellStyle name="40% - 强调文字颜色 3 2 2 2 8 3" xfId="32536"/>
    <cellStyle name="40% - 强调文字颜色 3 2 2 2 8 4" xfId="25185"/>
    <cellStyle name="40% - 强调文字颜色 3 2 2 2 9" xfId="18801"/>
    <cellStyle name="40% - 强调文字颜色 3 2 2 3" xfId="948"/>
    <cellStyle name="40% - 强调文字颜色 3 2 2 3 10" xfId="30535"/>
    <cellStyle name="40% - 强调文字颜色 3 2 2 3 11" xfId="32235"/>
    <cellStyle name="40% - 强调文字颜色 3 2 2 3 2" xfId="3902"/>
    <cellStyle name="40% - 强调文字颜色 3 2 2 3 3" xfId="6494"/>
    <cellStyle name="40% - 强调文字颜色 3 2 2 3 4" xfId="12640"/>
    <cellStyle name="40% - 强调文字颜色 3 2 2 3 5" xfId="15586"/>
    <cellStyle name="40% - 强调文字颜色 3 2 2 3 6" xfId="10231"/>
    <cellStyle name="40% - 强调文字颜色 3 2 2 3 7" xfId="18803"/>
    <cellStyle name="40% - 强调文字颜色 3 2 2 3 8" xfId="23166"/>
    <cellStyle name="40% - 强调文字颜色 3 2 2 3 9" xfId="21102"/>
    <cellStyle name="40% - 强调文字颜色 3 2 2 4" xfId="949"/>
    <cellStyle name="40% - 强调文字颜色 3 2 2 4 10" xfId="30536"/>
    <cellStyle name="40% - 强调文字颜色 3 2 2 4 11" xfId="32071"/>
    <cellStyle name="40% - 强调文字颜色 3 2 2 4 2" xfId="3903"/>
    <cellStyle name="40% - 强调文字颜色 3 2 2 4 3" xfId="6495"/>
    <cellStyle name="40% - 强调文字颜色 3 2 2 4 4" xfId="12641"/>
    <cellStyle name="40% - 强调文字颜色 3 2 2 4 5" xfId="15587"/>
    <cellStyle name="40% - 强调文字颜色 3 2 2 4 6" xfId="11370"/>
    <cellStyle name="40% - 强调文字颜色 3 2 2 4 7" xfId="18804"/>
    <cellStyle name="40% - 强调文字颜色 3 2 2 4 8" xfId="22183"/>
    <cellStyle name="40% - 强调文字颜色 3 2 2 4 9" xfId="20532"/>
    <cellStyle name="40% - 强调文字颜色 3 2 2 5" xfId="950"/>
    <cellStyle name="40% - 强调文字颜色 3 2 2 5 10" xfId="30537"/>
    <cellStyle name="40% - 强调文字颜色 3 2 2 5 11" xfId="31769"/>
    <cellStyle name="40% - 强调文字颜色 3 2 2 5 2" xfId="3904"/>
    <cellStyle name="40% - 强调文字颜色 3 2 2 5 3" xfId="6496"/>
    <cellStyle name="40% - 强调文字颜色 3 2 2 5 4" xfId="12642"/>
    <cellStyle name="40% - 强调文字颜色 3 2 2 5 5" xfId="15588"/>
    <cellStyle name="40% - 强调文字颜色 3 2 2 5 6" xfId="10233"/>
    <cellStyle name="40% - 强调文字颜色 3 2 2 5 7" xfId="18805"/>
    <cellStyle name="40% - 强调文字颜色 3 2 2 5 8" xfId="21674"/>
    <cellStyle name="40% - 强调文字颜色 3 2 2 5 9" xfId="19880"/>
    <cellStyle name="40% - 强调文字颜色 3 2 2 6" xfId="951"/>
    <cellStyle name="40% - 强调文字颜色 3 2 2 6 10" xfId="30538"/>
    <cellStyle name="40% - 强调文字颜色 3 2 2 6 11" xfId="33367"/>
    <cellStyle name="40% - 强调文字颜色 3 2 2 6 2" xfId="3905"/>
    <cellStyle name="40% - 强调文字颜色 3 2 2 6 3" xfId="6497"/>
    <cellStyle name="40% - 强调文字颜色 3 2 2 6 4" xfId="12643"/>
    <cellStyle name="40% - 强调文字颜色 3 2 2 6 5" xfId="15589"/>
    <cellStyle name="40% - 强调文字颜色 3 2 2 6 6" xfId="11369"/>
    <cellStyle name="40% - 强调文字颜色 3 2 2 6 7" xfId="18806"/>
    <cellStyle name="40% - 强调文字颜色 3 2 2 6 8" xfId="23165"/>
    <cellStyle name="40% - 强调文字颜色 3 2 2 6 9" xfId="21482"/>
    <cellStyle name="40% - 强调文字颜色 3 2 2 7" xfId="952"/>
    <cellStyle name="40% - 强调文字颜色 3 2 2 7 10" xfId="30539"/>
    <cellStyle name="40% - 强调文字颜色 3 2 2 7 11" xfId="33120"/>
    <cellStyle name="40% - 强调文字颜色 3 2 2 7 2" xfId="3906"/>
    <cellStyle name="40% - 强调文字颜色 3 2 2 7 3" xfId="6498"/>
    <cellStyle name="40% - 强调文字颜色 3 2 2 7 4" xfId="12644"/>
    <cellStyle name="40% - 强调文字颜色 3 2 2 7 5" xfId="15590"/>
    <cellStyle name="40% - 强调文字颜色 3 2 2 7 6" xfId="10232"/>
    <cellStyle name="40% - 强调文字颜色 3 2 2 7 7" xfId="18807"/>
    <cellStyle name="40% - 强调文字颜色 3 2 2 7 8" xfId="22182"/>
    <cellStyle name="40% - 强调文字颜色 3 2 2 7 9" xfId="20307"/>
    <cellStyle name="40% - 强调文字颜色 3 2 2 8" xfId="3900"/>
    <cellStyle name="40% - 强调文字颜色 3 2 2 8 2" xfId="23574"/>
    <cellStyle name="40% - 强调文字颜色 3 2 2 8 2 2" xfId="23639"/>
    <cellStyle name="40% - 强调文字颜色 3 2 2 8 2 2 2" xfId="29607"/>
    <cellStyle name="40% - 强调文字颜色 3 2 2 8 2 2 2 2" xfId="29647"/>
    <cellStyle name="40% - 强调文字颜色 3 2 2 8 2 3" xfId="26224"/>
    <cellStyle name="40% - 强调文字颜色 3 2 2 8 2 4" xfId="31863"/>
    <cellStyle name="40% - 强调文字颜色 3 2 2 8 2 5" xfId="32547"/>
    <cellStyle name="40% - 强调文字颜色 3 2 2 8 3" xfId="26159"/>
    <cellStyle name="40% - 强调文字颜色 3 2 2 8 3 2" xfId="26978"/>
    <cellStyle name="40% - 强调文字颜色 3 2 2 8 3 2 2" xfId="27047"/>
    <cellStyle name="40% - 强调文字颜色 3 2 2 8 3 2 2 2" xfId="33455"/>
    <cellStyle name="40% - 强调文字颜色 3 2 2 8 3 2 2 2 2" xfId="33475"/>
    <cellStyle name="40% - 强调文字颜色 3 2 2 8 3 2 3" xfId="33593"/>
    <cellStyle name="40% - 强调文字颜色 3 2 2 8 3 3" xfId="29688"/>
    <cellStyle name="40% - 强调文字颜色 3 2 2 8 3 3 2" xfId="33576"/>
    <cellStyle name="40% - 强调文字颜色 3 2 2 8 4" xfId="28422"/>
    <cellStyle name="40% - 强调文字颜色 3 2 2 8 4 2" xfId="31577"/>
    <cellStyle name="40% - 强调文字颜色 3 2 2 8 5" xfId="30820"/>
    <cellStyle name="40% - 强调文字颜色 3 2 2 9" xfId="6491"/>
    <cellStyle name="40% - 强调文字颜色 3 2 2 9 2" xfId="9331"/>
    <cellStyle name="40% - 强调文字颜色 3 2 2 9 2 2" xfId="26580"/>
    <cellStyle name="40% - 强调文字颜色 3 2 2 9 2 2 2" xfId="27093"/>
    <cellStyle name="40% - 强调文字颜色 3 2 2 9 2 2 2 2" xfId="32952"/>
    <cellStyle name="40% - 强调文字颜色 3 2 2 9 2 2 2 2 2" xfId="33498"/>
    <cellStyle name="40% - 强调文字颜色 3 2 2 9 2 2 3" xfId="33614"/>
    <cellStyle name="40% - 强调文字颜色 3 2 2 9 2 3" xfId="29434"/>
    <cellStyle name="40% - 强调文字颜色 3 2 2 9 2 3 2" xfId="32535"/>
    <cellStyle name="40% - 强调文字颜色 3 2 2 9 3" xfId="17337"/>
    <cellStyle name="40% - 强调文字颜色 3 2 2 9 3 2" xfId="29367"/>
    <cellStyle name="40% - 强调文字颜色 3 2 2 9 3 2 2" xfId="29463"/>
    <cellStyle name="40% - 强调文字颜色 3 2 2 9 4" xfId="21917"/>
    <cellStyle name="40% - 强调文字颜色 3 2 2 9 5" xfId="22476"/>
    <cellStyle name="40% - 强调文字颜色 3 2 2 9 6" xfId="29640"/>
    <cellStyle name="40% - 强调文字颜色 3 2 2 9 7" xfId="32051"/>
    <cellStyle name="40% - 强调文字颜色 3 2 2 9 8" xfId="32091"/>
    <cellStyle name="40% - 强调文字颜色 3 2 20" xfId="6480"/>
    <cellStyle name="40% - 强调文字颜色 3 2 20 2" xfId="9329"/>
    <cellStyle name="40% - 强调文字颜色 3 2 20 2 2" xfId="26581"/>
    <cellStyle name="40% - 强调文字颜色 3 2 20 2 2 2" xfId="27092"/>
    <cellStyle name="40% - 强调文字颜色 3 2 20 2 2 2 2" xfId="32953"/>
    <cellStyle name="40% - 强调文字颜色 3 2 20 2 2 2 2 2" xfId="33497"/>
    <cellStyle name="40% - 强调文字颜色 3 2 20 2 2 3" xfId="33613"/>
    <cellStyle name="40% - 强调文字颜色 3 2 20 2 3" xfId="29432"/>
    <cellStyle name="40% - 强调文字颜色 3 2 20 2 3 2" xfId="31847"/>
    <cellStyle name="40% - 强调文字颜色 3 2 20 3" xfId="17335"/>
    <cellStyle name="40% - 强调文字颜色 3 2 20 3 2" xfId="29365"/>
    <cellStyle name="40% - 强调文字颜色 3 2 20 3 2 2" xfId="29462"/>
    <cellStyle name="40% - 强调文字颜色 3 2 20 4" xfId="21915"/>
    <cellStyle name="40% - 强调文字颜色 3 2 20 5" xfId="22913"/>
    <cellStyle name="40% - 强调文字颜色 3 2 20 6" xfId="29512"/>
    <cellStyle name="40% - 强调文字颜色 3 2 20 7" xfId="32049"/>
    <cellStyle name="40% - 强调文字颜色 3 2 20 8" xfId="32541"/>
    <cellStyle name="40% - 强调文字颜色 3 2 21" xfId="11019"/>
    <cellStyle name="40% - 强调文字颜色 3 2 21 2" xfId="23786"/>
    <cellStyle name="40% - 强调文字颜色 3 2 21 2 2" xfId="26979"/>
    <cellStyle name="40% - 强调文字颜色 3 2 21 2 2 2" xfId="27116"/>
    <cellStyle name="40% - 强调文字颜色 3 2 21 3" xfId="26371"/>
    <cellStyle name="40% - 强调文字颜色 3 2 21 4" xfId="23511"/>
    <cellStyle name="40% - 强调文字颜色 3 2 22" xfId="12626"/>
    <cellStyle name="40% - 强调文字颜色 3 2 23" xfId="15574"/>
    <cellStyle name="40% - 强调文字颜色 3 2 24" xfId="10241"/>
    <cellStyle name="40% - 强调文字颜色 3 2 24 2" xfId="29451"/>
    <cellStyle name="40% - 强调文字颜色 3 2 24 2 2" xfId="32947"/>
    <cellStyle name="40% - 强调文字颜色 3 2 24 3" xfId="31849"/>
    <cellStyle name="40% - 强调文字颜色 3 2 24 4" xfId="25182"/>
    <cellStyle name="40% - 强调文字颜色 3 2 25" xfId="17444"/>
    <cellStyle name="40% - 强调文字颜色 3 2 25 2" xfId="26793"/>
    <cellStyle name="40% - 强调文字颜色 3 2 26" xfId="17530"/>
    <cellStyle name="40% - 强调文字颜色 3 2 26 2" xfId="29519"/>
    <cellStyle name="40% - 强调文字颜色 3 2 26 3" xfId="27149"/>
    <cellStyle name="40% - 强调文字颜色 3 2 27" xfId="17616"/>
    <cellStyle name="40% - 强调文字颜色 3 2 28" xfId="17702"/>
    <cellStyle name="40% - 强调文字颜色 3 2 29" xfId="17788"/>
    <cellStyle name="40% - 强调文字颜色 3 2 3" xfId="953"/>
    <cellStyle name="40% - 强调文字颜色 3 2 3 10" xfId="30540"/>
    <cellStyle name="40% - 强调文字颜色 3 2 3 11" xfId="32714"/>
    <cellStyle name="40% - 强调文字颜色 3 2 3 2" xfId="3907"/>
    <cellStyle name="40% - 强调文字颜色 3 2 3 3" xfId="6499"/>
    <cellStyle name="40% - 强调文字颜色 3 2 3 4" xfId="12645"/>
    <cellStyle name="40% - 强调文字颜色 3 2 3 5" xfId="15591"/>
    <cellStyle name="40% - 强调文字颜色 3 2 3 6" xfId="11365"/>
    <cellStyle name="40% - 强调文字颜色 3 2 3 7" xfId="18808"/>
    <cellStyle name="40% - 强调文字颜色 3 2 3 8" xfId="21673"/>
    <cellStyle name="40% - 强调文字颜色 3 2 3 9" xfId="21092"/>
    <cellStyle name="40% - 强调文字颜色 3 2 30" xfId="18789"/>
    <cellStyle name="40% - 强调文字颜色 3 2 31" xfId="23169"/>
    <cellStyle name="40% - 强调文字颜色 3 2 32" xfId="20537"/>
    <cellStyle name="40% - 强调文字颜色 3 2 4" xfId="954"/>
    <cellStyle name="40% - 强调文字颜色 3 2 4 10" xfId="30541"/>
    <cellStyle name="40% - 强调文字颜色 3 2 4 11" xfId="32469"/>
    <cellStyle name="40% - 强调文字颜色 3 2 4 2" xfId="3908"/>
    <cellStyle name="40% - 强调文字颜色 3 2 4 3" xfId="6500"/>
    <cellStyle name="40% - 强调文字颜色 3 2 4 4" xfId="12646"/>
    <cellStyle name="40% - 强调文字颜色 3 2 4 5" xfId="15592"/>
    <cellStyle name="40% - 强调文字颜色 3 2 4 6" xfId="10228"/>
    <cellStyle name="40% - 强调文字颜色 3 2 4 7" xfId="18809"/>
    <cellStyle name="40% - 强调文字颜色 3 2 4 8" xfId="23164"/>
    <cellStyle name="40% - 强调文字颜色 3 2 4 9" xfId="20831"/>
    <cellStyle name="40% - 强调文字颜色 3 2 5" xfId="955"/>
    <cellStyle name="40% - 强调文字颜色 3 2 5 10" xfId="30542"/>
    <cellStyle name="40% - 强调文字颜色 3 2 5 11" xfId="32236"/>
    <cellStyle name="40% - 强调文字颜色 3 2 5 2" xfId="3909"/>
    <cellStyle name="40% - 强调文字颜色 3 2 5 3" xfId="6501"/>
    <cellStyle name="40% - 强调文字颜色 3 2 5 4" xfId="12647"/>
    <cellStyle name="40% - 强调文字颜色 3 2 5 5" xfId="15593"/>
    <cellStyle name="40% - 强调文字颜色 3 2 5 6" xfId="11367"/>
    <cellStyle name="40% - 强调文字颜色 3 2 5 7" xfId="18810"/>
    <cellStyle name="40% - 强调文字颜色 3 2 5 8" xfId="22181"/>
    <cellStyle name="40% - 强调文字颜色 3 2 5 9" xfId="21101"/>
    <cellStyle name="40% - 强调文字颜色 3 2 6" xfId="956"/>
    <cellStyle name="40% - 强调文字颜色 3 2 6 10" xfId="30543"/>
    <cellStyle name="40% - 强调文字颜色 3 2 6 11" xfId="31770"/>
    <cellStyle name="40% - 强调文字颜色 3 2 6 2" xfId="3910"/>
    <cellStyle name="40% - 强调文字颜色 3 2 6 3" xfId="6502"/>
    <cellStyle name="40% - 强调文字颜色 3 2 6 4" xfId="12648"/>
    <cellStyle name="40% - 强调文字颜色 3 2 6 5" xfId="15594"/>
    <cellStyle name="40% - 强调文字颜色 3 2 6 6" xfId="10230"/>
    <cellStyle name="40% - 强调文字颜色 3 2 6 7" xfId="18811"/>
    <cellStyle name="40% - 强调文字颜色 3 2 6 8" xfId="21672"/>
    <cellStyle name="40% - 强调文字颜色 3 2 6 9" xfId="20531"/>
    <cellStyle name="40% - 强调文字颜色 3 2 7" xfId="957"/>
    <cellStyle name="40% - 强调文字颜色 3 2 7 10" xfId="30544"/>
    <cellStyle name="40% - 强调文字颜色 3 2 7 11" xfId="33368"/>
    <cellStyle name="40% - 强调文字颜色 3 2 7 2" xfId="3911"/>
    <cellStyle name="40% - 强调文字颜色 3 2 7 3" xfId="6503"/>
    <cellStyle name="40% - 强调文字颜色 3 2 7 4" xfId="12649"/>
    <cellStyle name="40% - 强调文字颜色 3 2 7 5" xfId="15595"/>
    <cellStyle name="40% - 强调文字颜色 3 2 7 6" xfId="11366"/>
    <cellStyle name="40% - 强调文字颜色 3 2 7 7" xfId="18812"/>
    <cellStyle name="40% - 强调文字颜色 3 2 7 8" xfId="23163"/>
    <cellStyle name="40% - 强调文字颜色 3 2 7 9" xfId="19871"/>
    <cellStyle name="40% - 强调文字颜色 3 2 8" xfId="958"/>
    <cellStyle name="40% - 强调文字颜色 3 2 8 10" xfId="30545"/>
    <cellStyle name="40% - 强调文字颜色 3 2 8 11" xfId="33121"/>
    <cellStyle name="40% - 强调文字颜色 3 2 8 2" xfId="3912"/>
    <cellStyle name="40% - 强调文字颜色 3 2 8 3" xfId="6504"/>
    <cellStyle name="40% - 强调文字颜色 3 2 8 4" xfId="12650"/>
    <cellStyle name="40% - 强调文字颜色 3 2 8 5" xfId="15596"/>
    <cellStyle name="40% - 强调文字颜色 3 2 8 6" xfId="10229"/>
    <cellStyle name="40% - 强调文字颜色 3 2 8 7" xfId="18813"/>
    <cellStyle name="40% - 强调文字颜色 3 2 8 8" xfId="22180"/>
    <cellStyle name="40% - 强调文字颜色 3 2 8 9" xfId="20748"/>
    <cellStyle name="40% - 强调文字颜色 3 2 9" xfId="959"/>
    <cellStyle name="40% - 强调文字颜色 3 2 9 10" xfId="30546"/>
    <cellStyle name="40% - 强调文字颜色 3 2 9 11" xfId="32715"/>
    <cellStyle name="40% - 强调文字颜色 3 2 9 2" xfId="3913"/>
    <cellStyle name="40% - 强调文字颜色 3 2 9 3" xfId="6505"/>
    <cellStyle name="40% - 强调文字颜色 3 2 9 4" xfId="12651"/>
    <cellStyle name="40% - 强调文字颜色 3 2 9 5" xfId="15597"/>
    <cellStyle name="40% - 强调文字颜色 3 2 9 6" xfId="11361"/>
    <cellStyle name="40% - 强调文字颜色 3 2 9 7" xfId="18814"/>
    <cellStyle name="40% - 强调文字颜色 3 2 9 8" xfId="21671"/>
    <cellStyle name="40% - 强调文字颜色 3 2 9 9" xfId="21356"/>
    <cellStyle name="40% - 强调文字颜色 3 20" xfId="960"/>
    <cellStyle name="40% - 强调文字颜色 3 20 10" xfId="3915"/>
    <cellStyle name="40% - 强调文字颜色 3 20 10 2" xfId="9333"/>
    <cellStyle name="40% - 强调文字颜色 3 20 10 3" xfId="15599"/>
    <cellStyle name="40% - 强调文字颜色 3 20 10 4" xfId="25186"/>
    <cellStyle name="40% - 强调文字颜色 3 20 10 5" xfId="28424"/>
    <cellStyle name="40% - 强调文字颜色 3 20 11" xfId="3916"/>
    <cellStyle name="40% - 强调文字颜色 3 20 11 2" xfId="9334"/>
    <cellStyle name="40% - 强调文字颜色 3 20 11 3" xfId="15600"/>
    <cellStyle name="40% - 强调文字颜色 3 20 11 4" xfId="25187"/>
    <cellStyle name="40% - 强调文字颜色 3 20 11 5" xfId="28425"/>
    <cellStyle name="40% - 强调文字颜色 3 20 12" xfId="3917"/>
    <cellStyle name="40% - 强调文字颜色 3 20 12 2" xfId="9335"/>
    <cellStyle name="40% - 强调文字颜色 3 20 12 3" xfId="15601"/>
    <cellStyle name="40% - 强调文字颜色 3 20 12 4" xfId="25188"/>
    <cellStyle name="40% - 强调文字颜色 3 20 12 5" xfId="28426"/>
    <cellStyle name="40% - 强调文字颜色 3 20 13" xfId="3918"/>
    <cellStyle name="40% - 强调文字颜色 3 20 13 2" xfId="9336"/>
    <cellStyle name="40% - 强调文字颜色 3 20 13 3" xfId="15602"/>
    <cellStyle name="40% - 强调文字颜色 3 20 13 4" xfId="25189"/>
    <cellStyle name="40% - 强调文字颜色 3 20 13 5" xfId="28427"/>
    <cellStyle name="40% - 强调文字颜色 3 20 14" xfId="3919"/>
    <cellStyle name="40% - 强调文字颜色 3 20 14 2" xfId="9337"/>
    <cellStyle name="40% - 强调文字颜色 3 20 14 3" xfId="15603"/>
    <cellStyle name="40% - 强调文字颜色 3 20 14 4" xfId="25190"/>
    <cellStyle name="40% - 强调文字颜色 3 20 14 5" xfId="28428"/>
    <cellStyle name="40% - 强调文字颜色 3 20 15" xfId="3920"/>
    <cellStyle name="40% - 强调文字颜色 3 20 15 2" xfId="9338"/>
    <cellStyle name="40% - 强调文字颜色 3 20 15 3" xfId="15604"/>
    <cellStyle name="40% - 强调文字颜色 3 20 15 4" xfId="25191"/>
    <cellStyle name="40% - 强调文字颜色 3 20 15 5" xfId="28429"/>
    <cellStyle name="40% - 强调文字颜色 3 20 16" xfId="3921"/>
    <cellStyle name="40% - 强调文字颜色 3 20 16 2" xfId="9339"/>
    <cellStyle name="40% - 强调文字颜色 3 20 16 3" xfId="15605"/>
    <cellStyle name="40% - 强调文字颜色 3 20 16 4" xfId="25192"/>
    <cellStyle name="40% - 强调文字颜色 3 20 16 5" xfId="28430"/>
    <cellStyle name="40% - 强调文字颜色 3 20 17" xfId="3922"/>
    <cellStyle name="40% - 强调文字颜色 3 20 17 2" xfId="9340"/>
    <cellStyle name="40% - 强调文字颜色 3 20 17 3" xfId="15606"/>
    <cellStyle name="40% - 强调文字颜色 3 20 17 4" xfId="25193"/>
    <cellStyle name="40% - 强调文字颜色 3 20 17 5" xfId="28431"/>
    <cellStyle name="40% - 强调文字颜色 3 20 18" xfId="3923"/>
    <cellStyle name="40% - 强调文字颜色 3 20 18 2" xfId="9341"/>
    <cellStyle name="40% - 强调文字颜色 3 20 18 3" xfId="15607"/>
    <cellStyle name="40% - 强调文字颜色 3 20 18 4" xfId="25194"/>
    <cellStyle name="40% - 强调文字颜色 3 20 18 5" xfId="28432"/>
    <cellStyle name="40% - 强调文字颜色 3 20 19" xfId="3924"/>
    <cellStyle name="40% - 强调文字颜色 3 20 19 2" xfId="9342"/>
    <cellStyle name="40% - 强调文字颜色 3 20 19 3" xfId="15608"/>
    <cellStyle name="40% - 强调文字颜色 3 20 19 4" xfId="25195"/>
    <cellStyle name="40% - 强调文字颜色 3 20 19 5" xfId="28433"/>
    <cellStyle name="40% - 强调文字颜色 3 20 2" xfId="3914"/>
    <cellStyle name="40% - 强调文字颜色 3 20 2 2" xfId="9343"/>
    <cellStyle name="40% - 强调文字颜色 3 20 2 3" xfId="15609"/>
    <cellStyle name="40% - 强调文字颜色 3 20 2 4" xfId="25196"/>
    <cellStyle name="40% - 强调文字颜色 3 20 2 5" xfId="28423"/>
    <cellStyle name="40% - 强调文字颜色 3 20 20" xfId="3926"/>
    <cellStyle name="40% - 强调文字颜色 3 20 20 2" xfId="9344"/>
    <cellStyle name="40% - 强调文字颜色 3 20 20 3" xfId="15610"/>
    <cellStyle name="40% - 强调文字颜色 3 20 20 4" xfId="25197"/>
    <cellStyle name="40% - 强调文字颜色 3 20 20 5" xfId="28434"/>
    <cellStyle name="40% - 强调文字颜色 3 20 21" xfId="3927"/>
    <cellStyle name="40% - 强调文字颜色 3 20 21 2" xfId="9345"/>
    <cellStyle name="40% - 强调文字颜色 3 20 21 3" xfId="15611"/>
    <cellStyle name="40% - 强调文字颜色 3 20 21 4" xfId="25198"/>
    <cellStyle name="40% - 强调文字颜色 3 20 21 5" xfId="28435"/>
    <cellStyle name="40% - 强调文字颜色 3 20 22" xfId="3928"/>
    <cellStyle name="40% - 强调文字颜色 3 20 22 2" xfId="9346"/>
    <cellStyle name="40% - 强调文字颜色 3 20 22 3" xfId="15612"/>
    <cellStyle name="40% - 强调文字颜色 3 20 22 4" xfId="25199"/>
    <cellStyle name="40% - 强调文字颜色 3 20 22 5" xfId="28436"/>
    <cellStyle name="40% - 强调文字颜色 3 20 23" xfId="3929"/>
    <cellStyle name="40% - 强调文字颜色 3 20 23 2" xfId="9347"/>
    <cellStyle name="40% - 强调文字颜色 3 20 23 3" xfId="15613"/>
    <cellStyle name="40% - 强调文字颜色 3 20 23 4" xfId="25200"/>
    <cellStyle name="40% - 强调文字颜色 3 20 23 5" xfId="28437"/>
    <cellStyle name="40% - 强调文字颜色 3 20 24" xfId="6506"/>
    <cellStyle name="40% - 强调文字颜色 3 20 25" xfId="11023"/>
    <cellStyle name="40% - 强调文字颜色 3 20 26" xfId="12652"/>
    <cellStyle name="40% - 强调文字颜色 3 20 27" xfId="15598"/>
    <cellStyle name="40% - 强调文字颜色 3 20 28" xfId="10224"/>
    <cellStyle name="40% - 强调文字颜色 3 20 29" xfId="18815"/>
    <cellStyle name="40% - 强调文字颜色 3 20 3" xfId="3930"/>
    <cellStyle name="40% - 强调文字颜色 3 20 3 2" xfId="9348"/>
    <cellStyle name="40% - 强调文字颜色 3 20 3 3" xfId="15614"/>
    <cellStyle name="40% - 强调文字颜色 3 20 3 4" xfId="25201"/>
    <cellStyle name="40% - 强调文字颜色 3 20 3 5" xfId="28438"/>
    <cellStyle name="40% - 强调文字颜色 3 20 30" xfId="23162"/>
    <cellStyle name="40% - 强调文字颜色 3 20 31" xfId="20522"/>
    <cellStyle name="40% - 强调文字颜色 3 20 32" xfId="30547"/>
    <cellStyle name="40% - 强调文字颜色 3 20 33" xfId="32470"/>
    <cellStyle name="40% - 强调文字颜色 3 20 4" xfId="3931"/>
    <cellStyle name="40% - 强调文字颜色 3 20 4 2" xfId="9349"/>
    <cellStyle name="40% - 强调文字颜色 3 20 4 3" xfId="15615"/>
    <cellStyle name="40% - 强调文字颜色 3 20 4 4" xfId="25202"/>
    <cellStyle name="40% - 强调文字颜色 3 20 4 5" xfId="28439"/>
    <cellStyle name="40% - 强调文字颜色 3 20 5" xfId="3932"/>
    <cellStyle name="40% - 强调文字颜色 3 20 5 2" xfId="9350"/>
    <cellStyle name="40% - 强调文字颜色 3 20 5 3" xfId="15616"/>
    <cellStyle name="40% - 强调文字颜色 3 20 5 4" xfId="25203"/>
    <cellStyle name="40% - 强调文字颜色 3 20 5 5" xfId="28440"/>
    <cellStyle name="40% - 强调文字颜色 3 20 6" xfId="3933"/>
    <cellStyle name="40% - 强调文字颜色 3 20 6 2" xfId="9351"/>
    <cellStyle name="40% - 强调文字颜色 3 20 6 3" xfId="15617"/>
    <cellStyle name="40% - 强调文字颜色 3 20 6 4" xfId="25204"/>
    <cellStyle name="40% - 强调文字颜色 3 20 6 5" xfId="28441"/>
    <cellStyle name="40% - 强调文字颜色 3 20 7" xfId="3934"/>
    <cellStyle name="40% - 强调文字颜色 3 20 7 2" xfId="9352"/>
    <cellStyle name="40% - 强调文字颜色 3 20 7 3" xfId="15618"/>
    <cellStyle name="40% - 强调文字颜色 3 20 7 4" xfId="25205"/>
    <cellStyle name="40% - 强调文字颜色 3 20 7 5" xfId="28442"/>
    <cellStyle name="40% - 强调文字颜色 3 20 8" xfId="3935"/>
    <cellStyle name="40% - 强调文字颜色 3 20 8 2" xfId="9353"/>
    <cellStyle name="40% - 强调文字颜色 3 20 8 3" xfId="15619"/>
    <cellStyle name="40% - 强调文字颜色 3 20 8 4" xfId="25206"/>
    <cellStyle name="40% - 强调文字颜色 3 20 8 5" xfId="28443"/>
    <cellStyle name="40% - 强调文字颜色 3 20 9" xfId="3936"/>
    <cellStyle name="40% - 强调文字颜色 3 20 9 2" xfId="9354"/>
    <cellStyle name="40% - 强调文字颜色 3 20 9 3" xfId="15620"/>
    <cellStyle name="40% - 强调文字颜色 3 20 9 4" xfId="25207"/>
    <cellStyle name="40% - 强调文字颜色 3 20 9 5" xfId="28444"/>
    <cellStyle name="40% - 强调文字颜色 3 21" xfId="961"/>
    <cellStyle name="40% - 强调文字颜色 3 21 10" xfId="3938"/>
    <cellStyle name="40% - 强调文字颜色 3 21 10 2" xfId="9355"/>
    <cellStyle name="40% - 强调文字颜色 3 21 10 3" xfId="15622"/>
    <cellStyle name="40% - 强调文字颜色 3 21 10 4" xfId="25208"/>
    <cellStyle name="40% - 强调文字颜色 3 21 10 5" xfId="28446"/>
    <cellStyle name="40% - 强调文字颜色 3 21 11" xfId="3939"/>
    <cellStyle name="40% - 强调文字颜色 3 21 11 2" xfId="9356"/>
    <cellStyle name="40% - 强调文字颜色 3 21 11 3" xfId="15623"/>
    <cellStyle name="40% - 强调文字颜色 3 21 11 4" xfId="25209"/>
    <cellStyle name="40% - 强调文字颜色 3 21 11 5" xfId="28447"/>
    <cellStyle name="40% - 强调文字颜色 3 21 12" xfId="3940"/>
    <cellStyle name="40% - 强调文字颜色 3 21 12 2" xfId="9357"/>
    <cellStyle name="40% - 强调文字颜色 3 21 12 3" xfId="15624"/>
    <cellStyle name="40% - 强调文字颜色 3 21 12 4" xfId="25210"/>
    <cellStyle name="40% - 强调文字颜色 3 21 12 5" xfId="28448"/>
    <cellStyle name="40% - 强调文字颜色 3 21 13" xfId="3941"/>
    <cellStyle name="40% - 强调文字颜色 3 21 13 2" xfId="9358"/>
    <cellStyle name="40% - 强调文字颜色 3 21 13 3" xfId="15625"/>
    <cellStyle name="40% - 强调文字颜色 3 21 13 4" xfId="25211"/>
    <cellStyle name="40% - 强调文字颜色 3 21 13 5" xfId="28449"/>
    <cellStyle name="40% - 强调文字颜色 3 21 14" xfId="3942"/>
    <cellStyle name="40% - 强调文字颜色 3 21 14 2" xfId="9359"/>
    <cellStyle name="40% - 强调文字颜色 3 21 14 3" xfId="15626"/>
    <cellStyle name="40% - 强调文字颜色 3 21 14 4" xfId="25212"/>
    <cellStyle name="40% - 强调文字颜色 3 21 14 5" xfId="28450"/>
    <cellStyle name="40% - 强调文字颜色 3 21 15" xfId="3943"/>
    <cellStyle name="40% - 强调文字颜色 3 21 15 2" xfId="9360"/>
    <cellStyle name="40% - 强调文字颜色 3 21 15 3" xfId="15627"/>
    <cellStyle name="40% - 强调文字颜色 3 21 15 4" xfId="25213"/>
    <cellStyle name="40% - 强调文字颜色 3 21 15 5" xfId="28451"/>
    <cellStyle name="40% - 强调文字颜色 3 21 16" xfId="3944"/>
    <cellStyle name="40% - 强调文字颜色 3 21 16 2" xfId="9361"/>
    <cellStyle name="40% - 强调文字颜色 3 21 16 3" xfId="15628"/>
    <cellStyle name="40% - 强调文字颜色 3 21 16 4" xfId="25214"/>
    <cellStyle name="40% - 强调文字颜色 3 21 16 5" xfId="28452"/>
    <cellStyle name="40% - 强调文字颜色 3 21 17" xfId="3945"/>
    <cellStyle name="40% - 强调文字颜色 3 21 17 2" xfId="9362"/>
    <cellStyle name="40% - 强调文字颜色 3 21 17 3" xfId="15629"/>
    <cellStyle name="40% - 强调文字颜色 3 21 17 4" xfId="25215"/>
    <cellStyle name="40% - 强调文字颜色 3 21 17 5" xfId="28453"/>
    <cellStyle name="40% - 强调文字颜色 3 21 18" xfId="3946"/>
    <cellStyle name="40% - 强调文字颜色 3 21 18 2" xfId="9363"/>
    <cellStyle name="40% - 强调文字颜色 3 21 18 3" xfId="15630"/>
    <cellStyle name="40% - 强调文字颜色 3 21 18 4" xfId="25216"/>
    <cellStyle name="40% - 强调文字颜色 3 21 18 5" xfId="28454"/>
    <cellStyle name="40% - 强调文字颜色 3 21 19" xfId="3947"/>
    <cellStyle name="40% - 强调文字颜色 3 21 19 2" xfId="9364"/>
    <cellStyle name="40% - 强调文字颜色 3 21 19 3" xfId="15631"/>
    <cellStyle name="40% - 强调文字颜色 3 21 19 4" xfId="25217"/>
    <cellStyle name="40% - 强调文字颜色 3 21 19 5" xfId="28455"/>
    <cellStyle name="40% - 强调文字颜色 3 21 2" xfId="3937"/>
    <cellStyle name="40% - 强调文字颜色 3 21 2 2" xfId="9365"/>
    <cellStyle name="40% - 强调文字颜色 3 21 2 3" xfId="15632"/>
    <cellStyle name="40% - 强调文字颜色 3 21 2 4" xfId="25218"/>
    <cellStyle name="40% - 强调文字颜色 3 21 2 5" xfId="28445"/>
    <cellStyle name="40% - 强调文字颜色 3 21 20" xfId="3949"/>
    <cellStyle name="40% - 强调文字颜色 3 21 20 2" xfId="9366"/>
    <cellStyle name="40% - 强调文字颜色 3 21 20 3" xfId="15633"/>
    <cellStyle name="40% - 强调文字颜色 3 21 20 4" xfId="25219"/>
    <cellStyle name="40% - 强调文字颜色 3 21 20 5" xfId="28456"/>
    <cellStyle name="40% - 强调文字颜色 3 21 21" xfId="3950"/>
    <cellStyle name="40% - 强调文字颜色 3 21 21 2" xfId="9367"/>
    <cellStyle name="40% - 强调文字颜色 3 21 21 3" xfId="15634"/>
    <cellStyle name="40% - 强调文字颜色 3 21 21 4" xfId="25220"/>
    <cellStyle name="40% - 强调文字颜色 3 21 21 5" xfId="28457"/>
    <cellStyle name="40% - 强调文字颜色 3 21 22" xfId="3951"/>
    <cellStyle name="40% - 强调文字颜色 3 21 22 2" xfId="9368"/>
    <cellStyle name="40% - 强调文字颜色 3 21 22 3" xfId="15635"/>
    <cellStyle name="40% - 强调文字颜色 3 21 22 4" xfId="25221"/>
    <cellStyle name="40% - 强调文字颜色 3 21 22 5" xfId="28458"/>
    <cellStyle name="40% - 强调文字颜色 3 21 23" xfId="3952"/>
    <cellStyle name="40% - 强调文字颜色 3 21 23 2" xfId="9369"/>
    <cellStyle name="40% - 强调文字颜色 3 21 23 3" xfId="15636"/>
    <cellStyle name="40% - 强调文字颜色 3 21 23 4" xfId="25222"/>
    <cellStyle name="40% - 强调文字颜色 3 21 23 5" xfId="28459"/>
    <cellStyle name="40% - 强调文字颜色 3 21 24" xfId="6507"/>
    <cellStyle name="40% - 强调文字颜色 3 21 25" xfId="11024"/>
    <cellStyle name="40% - 强调文字颜色 3 21 26" xfId="12653"/>
    <cellStyle name="40% - 强调文字颜色 3 21 27" xfId="15621"/>
    <cellStyle name="40% - 强调文字颜色 3 21 28" xfId="11363"/>
    <cellStyle name="40% - 强调文字颜色 3 21 29" xfId="18816"/>
    <cellStyle name="40% - 强调文字颜色 3 21 3" xfId="3953"/>
    <cellStyle name="40% - 强调文字颜色 3 21 3 2" xfId="9370"/>
    <cellStyle name="40% - 强调文字颜色 3 21 3 3" xfId="15637"/>
    <cellStyle name="40% - 强调文字颜色 3 21 3 4" xfId="25223"/>
    <cellStyle name="40% - 强调文字颜色 3 21 3 5" xfId="28460"/>
    <cellStyle name="40% - 强调文字颜色 3 21 30" xfId="22179"/>
    <cellStyle name="40% - 强调文字颜色 3 21 31" xfId="20190"/>
    <cellStyle name="40% - 强调文字颜色 3 21 32" xfId="30551"/>
    <cellStyle name="40% - 强调文字颜色 3 21 33" xfId="32713"/>
    <cellStyle name="40% - 强调文字颜色 3 21 4" xfId="3954"/>
    <cellStyle name="40% - 强调文字颜色 3 21 4 2" xfId="9371"/>
    <cellStyle name="40% - 强调文字颜色 3 21 4 3" xfId="15638"/>
    <cellStyle name="40% - 强调文字颜色 3 21 4 4" xfId="25224"/>
    <cellStyle name="40% - 强调文字颜色 3 21 4 5" xfId="28461"/>
    <cellStyle name="40% - 强调文字颜色 3 21 5" xfId="3955"/>
    <cellStyle name="40% - 强调文字颜色 3 21 5 2" xfId="9372"/>
    <cellStyle name="40% - 强调文字颜色 3 21 5 3" xfId="15639"/>
    <cellStyle name="40% - 强调文字颜色 3 21 5 4" xfId="25225"/>
    <cellStyle name="40% - 强调文字颜色 3 21 5 5" xfId="28462"/>
    <cellStyle name="40% - 强调文字颜色 3 21 6" xfId="3956"/>
    <cellStyle name="40% - 强调文字颜色 3 21 6 2" xfId="9373"/>
    <cellStyle name="40% - 强调文字颜色 3 21 6 3" xfId="15640"/>
    <cellStyle name="40% - 强调文字颜色 3 21 6 4" xfId="25226"/>
    <cellStyle name="40% - 强调文字颜色 3 21 6 5" xfId="28463"/>
    <cellStyle name="40% - 强调文字颜色 3 21 7" xfId="3957"/>
    <cellStyle name="40% - 强调文字颜色 3 21 7 2" xfId="9374"/>
    <cellStyle name="40% - 强调文字颜色 3 21 7 3" xfId="15641"/>
    <cellStyle name="40% - 强调文字颜色 3 21 7 4" xfId="25227"/>
    <cellStyle name="40% - 强调文字颜色 3 21 7 5" xfId="28464"/>
    <cellStyle name="40% - 强调文字颜色 3 21 8" xfId="3958"/>
    <cellStyle name="40% - 强调文字颜色 3 21 8 2" xfId="9375"/>
    <cellStyle name="40% - 强调文字颜色 3 21 8 3" xfId="15642"/>
    <cellStyle name="40% - 强调文字颜色 3 21 8 4" xfId="25228"/>
    <cellStyle name="40% - 强调文字颜色 3 21 8 5" xfId="28465"/>
    <cellStyle name="40% - 强调文字颜色 3 21 9" xfId="3959"/>
    <cellStyle name="40% - 强调文字颜色 3 21 9 2" xfId="9376"/>
    <cellStyle name="40% - 强调文字颜色 3 21 9 3" xfId="15643"/>
    <cellStyle name="40% - 强调文字颜色 3 21 9 4" xfId="25229"/>
    <cellStyle name="40% - 强调文字颜色 3 21 9 5" xfId="28466"/>
    <cellStyle name="40% - 强调文字颜色 3 22" xfId="962"/>
    <cellStyle name="40% - 强调文字颜色 3 22 10" xfId="3961"/>
    <cellStyle name="40% - 强调文字颜色 3 22 10 2" xfId="9377"/>
    <cellStyle name="40% - 强调文字颜色 3 22 10 3" xfId="15645"/>
    <cellStyle name="40% - 强调文字颜色 3 22 10 4" xfId="25230"/>
    <cellStyle name="40% - 强调文字颜色 3 22 10 5" xfId="28468"/>
    <cellStyle name="40% - 强调文字颜色 3 22 11" xfId="3962"/>
    <cellStyle name="40% - 强调文字颜色 3 22 11 2" xfId="9378"/>
    <cellStyle name="40% - 强调文字颜色 3 22 11 3" xfId="15646"/>
    <cellStyle name="40% - 强调文字颜色 3 22 11 4" xfId="25231"/>
    <cellStyle name="40% - 强调文字颜色 3 22 11 5" xfId="28469"/>
    <cellStyle name="40% - 强调文字颜色 3 22 12" xfId="3963"/>
    <cellStyle name="40% - 强调文字颜色 3 22 12 2" xfId="9379"/>
    <cellStyle name="40% - 强调文字颜色 3 22 12 3" xfId="15647"/>
    <cellStyle name="40% - 强调文字颜色 3 22 12 4" xfId="25232"/>
    <cellStyle name="40% - 强调文字颜色 3 22 12 5" xfId="28470"/>
    <cellStyle name="40% - 强调文字颜色 3 22 13" xfId="3964"/>
    <cellStyle name="40% - 强调文字颜色 3 22 13 2" xfId="9380"/>
    <cellStyle name="40% - 强调文字颜色 3 22 13 3" xfId="15648"/>
    <cellStyle name="40% - 强调文字颜色 3 22 13 4" xfId="25233"/>
    <cellStyle name="40% - 强调文字颜色 3 22 13 5" xfId="28471"/>
    <cellStyle name="40% - 强调文字颜色 3 22 14" xfId="3965"/>
    <cellStyle name="40% - 强调文字颜色 3 22 14 2" xfId="9381"/>
    <cellStyle name="40% - 强调文字颜色 3 22 14 3" xfId="15649"/>
    <cellStyle name="40% - 强调文字颜色 3 22 14 4" xfId="25234"/>
    <cellStyle name="40% - 强调文字颜色 3 22 14 5" xfId="28472"/>
    <cellStyle name="40% - 强调文字颜色 3 22 15" xfId="3966"/>
    <cellStyle name="40% - 强调文字颜色 3 22 15 2" xfId="9382"/>
    <cellStyle name="40% - 强调文字颜色 3 22 15 3" xfId="15650"/>
    <cellStyle name="40% - 强调文字颜色 3 22 15 4" xfId="25235"/>
    <cellStyle name="40% - 强调文字颜色 3 22 15 5" xfId="28473"/>
    <cellStyle name="40% - 强调文字颜色 3 22 16" xfId="3967"/>
    <cellStyle name="40% - 强调文字颜色 3 22 16 2" xfId="9383"/>
    <cellStyle name="40% - 强调文字颜色 3 22 16 3" xfId="15651"/>
    <cellStyle name="40% - 强调文字颜色 3 22 16 4" xfId="25236"/>
    <cellStyle name="40% - 强调文字颜色 3 22 16 5" xfId="28474"/>
    <cellStyle name="40% - 强调文字颜色 3 22 17" xfId="3968"/>
    <cellStyle name="40% - 强调文字颜色 3 22 17 2" xfId="9384"/>
    <cellStyle name="40% - 强调文字颜色 3 22 17 3" xfId="15652"/>
    <cellStyle name="40% - 强调文字颜色 3 22 17 4" xfId="25237"/>
    <cellStyle name="40% - 强调文字颜色 3 22 17 5" xfId="28475"/>
    <cellStyle name="40% - 强调文字颜色 3 22 18" xfId="3969"/>
    <cellStyle name="40% - 强调文字颜色 3 22 18 2" xfId="9385"/>
    <cellStyle name="40% - 强调文字颜色 3 22 18 3" xfId="15653"/>
    <cellStyle name="40% - 强调文字颜色 3 22 18 4" xfId="25238"/>
    <cellStyle name="40% - 强调文字颜色 3 22 18 5" xfId="28476"/>
    <cellStyle name="40% - 强调文字颜色 3 22 19" xfId="3970"/>
    <cellStyle name="40% - 强调文字颜色 3 22 19 2" xfId="9386"/>
    <cellStyle name="40% - 强调文字颜色 3 22 19 3" xfId="15654"/>
    <cellStyle name="40% - 强调文字颜色 3 22 19 4" xfId="25239"/>
    <cellStyle name="40% - 强调文字颜色 3 22 19 5" xfId="28477"/>
    <cellStyle name="40% - 强调文字颜色 3 22 2" xfId="3960"/>
    <cellStyle name="40% - 强调文字颜色 3 22 2 2" xfId="9387"/>
    <cellStyle name="40% - 强调文字颜色 3 22 2 3" xfId="15655"/>
    <cellStyle name="40% - 强调文字颜色 3 22 2 4" xfId="25240"/>
    <cellStyle name="40% - 强调文字颜色 3 22 2 5" xfId="28467"/>
    <cellStyle name="40% - 强调文字颜色 3 22 20" xfId="3972"/>
    <cellStyle name="40% - 强调文字颜色 3 22 20 2" xfId="9388"/>
    <cellStyle name="40% - 强调文字颜色 3 22 20 3" xfId="15656"/>
    <cellStyle name="40% - 强调文字颜色 3 22 20 4" xfId="25241"/>
    <cellStyle name="40% - 强调文字颜色 3 22 20 5" xfId="28478"/>
    <cellStyle name="40% - 强调文字颜色 3 22 21" xfId="3973"/>
    <cellStyle name="40% - 强调文字颜色 3 22 21 2" xfId="9389"/>
    <cellStyle name="40% - 强调文字颜色 3 22 21 3" xfId="15657"/>
    <cellStyle name="40% - 强调文字颜色 3 22 21 4" xfId="25242"/>
    <cellStyle name="40% - 强调文字颜色 3 22 21 5" xfId="28479"/>
    <cellStyle name="40% - 强调文字颜色 3 22 22" xfId="3974"/>
    <cellStyle name="40% - 强调文字颜色 3 22 22 2" xfId="9390"/>
    <cellStyle name="40% - 强调文字颜色 3 22 22 3" xfId="15658"/>
    <cellStyle name="40% - 强调文字颜色 3 22 22 4" xfId="25243"/>
    <cellStyle name="40% - 强调文字颜色 3 22 22 5" xfId="28480"/>
    <cellStyle name="40% - 强调文字颜色 3 22 23" xfId="3975"/>
    <cellStyle name="40% - 强调文字颜色 3 22 23 2" xfId="9391"/>
    <cellStyle name="40% - 强调文字颜色 3 22 23 3" xfId="15659"/>
    <cellStyle name="40% - 强调文字颜色 3 22 23 4" xfId="25244"/>
    <cellStyle name="40% - 强调文字颜色 3 22 23 5" xfId="28481"/>
    <cellStyle name="40% - 强调文字颜色 3 22 24" xfId="6508"/>
    <cellStyle name="40% - 强调文字颜色 3 22 25" xfId="11025"/>
    <cellStyle name="40% - 强调文字颜色 3 22 26" xfId="12654"/>
    <cellStyle name="40% - 强调文字颜色 3 22 27" xfId="15644"/>
    <cellStyle name="40% - 强调文字颜色 3 22 28" xfId="10226"/>
    <cellStyle name="40% - 强调文字颜色 3 22 29" xfId="18817"/>
    <cellStyle name="40% - 强调文字颜色 3 22 3" xfId="3976"/>
    <cellStyle name="40% - 强调文字颜色 3 22 3 2" xfId="9392"/>
    <cellStyle name="40% - 强调文字颜色 3 22 3 3" xfId="15660"/>
    <cellStyle name="40% - 强调文字颜色 3 22 3 4" xfId="25245"/>
    <cellStyle name="40% - 强调文字颜色 3 22 3 5" xfId="28482"/>
    <cellStyle name="40% - 强调文字颜色 3 22 30" xfId="21670"/>
    <cellStyle name="40% - 强调文字颜色 3 22 31" xfId="21100"/>
    <cellStyle name="40% - 强调文字颜色 3 22 32" xfId="30552"/>
    <cellStyle name="40% - 强调文字颜色 3 22 33" xfId="33117"/>
    <cellStyle name="40% - 强调文字颜色 3 22 4" xfId="3977"/>
    <cellStyle name="40% - 强调文字颜色 3 22 4 2" xfId="9393"/>
    <cellStyle name="40% - 强调文字颜色 3 22 4 3" xfId="15661"/>
    <cellStyle name="40% - 强调文字颜色 3 22 4 4" xfId="25246"/>
    <cellStyle name="40% - 强调文字颜色 3 22 4 5" xfId="28483"/>
    <cellStyle name="40% - 强调文字颜色 3 22 5" xfId="3978"/>
    <cellStyle name="40% - 强调文字颜色 3 22 5 2" xfId="9394"/>
    <cellStyle name="40% - 强调文字颜色 3 22 5 3" xfId="15662"/>
    <cellStyle name="40% - 强调文字颜色 3 22 5 4" xfId="25247"/>
    <cellStyle name="40% - 强调文字颜色 3 22 5 5" xfId="28484"/>
    <cellStyle name="40% - 强调文字颜色 3 22 6" xfId="3979"/>
    <cellStyle name="40% - 强调文字颜色 3 22 6 2" xfId="9395"/>
    <cellStyle name="40% - 强调文字颜色 3 22 6 3" xfId="15663"/>
    <cellStyle name="40% - 强调文字颜色 3 22 6 4" xfId="25248"/>
    <cellStyle name="40% - 强调文字颜色 3 22 6 5" xfId="28485"/>
    <cellStyle name="40% - 强调文字颜色 3 22 7" xfId="3980"/>
    <cellStyle name="40% - 强调文字颜色 3 22 7 2" xfId="9396"/>
    <cellStyle name="40% - 强调文字颜色 3 22 7 3" xfId="15664"/>
    <cellStyle name="40% - 强调文字颜色 3 22 7 4" xfId="25249"/>
    <cellStyle name="40% - 强调文字颜色 3 22 7 5" xfId="28486"/>
    <cellStyle name="40% - 强调文字颜色 3 22 8" xfId="3981"/>
    <cellStyle name="40% - 强调文字颜色 3 22 8 2" xfId="9397"/>
    <cellStyle name="40% - 强调文字颜色 3 22 8 3" xfId="15665"/>
    <cellStyle name="40% - 强调文字颜色 3 22 8 4" xfId="25250"/>
    <cellStyle name="40% - 强调文字颜色 3 22 8 5" xfId="28487"/>
    <cellStyle name="40% - 强调文字颜色 3 22 9" xfId="3982"/>
    <cellStyle name="40% - 强调文字颜色 3 22 9 2" xfId="9398"/>
    <cellStyle name="40% - 强调文字颜色 3 22 9 3" xfId="15666"/>
    <cellStyle name="40% - 强调文字颜色 3 22 9 4" xfId="25251"/>
    <cellStyle name="40% - 强调文字颜色 3 22 9 5" xfId="28488"/>
    <cellStyle name="40% - 强调文字颜色 3 23" xfId="963"/>
    <cellStyle name="40% - 强调文字颜色 3 23 10" xfId="3984"/>
    <cellStyle name="40% - 强调文字颜色 3 23 10 2" xfId="9399"/>
    <cellStyle name="40% - 强调文字颜色 3 23 10 3" xfId="15668"/>
    <cellStyle name="40% - 强调文字颜色 3 23 10 4" xfId="25252"/>
    <cellStyle name="40% - 强调文字颜色 3 23 10 5" xfId="28490"/>
    <cellStyle name="40% - 强调文字颜色 3 23 11" xfId="3985"/>
    <cellStyle name="40% - 强调文字颜色 3 23 11 2" xfId="9400"/>
    <cellStyle name="40% - 强调文字颜色 3 23 11 3" xfId="15669"/>
    <cellStyle name="40% - 强调文字颜色 3 23 11 4" xfId="25253"/>
    <cellStyle name="40% - 强调文字颜色 3 23 11 5" xfId="28491"/>
    <cellStyle name="40% - 强调文字颜色 3 23 12" xfId="3986"/>
    <cellStyle name="40% - 强调文字颜色 3 23 12 2" xfId="9401"/>
    <cellStyle name="40% - 强调文字颜色 3 23 12 3" xfId="15670"/>
    <cellStyle name="40% - 强调文字颜色 3 23 12 4" xfId="25254"/>
    <cellStyle name="40% - 强调文字颜色 3 23 12 5" xfId="28492"/>
    <cellStyle name="40% - 强调文字颜色 3 23 13" xfId="3987"/>
    <cellStyle name="40% - 强调文字颜色 3 23 13 2" xfId="9402"/>
    <cellStyle name="40% - 强调文字颜色 3 23 13 3" xfId="15671"/>
    <cellStyle name="40% - 强调文字颜色 3 23 13 4" xfId="25255"/>
    <cellStyle name="40% - 强调文字颜色 3 23 13 5" xfId="28493"/>
    <cellStyle name="40% - 强调文字颜色 3 23 14" xfId="3988"/>
    <cellStyle name="40% - 强调文字颜色 3 23 14 2" xfId="9403"/>
    <cellStyle name="40% - 强调文字颜色 3 23 14 3" xfId="15672"/>
    <cellStyle name="40% - 强调文字颜色 3 23 14 4" xfId="25256"/>
    <cellStyle name="40% - 强调文字颜色 3 23 14 5" xfId="28494"/>
    <cellStyle name="40% - 强调文字颜色 3 23 15" xfId="3989"/>
    <cellStyle name="40% - 强调文字颜色 3 23 15 2" xfId="9404"/>
    <cellStyle name="40% - 强调文字颜色 3 23 15 3" xfId="15673"/>
    <cellStyle name="40% - 强调文字颜色 3 23 15 4" xfId="25257"/>
    <cellStyle name="40% - 强调文字颜色 3 23 15 5" xfId="28495"/>
    <cellStyle name="40% - 强调文字颜色 3 23 16" xfId="3990"/>
    <cellStyle name="40% - 强调文字颜色 3 23 16 2" xfId="9405"/>
    <cellStyle name="40% - 强调文字颜色 3 23 16 3" xfId="15674"/>
    <cellStyle name="40% - 强调文字颜色 3 23 16 4" xfId="25258"/>
    <cellStyle name="40% - 强调文字颜色 3 23 16 5" xfId="28496"/>
    <cellStyle name="40% - 强调文字颜色 3 23 17" xfId="3991"/>
    <cellStyle name="40% - 强调文字颜色 3 23 17 2" xfId="9406"/>
    <cellStyle name="40% - 强调文字颜色 3 23 17 3" xfId="15675"/>
    <cellStyle name="40% - 强调文字颜色 3 23 17 4" xfId="25259"/>
    <cellStyle name="40% - 强调文字颜色 3 23 17 5" xfId="28497"/>
    <cellStyle name="40% - 强调文字颜色 3 23 18" xfId="3992"/>
    <cellStyle name="40% - 强调文字颜色 3 23 18 2" xfId="9407"/>
    <cellStyle name="40% - 强调文字颜色 3 23 18 3" xfId="15676"/>
    <cellStyle name="40% - 强调文字颜色 3 23 18 4" xfId="25260"/>
    <cellStyle name="40% - 强调文字颜色 3 23 18 5" xfId="28498"/>
    <cellStyle name="40% - 强调文字颜色 3 23 19" xfId="3993"/>
    <cellStyle name="40% - 强调文字颜色 3 23 19 2" xfId="9408"/>
    <cellStyle name="40% - 强调文字颜色 3 23 19 3" xfId="15677"/>
    <cellStyle name="40% - 强调文字颜色 3 23 19 4" xfId="25261"/>
    <cellStyle name="40% - 强调文字颜色 3 23 19 5" xfId="28499"/>
    <cellStyle name="40% - 强调文字颜色 3 23 2" xfId="3983"/>
    <cellStyle name="40% - 强调文字颜色 3 23 2 2" xfId="9409"/>
    <cellStyle name="40% - 强调文字颜色 3 23 2 3" xfId="15678"/>
    <cellStyle name="40% - 强调文字颜色 3 23 2 4" xfId="25262"/>
    <cellStyle name="40% - 强调文字颜色 3 23 2 5" xfId="28489"/>
    <cellStyle name="40% - 强调文字颜色 3 23 20" xfId="3995"/>
    <cellStyle name="40% - 强调文字颜色 3 23 20 2" xfId="9410"/>
    <cellStyle name="40% - 强调文字颜色 3 23 20 3" xfId="15679"/>
    <cellStyle name="40% - 强调文字颜色 3 23 20 4" xfId="25263"/>
    <cellStyle name="40% - 强调文字颜色 3 23 20 5" xfId="28500"/>
    <cellStyle name="40% - 强调文字颜色 3 23 21" xfId="3996"/>
    <cellStyle name="40% - 强调文字颜色 3 23 21 2" xfId="9411"/>
    <cellStyle name="40% - 强调文字颜色 3 23 21 3" xfId="15680"/>
    <cellStyle name="40% - 强调文字颜色 3 23 21 4" xfId="25264"/>
    <cellStyle name="40% - 强调文字颜色 3 23 21 5" xfId="28501"/>
    <cellStyle name="40% - 强调文字颜色 3 23 22" xfId="3997"/>
    <cellStyle name="40% - 强调文字颜色 3 23 22 2" xfId="9412"/>
    <cellStyle name="40% - 强调文字颜色 3 23 22 3" xfId="15681"/>
    <cellStyle name="40% - 强调文字颜色 3 23 22 4" xfId="25265"/>
    <cellStyle name="40% - 强调文字颜色 3 23 22 5" xfId="28502"/>
    <cellStyle name="40% - 强调文字颜色 3 23 23" xfId="3998"/>
    <cellStyle name="40% - 强调文字颜色 3 23 23 2" xfId="9413"/>
    <cellStyle name="40% - 强调文字颜色 3 23 23 3" xfId="15682"/>
    <cellStyle name="40% - 强调文字颜色 3 23 23 4" xfId="25266"/>
    <cellStyle name="40% - 强调文字颜色 3 23 23 5" xfId="28503"/>
    <cellStyle name="40% - 强调文字颜色 3 23 24" xfId="6509"/>
    <cellStyle name="40% - 强调文字颜色 3 23 25" xfId="11026"/>
    <cellStyle name="40% - 强调文字颜色 3 23 26" xfId="12655"/>
    <cellStyle name="40% - 强调文字颜色 3 23 27" xfId="15667"/>
    <cellStyle name="40% - 强调文字颜色 3 23 28" xfId="11362"/>
    <cellStyle name="40% - 强调文字颜色 3 23 29" xfId="18818"/>
    <cellStyle name="40% - 强调文字颜色 3 23 3" xfId="3999"/>
    <cellStyle name="40% - 强调文字颜色 3 23 3 2" xfId="9414"/>
    <cellStyle name="40% - 强调文字颜色 3 23 3 3" xfId="15683"/>
    <cellStyle name="40% - 强调文字颜色 3 23 3 4" xfId="25267"/>
    <cellStyle name="40% - 强调文字颜色 3 23 3 5" xfId="28504"/>
    <cellStyle name="40% - 强调文字颜色 3 23 30" xfId="23161"/>
    <cellStyle name="40% - 强调文字颜色 3 23 31" xfId="20530"/>
    <cellStyle name="40% - 强调文字颜色 3 23 32" xfId="30553"/>
    <cellStyle name="40% - 强调文字颜色 3 23 33" xfId="31768"/>
    <cellStyle name="40% - 强调文字颜色 3 23 4" xfId="4000"/>
    <cellStyle name="40% - 强调文字颜色 3 23 4 2" xfId="9415"/>
    <cellStyle name="40% - 强调文字颜色 3 23 4 3" xfId="15684"/>
    <cellStyle name="40% - 强调文字颜色 3 23 4 4" xfId="25268"/>
    <cellStyle name="40% - 强调文字颜色 3 23 4 5" xfId="28505"/>
    <cellStyle name="40% - 强调文字颜色 3 23 5" xfId="4001"/>
    <cellStyle name="40% - 强调文字颜色 3 23 5 2" xfId="9416"/>
    <cellStyle name="40% - 强调文字颜色 3 23 5 3" xfId="15685"/>
    <cellStyle name="40% - 强调文字颜色 3 23 5 4" xfId="25269"/>
    <cellStyle name="40% - 强调文字颜色 3 23 5 5" xfId="28506"/>
    <cellStyle name="40% - 强调文字颜色 3 23 6" xfId="4002"/>
    <cellStyle name="40% - 强调文字颜色 3 23 6 2" xfId="9417"/>
    <cellStyle name="40% - 强调文字颜色 3 23 6 3" xfId="15686"/>
    <cellStyle name="40% - 强调文字颜色 3 23 6 4" xfId="25270"/>
    <cellStyle name="40% - 强调文字颜色 3 23 6 5" xfId="28507"/>
    <cellStyle name="40% - 强调文字颜色 3 23 7" xfId="4003"/>
    <cellStyle name="40% - 强调文字颜色 3 23 7 2" xfId="9418"/>
    <cellStyle name="40% - 强调文字颜色 3 23 7 3" xfId="15687"/>
    <cellStyle name="40% - 强调文字颜色 3 23 7 4" xfId="25271"/>
    <cellStyle name="40% - 强调文字颜色 3 23 7 5" xfId="28508"/>
    <cellStyle name="40% - 强调文字颜色 3 23 8" xfId="4004"/>
    <cellStyle name="40% - 强调文字颜色 3 23 8 2" xfId="9419"/>
    <cellStyle name="40% - 强调文字颜色 3 23 8 3" xfId="15688"/>
    <cellStyle name="40% - 强调文字颜色 3 23 8 4" xfId="25272"/>
    <cellStyle name="40% - 强调文字颜色 3 23 8 5" xfId="28509"/>
    <cellStyle name="40% - 强调文字颜色 3 23 9" xfId="4005"/>
    <cellStyle name="40% - 强调文字颜色 3 23 9 2" xfId="9420"/>
    <cellStyle name="40% - 强调文字颜色 3 23 9 3" xfId="15689"/>
    <cellStyle name="40% - 强调文字颜色 3 23 9 4" xfId="25273"/>
    <cellStyle name="40% - 强调文字颜色 3 23 9 5" xfId="28510"/>
    <cellStyle name="40% - 强调文字颜色 3 24" xfId="3838"/>
    <cellStyle name="40% - 强调文字颜色 3 24 2" xfId="4006"/>
    <cellStyle name="40% - 强调文字颜色 3 24 3" xfId="7395"/>
    <cellStyle name="40% - 强调文字颜色 3 24 4" xfId="15690"/>
    <cellStyle name="40% - 强调文字颜色 3 24 5" xfId="7392"/>
    <cellStyle name="40% - 强调文字颜色 3 24 6" xfId="26795"/>
    <cellStyle name="40% - 强调文字颜色 3 24 7" xfId="28399"/>
    <cellStyle name="40% - 强调文字颜色 3 25" xfId="4007"/>
    <cellStyle name="40% - 强调文字颜色 3 25 2" xfId="9421"/>
    <cellStyle name="40% - 强调文字颜色 3 25 3" xfId="15691"/>
    <cellStyle name="40% - 强调文字颜色 3 25 4" xfId="25274"/>
    <cellStyle name="40% - 强调文字颜色 3 25 5" xfId="26585"/>
    <cellStyle name="40% - 强调文字颜色 3 25 6" xfId="26796"/>
    <cellStyle name="40% - 强调文字颜色 3 25 7" xfId="28511"/>
    <cellStyle name="40% - 强调文字颜色 3 26" xfId="4008"/>
    <cellStyle name="40% - 强调文字颜色 3 26 2" xfId="9422"/>
    <cellStyle name="40% - 强调文字颜色 3 26 3" xfId="15692"/>
    <cellStyle name="40% - 强调文字颜色 3 26 4" xfId="25275"/>
    <cellStyle name="40% - 强调文字颜色 3 26 5" xfId="26586"/>
    <cellStyle name="40% - 强调文字颜色 3 26 6" xfId="26797"/>
    <cellStyle name="40% - 强调文字颜色 3 26 7" xfId="28512"/>
    <cellStyle name="40% - 强调文字颜色 3 27" xfId="4009"/>
    <cellStyle name="40% - 强调文字颜色 3 27 2" xfId="9423"/>
    <cellStyle name="40% - 强调文字颜色 3 27 3" xfId="15693"/>
    <cellStyle name="40% - 强调文字颜色 3 27 4" xfId="25276"/>
    <cellStyle name="40% - 强调文字颜色 3 27 5" xfId="26798"/>
    <cellStyle name="40% - 强调文字颜色 3 27 6" xfId="28513"/>
    <cellStyle name="40% - 强调文字颜色 3 28" xfId="4010"/>
    <cellStyle name="40% - 强调文字颜色 3 28 2" xfId="9424"/>
    <cellStyle name="40% - 强调文字颜色 3 28 3" xfId="15694"/>
    <cellStyle name="40% - 强调文字颜色 3 28 4" xfId="25277"/>
    <cellStyle name="40% - 强调文字颜色 3 28 5" xfId="26799"/>
    <cellStyle name="40% - 强调文字颜色 3 28 6" xfId="28514"/>
    <cellStyle name="40% - 强调文字颜色 3 29" xfId="4011"/>
    <cellStyle name="40% - 强调文字颜色 3 29 2" xfId="9425"/>
    <cellStyle name="40% - 强调文字颜色 3 29 3" xfId="15695"/>
    <cellStyle name="40% - 强调文字颜色 3 29 4" xfId="25278"/>
    <cellStyle name="40% - 强调文字颜色 3 29 5" xfId="26800"/>
    <cellStyle name="40% - 强调文字颜色 3 29 6" xfId="28515"/>
    <cellStyle name="40% - 强调文字颜色 3 3" xfId="964"/>
    <cellStyle name="40% - 强调文字颜色 3 3 10" xfId="965"/>
    <cellStyle name="40% - 强调文字颜色 3 3 10 10" xfId="30555"/>
    <cellStyle name="40% - 强调文字颜色 3 3 10 11" xfId="31767"/>
    <cellStyle name="40% - 强调文字颜色 3 3 10 2" xfId="4013"/>
    <cellStyle name="40% - 强调文字颜色 3 3 10 3" xfId="6511"/>
    <cellStyle name="40% - 强调文字颜色 3 3 10 4" xfId="12657"/>
    <cellStyle name="40% - 强调文字颜色 3 3 10 5" xfId="15697"/>
    <cellStyle name="40% - 强调文字颜色 3 3 10 6" xfId="11358"/>
    <cellStyle name="40% - 强调文字颜色 3 3 10 7" xfId="18820"/>
    <cellStyle name="40% - 强调文字颜色 3 3 10 8" xfId="21669"/>
    <cellStyle name="40% - 强调文字颜色 3 3 10 9" xfId="21099"/>
    <cellStyle name="40% - 强调文字颜色 3 3 11" xfId="966"/>
    <cellStyle name="40% - 强调文字颜色 3 3 11 10" xfId="30556"/>
    <cellStyle name="40% - 强调文字颜色 3 3 11 11" xfId="33366"/>
    <cellStyle name="40% - 强调文字颜色 3 3 11 2" xfId="4014"/>
    <cellStyle name="40% - 强调文字颜色 3 3 11 3" xfId="6512"/>
    <cellStyle name="40% - 强调文字颜色 3 3 11 4" xfId="12658"/>
    <cellStyle name="40% - 强调文字颜色 3 3 11 5" xfId="15698"/>
    <cellStyle name="40% - 强调文字颜色 3 3 11 6" xfId="10221"/>
    <cellStyle name="40% - 强调文字颜色 3 3 11 7" xfId="18821"/>
    <cellStyle name="40% - 强调文字颜色 3 3 11 8" xfId="23160"/>
    <cellStyle name="40% - 强调文字颜色 3 3 11 9" xfId="20529"/>
    <cellStyle name="40% - 强调文字颜色 3 3 12" xfId="967"/>
    <cellStyle name="40% - 强调文字颜色 3 3 12 10" xfId="30557"/>
    <cellStyle name="40% - 强调文字颜色 3 3 12 11" xfId="33118"/>
    <cellStyle name="40% - 强调文字颜色 3 3 12 2" xfId="4015"/>
    <cellStyle name="40% - 强调文字颜色 3 3 12 3" xfId="6513"/>
    <cellStyle name="40% - 强调文字颜色 3 3 12 4" xfId="12659"/>
    <cellStyle name="40% - 强调文字颜色 3 3 12 5" xfId="15699"/>
    <cellStyle name="40% - 强调文字颜色 3 3 12 6" xfId="11360"/>
    <cellStyle name="40% - 强调文字颜色 3 3 12 7" xfId="18822"/>
    <cellStyle name="40% - 强调文字颜色 3 3 12 8" xfId="22177"/>
    <cellStyle name="40% - 强调文字颜色 3 3 12 9" xfId="19878"/>
    <cellStyle name="40% - 强调文字颜色 3 3 13" xfId="968"/>
    <cellStyle name="40% - 强调文字颜色 3 3 13 10" xfId="30558"/>
    <cellStyle name="40% - 强调文字颜色 3 3 13 11" xfId="32711"/>
    <cellStyle name="40% - 强调文字颜色 3 3 13 2" xfId="4016"/>
    <cellStyle name="40% - 强调文字颜色 3 3 13 3" xfId="6514"/>
    <cellStyle name="40% - 强调文字颜色 3 3 13 4" xfId="12660"/>
    <cellStyle name="40% - 强调文字颜色 3 3 13 5" xfId="15700"/>
    <cellStyle name="40% - 强调文字颜色 3 3 13 6" xfId="10223"/>
    <cellStyle name="40% - 强调文字颜色 3 3 13 7" xfId="18823"/>
    <cellStyle name="40% - 强调文字颜色 3 3 13 8" xfId="21668"/>
    <cellStyle name="40% - 强调文字颜色 3 3 13 9" xfId="21098"/>
    <cellStyle name="40% - 强调文字颜色 3 3 14" xfId="969"/>
    <cellStyle name="40% - 强调文字颜色 3 3 14 10" xfId="30559"/>
    <cellStyle name="40% - 强调文字颜色 3 3 14 11" xfId="32467"/>
    <cellStyle name="40% - 强调文字颜色 3 3 14 2" xfId="4017"/>
    <cellStyle name="40% - 强调文字颜色 3 3 14 3" xfId="6515"/>
    <cellStyle name="40% - 强调文字颜色 3 3 14 4" xfId="12661"/>
    <cellStyle name="40% - 强调文字颜色 3 3 14 5" xfId="15701"/>
    <cellStyle name="40% - 强调文字颜色 3 3 14 6" xfId="11359"/>
    <cellStyle name="40% - 强调文字颜色 3 3 14 7" xfId="18824"/>
    <cellStyle name="40% - 强调文字颜色 3 3 14 8" xfId="23150"/>
    <cellStyle name="40% - 强调文字颜色 3 3 14 9" xfId="20528"/>
    <cellStyle name="40% - 强调文字颜色 3 3 15" xfId="970"/>
    <cellStyle name="40% - 强调文字颜色 3 3 15 10" xfId="30560"/>
    <cellStyle name="40% - 强调文字颜色 3 3 15 11" xfId="32233"/>
    <cellStyle name="40% - 强调文字颜色 3 3 15 2" xfId="4018"/>
    <cellStyle name="40% - 强调文字颜色 3 3 15 3" xfId="6516"/>
    <cellStyle name="40% - 强调文字颜色 3 3 15 4" xfId="12662"/>
    <cellStyle name="40% - 强调文字颜色 3 3 15 5" xfId="15702"/>
    <cellStyle name="40% - 强调文字颜色 3 3 15 6" xfId="10222"/>
    <cellStyle name="40% - 强调文字颜色 3 3 15 7" xfId="18825"/>
    <cellStyle name="40% - 强调文字颜色 3 3 15 8" xfId="22836"/>
    <cellStyle name="40% - 强调文字颜色 3 3 15 9" xfId="19877"/>
    <cellStyle name="40% - 强调文字颜色 3 3 16" xfId="971"/>
    <cellStyle name="40% - 强调文字颜色 3 3 16 10" xfId="30561"/>
    <cellStyle name="40% - 强调文字颜色 3 3 16 11" xfId="31766"/>
    <cellStyle name="40% - 强调文字颜色 3 3 16 2" xfId="4019"/>
    <cellStyle name="40% - 强调文字颜色 3 3 16 3" xfId="6517"/>
    <cellStyle name="40% - 强调文字颜色 3 3 16 4" xfId="12663"/>
    <cellStyle name="40% - 强调文字颜色 3 3 16 5" xfId="15703"/>
    <cellStyle name="40% - 强调文字颜色 3 3 16 6" xfId="11355"/>
    <cellStyle name="40% - 强调文字颜色 3 3 16 7" xfId="18826"/>
    <cellStyle name="40% - 强调文字颜色 3 3 16 8" xfId="23159"/>
    <cellStyle name="40% - 强调文字颜色 3 3 16 9" xfId="21097"/>
    <cellStyle name="40% - 强调文字颜色 3 3 17" xfId="972"/>
    <cellStyle name="40% - 强调文字颜色 3 3 17 10" xfId="30562"/>
    <cellStyle name="40% - 强调文字颜色 3 3 17 11" xfId="33365"/>
    <cellStyle name="40% - 强调文字颜色 3 3 17 2" xfId="4020"/>
    <cellStyle name="40% - 强调文字颜色 3 3 17 3" xfId="6518"/>
    <cellStyle name="40% - 强调文字颜色 3 3 17 4" xfId="12664"/>
    <cellStyle name="40% - 强调文字颜色 3 3 17 5" xfId="15704"/>
    <cellStyle name="40% - 强调文字颜色 3 3 17 6" xfId="10218"/>
    <cellStyle name="40% - 强调文字颜色 3 3 17 7" xfId="18827"/>
    <cellStyle name="40% - 强调文字颜色 3 3 17 8" xfId="22176"/>
    <cellStyle name="40% - 强调文字颜色 3 3 17 9" xfId="20527"/>
    <cellStyle name="40% - 强调文字颜色 3 3 18" xfId="973"/>
    <cellStyle name="40% - 强调文字颜色 3 3 18 10" xfId="30563"/>
    <cellStyle name="40% - 强调文字颜色 3 3 18 11" xfId="33112"/>
    <cellStyle name="40% - 强调文字颜色 3 3 18 2" xfId="4021"/>
    <cellStyle name="40% - 强调文字颜色 3 3 18 3" xfId="6519"/>
    <cellStyle name="40% - 强调文字颜色 3 3 18 4" xfId="12665"/>
    <cellStyle name="40% - 强调文字颜色 3 3 18 5" xfId="15705"/>
    <cellStyle name="40% - 强调文字颜色 3 3 18 6" xfId="11357"/>
    <cellStyle name="40% - 强调文字颜色 3 3 18 7" xfId="18828"/>
    <cellStyle name="40% - 强调文字颜色 3 3 18 8" xfId="21659"/>
    <cellStyle name="40% - 强调文字颜色 3 3 18 9" xfId="19876"/>
    <cellStyle name="40% - 强调文字颜色 3 3 19" xfId="974"/>
    <cellStyle name="40% - 强调文字颜色 3 3 19 10" xfId="30564"/>
    <cellStyle name="40% - 强调文字颜色 3 3 19 11" xfId="32708"/>
    <cellStyle name="40% - 强调文字颜色 3 3 19 2" xfId="4022"/>
    <cellStyle name="40% - 强调文字颜色 3 3 19 3" xfId="6520"/>
    <cellStyle name="40% - 强调文字颜色 3 3 19 4" xfId="12666"/>
    <cellStyle name="40% - 强调文字颜色 3 3 19 5" xfId="15706"/>
    <cellStyle name="40% - 强调文字颜色 3 3 19 6" xfId="10220"/>
    <cellStyle name="40% - 强调文字颜色 3 3 19 7" xfId="18829"/>
    <cellStyle name="40% - 强调文字颜色 3 3 19 8" xfId="22618"/>
    <cellStyle name="40% - 强调文字颜色 3 3 19 9" xfId="21096"/>
    <cellStyle name="40% - 强调文字颜色 3 3 2" xfId="975"/>
    <cellStyle name="40% - 强调文字颜色 3 3 2 10" xfId="30565"/>
    <cellStyle name="40% - 强调文字颜色 3 3 2 11" xfId="32463"/>
    <cellStyle name="40% - 强调文字颜色 3 3 2 2" xfId="4023"/>
    <cellStyle name="40% - 强调文字颜色 3 3 2 3" xfId="6521"/>
    <cellStyle name="40% - 强调文字颜色 3 3 2 4" xfId="12667"/>
    <cellStyle name="40% - 强调文字颜色 3 3 2 5" xfId="15707"/>
    <cellStyle name="40% - 强调文字颜色 3 3 2 6" xfId="11356"/>
    <cellStyle name="40% - 强调文字颜色 3 3 2 7" xfId="18830"/>
    <cellStyle name="40% - 强调文字颜色 3 3 2 8" xfId="23158"/>
    <cellStyle name="40% - 强调文字颜色 3 3 2 9" xfId="20526"/>
    <cellStyle name="40% - 强调文字颜色 3 3 20" xfId="4012"/>
    <cellStyle name="40% - 强调文字颜色 3 3 20 2" xfId="9426"/>
    <cellStyle name="40% - 强调文字颜色 3 3 20 3" xfId="15708"/>
    <cellStyle name="40% - 强调文字颜色 3 3 20 4" xfId="25279"/>
    <cellStyle name="40% - 强调文字颜色 3 3 20 5" xfId="26801"/>
    <cellStyle name="40% - 强调文字颜色 3 3 20 6" xfId="28516"/>
    <cellStyle name="40% - 强调文字颜色 3 3 21" xfId="4025"/>
    <cellStyle name="40% - 强调文字颜色 3 3 21 2" xfId="9427"/>
    <cellStyle name="40% - 强调文字颜色 3 3 21 3" xfId="15709"/>
    <cellStyle name="40% - 强调文字颜色 3 3 21 4" xfId="25280"/>
    <cellStyle name="40% - 强调文字颜色 3 3 21 5" xfId="26802"/>
    <cellStyle name="40% - 强调文字颜色 3 3 21 6" xfId="28517"/>
    <cellStyle name="40% - 强调文字颜色 3 3 22" xfId="4026"/>
    <cellStyle name="40% - 强调文字颜色 3 3 22 2" xfId="9428"/>
    <cellStyle name="40% - 强调文字颜色 3 3 22 3" xfId="15710"/>
    <cellStyle name="40% - 强调文字颜色 3 3 22 4" xfId="25281"/>
    <cellStyle name="40% - 强调文字颜色 3 3 22 5" xfId="26803"/>
    <cellStyle name="40% - 强调文字颜色 3 3 22 6" xfId="28518"/>
    <cellStyle name="40% - 强调文字颜色 3 3 23" xfId="4027"/>
    <cellStyle name="40% - 强调文字颜色 3 3 23 2" xfId="9429"/>
    <cellStyle name="40% - 强调文字颜色 3 3 23 3" xfId="15711"/>
    <cellStyle name="40% - 强调文字颜色 3 3 23 4" xfId="25282"/>
    <cellStyle name="40% - 强调文字颜色 3 3 23 5" xfId="26804"/>
    <cellStyle name="40% - 强调文字颜色 3 3 23 6" xfId="28519"/>
    <cellStyle name="40% - 强调文字颜色 3 3 24" xfId="4028"/>
    <cellStyle name="40% - 强调文字颜色 3 3 24 2" xfId="9430"/>
    <cellStyle name="40% - 强调文字颜色 3 3 24 3" xfId="15712"/>
    <cellStyle name="40% - 强调文字颜色 3 3 24 4" xfId="25283"/>
    <cellStyle name="40% - 强调文字颜色 3 3 24 5" xfId="26805"/>
    <cellStyle name="40% - 强调文字颜色 3 3 24 6" xfId="28520"/>
    <cellStyle name="40% - 强调文字颜色 3 3 25" xfId="4029"/>
    <cellStyle name="40% - 强调文字颜色 3 3 25 2" xfId="9431"/>
    <cellStyle name="40% - 强调文字颜色 3 3 25 3" xfId="15713"/>
    <cellStyle name="40% - 强调文字颜色 3 3 25 4" xfId="25284"/>
    <cellStyle name="40% - 强调文字颜色 3 3 25 5" xfId="26806"/>
    <cellStyle name="40% - 强调文字颜色 3 3 25 6" xfId="28521"/>
    <cellStyle name="40% - 强调文字颜色 3 3 26" xfId="4030"/>
    <cellStyle name="40% - 强调文字颜色 3 3 26 2" xfId="9432"/>
    <cellStyle name="40% - 强调文字颜色 3 3 26 3" xfId="15714"/>
    <cellStyle name="40% - 强调文字颜色 3 3 26 4" xfId="25285"/>
    <cellStyle name="40% - 强调文字颜色 3 3 26 5" xfId="26807"/>
    <cellStyle name="40% - 强调文字颜色 3 3 26 6" xfId="28522"/>
    <cellStyle name="40% - 强调文字颜色 3 3 27" xfId="4031"/>
    <cellStyle name="40% - 强调文字颜色 3 3 27 2" xfId="9433"/>
    <cellStyle name="40% - 强调文字颜色 3 3 27 3" xfId="15715"/>
    <cellStyle name="40% - 强调文字颜色 3 3 27 4" xfId="25286"/>
    <cellStyle name="40% - 强调文字颜色 3 3 27 5" xfId="26808"/>
    <cellStyle name="40% - 强调文字颜色 3 3 27 6" xfId="28523"/>
    <cellStyle name="40% - 强调文字颜色 3 3 28" xfId="4032"/>
    <cellStyle name="40% - 强调文字颜色 3 3 28 2" xfId="9434"/>
    <cellStyle name="40% - 强调文字颜色 3 3 28 3" xfId="15716"/>
    <cellStyle name="40% - 强调文字颜色 3 3 28 4" xfId="25287"/>
    <cellStyle name="40% - 强调文字颜色 3 3 28 5" xfId="26809"/>
    <cellStyle name="40% - 强调文字颜色 3 3 28 6" xfId="28524"/>
    <cellStyle name="40% - 强调文字颜色 3 3 29" xfId="4033"/>
    <cellStyle name="40% - 强调文字颜色 3 3 29 2" xfId="9435"/>
    <cellStyle name="40% - 强调文字颜色 3 3 29 3" xfId="15717"/>
    <cellStyle name="40% - 强调文字颜色 3 3 29 4" xfId="25288"/>
    <cellStyle name="40% - 强调文字颜色 3 3 29 5" xfId="28525"/>
    <cellStyle name="40% - 强调文字颜色 3 3 3" xfId="976"/>
    <cellStyle name="40% - 强调文字颜色 3 3 3 10" xfId="30568"/>
    <cellStyle name="40% - 强调文字颜色 3 3 3 11" xfId="33116"/>
    <cellStyle name="40% - 强调文字颜色 3 3 3 2" xfId="4034"/>
    <cellStyle name="40% - 强调文字颜色 3 3 3 3" xfId="6522"/>
    <cellStyle name="40% - 强调文字颜色 3 3 3 4" xfId="12668"/>
    <cellStyle name="40% - 强调文字颜色 3 3 3 5" xfId="15718"/>
    <cellStyle name="40% - 强调文字颜色 3 3 3 6" xfId="10219"/>
    <cellStyle name="40% - 强调文字颜色 3 3 3 7" xfId="18831"/>
    <cellStyle name="40% - 强调文字颜色 3 3 3 8" xfId="22175"/>
    <cellStyle name="40% - 强调文字颜色 3 3 3 9" xfId="19875"/>
    <cellStyle name="40% - 强调文字颜色 3 3 30" xfId="4035"/>
    <cellStyle name="40% - 强调文字颜色 3 3 30 2" xfId="9436"/>
    <cellStyle name="40% - 强调文字颜色 3 3 30 3" xfId="15719"/>
    <cellStyle name="40% - 强调文字颜色 3 3 30 4" xfId="25289"/>
    <cellStyle name="40% - 强调文字颜色 3 3 30 5" xfId="28526"/>
    <cellStyle name="40% - 强调文字颜色 3 3 31" xfId="4036"/>
    <cellStyle name="40% - 强调文字颜色 3 3 31 2" xfId="9437"/>
    <cellStyle name="40% - 强调文字颜色 3 3 31 3" xfId="15720"/>
    <cellStyle name="40% - 强调文字颜色 3 3 31 4" xfId="25290"/>
    <cellStyle name="40% - 强调文字颜色 3 3 31 5" xfId="28527"/>
    <cellStyle name="40% - 强调文字颜色 3 3 32" xfId="4037"/>
    <cellStyle name="40% - 强调文字颜色 3 3 32 2" xfId="9438"/>
    <cellStyle name="40% - 强调文字颜色 3 3 32 3" xfId="15721"/>
    <cellStyle name="40% - 强调文字颜色 3 3 32 4" xfId="25291"/>
    <cellStyle name="40% - 强调文字颜色 3 3 32 5" xfId="28528"/>
    <cellStyle name="40% - 强调文字颜色 3 3 33" xfId="4038"/>
    <cellStyle name="40% - 强调文字颜色 3 3 33 2" xfId="9439"/>
    <cellStyle name="40% - 强调文字颜色 3 3 33 3" xfId="15722"/>
    <cellStyle name="40% - 强调文字颜色 3 3 33 4" xfId="25292"/>
    <cellStyle name="40% - 强调文字颜色 3 3 33 5" xfId="28529"/>
    <cellStyle name="40% - 强调文字颜色 3 3 34" xfId="4039"/>
    <cellStyle name="40% - 强调文字颜色 3 3 34 2" xfId="9440"/>
    <cellStyle name="40% - 强调文字颜色 3 3 34 3" xfId="15723"/>
    <cellStyle name="40% - 强调文字颜色 3 3 34 4" xfId="25293"/>
    <cellStyle name="40% - 强调文字颜色 3 3 34 5" xfId="28530"/>
    <cellStyle name="40% - 强调文字颜色 3 3 35" xfId="4040"/>
    <cellStyle name="40% - 强调文字颜色 3 3 35 2" xfId="9441"/>
    <cellStyle name="40% - 强调文字颜色 3 3 35 3" xfId="15724"/>
    <cellStyle name="40% - 强调文字颜色 3 3 35 4" xfId="25294"/>
    <cellStyle name="40% - 强调文字颜色 3 3 35 5" xfId="28531"/>
    <cellStyle name="40% - 强调文字颜色 3 3 36" xfId="4041"/>
    <cellStyle name="40% - 强调文字颜色 3 3 36 2" xfId="9442"/>
    <cellStyle name="40% - 强调文字颜色 3 3 36 3" xfId="15725"/>
    <cellStyle name="40% - 强调文字颜色 3 3 36 4" xfId="25295"/>
    <cellStyle name="40% - 强调文字颜色 3 3 36 5" xfId="28532"/>
    <cellStyle name="40% - 强调文字颜色 3 3 37" xfId="4042"/>
    <cellStyle name="40% - 强调文字颜色 3 3 37 2" xfId="9443"/>
    <cellStyle name="40% - 强调文字颜色 3 3 37 3" xfId="15726"/>
    <cellStyle name="40% - 强调文字颜色 3 3 37 4" xfId="25296"/>
    <cellStyle name="40% - 强调文字颜色 3 3 37 5" xfId="28533"/>
    <cellStyle name="40% - 强调文字颜色 3 3 38" xfId="4043"/>
    <cellStyle name="40% - 强调文字颜色 3 3 38 2" xfId="9444"/>
    <cellStyle name="40% - 强调文字颜色 3 3 38 3" xfId="15727"/>
    <cellStyle name="40% - 强调文字颜色 3 3 38 4" xfId="25297"/>
    <cellStyle name="40% - 强调文字颜色 3 3 38 5" xfId="28534"/>
    <cellStyle name="40% - 强调文字颜色 3 3 39" xfId="4044"/>
    <cellStyle name="40% - 强调文字颜色 3 3 39 2" xfId="9445"/>
    <cellStyle name="40% - 强调文字颜色 3 3 39 3" xfId="15728"/>
    <cellStyle name="40% - 强调文字颜色 3 3 39 4" xfId="25298"/>
    <cellStyle name="40% - 强调文字颜色 3 3 39 5" xfId="28535"/>
    <cellStyle name="40% - 强调文字颜色 3 3 4" xfId="977"/>
    <cellStyle name="40% - 强调文字颜色 3 3 4 10" xfId="30569"/>
    <cellStyle name="40% - 强调文字颜色 3 3 4 11" xfId="33363"/>
    <cellStyle name="40% - 强调文字颜色 3 3 4 2" xfId="4045"/>
    <cellStyle name="40% - 强调文字颜色 3 3 4 3" xfId="6523"/>
    <cellStyle name="40% - 强调文字颜色 3 3 4 4" xfId="12669"/>
    <cellStyle name="40% - 强调文字颜色 3 3 4 5" xfId="15729"/>
    <cellStyle name="40% - 强调文字颜色 3 3 4 6" xfId="11351"/>
    <cellStyle name="40% - 强调文字颜色 3 3 4 7" xfId="18832"/>
    <cellStyle name="40% - 强调文字颜色 3 3 4 8" xfId="21667"/>
    <cellStyle name="40% - 强调文字颜色 3 3 4 9" xfId="21095"/>
    <cellStyle name="40% - 强调文字颜色 3 3 40" xfId="4046"/>
    <cellStyle name="40% - 强调文字颜色 3 3 40 2" xfId="9446"/>
    <cellStyle name="40% - 强调文字颜色 3 3 40 3" xfId="15730"/>
    <cellStyle name="40% - 强调文字颜色 3 3 40 4" xfId="25299"/>
    <cellStyle name="40% - 强调文字颜色 3 3 40 5" xfId="28536"/>
    <cellStyle name="40% - 强调文字颜色 3 3 41" xfId="4047"/>
    <cellStyle name="40% - 强调文字颜色 3 3 41 2" xfId="9447"/>
    <cellStyle name="40% - 强调文字颜色 3 3 41 3" xfId="15731"/>
    <cellStyle name="40% - 强调文字颜色 3 3 41 4" xfId="25300"/>
    <cellStyle name="40% - 强调文字颜色 3 3 41 5" xfId="28537"/>
    <cellStyle name="40% - 强调文字颜色 3 3 42" xfId="6510"/>
    <cellStyle name="40% - 强调文字颜色 3 3 42 2" xfId="23576"/>
    <cellStyle name="40% - 强调文字颜色 3 3 42 3" xfId="26161"/>
    <cellStyle name="40% - 强调文字颜色 3 3 43" xfId="11027"/>
    <cellStyle name="40% - 强调文字颜色 3 3 43 2" xfId="23789"/>
    <cellStyle name="40% - 强调文字颜色 3 3 43 3" xfId="26374"/>
    <cellStyle name="40% - 强调文字颜色 3 3 44" xfId="12656"/>
    <cellStyle name="40% - 强调文字颜色 3 3 44 2" xfId="23873"/>
    <cellStyle name="40% - 强调文字颜色 3 3 44 3" xfId="26458"/>
    <cellStyle name="40% - 强调文字颜色 3 3 45" xfId="15696"/>
    <cellStyle name="40% - 强调文字颜色 3 3 45 2" xfId="23915"/>
    <cellStyle name="40% - 强调文字颜色 3 3 45 3" xfId="26500"/>
    <cellStyle name="40% - 强调文字颜色 3 3 46" xfId="10225"/>
    <cellStyle name="40% - 强调文字颜色 3 3 47" xfId="18819"/>
    <cellStyle name="40% - 强调文字颜色 3 3 48" xfId="22178"/>
    <cellStyle name="40% - 强调文字颜色 3 3 49" xfId="19879"/>
    <cellStyle name="40% - 强调文字颜色 3 3 5" xfId="978"/>
    <cellStyle name="40% - 强调文字颜色 3 3 5 10" xfId="30570"/>
    <cellStyle name="40% - 强调文字颜色 3 3 5 11" xfId="32466"/>
    <cellStyle name="40% - 强调文字颜色 3 3 5 2" xfId="4048"/>
    <cellStyle name="40% - 强调文字颜色 3 3 5 3" xfId="6524"/>
    <cellStyle name="40% - 强调文字颜色 3 3 5 4" xfId="12670"/>
    <cellStyle name="40% - 强调文字颜色 3 3 5 5" xfId="15732"/>
    <cellStyle name="40% - 强调文字颜色 3 3 5 6" xfId="10214"/>
    <cellStyle name="40% - 强调文字颜色 3 3 5 7" xfId="18833"/>
    <cellStyle name="40% - 强调文字颜色 3 3 5 8" xfId="23157"/>
    <cellStyle name="40% - 强调文字颜色 3 3 5 9" xfId="20525"/>
    <cellStyle name="40% - 强调文字颜色 3 3 50" xfId="30554"/>
    <cellStyle name="40% - 强调文字颜色 3 3 51" xfId="32234"/>
    <cellStyle name="40% - 强调文字颜色 3 3 6" xfId="979"/>
    <cellStyle name="40% - 强调文字颜色 3 3 6 10" xfId="30571"/>
    <cellStyle name="40% - 强调文字颜色 3 3 6 11" xfId="32232"/>
    <cellStyle name="40% - 强调文字颜色 3 3 6 2" xfId="4049"/>
    <cellStyle name="40% - 强调文字颜色 3 3 6 3" xfId="6525"/>
    <cellStyle name="40% - 强调文字颜色 3 3 6 4" xfId="12671"/>
    <cellStyle name="40% - 强调文字颜色 3 3 6 5" xfId="15733"/>
    <cellStyle name="40% - 强调文字颜色 3 3 6 6" xfId="11353"/>
    <cellStyle name="40% - 强调文字颜色 3 3 6 7" xfId="18834"/>
    <cellStyle name="40% - 强调文字颜色 3 3 6 8" xfId="22174"/>
    <cellStyle name="40% - 强调文字颜色 3 3 6 9" xfId="19874"/>
    <cellStyle name="40% - 强调文字颜色 3 3 7" xfId="980"/>
    <cellStyle name="40% - 强调文字颜色 3 3 7 10" xfId="30572"/>
    <cellStyle name="40% - 强调文字颜色 3 3 7 11" xfId="31765"/>
    <cellStyle name="40% - 强调文字颜色 3 3 7 2" xfId="4050"/>
    <cellStyle name="40% - 强调文字颜色 3 3 7 3" xfId="6526"/>
    <cellStyle name="40% - 强调文字颜色 3 3 7 4" xfId="12672"/>
    <cellStyle name="40% - 强调文字颜色 3 3 7 5" xfId="15734"/>
    <cellStyle name="40% - 强调文字颜色 3 3 7 6" xfId="10216"/>
    <cellStyle name="40% - 强调文字颜色 3 3 7 7" xfId="18835"/>
    <cellStyle name="40% - 强调文字颜色 3 3 7 8" xfId="21666"/>
    <cellStyle name="40% - 强调文字颜色 3 3 7 9" xfId="21094"/>
    <cellStyle name="40% - 强调文字颜色 3 3 8" xfId="981"/>
    <cellStyle name="40% - 强调文字颜色 3 3 8 10" xfId="30573"/>
    <cellStyle name="40% - 强调文字颜色 3 3 8 11" xfId="33364"/>
    <cellStyle name="40% - 强调文字颜色 3 3 8 2" xfId="4051"/>
    <cellStyle name="40% - 强调文字颜色 3 3 8 3" xfId="6527"/>
    <cellStyle name="40% - 强调文字颜色 3 3 8 4" xfId="12673"/>
    <cellStyle name="40% - 强调文字颜色 3 3 8 5" xfId="15735"/>
    <cellStyle name="40% - 强调文字颜色 3 3 8 6" xfId="11352"/>
    <cellStyle name="40% - 强调文字颜色 3 3 8 7" xfId="18836"/>
    <cellStyle name="40% - 强调文字颜色 3 3 8 8" xfId="23156"/>
    <cellStyle name="40% - 强调文字颜色 3 3 8 9" xfId="20524"/>
    <cellStyle name="40% - 强调文字颜色 3 3 9" xfId="982"/>
    <cellStyle name="40% - 强调文字颜色 3 3 9 10" xfId="30574"/>
    <cellStyle name="40% - 强调文字颜色 3 3 9 11" xfId="33115"/>
    <cellStyle name="40% - 强调文字颜色 3 3 9 2" xfId="4052"/>
    <cellStyle name="40% - 强调文字颜色 3 3 9 3" xfId="6528"/>
    <cellStyle name="40% - 强调文字颜色 3 3 9 4" xfId="12674"/>
    <cellStyle name="40% - 强调文字颜色 3 3 9 5" xfId="15736"/>
    <cellStyle name="40% - 强调文字颜色 3 3 9 6" xfId="10215"/>
    <cellStyle name="40% - 强调文字颜色 3 3 9 7" xfId="18837"/>
    <cellStyle name="40% - 强调文字颜色 3 3 9 8" xfId="22173"/>
    <cellStyle name="40% - 强调文字颜色 3 3 9 9" xfId="19873"/>
    <cellStyle name="40% - 强调文字颜色 3 30" xfId="4053"/>
    <cellStyle name="40% - 强调文字颜色 3 30 2" xfId="9448"/>
    <cellStyle name="40% - 强调文字颜色 3 30 3" xfId="15737"/>
    <cellStyle name="40% - 强调文字颜色 3 30 4" xfId="25301"/>
    <cellStyle name="40% - 强调文字颜色 3 30 5" xfId="26810"/>
    <cellStyle name="40% - 强调文字颜色 3 30 6" xfId="28538"/>
    <cellStyle name="40% - 强调文字颜色 3 31" xfId="4054"/>
    <cellStyle name="40% - 强调文字颜色 3 31 2" xfId="9449"/>
    <cellStyle name="40% - 强调文字颜色 3 31 3" xfId="15738"/>
    <cellStyle name="40% - 强调文字颜色 3 31 4" xfId="25302"/>
    <cellStyle name="40% - 强调文字颜色 3 31 5" xfId="26811"/>
    <cellStyle name="40% - 强调文字颜色 3 31 6" xfId="28539"/>
    <cellStyle name="40% - 强调文字颜色 3 32" xfId="4055"/>
    <cellStyle name="40% - 强调文字颜色 3 32 2" xfId="9450"/>
    <cellStyle name="40% - 强调文字颜色 3 32 3" xfId="15739"/>
    <cellStyle name="40% - 强调文字颜色 3 32 4" xfId="25303"/>
    <cellStyle name="40% - 强调文字颜色 3 32 5" xfId="26812"/>
    <cellStyle name="40% - 强调文字颜色 3 32 6" xfId="28540"/>
    <cellStyle name="40% - 强调文字颜色 3 33" xfId="4056"/>
    <cellStyle name="40% - 强调文字颜色 3 33 2" xfId="9451"/>
    <cellStyle name="40% - 强调文字颜色 3 33 3" xfId="15740"/>
    <cellStyle name="40% - 强调文字颜色 3 33 4" xfId="25304"/>
    <cellStyle name="40% - 强调文字颜色 3 33 5" xfId="28541"/>
    <cellStyle name="40% - 强调文字颜色 3 34" xfId="4057"/>
    <cellStyle name="40% - 强调文字颜色 3 34 2" xfId="9452"/>
    <cellStyle name="40% - 强调文字颜色 3 34 3" xfId="15741"/>
    <cellStyle name="40% - 强调文字颜色 3 34 4" xfId="25305"/>
    <cellStyle name="40% - 强调文字颜色 3 34 5" xfId="28542"/>
    <cellStyle name="40% - 强调文字颜色 3 35" xfId="4058"/>
    <cellStyle name="40% - 强调文字颜色 3 35 2" xfId="9453"/>
    <cellStyle name="40% - 强调文字颜色 3 35 3" xfId="15742"/>
    <cellStyle name="40% - 强调文字颜色 3 35 4" xfId="25306"/>
    <cellStyle name="40% - 强调文字颜色 3 35 5" xfId="28543"/>
    <cellStyle name="40% - 强调文字颜色 3 36" xfId="4059"/>
    <cellStyle name="40% - 强调文字颜色 3 36 2" xfId="9454"/>
    <cellStyle name="40% - 强调文字颜色 3 36 3" xfId="15743"/>
    <cellStyle name="40% - 强调文字颜色 3 36 4" xfId="25307"/>
    <cellStyle name="40% - 强调文字颜色 3 36 5" xfId="28544"/>
    <cellStyle name="40% - 强调文字颜色 3 37" xfId="4060"/>
    <cellStyle name="40% - 强调文字颜色 3 37 2" xfId="9455"/>
    <cellStyle name="40% - 强调文字颜色 3 37 3" xfId="15744"/>
    <cellStyle name="40% - 强调文字颜色 3 37 4" xfId="25308"/>
    <cellStyle name="40% - 强调文字颜色 3 37 5" xfId="28545"/>
    <cellStyle name="40% - 强调文字颜色 3 38" xfId="4061"/>
    <cellStyle name="40% - 强调文字颜色 3 38 2" xfId="9456"/>
    <cellStyle name="40% - 强调文字颜色 3 38 3" xfId="15745"/>
    <cellStyle name="40% - 强调文字颜色 3 38 4" xfId="25309"/>
    <cellStyle name="40% - 强调文字颜色 3 38 5" xfId="28546"/>
    <cellStyle name="40% - 强调文字颜色 3 39" xfId="4062"/>
    <cellStyle name="40% - 强调文字颜色 3 39 2" xfId="9457"/>
    <cellStyle name="40% - 强调文字颜色 3 39 3" xfId="15746"/>
    <cellStyle name="40% - 强调文字颜色 3 39 4" xfId="25310"/>
    <cellStyle name="40% - 强调文字颜色 3 39 5" xfId="28547"/>
    <cellStyle name="40% - 强调文字颜色 3 4" xfId="983"/>
    <cellStyle name="40% - 强调文字颜色 3 4 10" xfId="12675"/>
    <cellStyle name="40% - 强调文字颜色 3 4 11" xfId="15747"/>
    <cellStyle name="40% - 强调文字颜色 3 4 12" xfId="11348"/>
    <cellStyle name="40% - 强调文字颜色 3 4 13" xfId="18838"/>
    <cellStyle name="40% - 强调文字颜色 3 4 14" xfId="21665"/>
    <cellStyle name="40% - 强调文字颜色 3 4 15" xfId="21093"/>
    <cellStyle name="40% - 强调文字颜色 3 4 16" xfId="30575"/>
    <cellStyle name="40% - 强调文字颜色 3 4 17" xfId="33361"/>
    <cellStyle name="40% - 强调文字颜色 3 4 2" xfId="984"/>
    <cellStyle name="40% - 强调文字颜色 3 4 2 10" xfId="30576"/>
    <cellStyle name="40% - 强调文字颜色 3 4 2 11" xfId="33113"/>
    <cellStyle name="40% - 强调文字颜色 3 4 2 2" xfId="4064"/>
    <cellStyle name="40% - 强调文字颜色 3 4 2 3" xfId="6530"/>
    <cellStyle name="40% - 强调文字颜色 3 4 2 4" xfId="12676"/>
    <cellStyle name="40% - 强调文字颜色 3 4 2 5" xfId="15748"/>
    <cellStyle name="40% - 强调文字颜色 3 4 2 6" xfId="10211"/>
    <cellStyle name="40% - 强调文字颜色 3 4 2 7" xfId="18839"/>
    <cellStyle name="40% - 强调文字颜色 3 4 2 8" xfId="23155"/>
    <cellStyle name="40% - 强调文字颜色 3 4 2 9" xfId="20523"/>
    <cellStyle name="40% - 强调文字颜色 3 4 3" xfId="985"/>
    <cellStyle name="40% - 强调文字颜色 3 4 3 10" xfId="30577"/>
    <cellStyle name="40% - 强调文字颜色 3 4 3 11" xfId="32709"/>
    <cellStyle name="40% - 强调文字颜色 3 4 3 2" xfId="4065"/>
    <cellStyle name="40% - 强调文字颜色 3 4 3 3" xfId="6531"/>
    <cellStyle name="40% - 强调文字颜色 3 4 3 4" xfId="12677"/>
    <cellStyle name="40% - 强调文字颜色 3 4 3 5" xfId="15749"/>
    <cellStyle name="40% - 强调文字颜色 3 4 3 6" xfId="11350"/>
    <cellStyle name="40% - 强调文字颜色 3 4 3 7" xfId="18840"/>
    <cellStyle name="40% - 强调文字颜色 3 4 3 8" xfId="22172"/>
    <cellStyle name="40% - 强调文字颜色 3 4 3 9" xfId="19872"/>
    <cellStyle name="40% - 强调文字颜色 3 4 4" xfId="986"/>
    <cellStyle name="40% - 强调文字颜色 3 4 4 10" xfId="30578"/>
    <cellStyle name="40% - 强调文字颜色 3 4 4 11" xfId="32464"/>
    <cellStyle name="40% - 强调文字颜色 3 4 4 2" xfId="4066"/>
    <cellStyle name="40% - 强调文字颜色 3 4 4 3" xfId="6532"/>
    <cellStyle name="40% - 强调文字颜色 3 4 4 4" xfId="12678"/>
    <cellStyle name="40% - 强调文字颜色 3 4 4 5" xfId="15750"/>
    <cellStyle name="40% - 强调文字颜色 3 4 4 6" xfId="10213"/>
    <cellStyle name="40% - 强调文字颜色 3 4 4 7" xfId="18841"/>
    <cellStyle name="40% - 强调文字颜色 3 4 4 8" xfId="21664"/>
    <cellStyle name="40% - 强调文字颜色 3 4 4 9" xfId="21480"/>
    <cellStyle name="40% - 强调文字颜色 3 4 5" xfId="987"/>
    <cellStyle name="40% - 强调文字颜色 3 4 5 10" xfId="30579"/>
    <cellStyle name="40% - 强调文字颜色 3 4 5 11" xfId="32230"/>
    <cellStyle name="40% - 强调文字颜色 3 4 5 2" xfId="4067"/>
    <cellStyle name="40% - 强调文字颜色 3 4 5 3" xfId="6533"/>
    <cellStyle name="40% - 强调文字颜色 3 4 5 4" xfId="12679"/>
    <cellStyle name="40% - 强调文字颜色 3 4 5 5" xfId="15751"/>
    <cellStyle name="40% - 强调文字颜色 3 4 5 6" xfId="11349"/>
    <cellStyle name="40% - 强调文字颜色 3 4 5 7" xfId="18842"/>
    <cellStyle name="40% - 强调文字颜色 3 4 5 8" xfId="23154"/>
    <cellStyle name="40% - 强调文字颜色 3 4 5 9" xfId="20309"/>
    <cellStyle name="40% - 强调文字颜色 3 4 6" xfId="988"/>
    <cellStyle name="40% - 强调文字颜色 3 4 6 10" xfId="30580"/>
    <cellStyle name="40% - 强调文字颜色 3 4 6 11" xfId="31763"/>
    <cellStyle name="40% - 强调文字颜色 3 4 6 2" xfId="4068"/>
    <cellStyle name="40% - 强调文字颜色 3 4 6 3" xfId="6534"/>
    <cellStyle name="40% - 强调文字颜色 3 4 6 4" xfId="12680"/>
    <cellStyle name="40% - 强调文字颜色 3 4 6 5" xfId="15752"/>
    <cellStyle name="40% - 强调文字颜色 3 4 6 6" xfId="10212"/>
    <cellStyle name="40% - 强调文字颜色 3 4 6 7" xfId="18843"/>
    <cellStyle name="40% - 强调文字颜色 3 4 6 8" xfId="22171"/>
    <cellStyle name="40% - 强调文字颜色 3 4 6 9" xfId="21090"/>
    <cellStyle name="40% - 强调文字颜色 3 4 7" xfId="989"/>
    <cellStyle name="40% - 强调文字颜色 3 4 7 10" xfId="30581"/>
    <cellStyle name="40% - 强调文字颜色 3 4 7 11" xfId="33362"/>
    <cellStyle name="40% - 强调文字颜色 3 4 7 2" xfId="4069"/>
    <cellStyle name="40% - 强调文字颜色 3 4 7 3" xfId="6535"/>
    <cellStyle name="40% - 强调文字颜色 3 4 7 4" xfId="12681"/>
    <cellStyle name="40% - 强调文字颜色 3 4 7 5" xfId="15753"/>
    <cellStyle name="40% - 强调文字颜色 3 4 7 6" xfId="11345"/>
    <cellStyle name="40% - 强调文字颜色 3 4 7 7" xfId="18844"/>
    <cellStyle name="40% - 强调文字颜色 3 4 7 8" xfId="21663"/>
    <cellStyle name="40% - 强调文字颜色 3 4 7 9" xfId="20829"/>
    <cellStyle name="40% - 强调文字颜色 3 4 8" xfId="4063"/>
    <cellStyle name="40% - 强调文字颜色 3 4 9" xfId="6529"/>
    <cellStyle name="40% - 强调文字颜色 3 40" xfId="4070"/>
    <cellStyle name="40% - 强调文字颜色 3 40 2" xfId="9459"/>
    <cellStyle name="40% - 强调文字颜色 3 40 3" xfId="15754"/>
    <cellStyle name="40% - 强调文字颜色 3 40 4" xfId="25311"/>
    <cellStyle name="40% - 强调文字颜色 3 40 5" xfId="28548"/>
    <cellStyle name="40% - 强调文字颜色 3 41" xfId="4071"/>
    <cellStyle name="40% - 强调文字颜色 3 41 2" xfId="9460"/>
    <cellStyle name="40% - 强调文字颜色 3 41 3" xfId="15755"/>
    <cellStyle name="40% - 强调文字颜色 3 41 4" xfId="25312"/>
    <cellStyle name="40% - 强调文字颜色 3 41 5" xfId="28549"/>
    <cellStyle name="40% - 强调文字颜色 3 42" xfId="4072"/>
    <cellStyle name="40% - 强调文字颜色 3 42 2" xfId="9461"/>
    <cellStyle name="40% - 强调文字颜色 3 42 3" xfId="15756"/>
    <cellStyle name="40% - 强调文字颜色 3 42 4" xfId="25313"/>
    <cellStyle name="40% - 强调文字颜色 3 42 5" xfId="28550"/>
    <cellStyle name="40% - 强调文字颜色 3 43" xfId="4073"/>
    <cellStyle name="40% - 强调文字颜色 3 43 2" xfId="9462"/>
    <cellStyle name="40% - 强调文字颜色 3 43 3" xfId="15757"/>
    <cellStyle name="40% - 强调文字颜色 3 43 4" xfId="25314"/>
    <cellStyle name="40% - 强调文字颜色 3 43 5" xfId="28551"/>
    <cellStyle name="40% - 强调文字颜色 3 44" xfId="4074"/>
    <cellStyle name="40% - 强调文字颜色 3 44 2" xfId="9463"/>
    <cellStyle name="40% - 强调文字颜色 3 44 3" xfId="15758"/>
    <cellStyle name="40% - 强调文字颜色 3 44 4" xfId="25315"/>
    <cellStyle name="40% - 强调文字颜色 3 44 5" xfId="28552"/>
    <cellStyle name="40% - 强调文字颜色 3 45" xfId="4075"/>
    <cellStyle name="40% - 强调文字颜色 3 45 2" xfId="9464"/>
    <cellStyle name="40% - 强调文字颜色 3 45 3" xfId="15759"/>
    <cellStyle name="40% - 强调文字颜色 3 45 4" xfId="25316"/>
    <cellStyle name="40% - 强调文字颜色 3 45 5" xfId="28553"/>
    <cellStyle name="40% - 强调文字颜色 3 46" xfId="6440"/>
    <cellStyle name="40% - 强调文字颜色 3 46 2" xfId="9306"/>
    <cellStyle name="40% - 强调文字颜色 3 46 3" xfId="17333"/>
    <cellStyle name="40% - 强调文字颜色 3 47" xfId="11014"/>
    <cellStyle name="40% - 强调文字颜色 3 47 2" xfId="23781"/>
    <cellStyle name="40% - 强调文字颜色 3 47 3" xfId="26366"/>
    <cellStyle name="40% - 强调文字颜色 3 48" xfId="12587"/>
    <cellStyle name="40% - 强调文字颜色 3 48 2" xfId="23869"/>
    <cellStyle name="40% - 强调文字颜色 3 48 3" xfId="26454"/>
    <cellStyle name="40% - 强调文字颜色 3 49" xfId="15522"/>
    <cellStyle name="40% - 强调文字颜色 3 49 2" xfId="23914"/>
    <cellStyle name="40% - 强调文字颜色 3 49 3" xfId="26499"/>
    <cellStyle name="40% - 强调文字颜色 3 5" xfId="990"/>
    <cellStyle name="40% - 强调文字颜色 3 5 10" xfId="12682"/>
    <cellStyle name="40% - 强调文字颜色 3 5 11" xfId="15760"/>
    <cellStyle name="40% - 强调文字颜色 3 5 12" xfId="10208"/>
    <cellStyle name="40% - 强调文字颜色 3 5 13" xfId="18845"/>
    <cellStyle name="40% - 强调文字颜色 3 5 14" xfId="23153"/>
    <cellStyle name="40% - 强调文字颜色 3 5 15" xfId="20188"/>
    <cellStyle name="40% - 强调文字颜色 3 5 16" xfId="30582"/>
    <cellStyle name="40% - 强调文字颜色 3 5 17" xfId="33114"/>
    <cellStyle name="40% - 强调文字颜色 3 5 2" xfId="991"/>
    <cellStyle name="40% - 强调文字颜色 3 5 2 10" xfId="30583"/>
    <cellStyle name="40% - 强调文字颜色 3 5 2 11" xfId="32710"/>
    <cellStyle name="40% - 强调文字颜色 3 5 2 2" xfId="4077"/>
    <cellStyle name="40% - 强调文字颜色 3 5 2 3" xfId="6537"/>
    <cellStyle name="40% - 强调文字颜色 3 5 2 4" xfId="12683"/>
    <cellStyle name="40% - 强调文字颜色 3 5 2 5" xfId="15761"/>
    <cellStyle name="40% - 强调文字颜色 3 5 2 6" xfId="11347"/>
    <cellStyle name="40% - 强调文字颜色 3 5 2 7" xfId="18846"/>
    <cellStyle name="40% - 强调文字颜色 3 5 2 8" xfId="22170"/>
    <cellStyle name="40% - 强调文字颜色 3 5 2 9" xfId="19869"/>
    <cellStyle name="40% - 强调文字颜色 3 5 3" xfId="992"/>
    <cellStyle name="40% - 强调文字颜色 3 5 3 10" xfId="30584"/>
    <cellStyle name="40% - 强调文字颜色 3 5 3 11" xfId="32465"/>
    <cellStyle name="40% - 强调文字颜色 3 5 3 2" xfId="4078"/>
    <cellStyle name="40% - 强调文字颜色 3 5 3 3" xfId="6538"/>
    <cellStyle name="40% - 强调文字颜色 3 5 3 4" xfId="12684"/>
    <cellStyle name="40% - 强调文字颜色 3 5 3 5" xfId="15762"/>
    <cellStyle name="40% - 强调文字颜色 3 5 3 6" xfId="10210"/>
    <cellStyle name="40% - 强调文字颜色 3 5 3 7" xfId="18847"/>
    <cellStyle name="40% - 强调文字颜色 3 5 3 8" xfId="21662"/>
    <cellStyle name="40% - 强调文字颜色 3 5 3 9" xfId="21450"/>
    <cellStyle name="40% - 强调文字颜色 3 5 4" xfId="993"/>
    <cellStyle name="40% - 强调文字颜色 3 5 4 10" xfId="30585"/>
    <cellStyle name="40% - 强调文字颜色 3 5 4 11" xfId="32231"/>
    <cellStyle name="40% - 强调文字颜色 3 5 4 2" xfId="4079"/>
    <cellStyle name="40% - 强调文字颜色 3 5 4 3" xfId="6539"/>
    <cellStyle name="40% - 强调文字颜色 3 5 4 4" xfId="12685"/>
    <cellStyle name="40% - 强调文字颜色 3 5 4 5" xfId="15763"/>
    <cellStyle name="40% - 强调文字颜色 3 5 4 6" xfId="11346"/>
    <cellStyle name="40% - 强调文字颜色 3 5 4 7" xfId="18848"/>
    <cellStyle name="40% - 强调文字颜色 3 5 4 8" xfId="23152"/>
    <cellStyle name="40% - 强调文字颜色 3 5 4 9" xfId="21369"/>
    <cellStyle name="40% - 强调文字颜色 3 5 5" xfId="994"/>
    <cellStyle name="40% - 强调文字颜色 3 5 5 10" xfId="30586"/>
    <cellStyle name="40% - 强调文字颜色 3 5 5 11" xfId="31764"/>
    <cellStyle name="40% - 强调文字颜色 3 5 5 2" xfId="4080"/>
    <cellStyle name="40% - 强调文字颜色 3 5 5 3" xfId="6540"/>
    <cellStyle name="40% - 强调文字颜色 3 5 5 4" xfId="12686"/>
    <cellStyle name="40% - 强调文字颜色 3 5 5 5" xfId="15764"/>
    <cellStyle name="40% - 强调文字颜色 3 5 5 6" xfId="10209"/>
    <cellStyle name="40% - 强调文字颜色 3 5 5 7" xfId="18849"/>
    <cellStyle name="40% - 强调文字颜色 3 5 5 8" xfId="22169"/>
    <cellStyle name="40% - 强调文字颜色 3 5 5 9" xfId="21367"/>
    <cellStyle name="40% - 强调文字颜色 3 5 6" xfId="995"/>
    <cellStyle name="40% - 强调文字颜色 3 5 6 10" xfId="30587"/>
    <cellStyle name="40% - 强调文字颜色 3 5 6 11" xfId="33360"/>
    <cellStyle name="40% - 强调文字颜色 3 5 6 2" xfId="4081"/>
    <cellStyle name="40% - 强调文字颜色 3 5 6 3" xfId="6541"/>
    <cellStyle name="40% - 强调文字颜色 3 5 6 4" xfId="12687"/>
    <cellStyle name="40% - 强调文字颜色 3 5 6 5" xfId="15765"/>
    <cellStyle name="40% - 强调文字颜色 3 5 6 6" xfId="11341"/>
    <cellStyle name="40% - 强调文字颜色 3 5 6 7" xfId="18850"/>
    <cellStyle name="40% - 强调文字颜色 3 5 6 8" xfId="21661"/>
    <cellStyle name="40% - 强调文字颜色 3 5 6 9" xfId="21365"/>
    <cellStyle name="40% - 强调文字颜色 3 5 7" xfId="996"/>
    <cellStyle name="40% - 强调文字颜色 3 5 7 10" xfId="30588"/>
    <cellStyle name="40% - 强调文字颜色 3 5 7 11" xfId="33104"/>
    <cellStyle name="40% - 强调文字颜色 3 5 7 2" xfId="4082"/>
    <cellStyle name="40% - 强调文字颜色 3 5 7 3" xfId="6542"/>
    <cellStyle name="40% - 强调文字颜色 3 5 7 4" xfId="12688"/>
    <cellStyle name="40% - 强调文字颜色 3 5 7 5" xfId="15766"/>
    <cellStyle name="40% - 强调文字颜色 3 5 7 6" xfId="10204"/>
    <cellStyle name="40% - 强调文字颜色 3 5 7 7" xfId="18851"/>
    <cellStyle name="40% - 强调文字颜色 3 5 7 8" xfId="23151"/>
    <cellStyle name="40% - 强调文字颜色 3 5 7 9" xfId="21363"/>
    <cellStyle name="40% - 强调文字颜色 3 5 8" xfId="4076"/>
    <cellStyle name="40% - 强调文字颜色 3 5 9" xfId="6536"/>
    <cellStyle name="40% - 强调文字颜色 3 50" xfId="10260"/>
    <cellStyle name="40% - 强调文字颜色 3 50 2" xfId="27016"/>
    <cellStyle name="40% - 强调文字颜色 3 51" xfId="17443"/>
    <cellStyle name="40% - 强调文字颜色 3 52" xfId="17529"/>
    <cellStyle name="40% - 强调文字颜色 3 52 2" xfId="27148"/>
    <cellStyle name="40% - 强调文字颜色 3 53" xfId="17615"/>
    <cellStyle name="40% - 强调文字颜色 3 54" xfId="17701"/>
    <cellStyle name="40% - 强调文字颜色 3 55" xfId="17787"/>
    <cellStyle name="40% - 强调文字颜色 3 56" xfId="18748"/>
    <cellStyle name="40% - 强调文字颜色 3 56 2" xfId="21378"/>
    <cellStyle name="40% - 强调文字颜色 3 56 3" xfId="23461"/>
    <cellStyle name="40% - 强调文字颜色 3 57" xfId="23182"/>
    <cellStyle name="40% - 强调文字颜色 3 58" xfId="20549"/>
    <cellStyle name="40% - 强调文字颜色 3 6" xfId="997"/>
    <cellStyle name="40% - 强调文字颜色 3 6 10" xfId="15767"/>
    <cellStyle name="40% - 强调文字颜色 3 6 11" xfId="11343"/>
    <cellStyle name="40% - 强调文字颜色 3 6 12" xfId="18852"/>
    <cellStyle name="40% - 强调文字颜色 3 6 13" xfId="22168"/>
    <cellStyle name="40% - 强调文字颜色 3 6 14" xfId="21361"/>
    <cellStyle name="40% - 强调文字颜色 3 6 15" xfId="30589"/>
    <cellStyle name="40% - 强调文字颜色 3 6 16" xfId="32700"/>
    <cellStyle name="40% - 强调文字颜色 3 6 2" xfId="998"/>
    <cellStyle name="40% - 强调文字颜色 3 6 2 10" xfId="30590"/>
    <cellStyle name="40% - 强调文字颜色 3 6 2 11" xfId="32455"/>
    <cellStyle name="40% - 强调文字颜色 3 6 2 2" xfId="4084"/>
    <cellStyle name="40% - 强调文字颜色 3 6 2 3" xfId="6544"/>
    <cellStyle name="40% - 强调文字颜色 3 6 2 4" xfId="12690"/>
    <cellStyle name="40% - 强调文字颜色 3 6 2 5" xfId="15768"/>
    <cellStyle name="40% - 强调文字颜色 3 6 2 6" xfId="10206"/>
    <cellStyle name="40% - 强调文字颜色 3 6 2 7" xfId="18853"/>
    <cellStyle name="40% - 强调文字颜色 3 6 2 8" xfId="21660"/>
    <cellStyle name="40% - 强调文字颜色 3 6 2 9" xfId="21479"/>
    <cellStyle name="40% - 强调文字颜色 3 6 3" xfId="999"/>
    <cellStyle name="40% - 强调文字颜色 3 6 3 10" xfId="30591"/>
    <cellStyle name="40% - 强调文字颜色 3 6 3 11" xfId="32221"/>
    <cellStyle name="40% - 强调文字颜色 3 6 3 2" xfId="4085"/>
    <cellStyle name="40% - 强调文字颜色 3 6 3 3" xfId="6545"/>
    <cellStyle name="40% - 强调文字颜色 3 6 3 4" xfId="12691"/>
    <cellStyle name="40% - 强调文字颜色 3 6 3 5" xfId="15769"/>
    <cellStyle name="40% - 强调文字颜色 3 6 3 6" xfId="11342"/>
    <cellStyle name="40% - 强调文字颜色 3 6 3 7" xfId="18854"/>
    <cellStyle name="40% - 强调文字颜色 3 6 3 8" xfId="23149"/>
    <cellStyle name="40% - 强调文字颜色 3 6 3 9" xfId="20310"/>
    <cellStyle name="40% - 强调文字颜色 3 6 4" xfId="1000"/>
    <cellStyle name="40% - 强调文字颜色 3 6 4 10" xfId="30592"/>
    <cellStyle name="40% - 强调文字颜色 3 6 4 11" xfId="32070"/>
    <cellStyle name="40% - 强调文字颜色 3 6 4 2" xfId="4086"/>
    <cellStyle name="40% - 强调文字颜色 3 6 4 3" xfId="6546"/>
    <cellStyle name="40% - 强调文字颜色 3 6 4 4" xfId="12692"/>
    <cellStyle name="40% - 强调文字颜色 3 6 4 5" xfId="15770"/>
    <cellStyle name="40% - 强调文字颜色 3 6 4 6" xfId="10205"/>
    <cellStyle name="40% - 强调文字颜色 3 6 4 7" xfId="18855"/>
    <cellStyle name="40% - 强调文字颜色 3 6 4 8" xfId="22166"/>
    <cellStyle name="40% - 强调文字颜色 3 6 4 9" xfId="21089"/>
    <cellStyle name="40% - 强调文字颜色 3 6 5" xfId="1001"/>
    <cellStyle name="40% - 强调文字颜色 3 6 5 10" xfId="30593"/>
    <cellStyle name="40% - 强调文字颜色 3 6 5 11" xfId="31755"/>
    <cellStyle name="40% - 强调文字颜色 3 6 5 2" xfId="4087"/>
    <cellStyle name="40% - 强调文字颜色 3 6 5 3" xfId="6547"/>
    <cellStyle name="40% - 强调文字颜色 3 6 5 4" xfId="12693"/>
    <cellStyle name="40% - 强调文字颜色 3 6 5 5" xfId="15771"/>
    <cellStyle name="40% - 强调文字颜色 3 6 5 6" xfId="11338"/>
    <cellStyle name="40% - 强调文字颜色 3 6 5 7" xfId="18856"/>
    <cellStyle name="40% - 强调文字颜色 3 6 5 8" xfId="21658"/>
    <cellStyle name="40% - 强调文字颜色 3 6 5 9" xfId="20828"/>
    <cellStyle name="40% - 强调文字颜色 3 6 6" xfId="1002"/>
    <cellStyle name="40% - 强调文字颜色 3 6 6 10" xfId="30594"/>
    <cellStyle name="40% - 强调文字颜色 3 6 6 11" xfId="33358"/>
    <cellStyle name="40% - 强调文字颜色 3 6 6 2" xfId="4088"/>
    <cellStyle name="40% - 强调文字颜色 3 6 6 3" xfId="6548"/>
    <cellStyle name="40% - 强调文字颜色 3 6 6 4" xfId="12694"/>
    <cellStyle name="40% - 强调文字颜色 3 6 6 5" xfId="15772"/>
    <cellStyle name="40% - 强调文字颜色 3 6 6 6" xfId="10201"/>
    <cellStyle name="40% - 强调文字颜色 3 6 6 7" xfId="18857"/>
    <cellStyle name="40% - 强调文字颜色 3 6 6 8" xfId="23148"/>
    <cellStyle name="40% - 强调文字颜色 3 6 6 9" xfId="20187"/>
    <cellStyle name="40% - 强调文字颜色 3 6 7" xfId="4083"/>
    <cellStyle name="40% - 强调文字颜色 3 6 8" xfId="6543"/>
    <cellStyle name="40% - 强调文字颜色 3 6 9" xfId="12689"/>
    <cellStyle name="40% - 强调文字颜色 3 7" xfId="1003"/>
    <cellStyle name="40% - 强调文字颜色 3 7 10" xfId="22165"/>
    <cellStyle name="40% - 强调文字颜色 3 7 11" xfId="19868"/>
    <cellStyle name="40% - 强调文字颜色 3 7 12" xfId="30595"/>
    <cellStyle name="40% - 强调文字颜色 3 7 13" xfId="33109"/>
    <cellStyle name="40% - 强调文字颜色 3 7 2" xfId="1004"/>
    <cellStyle name="40% - 强调文字颜色 3 7 2 10" xfId="30596"/>
    <cellStyle name="40% - 强调文字颜色 3 7 2 11" xfId="32705"/>
    <cellStyle name="40% - 强调文字颜色 3 7 2 2" xfId="4090"/>
    <cellStyle name="40% - 强调文字颜色 3 7 2 3" xfId="6550"/>
    <cellStyle name="40% - 强调文字颜色 3 7 2 4" xfId="12696"/>
    <cellStyle name="40% - 强调文字颜色 3 7 2 5" xfId="15774"/>
    <cellStyle name="40% - 强调文字颜色 3 7 2 6" xfId="10203"/>
    <cellStyle name="40% - 强调文字颜色 3 7 2 7" xfId="18859"/>
    <cellStyle name="40% - 强调文字颜色 3 7 2 8" xfId="21657"/>
    <cellStyle name="40% - 强调文字颜色 3 7 2 9" xfId="20337"/>
    <cellStyle name="40% - 强调文字颜色 3 7 3" xfId="1005"/>
    <cellStyle name="40% - 强调文字颜色 3 7 3 10" xfId="30597"/>
    <cellStyle name="40% - 强调文字颜色 3 7 3 11" xfId="32460"/>
    <cellStyle name="40% - 强调文字颜色 3 7 3 2" xfId="4091"/>
    <cellStyle name="40% - 强调文字颜色 3 7 3 3" xfId="6551"/>
    <cellStyle name="40% - 强调文字颜色 3 7 3 4" xfId="12697"/>
    <cellStyle name="40% - 强调文字颜色 3 7 3 5" xfId="15775"/>
    <cellStyle name="40% - 强调文字颜色 3 7 3 6" xfId="11339"/>
    <cellStyle name="40% - 强调文字颜色 3 7 3 7" xfId="18860"/>
    <cellStyle name="40% - 强调文字颜色 3 7 3 8" xfId="23147"/>
    <cellStyle name="40% - 强调文字颜色 3 7 3 9" xfId="20945"/>
    <cellStyle name="40% - 强调文字颜色 3 7 4" xfId="4089"/>
    <cellStyle name="40% - 强调文字颜色 3 7 5" xfId="6549"/>
    <cellStyle name="40% - 强调文字颜色 3 7 6" xfId="12695"/>
    <cellStyle name="40% - 强调文字颜色 3 7 7" xfId="15773"/>
    <cellStyle name="40% - 强调文字颜色 3 7 8" xfId="11340"/>
    <cellStyle name="40% - 强调文字颜色 3 7 9" xfId="18858"/>
    <cellStyle name="40% - 强调文字颜色 3 8" xfId="1006"/>
    <cellStyle name="40% - 强调文字颜色 3 8 10" xfId="15776"/>
    <cellStyle name="40% - 强调文字颜色 3 8 11" xfId="10202"/>
    <cellStyle name="40% - 强调文字颜色 3 8 12" xfId="18861"/>
    <cellStyle name="40% - 强调文字颜色 3 8 13" xfId="22164"/>
    <cellStyle name="40% - 强调文字颜色 3 8 14" xfId="20799"/>
    <cellStyle name="40% - 强调文字颜色 3 8 15" xfId="30598"/>
    <cellStyle name="40% - 强调文字颜色 3 8 16" xfId="32227"/>
    <cellStyle name="40% - 强调文字颜色 3 8 2" xfId="1007"/>
    <cellStyle name="40% - 强调文字颜色 3 8 2 10" xfId="30599"/>
    <cellStyle name="40% - 强调文字颜色 3 8 2 11" xfId="31760"/>
    <cellStyle name="40% - 强调文字颜色 3 8 2 2" xfId="4093"/>
    <cellStyle name="40% - 强调文字颜色 3 8 2 3" xfId="6553"/>
    <cellStyle name="40% - 强调文字颜色 3 8 2 4" xfId="12699"/>
    <cellStyle name="40% - 强调文字颜色 3 8 2 5" xfId="15777"/>
    <cellStyle name="40% - 强调文字颜色 3 8 2 6" xfId="11335"/>
    <cellStyle name="40% - 强调文字颜色 3 8 2 7" xfId="18862"/>
    <cellStyle name="40% - 强调文字颜色 3 8 2 8" xfId="21656"/>
    <cellStyle name="40% - 强调文字颜色 3 8 2 9" xfId="20740"/>
    <cellStyle name="40% - 强调文字颜色 3 8 3" xfId="1008"/>
    <cellStyle name="40% - 强调文字颜色 3 8 3 10" xfId="30600"/>
    <cellStyle name="40% - 强调文字颜色 3 8 3 11" xfId="33359"/>
    <cellStyle name="40% - 强调文字颜色 3 8 3 2" xfId="4094"/>
    <cellStyle name="40% - 强调文字颜色 3 8 3 3" xfId="6554"/>
    <cellStyle name="40% - 强调文字颜色 3 8 3 4" xfId="12700"/>
    <cellStyle name="40% - 强调文字颜色 3 8 3 5" xfId="15778"/>
    <cellStyle name="40% - 强调文字颜色 3 8 3 6" xfId="10198"/>
    <cellStyle name="40% - 强调文字颜色 3 8 3 7" xfId="18863"/>
    <cellStyle name="40% - 强调文字颜色 3 8 3 8" xfId="23146"/>
    <cellStyle name="40% - 强调文字颜色 3 8 3 9" xfId="20158"/>
    <cellStyle name="40% - 强调文字颜色 3 8 4" xfId="1009"/>
    <cellStyle name="40% - 强调文字颜色 3 8 4 10" xfId="30601"/>
    <cellStyle name="40% - 强调文字颜色 3 8 4 11" xfId="33111"/>
    <cellStyle name="40% - 强调文字颜色 3 8 4 2" xfId="4095"/>
    <cellStyle name="40% - 强调文字颜色 3 8 4 3" xfId="6555"/>
    <cellStyle name="40% - 强调文字颜色 3 8 4 4" xfId="12701"/>
    <cellStyle name="40% - 强调文字颜色 3 8 4 5" xfId="15779"/>
    <cellStyle name="40% - 强调文字颜色 3 8 4 6" xfId="11337"/>
    <cellStyle name="40% - 强调文字颜色 3 8 4 7" xfId="18864"/>
    <cellStyle name="40% - 强调文字颜色 3 8 4 8" xfId="22163"/>
    <cellStyle name="40% - 强调文字颜色 3 8 4 9" xfId="21088"/>
    <cellStyle name="40% - 强调文字颜色 3 8 5" xfId="1010"/>
    <cellStyle name="40% - 强调文字颜色 3 8 5 2" xfId="6556"/>
    <cellStyle name="40% - 强调文字颜色 3 8 5 3" xfId="12702"/>
    <cellStyle name="40% - 强调文字颜色 3 8 5 4" xfId="10200"/>
    <cellStyle name="40% - 强调文字颜色 3 8 5 5" xfId="18865"/>
    <cellStyle name="40% - 强调文字颜色 3 8 5 6" xfId="21655"/>
    <cellStyle name="40% - 强调文字颜色 3 8 5 7" xfId="20521"/>
    <cellStyle name="40% - 强调文字颜色 3 8 5 8" xfId="31580"/>
    <cellStyle name="40% - 强调文字颜色 3 8 5 9" xfId="32561"/>
    <cellStyle name="40% - 强调文字颜色 3 8 6" xfId="4092"/>
    <cellStyle name="40% - 强调文字颜色 3 8 7" xfId="6552"/>
    <cellStyle name="40% - 强调文字颜色 3 8 8" xfId="11028"/>
    <cellStyle name="40% - 强调文字颜色 3 8 9" xfId="12698"/>
    <cellStyle name="40% - 强调文字颜色 3 9" xfId="1011"/>
    <cellStyle name="40% - 强调文字颜色 3 9 10" xfId="15780"/>
    <cellStyle name="40% - 强调文字颜色 3 9 11" xfId="11336"/>
    <cellStyle name="40% - 强调文字颜色 3 9 12" xfId="18866"/>
    <cellStyle name="40% - 强调文字颜色 3 9 13" xfId="23145"/>
    <cellStyle name="40% - 强调文字颜色 3 9 14" xfId="19867"/>
    <cellStyle name="40% - 强调文字颜色 3 9 15" xfId="30602"/>
    <cellStyle name="40% - 强调文字颜色 3 9 16" xfId="32707"/>
    <cellStyle name="40% - 强调文字颜色 3 9 2" xfId="1012"/>
    <cellStyle name="40% - 强调文字颜色 3 9 2 10" xfId="30603"/>
    <cellStyle name="40% - 强调文字颜色 3 9 2 11" xfId="32462"/>
    <cellStyle name="40% - 强调文字颜色 3 9 2 2" xfId="4097"/>
    <cellStyle name="40% - 强调文字颜色 3 9 2 3" xfId="6558"/>
    <cellStyle name="40% - 强调文字颜色 3 9 2 4" xfId="12704"/>
    <cellStyle name="40% - 强调文字颜色 3 9 2 5" xfId="15781"/>
    <cellStyle name="40% - 强调文字颜色 3 9 2 6" xfId="10199"/>
    <cellStyle name="40% - 强调文字颜色 3 9 2 7" xfId="18867"/>
    <cellStyle name="40% - 强调文字颜色 3 9 2 8" xfId="22162"/>
    <cellStyle name="40% - 强调文字颜色 3 9 2 9" xfId="21087"/>
    <cellStyle name="40% - 强调文字颜色 3 9 3" xfId="1013"/>
    <cellStyle name="40% - 强调文字颜色 3 9 3 10" xfId="30604"/>
    <cellStyle name="40% - 强调文字颜色 3 9 3 11" xfId="32229"/>
    <cellStyle name="40% - 强调文字颜色 3 9 3 2" xfId="4098"/>
    <cellStyle name="40% - 强调文字颜色 3 9 3 3" xfId="6559"/>
    <cellStyle name="40% - 强调文字颜色 3 9 3 4" xfId="12705"/>
    <cellStyle name="40% - 强调文字颜色 3 9 3 5" xfId="15782"/>
    <cellStyle name="40% - 强调文字颜色 3 9 3 6" xfId="11330"/>
    <cellStyle name="40% - 强调文字颜色 3 9 3 7" xfId="18868"/>
    <cellStyle name="40% - 强调文字颜色 3 9 3 8" xfId="21654"/>
    <cellStyle name="40% - 强调文字颜色 3 9 3 9" xfId="20520"/>
    <cellStyle name="40% - 强调文字颜色 3 9 4" xfId="1014"/>
    <cellStyle name="40% - 强调文字颜色 3 9 4 10" xfId="30605"/>
    <cellStyle name="40% - 强调文字颜色 3 9 4 11" xfId="31762"/>
    <cellStyle name="40% - 强调文字颜色 3 9 4 2" xfId="4099"/>
    <cellStyle name="40% - 强调文字颜色 3 9 4 3" xfId="6560"/>
    <cellStyle name="40% - 强调文字颜色 3 9 4 4" xfId="12706"/>
    <cellStyle name="40% - 强调文字颜色 3 9 4 5" xfId="15783"/>
    <cellStyle name="40% - 强调文字颜色 3 9 4 6" xfId="10193"/>
    <cellStyle name="40% - 强调文字颜色 3 9 4 7" xfId="18869"/>
    <cellStyle name="40% - 强调文字颜色 3 9 4 8" xfId="23144"/>
    <cellStyle name="40% - 强调文字颜色 3 9 4 9" xfId="19866"/>
    <cellStyle name="40% - 强调文字颜色 3 9 5" xfId="1015"/>
    <cellStyle name="40% - 强调文字颜色 3 9 5 2" xfId="6561"/>
    <cellStyle name="40% - 强调文字颜色 3 9 5 3" xfId="12707"/>
    <cellStyle name="40% - 强调文字颜色 3 9 5 4" xfId="11332"/>
    <cellStyle name="40% - 强调文字颜色 3 9 5 5" xfId="18870"/>
    <cellStyle name="40% - 强调文字颜色 3 9 5 6" xfId="22161"/>
    <cellStyle name="40% - 强调文字颜色 3 9 5 7" xfId="21086"/>
    <cellStyle name="40% - 强调文字颜色 3 9 5 8" xfId="31581"/>
    <cellStyle name="40% - 强调文字颜色 3 9 5 9" xfId="31872"/>
    <cellStyle name="40% - 强调文字颜色 3 9 6" xfId="4096"/>
    <cellStyle name="40% - 强调文字颜色 3 9 7" xfId="6557"/>
    <cellStyle name="40% - 强调文字颜色 3 9 8" xfId="11029"/>
    <cellStyle name="40% - 强调文字颜色 3 9 9" xfId="12703"/>
    <cellStyle name="40% - 强调文字颜色 4" xfId="1016" builtinId="43" customBuiltin="1"/>
    <cellStyle name="40% - 强调文字颜色 4 10" xfId="1017"/>
    <cellStyle name="40% - 强调文字颜色 4 10 10" xfId="15785"/>
    <cellStyle name="40% - 强调文字颜色 4 10 11" xfId="11331"/>
    <cellStyle name="40% - 强调文字颜色 4 10 12" xfId="18872"/>
    <cellStyle name="40% - 强调文字颜色 4 10 13" xfId="23143"/>
    <cellStyle name="40% - 强调文字颜色 4 10 14" xfId="19865"/>
    <cellStyle name="40% - 强调文字颜色 4 10 15" xfId="30606"/>
    <cellStyle name="40% - 强调文字颜色 4 10 16" xfId="33110"/>
    <cellStyle name="40% - 强调文字颜色 4 10 2" xfId="1018"/>
    <cellStyle name="40% - 强调文字颜色 4 10 2 10" xfId="30607"/>
    <cellStyle name="40% - 强调文字颜色 4 10 2 11" xfId="32706"/>
    <cellStyle name="40% - 强调文字颜色 4 10 2 2" xfId="4102"/>
    <cellStyle name="40% - 强调文字颜色 4 10 2 3" xfId="6564"/>
    <cellStyle name="40% - 强调文字颜色 4 10 2 4" xfId="12710"/>
    <cellStyle name="40% - 强调文字颜色 4 10 2 5" xfId="15786"/>
    <cellStyle name="40% - 强调文字颜色 4 10 2 6" xfId="10194"/>
    <cellStyle name="40% - 强调文字颜色 4 10 2 7" xfId="18873"/>
    <cellStyle name="40% - 强调文字颜色 4 10 2 8" xfId="22160"/>
    <cellStyle name="40% - 强调文字颜色 4 10 2 9" xfId="21085"/>
    <cellStyle name="40% - 强调文字颜色 4 10 3" xfId="1019"/>
    <cellStyle name="40% - 强调文字颜色 4 10 3 10" xfId="30608"/>
    <cellStyle name="40% - 强调文字颜色 4 10 3 11" xfId="32461"/>
    <cellStyle name="40% - 强调文字颜色 4 10 3 2" xfId="4103"/>
    <cellStyle name="40% - 强调文字颜色 4 10 3 3" xfId="6565"/>
    <cellStyle name="40% - 强调文字颜色 4 10 3 4" xfId="12711"/>
    <cellStyle name="40% - 强调文字颜色 4 10 3 5" xfId="15787"/>
    <cellStyle name="40% - 强调文字颜色 4 10 3 6" xfId="11327"/>
    <cellStyle name="40% - 强调文字颜色 4 10 3 7" xfId="18874"/>
    <cellStyle name="40% - 强调文字颜色 4 10 3 8" xfId="21652"/>
    <cellStyle name="40% - 强调文字颜色 4 10 3 9" xfId="20518"/>
    <cellStyle name="40% - 强调文字颜色 4 10 4" xfId="1020"/>
    <cellStyle name="40% - 强调文字颜色 4 10 4 10" xfId="30609"/>
    <cellStyle name="40% - 强调文字颜色 4 10 4 11" xfId="32228"/>
    <cellStyle name="40% - 强调文字颜色 4 10 4 2" xfId="4104"/>
    <cellStyle name="40% - 强调文字颜色 4 10 4 3" xfId="6566"/>
    <cellStyle name="40% - 强调文字颜色 4 10 4 4" xfId="12712"/>
    <cellStyle name="40% - 强调文字颜色 4 10 4 5" xfId="15788"/>
    <cellStyle name="40% - 强调文字颜色 4 10 4 6" xfId="10190"/>
    <cellStyle name="40% - 强调文字颜色 4 10 4 7" xfId="18875"/>
    <cellStyle name="40% - 强调文字颜色 4 10 4 8" xfId="23133"/>
    <cellStyle name="40% - 强调文字颜色 4 10 4 9" xfId="19864"/>
    <cellStyle name="40% - 强调文字颜色 4 10 5" xfId="1021"/>
    <cellStyle name="40% - 强调文字颜色 4 10 5 2" xfId="6567"/>
    <cellStyle name="40% - 强调文字颜色 4 10 5 3" xfId="12713"/>
    <cellStyle name="40% - 强调文字颜色 4 10 5 4" xfId="11329"/>
    <cellStyle name="40% - 强调文字颜色 4 10 5 5" xfId="18876"/>
    <cellStyle name="40% - 强调文字颜色 4 10 5 6" xfId="22835"/>
    <cellStyle name="40% - 强调文字颜色 4 10 5 7" xfId="21084"/>
    <cellStyle name="40% - 强调文字颜色 4 10 5 8" xfId="31582"/>
    <cellStyle name="40% - 强调文字颜色 4 10 5 9" xfId="32560"/>
    <cellStyle name="40% - 强调文字颜色 4 10 6" xfId="4101"/>
    <cellStyle name="40% - 强调文字颜色 4 10 7" xfId="6563"/>
    <cellStyle name="40% - 强调文字颜色 4 10 8" xfId="11031"/>
    <cellStyle name="40% - 强调文字颜色 4 10 9" xfId="12709"/>
    <cellStyle name="40% - 强调文字颜色 4 11" xfId="1022"/>
    <cellStyle name="40% - 强调文字颜色 4 11 10" xfId="15789"/>
    <cellStyle name="40% - 强调文字颜色 4 11 11" xfId="10192"/>
    <cellStyle name="40% - 强调文字颜色 4 11 12" xfId="18877"/>
    <cellStyle name="40% - 强调文字颜色 4 11 13" xfId="23142"/>
    <cellStyle name="40% - 强调文字颜色 4 11 14" xfId="20517"/>
    <cellStyle name="40% - 强调文字颜色 4 11 15" xfId="30610"/>
    <cellStyle name="40% - 强调文字颜色 4 11 16" xfId="31761"/>
    <cellStyle name="40% - 强调文字颜色 4 11 2" xfId="1023"/>
    <cellStyle name="40% - 强调文字颜色 4 11 2 10" xfId="30611"/>
    <cellStyle name="40% - 强调文字颜色 4 11 2 11" xfId="33355"/>
    <cellStyle name="40% - 强调文字颜色 4 11 2 2" xfId="4106"/>
    <cellStyle name="40% - 强调文字颜色 4 11 2 3" xfId="6569"/>
    <cellStyle name="40% - 强调文字颜色 4 11 2 4" xfId="12715"/>
    <cellStyle name="40% - 强调文字颜色 4 11 2 5" xfId="15790"/>
    <cellStyle name="40% - 强调文字颜色 4 11 2 6" xfId="11328"/>
    <cellStyle name="40% - 强调文字颜色 4 11 2 7" xfId="18878"/>
    <cellStyle name="40% - 强调文字颜色 4 11 2 8" xfId="22159"/>
    <cellStyle name="40% - 强调文字颜色 4 11 2 9" xfId="19863"/>
    <cellStyle name="40% - 强调文字颜色 4 11 3" xfId="1024"/>
    <cellStyle name="40% - 强调文字颜色 4 11 3 10" xfId="30612"/>
    <cellStyle name="40% - 强调文字颜色 4 11 3 11" xfId="33106"/>
    <cellStyle name="40% - 强调文字颜色 4 11 3 2" xfId="4107"/>
    <cellStyle name="40% - 强调文字颜色 4 11 3 3" xfId="6570"/>
    <cellStyle name="40% - 强调文字颜色 4 11 3 4" xfId="12716"/>
    <cellStyle name="40% - 强调文字颜色 4 11 3 5" xfId="15791"/>
    <cellStyle name="40% - 强调文字颜色 4 11 3 6" xfId="10191"/>
    <cellStyle name="40% - 强调文字颜色 4 11 3 7" xfId="18879"/>
    <cellStyle name="40% - 强调文字颜色 4 11 3 8" xfId="21643"/>
    <cellStyle name="40% - 强调文字颜色 4 11 3 9" xfId="21478"/>
    <cellStyle name="40% - 强调文字颜色 4 11 4" xfId="1025"/>
    <cellStyle name="40% - 强调文字颜色 4 11 4 10" xfId="30613"/>
    <cellStyle name="40% - 强调文字颜色 4 11 4 11" xfId="32702"/>
    <cellStyle name="40% - 强调文字颜色 4 11 4 2" xfId="4108"/>
    <cellStyle name="40% - 强调文字颜色 4 11 4 3" xfId="6571"/>
    <cellStyle name="40% - 强调文字颜色 4 11 4 4" xfId="12717"/>
    <cellStyle name="40% - 强调文字颜色 4 11 4 5" xfId="15792"/>
    <cellStyle name="40% - 强调文字颜色 4 11 4 6" xfId="11326"/>
    <cellStyle name="40% - 强调文字颜色 4 11 4 7" xfId="18880"/>
    <cellStyle name="40% - 强调文字颜色 4 11 4 8" xfId="22617"/>
    <cellStyle name="40% - 强调文字颜色 4 11 4 9" xfId="20311"/>
    <cellStyle name="40% - 强调文字颜色 4 11 5" xfId="1026"/>
    <cellStyle name="40% - 强调文字颜色 4 11 5 2" xfId="6572"/>
    <cellStyle name="40% - 强调文字颜色 4 11 5 3" xfId="12718"/>
    <cellStyle name="40% - 强调文字颜色 4 11 5 4" xfId="10189"/>
    <cellStyle name="40% - 强调文字颜色 4 11 5 5" xfId="18881"/>
    <cellStyle name="40% - 强调文字颜色 4 11 5 6" xfId="23141"/>
    <cellStyle name="40% - 强调文字颜色 4 11 5 7" xfId="21083"/>
    <cellStyle name="40% - 强调文字颜色 4 11 5 8" xfId="31583"/>
    <cellStyle name="40% - 强调文字颜色 4 11 5 9" xfId="32962"/>
    <cellStyle name="40% - 强调文字颜色 4 11 6" xfId="4105"/>
    <cellStyle name="40% - 强调文字颜色 4 11 6 2" xfId="23641"/>
    <cellStyle name="40% - 强调文字颜色 4 11 6 3" xfId="26226"/>
    <cellStyle name="40% - 强调文字颜色 4 11 7" xfId="6568"/>
    <cellStyle name="40% - 强调文字颜色 4 11 7 2" xfId="23696"/>
    <cellStyle name="40% - 强调文字颜色 4 11 7 3" xfId="26281"/>
    <cellStyle name="40% - 强调文字颜色 4 11 8" xfId="11032"/>
    <cellStyle name="40% - 强调文字颜色 4 11 8 2" xfId="23791"/>
    <cellStyle name="40% - 强调文字颜色 4 11 8 3" xfId="26376"/>
    <cellStyle name="40% - 强调文字颜色 4 11 9" xfId="12714"/>
    <cellStyle name="40% - 强调文字颜色 4 12" xfId="1027"/>
    <cellStyle name="40% - 强调文字颜色 4 12 10" xfId="15793"/>
    <cellStyle name="40% - 强调文字颜色 4 12 11" xfId="11325"/>
    <cellStyle name="40% - 强调文字颜色 4 12 12" xfId="18882"/>
    <cellStyle name="40% - 强调文字颜色 4 12 13" xfId="22158"/>
    <cellStyle name="40% - 强调文字颜色 4 12 14" xfId="20827"/>
    <cellStyle name="40% - 强调文字颜色 4 12 15" xfId="30614"/>
    <cellStyle name="40% - 强调文字颜色 4 12 16" xfId="32457"/>
    <cellStyle name="40% - 强调文字颜色 4 12 2" xfId="1028"/>
    <cellStyle name="40% - 强调文字颜色 4 12 2 10" xfId="30615"/>
    <cellStyle name="40% - 强调文字颜色 4 12 2 11" xfId="32224"/>
    <cellStyle name="40% - 强调文字颜色 4 12 2 2" xfId="4110"/>
    <cellStyle name="40% - 强调文字颜色 4 12 2 3" xfId="6574"/>
    <cellStyle name="40% - 强调文字颜色 4 12 2 4" xfId="12720"/>
    <cellStyle name="40% - 强调文字颜色 4 12 2 5" xfId="15794"/>
    <cellStyle name="40% - 强调文字颜色 4 12 2 6" xfId="10188"/>
    <cellStyle name="40% - 强调文字颜色 4 12 2 7" xfId="18883"/>
    <cellStyle name="40% - 强调文字颜色 4 12 2 8" xfId="21651"/>
    <cellStyle name="40% - 强调文字颜色 4 12 2 9" xfId="20186"/>
    <cellStyle name="40% - 强调文字颜色 4 12 3" xfId="1029"/>
    <cellStyle name="40% - 强调文字颜色 4 12 3 10" xfId="30616"/>
    <cellStyle name="40% - 强调文字颜色 4 12 3 11" xfId="31757"/>
    <cellStyle name="40% - 强调文字颜色 4 12 3 2" xfId="4111"/>
    <cellStyle name="40% - 强调文字颜色 4 12 3 3" xfId="6575"/>
    <cellStyle name="40% - 强调文字颜色 4 12 3 4" xfId="12721"/>
    <cellStyle name="40% - 强调文字颜色 4 12 3 5" xfId="15795"/>
    <cellStyle name="40% - 强调文字颜色 4 12 3 6" xfId="11324"/>
    <cellStyle name="40% - 强调文字颜色 4 12 3 7" xfId="18884"/>
    <cellStyle name="40% - 强调文字颜色 4 12 3 8" xfId="23140"/>
    <cellStyle name="40% - 强调文字颜色 4 12 3 9" xfId="19862"/>
    <cellStyle name="40% - 强调文字颜色 4 12 4" xfId="1030"/>
    <cellStyle name="40% - 强调文字颜色 4 12 4 10" xfId="30617"/>
    <cellStyle name="40% - 强调文字颜色 4 12 4 11" xfId="33357"/>
    <cellStyle name="40% - 强调文字颜色 4 12 4 2" xfId="4112"/>
    <cellStyle name="40% - 强调文字颜色 4 12 4 3" xfId="6576"/>
    <cellStyle name="40% - 强调文字颜色 4 12 4 4" xfId="12722"/>
    <cellStyle name="40% - 强调文字颜色 4 12 4 5" xfId="15796"/>
    <cellStyle name="40% - 强调文字颜色 4 12 4 6" xfId="10187"/>
    <cellStyle name="40% - 强调文字颜色 4 12 4 7" xfId="18885"/>
    <cellStyle name="40% - 强调文字颜色 4 12 4 8" xfId="22157"/>
    <cellStyle name="40% - 强调文字颜色 4 12 4 9" xfId="21082"/>
    <cellStyle name="40% - 强调文字颜色 4 12 5" xfId="1031"/>
    <cellStyle name="40% - 强调文字颜色 4 12 5 2" xfId="6577"/>
    <cellStyle name="40% - 强调文字颜色 4 12 5 3" xfId="12723"/>
    <cellStyle name="40% - 强调文字颜色 4 12 5 4" xfId="11323"/>
    <cellStyle name="40% - 强调文字颜色 4 12 5 5" xfId="18886"/>
    <cellStyle name="40% - 强调文字颜色 4 12 5 6" xfId="21650"/>
    <cellStyle name="40% - 强调文字颜色 4 12 5 7" xfId="20516"/>
    <cellStyle name="40% - 强调文字颜色 4 12 5 8" xfId="31584"/>
    <cellStyle name="40% - 强调文字颜色 4 12 5 9" xfId="31626"/>
    <cellStyle name="40% - 强调文字颜色 4 12 6" xfId="4109"/>
    <cellStyle name="40% - 强调文字颜色 4 12 6 2" xfId="23642"/>
    <cellStyle name="40% - 强调文字颜色 4 12 6 3" xfId="26227"/>
    <cellStyle name="40% - 强调文字颜色 4 12 7" xfId="6573"/>
    <cellStyle name="40% - 强调文字颜色 4 12 7 2" xfId="23697"/>
    <cellStyle name="40% - 强调文字颜色 4 12 7 3" xfId="26282"/>
    <cellStyle name="40% - 强调文字颜色 4 12 8" xfId="11033"/>
    <cellStyle name="40% - 强调文字颜色 4 12 8 2" xfId="23792"/>
    <cellStyle name="40% - 强调文字颜色 4 12 8 3" xfId="26377"/>
    <cellStyle name="40% - 强调文字颜色 4 12 9" xfId="12719"/>
    <cellStyle name="40% - 强调文字颜色 4 13" xfId="1032"/>
    <cellStyle name="40% - 强调文字颜色 4 13 10" xfId="10186"/>
    <cellStyle name="40% - 强调文字颜色 4 13 11" xfId="18887"/>
    <cellStyle name="40% - 强调文字颜色 4 13 12" xfId="23139"/>
    <cellStyle name="40% - 强调文字颜色 4 13 13" xfId="19861"/>
    <cellStyle name="40% - 强调文字颜色 4 13 14" xfId="30618"/>
    <cellStyle name="40% - 强调文字颜色 4 13 15" xfId="33108"/>
    <cellStyle name="40% - 强调文字颜色 4 13 2" xfId="1033"/>
    <cellStyle name="40% - 强调文字颜色 4 13 2 10" xfId="30619"/>
    <cellStyle name="40% - 强调文字颜色 4 13 2 11" xfId="32704"/>
    <cellStyle name="40% - 强调文字颜色 4 13 2 2" xfId="4114"/>
    <cellStyle name="40% - 强调文字颜色 4 13 2 3" xfId="6579"/>
    <cellStyle name="40% - 强调文字颜色 4 13 2 4" xfId="12725"/>
    <cellStyle name="40% - 强调文字颜色 4 13 2 5" xfId="15798"/>
    <cellStyle name="40% - 强调文字颜色 4 13 2 6" xfId="11322"/>
    <cellStyle name="40% - 强调文字颜色 4 13 2 7" xfId="18888"/>
    <cellStyle name="40% - 强调文字颜色 4 13 2 8" xfId="22156"/>
    <cellStyle name="40% - 强调文字颜色 4 13 2 9" xfId="21081"/>
    <cellStyle name="40% - 强调文字颜色 4 13 3" xfId="1034"/>
    <cellStyle name="40% - 强调文字颜色 4 13 3 10" xfId="30620"/>
    <cellStyle name="40% - 强调文字颜色 4 13 3 11" xfId="32459"/>
    <cellStyle name="40% - 强调文字颜色 4 13 3 2" xfId="4115"/>
    <cellStyle name="40% - 强调文字颜色 4 13 3 3" xfId="6580"/>
    <cellStyle name="40% - 强调文字颜色 4 13 3 4" xfId="12726"/>
    <cellStyle name="40% - 强调文字颜色 4 13 3 5" xfId="15799"/>
    <cellStyle name="40% - 强调文字颜色 4 13 3 6" xfId="10185"/>
    <cellStyle name="40% - 强调文字颜色 4 13 3 7" xfId="18889"/>
    <cellStyle name="40% - 强调文字颜色 4 13 3 8" xfId="21649"/>
    <cellStyle name="40% - 强调文字颜色 4 13 3 9" xfId="20515"/>
    <cellStyle name="40% - 强调文字颜色 4 13 4" xfId="1035"/>
    <cellStyle name="40% - 强调文字颜色 4 13 4 10" xfId="30621"/>
    <cellStyle name="40% - 强调文字颜色 4 13 4 11" xfId="32226"/>
    <cellStyle name="40% - 强调文字颜色 4 13 4 2" xfId="4116"/>
    <cellStyle name="40% - 强调文字颜色 4 13 4 3" xfId="6581"/>
    <cellStyle name="40% - 强调文字颜色 4 13 4 4" xfId="12727"/>
    <cellStyle name="40% - 强调文字颜色 4 13 4 5" xfId="15800"/>
    <cellStyle name="40% - 强调文字颜色 4 13 4 6" xfId="11321"/>
    <cellStyle name="40% - 强调文字颜色 4 13 4 7" xfId="18890"/>
    <cellStyle name="40% - 强调文字颜色 4 13 4 8" xfId="23138"/>
    <cellStyle name="40% - 强调文字颜色 4 13 4 9" xfId="19860"/>
    <cellStyle name="40% - 强调文字颜色 4 13 5" xfId="1036"/>
    <cellStyle name="40% - 强调文字颜色 4 13 5 2" xfId="6582"/>
    <cellStyle name="40% - 强调文字颜色 4 13 5 3" xfId="12728"/>
    <cellStyle name="40% - 强调文字颜色 4 13 5 4" xfId="10184"/>
    <cellStyle name="40% - 强调文字颜色 4 13 5 5" xfId="18891"/>
    <cellStyle name="40% - 强调文字颜色 4 13 5 6" xfId="22155"/>
    <cellStyle name="40% - 强调文字颜色 4 13 5 7" xfId="21080"/>
    <cellStyle name="40% - 强调文字颜色 4 13 5 8" xfId="31585"/>
    <cellStyle name="40% - 强调文字颜色 4 13 5 9" xfId="32327"/>
    <cellStyle name="40% - 强调文字颜色 4 13 6" xfId="4113"/>
    <cellStyle name="40% - 强调文字颜色 4 13 6 2" xfId="23698"/>
    <cellStyle name="40% - 强调文字颜色 4 13 6 3" xfId="26283"/>
    <cellStyle name="40% - 强调文字颜色 4 13 7" xfId="6578"/>
    <cellStyle name="40% - 强调文字颜色 4 13 7 2" xfId="23793"/>
    <cellStyle name="40% - 强调文字颜色 4 13 7 3" xfId="26378"/>
    <cellStyle name="40% - 强调文字颜色 4 13 8" xfId="12724"/>
    <cellStyle name="40% - 强调文字颜色 4 13 8 2" xfId="23875"/>
    <cellStyle name="40% - 强调文字颜色 4 13 8 3" xfId="26460"/>
    <cellStyle name="40% - 强调文字颜色 4 13 9" xfId="15797"/>
    <cellStyle name="40% - 强调文字颜色 4 14" xfId="1037"/>
    <cellStyle name="40% - 强调文字颜色 4 14 10" xfId="11320"/>
    <cellStyle name="40% - 强调文字颜色 4 14 11" xfId="18892"/>
    <cellStyle name="40% - 强调文字颜色 4 14 12" xfId="21648"/>
    <cellStyle name="40% - 强调文字颜色 4 14 13" xfId="20514"/>
    <cellStyle name="40% - 强调文字颜色 4 14 14" xfId="30622"/>
    <cellStyle name="40% - 强调文字颜色 4 14 15" xfId="31759"/>
    <cellStyle name="40% - 强调文字颜色 4 14 2" xfId="1038"/>
    <cellStyle name="40% - 强调文字颜色 4 14 2 10" xfId="30623"/>
    <cellStyle name="40% - 强调文字颜色 4 14 2 11" xfId="33356"/>
    <cellStyle name="40% - 强调文字颜色 4 14 2 2" xfId="4118"/>
    <cellStyle name="40% - 强调文字颜色 4 14 2 3" xfId="6584"/>
    <cellStyle name="40% - 强调文字颜色 4 14 2 4" xfId="12730"/>
    <cellStyle name="40% - 强调文字颜色 4 14 2 5" xfId="15802"/>
    <cellStyle name="40% - 强调文字颜色 4 14 2 6" xfId="10183"/>
    <cellStyle name="40% - 强调文字颜色 4 14 2 7" xfId="18893"/>
    <cellStyle name="40% - 强调文字颜色 4 14 2 8" xfId="23137"/>
    <cellStyle name="40% - 强调文字颜色 4 14 2 9" xfId="19859"/>
    <cellStyle name="40% - 强调文字颜色 4 14 3" xfId="1039"/>
    <cellStyle name="40% - 强调文字颜色 4 14 3 10" xfId="30624"/>
    <cellStyle name="40% - 强调文字颜色 4 14 3 11" xfId="33107"/>
    <cellStyle name="40% - 强调文字颜色 4 14 3 2" xfId="4119"/>
    <cellStyle name="40% - 强调文字颜色 4 14 3 3" xfId="6585"/>
    <cellStyle name="40% - 强调文字颜色 4 14 3 4" xfId="12731"/>
    <cellStyle name="40% - 强调文字颜色 4 14 3 5" xfId="15803"/>
    <cellStyle name="40% - 强调文字颜色 4 14 3 6" xfId="7706"/>
    <cellStyle name="40% - 强调文字颜色 4 14 3 7" xfId="18894"/>
    <cellStyle name="40% - 强调文字颜色 4 14 3 8" xfId="22154"/>
    <cellStyle name="40% - 强调文字颜色 4 14 3 9" xfId="21079"/>
    <cellStyle name="40% - 强调文字颜色 4 14 4" xfId="1040"/>
    <cellStyle name="40% - 强调文字颜色 4 14 4 10" xfId="30625"/>
    <cellStyle name="40% - 强调文字颜色 4 14 4 11" xfId="32703"/>
    <cellStyle name="40% - 强调文字颜色 4 14 4 2" xfId="4120"/>
    <cellStyle name="40% - 强调文字颜色 4 14 4 3" xfId="6586"/>
    <cellStyle name="40% - 强调文字颜色 4 14 4 4" xfId="12732"/>
    <cellStyle name="40% - 强调文字颜色 4 14 4 5" xfId="15804"/>
    <cellStyle name="40% - 强调文字颜色 4 14 4 6" xfId="11319"/>
    <cellStyle name="40% - 强调文字颜色 4 14 4 7" xfId="18895"/>
    <cellStyle name="40% - 强调文字颜色 4 14 4 8" xfId="21647"/>
    <cellStyle name="40% - 强调文字颜色 4 14 4 9" xfId="20513"/>
    <cellStyle name="40% - 强调文字颜色 4 14 5" xfId="1041"/>
    <cellStyle name="40% - 强调文字颜色 4 14 5 2" xfId="6587"/>
    <cellStyle name="40% - 强调文字颜色 4 14 5 3" xfId="12733"/>
    <cellStyle name="40% - 强调文字颜色 4 14 5 4" xfId="10182"/>
    <cellStyle name="40% - 强调文字颜色 4 14 5 5" xfId="18896"/>
    <cellStyle name="40% - 强调文字颜色 4 14 5 6" xfId="23136"/>
    <cellStyle name="40% - 强调文字颜色 4 14 5 7" xfId="19858"/>
    <cellStyle name="40% - 强调文字颜色 4 14 5 8" xfId="31586"/>
    <cellStyle name="40% - 强调文字颜色 4 14 5 9" xfId="32963"/>
    <cellStyle name="40% - 强调文字颜色 4 14 6" xfId="4117"/>
    <cellStyle name="40% - 强调文字颜色 4 14 6 2" xfId="23699"/>
    <cellStyle name="40% - 强调文字颜色 4 14 6 3" xfId="26284"/>
    <cellStyle name="40% - 强调文字颜色 4 14 7" xfId="6583"/>
    <cellStyle name="40% - 强调文字颜色 4 14 7 2" xfId="23794"/>
    <cellStyle name="40% - 强调文字颜色 4 14 7 3" xfId="26379"/>
    <cellStyle name="40% - 强调文字颜色 4 14 8" xfId="12729"/>
    <cellStyle name="40% - 强调文字颜色 4 14 8 2" xfId="23876"/>
    <cellStyle name="40% - 强调文字颜色 4 14 8 3" xfId="26461"/>
    <cellStyle name="40% - 强调文字颜色 4 14 9" xfId="15801"/>
    <cellStyle name="40% - 强调文字颜色 4 15" xfId="1042"/>
    <cellStyle name="40% - 强调文字颜色 4 15 10" xfId="18897"/>
    <cellStyle name="40% - 强调文字颜色 4 15 11" xfId="22153"/>
    <cellStyle name="40% - 强调文字颜色 4 15 12" xfId="21078"/>
    <cellStyle name="40% - 强调文字颜色 4 15 13" xfId="30626"/>
    <cellStyle name="40% - 强调文字颜色 4 15 14" xfId="32458"/>
    <cellStyle name="40% - 强调文字颜色 4 15 2" xfId="1043"/>
    <cellStyle name="40% - 强调文字颜色 4 15 2 10" xfId="30627"/>
    <cellStyle name="40% - 强调文字颜色 4 15 2 11" xfId="32225"/>
    <cellStyle name="40% - 强调文字颜色 4 15 2 2" xfId="4122"/>
    <cellStyle name="40% - 强调文字颜色 4 15 2 3" xfId="6589"/>
    <cellStyle name="40% - 强调文字颜色 4 15 2 4" xfId="12735"/>
    <cellStyle name="40% - 强调文字颜色 4 15 2 5" xfId="15806"/>
    <cellStyle name="40% - 强调文字颜色 4 15 2 6" xfId="10181"/>
    <cellStyle name="40% - 强调文字颜色 4 15 2 7" xfId="18898"/>
    <cellStyle name="40% - 强调文字颜色 4 15 2 8" xfId="21646"/>
    <cellStyle name="40% - 强调文字颜色 4 15 2 9" xfId="20512"/>
    <cellStyle name="40% - 强调文字颜色 4 15 3" xfId="1044"/>
    <cellStyle name="40% - 强调文字颜色 4 15 3 10" xfId="30628"/>
    <cellStyle name="40% - 强调文字颜色 4 15 3 11" xfId="31758"/>
    <cellStyle name="40% - 强调文字颜色 4 15 3 2" xfId="4123"/>
    <cellStyle name="40% - 强调文字颜色 4 15 3 3" xfId="6590"/>
    <cellStyle name="40% - 强调文字颜色 4 15 3 4" xfId="12736"/>
    <cellStyle name="40% - 强调文字颜色 4 15 3 5" xfId="15807"/>
    <cellStyle name="40% - 强调文字颜色 4 15 3 6" xfId="11317"/>
    <cellStyle name="40% - 强调文字颜色 4 15 3 7" xfId="18899"/>
    <cellStyle name="40% - 强调文字颜色 4 15 3 8" xfId="23135"/>
    <cellStyle name="40% - 强调文字颜色 4 15 3 9" xfId="19857"/>
    <cellStyle name="40% - 强调文字颜色 4 15 4" xfId="1045"/>
    <cellStyle name="40% - 强调文字颜色 4 15 4 2" xfId="6591"/>
    <cellStyle name="40% - 强调文字颜色 4 15 4 3" xfId="12737"/>
    <cellStyle name="40% - 强调文字颜色 4 15 4 4" xfId="10180"/>
    <cellStyle name="40% - 强调文字颜色 4 15 4 5" xfId="18900"/>
    <cellStyle name="40% - 强调文字颜色 4 15 4 6" xfId="22152"/>
    <cellStyle name="40% - 强调文字颜色 4 15 4 7" xfId="21077"/>
    <cellStyle name="40% - 强调文字颜色 4 15 4 8" xfId="31587"/>
    <cellStyle name="40% - 强调文字颜色 4 15 4 9" xfId="31627"/>
    <cellStyle name="40% - 强调文字颜色 4 15 5" xfId="4121"/>
    <cellStyle name="40% - 强调文字颜色 4 15 6" xfId="6588"/>
    <cellStyle name="40% - 强调文字颜色 4 15 7" xfId="12734"/>
    <cellStyle name="40% - 强调文字颜色 4 15 8" xfId="15805"/>
    <cellStyle name="40% - 强调文字颜色 4 15 9" xfId="11318"/>
    <cellStyle name="40% - 强调文字颜色 4 16" xfId="1046"/>
    <cellStyle name="40% - 强调文字颜色 4 16 10" xfId="18901"/>
    <cellStyle name="40% - 强调文字颜色 4 16 11" xfId="21645"/>
    <cellStyle name="40% - 强调文字颜色 4 16 12" xfId="20511"/>
    <cellStyle name="40% - 强调文字颜色 4 16 13" xfId="30629"/>
    <cellStyle name="40% - 强调文字颜色 4 16 14" xfId="33354"/>
    <cellStyle name="40% - 强调文字颜色 4 16 2" xfId="1047"/>
    <cellStyle name="40% - 强调文字颜色 4 16 2 10" xfId="30630"/>
    <cellStyle name="40% - 强调文字颜色 4 16 2 11" xfId="33105"/>
    <cellStyle name="40% - 强调文字颜色 4 16 2 2" xfId="4125"/>
    <cellStyle name="40% - 强调文字颜色 4 16 2 3" xfId="6593"/>
    <cellStyle name="40% - 强调文字颜色 4 16 2 4" xfId="12739"/>
    <cellStyle name="40% - 强调文字颜色 4 16 2 5" xfId="15809"/>
    <cellStyle name="40% - 强调文字颜色 4 16 2 6" xfId="10179"/>
    <cellStyle name="40% - 强调文字颜色 4 16 2 7" xfId="18902"/>
    <cellStyle name="40% - 强调文字颜色 4 16 2 8" xfId="23134"/>
    <cellStyle name="40% - 强调文字颜色 4 16 2 9" xfId="19856"/>
    <cellStyle name="40% - 强调文字颜色 4 16 3" xfId="1048"/>
    <cellStyle name="40% - 强调文字颜色 4 16 3 10" xfId="30631"/>
    <cellStyle name="40% - 强调文字颜色 4 16 3 11" xfId="32701"/>
    <cellStyle name="40% - 强调文字颜色 4 16 3 2" xfId="4126"/>
    <cellStyle name="40% - 强调文字颜色 4 16 3 3" xfId="6594"/>
    <cellStyle name="40% - 强调文字颜色 4 16 3 4" xfId="12740"/>
    <cellStyle name="40% - 强调文字颜色 4 16 3 5" xfId="15810"/>
    <cellStyle name="40% - 强调文字颜色 4 16 3 6" xfId="11315"/>
    <cellStyle name="40% - 强调文字颜色 4 16 3 7" xfId="18903"/>
    <cellStyle name="40% - 强调文字颜色 4 16 3 8" xfId="22151"/>
    <cellStyle name="40% - 强调文字颜色 4 16 3 9" xfId="21076"/>
    <cellStyle name="40% - 强调文字颜色 4 16 4" xfId="1049"/>
    <cellStyle name="40% - 强调文字颜色 4 16 4 2" xfId="6595"/>
    <cellStyle name="40% - 强调文字颜色 4 16 4 3" xfId="12741"/>
    <cellStyle name="40% - 强调文字颜色 4 16 4 4" xfId="10178"/>
    <cellStyle name="40% - 强调文字颜色 4 16 4 5" xfId="18904"/>
    <cellStyle name="40% - 强调文字颜色 4 16 4 6" xfId="21644"/>
    <cellStyle name="40% - 强调文字颜色 4 16 4 7" xfId="20510"/>
    <cellStyle name="40% - 强调文字颜色 4 16 4 8" xfId="31588"/>
    <cellStyle name="40% - 强调文字颜色 4 16 4 9" xfId="30815"/>
    <cellStyle name="40% - 强调文字颜色 4 16 5" xfId="4124"/>
    <cellStyle name="40% - 强调文字颜色 4 16 6" xfId="6592"/>
    <cellStyle name="40% - 强调文字颜色 4 16 7" xfId="12738"/>
    <cellStyle name="40% - 强调文字颜色 4 16 8" xfId="15808"/>
    <cellStyle name="40% - 强调文字颜色 4 16 9" xfId="11316"/>
    <cellStyle name="40% - 强调文字颜色 4 17" xfId="1050"/>
    <cellStyle name="40% - 强调文字颜色 4 17 10" xfId="23132"/>
    <cellStyle name="40% - 强调文字颜色 4 17 11" xfId="19855"/>
    <cellStyle name="40% - 强调文字颜色 4 17 12" xfId="30632"/>
    <cellStyle name="40% - 强调文字颜色 4 17 13" xfId="32456"/>
    <cellStyle name="40% - 强调文字颜色 4 17 2" xfId="1051"/>
    <cellStyle name="40% - 强调文字颜色 4 17 2 2" xfId="6597"/>
    <cellStyle name="40% - 强调文字颜色 4 17 2 3" xfId="12743"/>
    <cellStyle name="40% - 强调文字颜色 4 17 2 4" xfId="11314"/>
    <cellStyle name="40% - 强调文字颜色 4 17 2 5" xfId="18906"/>
    <cellStyle name="40% - 强调文字颜色 4 17 2 6" xfId="22149"/>
    <cellStyle name="40% - 强调文字颜色 4 17 2 7" xfId="21075"/>
    <cellStyle name="40% - 强调文字颜色 4 17 2 8" xfId="31589"/>
    <cellStyle name="40% - 强调文字颜色 4 17 2 9" xfId="30814"/>
    <cellStyle name="40% - 强调文字颜色 4 17 3" xfId="1052"/>
    <cellStyle name="40% - 强调文字颜色 4 17 3 2" xfId="6598"/>
    <cellStyle name="40% - 强调文字颜色 4 17 3 3" xfId="12744"/>
    <cellStyle name="40% - 强调文字颜色 4 17 3 4" xfId="7704"/>
    <cellStyle name="40% - 强调文字颜色 4 17 3 5" xfId="18907"/>
    <cellStyle name="40% - 强调文字颜色 4 17 3 6" xfId="21642"/>
    <cellStyle name="40% - 强调文字颜色 4 17 3 7" xfId="20509"/>
    <cellStyle name="40% - 强调文字颜色 4 17 3 8" xfId="31590"/>
    <cellStyle name="40% - 强调文字颜色 4 17 3 9" xfId="32559"/>
    <cellStyle name="40% - 强调文字颜色 4 17 4" xfId="4127"/>
    <cellStyle name="40% - 强调文字颜色 4 17 5" xfId="6596"/>
    <cellStyle name="40% - 强调文字颜色 4 17 6" xfId="12742"/>
    <cellStyle name="40% - 强调文字颜色 4 17 7" xfId="15811"/>
    <cellStyle name="40% - 强调文字颜色 4 17 8" xfId="7707"/>
    <cellStyle name="40% - 强调文字颜色 4 17 9" xfId="18905"/>
    <cellStyle name="40% - 强调文字颜色 4 18" xfId="1053"/>
    <cellStyle name="40% - 强调文字颜色 4 18 10" xfId="30633"/>
    <cellStyle name="40% - 强调文字颜色 4 18 11" xfId="32222"/>
    <cellStyle name="40% - 强调文字颜色 4 18 2" xfId="1054"/>
    <cellStyle name="40% - 强调文字颜色 4 18 2 2" xfId="9466"/>
    <cellStyle name="40% - 强调文字颜色 4 18 2 3" xfId="17340"/>
    <cellStyle name="40% - 强调文字颜色 4 18 2 4" xfId="18909"/>
    <cellStyle name="40% - 强调文字颜色 4 18 2 5" xfId="22475"/>
    <cellStyle name="40% - 强调文字颜色 4 18 2 6" xfId="21074"/>
    <cellStyle name="40% - 强调文字颜色 4 18 2 7" xfId="31591"/>
    <cellStyle name="40% - 强调文字颜色 4 18 2 8" xfId="31871"/>
    <cellStyle name="40% - 强调文字颜色 4 18 3" xfId="4128"/>
    <cellStyle name="40% - 强调文字颜色 4 18 4" xfId="6599"/>
    <cellStyle name="40% - 强调文字颜色 4 18 5" xfId="15812"/>
    <cellStyle name="40% - 强调文字颜色 4 18 6" xfId="11311"/>
    <cellStyle name="40% - 强调文字颜色 4 18 7" xfId="18908"/>
    <cellStyle name="40% - 强调文字颜色 4 18 8" xfId="23131"/>
    <cellStyle name="40% - 强调文字颜色 4 18 9" xfId="19854"/>
    <cellStyle name="40% - 强调文字颜色 4 19" xfId="1055"/>
    <cellStyle name="40% - 强调文字颜色 4 19 10" xfId="4130"/>
    <cellStyle name="40% - 强调文字颜色 4 19 10 2" xfId="9467"/>
    <cellStyle name="40% - 强调文字颜色 4 19 10 3" xfId="15814"/>
    <cellStyle name="40% - 强调文字颜色 4 19 10 4" xfId="25317"/>
    <cellStyle name="40% - 强调文字颜色 4 19 10 5" xfId="28556"/>
    <cellStyle name="40% - 强调文字颜色 4 19 11" xfId="4131"/>
    <cellStyle name="40% - 强调文字颜色 4 19 11 2" xfId="9468"/>
    <cellStyle name="40% - 强调文字颜色 4 19 11 3" xfId="15815"/>
    <cellStyle name="40% - 强调文字颜色 4 19 11 4" xfId="25318"/>
    <cellStyle name="40% - 强调文字颜色 4 19 11 5" xfId="28557"/>
    <cellStyle name="40% - 强调文字颜色 4 19 12" xfId="4132"/>
    <cellStyle name="40% - 强调文字颜色 4 19 12 2" xfId="9469"/>
    <cellStyle name="40% - 强调文字颜色 4 19 12 3" xfId="15816"/>
    <cellStyle name="40% - 强调文字颜色 4 19 12 4" xfId="25319"/>
    <cellStyle name="40% - 强调文字颜色 4 19 12 5" xfId="28558"/>
    <cellStyle name="40% - 强调文字颜色 4 19 13" xfId="4133"/>
    <cellStyle name="40% - 强调文字颜色 4 19 13 2" xfId="9470"/>
    <cellStyle name="40% - 强调文字颜色 4 19 13 3" xfId="15817"/>
    <cellStyle name="40% - 强调文字颜色 4 19 13 4" xfId="25320"/>
    <cellStyle name="40% - 强调文字颜色 4 19 13 5" xfId="28559"/>
    <cellStyle name="40% - 强调文字颜色 4 19 14" xfId="4134"/>
    <cellStyle name="40% - 强调文字颜色 4 19 14 2" xfId="9471"/>
    <cellStyle name="40% - 强调文字颜色 4 19 14 3" xfId="15818"/>
    <cellStyle name="40% - 强调文字颜色 4 19 14 4" xfId="25321"/>
    <cellStyle name="40% - 强调文字颜色 4 19 14 5" xfId="28560"/>
    <cellStyle name="40% - 强调文字颜色 4 19 15" xfId="4135"/>
    <cellStyle name="40% - 强调文字颜色 4 19 15 2" xfId="9472"/>
    <cellStyle name="40% - 强调文字颜色 4 19 15 3" xfId="15819"/>
    <cellStyle name="40% - 强调文字颜色 4 19 15 4" xfId="25322"/>
    <cellStyle name="40% - 强调文字颜色 4 19 15 5" xfId="28561"/>
    <cellStyle name="40% - 强调文字颜色 4 19 16" xfId="4136"/>
    <cellStyle name="40% - 强调文字颜色 4 19 16 2" xfId="9473"/>
    <cellStyle name="40% - 强调文字颜色 4 19 16 3" xfId="15820"/>
    <cellStyle name="40% - 强调文字颜色 4 19 16 4" xfId="25323"/>
    <cellStyle name="40% - 强调文字颜色 4 19 16 5" xfId="28562"/>
    <cellStyle name="40% - 强调文字颜色 4 19 17" xfId="4137"/>
    <cellStyle name="40% - 强调文字颜色 4 19 17 2" xfId="9474"/>
    <cellStyle name="40% - 强调文字颜色 4 19 17 3" xfId="15821"/>
    <cellStyle name="40% - 强调文字颜色 4 19 17 4" xfId="25324"/>
    <cellStyle name="40% - 强调文字颜色 4 19 17 5" xfId="28563"/>
    <cellStyle name="40% - 强调文字颜色 4 19 18" xfId="4138"/>
    <cellStyle name="40% - 强调文字颜色 4 19 18 2" xfId="9475"/>
    <cellStyle name="40% - 强调文字颜色 4 19 18 3" xfId="15822"/>
    <cellStyle name="40% - 强调文字颜色 4 19 18 4" xfId="25325"/>
    <cellStyle name="40% - 强调文字颜色 4 19 18 5" xfId="28564"/>
    <cellStyle name="40% - 强调文字颜色 4 19 19" xfId="4139"/>
    <cellStyle name="40% - 强调文字颜色 4 19 19 2" xfId="9476"/>
    <cellStyle name="40% - 强调文字颜色 4 19 19 3" xfId="15823"/>
    <cellStyle name="40% - 强调文字颜色 4 19 19 4" xfId="25326"/>
    <cellStyle name="40% - 强调文字颜色 4 19 19 5" xfId="28565"/>
    <cellStyle name="40% - 强调文字颜色 4 19 2" xfId="1056"/>
    <cellStyle name="40% - 强调文字颜色 4 19 2 10" xfId="30635"/>
    <cellStyle name="40% - 强调文字颜色 4 19 2 11" xfId="32223"/>
    <cellStyle name="40% - 强调文字颜色 4 19 2 2" xfId="4140"/>
    <cellStyle name="40% - 强调文字颜色 4 19 2 3" xfId="6601"/>
    <cellStyle name="40% - 强调文字颜色 4 19 2 4" xfId="12746"/>
    <cellStyle name="40% - 强调文字颜色 4 19 2 5" xfId="15824"/>
    <cellStyle name="40% - 强调文字颜色 4 19 2 6" xfId="11310"/>
    <cellStyle name="40% - 强调文字颜色 4 19 2 7" xfId="18911"/>
    <cellStyle name="40% - 强调文字颜色 4 19 2 8" xfId="21641"/>
    <cellStyle name="40% - 强调文字颜色 4 19 2 9" xfId="19853"/>
    <cellStyle name="40% - 强调文字颜色 4 19 20" xfId="4141"/>
    <cellStyle name="40% - 强调文字颜色 4 19 20 2" xfId="9477"/>
    <cellStyle name="40% - 强调文字颜色 4 19 20 3" xfId="15825"/>
    <cellStyle name="40% - 强调文字颜色 4 19 20 4" xfId="25327"/>
    <cellStyle name="40% - 强调文字颜色 4 19 20 5" xfId="28566"/>
    <cellStyle name="40% - 强调文字颜色 4 19 21" xfId="4142"/>
    <cellStyle name="40% - 强调文字颜色 4 19 21 2" xfId="9478"/>
    <cellStyle name="40% - 强调文字颜色 4 19 21 3" xfId="15826"/>
    <cellStyle name="40% - 强调文字颜色 4 19 21 4" xfId="25328"/>
    <cellStyle name="40% - 强调文字颜色 4 19 21 5" xfId="28567"/>
    <cellStyle name="40% - 强调文字颜色 4 19 22" xfId="4143"/>
    <cellStyle name="40% - 强调文字颜色 4 19 22 2" xfId="9479"/>
    <cellStyle name="40% - 强调文字颜色 4 19 22 3" xfId="15827"/>
    <cellStyle name="40% - 强调文字颜色 4 19 22 4" xfId="25329"/>
    <cellStyle name="40% - 强调文字颜色 4 19 22 5" xfId="28568"/>
    <cellStyle name="40% - 强调文字颜色 4 19 23" xfId="4144"/>
    <cellStyle name="40% - 强调文字颜色 4 19 23 2" xfId="9480"/>
    <cellStyle name="40% - 强调文字颜色 4 19 23 3" xfId="15828"/>
    <cellStyle name="40% - 强调文字颜色 4 19 23 4" xfId="25330"/>
    <cellStyle name="40% - 强调文字颜色 4 19 23 5" xfId="28569"/>
    <cellStyle name="40% - 强调文字颜色 4 19 24" xfId="6600"/>
    <cellStyle name="40% - 强调文字颜色 4 19 25" xfId="11034"/>
    <cellStyle name="40% - 强调文字颜色 4 19 26" xfId="12745"/>
    <cellStyle name="40% - 强调文字颜色 4 19 27" xfId="15813"/>
    <cellStyle name="40% - 强调文字颜色 4 19 28" xfId="10175"/>
    <cellStyle name="40% - 强调文字颜色 4 19 29" xfId="18910"/>
    <cellStyle name="40% - 强调文字颜色 4 19 3" xfId="4129"/>
    <cellStyle name="40% - 强调文字颜色 4 19 3 2" xfId="9481"/>
    <cellStyle name="40% - 强调文字颜色 4 19 3 3" xfId="15829"/>
    <cellStyle name="40% - 强调文字颜色 4 19 3 4" xfId="25331"/>
    <cellStyle name="40% - 强调文字颜色 4 19 3 5" xfId="28555"/>
    <cellStyle name="40% - 强调文字颜色 4 19 30" xfId="22148"/>
    <cellStyle name="40% - 强调文字颜色 4 19 31" xfId="20508"/>
    <cellStyle name="40% - 强调文字颜色 4 19 32" xfId="30634"/>
    <cellStyle name="40% - 强调文字颜色 4 19 33" xfId="31756"/>
    <cellStyle name="40% - 强调文字颜色 4 19 4" xfId="4146"/>
    <cellStyle name="40% - 强调文字颜色 4 19 4 2" xfId="9482"/>
    <cellStyle name="40% - 强调文字颜色 4 19 4 3" xfId="15830"/>
    <cellStyle name="40% - 强调文字颜色 4 19 4 4" xfId="25332"/>
    <cellStyle name="40% - 强调文字颜色 4 19 4 5" xfId="28570"/>
    <cellStyle name="40% - 强调文字颜色 4 19 5" xfId="4147"/>
    <cellStyle name="40% - 强调文字颜色 4 19 5 2" xfId="9483"/>
    <cellStyle name="40% - 强调文字颜色 4 19 5 3" xfId="15831"/>
    <cellStyle name="40% - 强调文字颜色 4 19 5 4" xfId="25333"/>
    <cellStyle name="40% - 强调文字颜色 4 19 5 5" xfId="28571"/>
    <cellStyle name="40% - 强调文字颜色 4 19 6" xfId="4148"/>
    <cellStyle name="40% - 强调文字颜色 4 19 6 2" xfId="9484"/>
    <cellStyle name="40% - 强调文字颜色 4 19 6 3" xfId="15832"/>
    <cellStyle name="40% - 强调文字颜色 4 19 6 4" xfId="25334"/>
    <cellStyle name="40% - 强调文字颜色 4 19 6 5" xfId="28572"/>
    <cellStyle name="40% - 强调文字颜色 4 19 7" xfId="4149"/>
    <cellStyle name="40% - 强调文字颜色 4 19 7 2" xfId="9485"/>
    <cellStyle name="40% - 强调文字颜色 4 19 7 3" xfId="15833"/>
    <cellStyle name="40% - 强调文字颜色 4 19 7 4" xfId="25335"/>
    <cellStyle name="40% - 强调文字颜色 4 19 7 5" xfId="28573"/>
    <cellStyle name="40% - 强调文字颜色 4 19 8" xfId="4150"/>
    <cellStyle name="40% - 强调文字颜色 4 19 8 2" xfId="9486"/>
    <cellStyle name="40% - 强调文字颜色 4 19 8 3" xfId="15834"/>
    <cellStyle name="40% - 强调文字颜色 4 19 8 4" xfId="25336"/>
    <cellStyle name="40% - 强调文字颜色 4 19 8 5" xfId="28574"/>
    <cellStyle name="40% - 强调文字颜色 4 19 9" xfId="4151"/>
    <cellStyle name="40% - 强调文字颜色 4 19 9 2" xfId="9487"/>
    <cellStyle name="40% - 强调文字颜色 4 19 9 3" xfId="15835"/>
    <cellStyle name="40% - 强调文字颜色 4 19 9 4" xfId="25337"/>
    <cellStyle name="40% - 强调文字颜色 4 19 9 5" xfId="28575"/>
    <cellStyle name="40% - 强调文字颜色 4 2" xfId="1057"/>
    <cellStyle name="40% - 强调文字颜色 4 2 10" xfId="17532"/>
    <cellStyle name="40% - 强调文字颜色 4 2 11" xfId="17618"/>
    <cellStyle name="40% - 强调文字颜色 4 2 12" xfId="17704"/>
    <cellStyle name="40% - 强调文字颜色 4 2 13" xfId="17790"/>
    <cellStyle name="40% - 强调文字颜色 4 2 14" xfId="18912"/>
    <cellStyle name="40% - 强调文字颜色 4 2 15" xfId="23130"/>
    <cellStyle name="40% - 强调文字颜色 4 2 16" xfId="21073"/>
    <cellStyle name="40% - 强调文字颜色 4 2 2" xfId="1058"/>
    <cellStyle name="40% - 强调文字颜色 4 2 2 10" xfId="30636"/>
    <cellStyle name="40% - 强调文字颜色 4 2 2 11" xfId="32220"/>
    <cellStyle name="40% - 强调文字颜色 4 2 2 2" xfId="4153"/>
    <cellStyle name="40% - 强调文字颜色 4 2 2 3" xfId="6603"/>
    <cellStyle name="40% - 强调文字颜色 4 2 2 4" xfId="12748"/>
    <cellStyle name="40% - 强调文字颜色 4 2 2 5" xfId="15837"/>
    <cellStyle name="40% - 强调文字颜色 4 2 2 6" xfId="11309"/>
    <cellStyle name="40% - 强调文字颜色 4 2 2 7" xfId="18913"/>
    <cellStyle name="40% - 强调文字颜色 4 2 2 8" xfId="22147"/>
    <cellStyle name="40% - 强调文字颜色 4 2 2 9" xfId="20507"/>
    <cellStyle name="40% - 强调文字颜色 4 2 3" xfId="1059"/>
    <cellStyle name="40% - 强调文字颜色 4 2 3 10" xfId="30637"/>
    <cellStyle name="40% - 强调文字颜色 4 2 3 11" xfId="31754"/>
    <cellStyle name="40% - 强调文字颜色 4 2 3 2" xfId="4154"/>
    <cellStyle name="40% - 强调文字颜色 4 2 3 3" xfId="6604"/>
    <cellStyle name="40% - 强调文字颜色 4 2 3 4" xfId="12749"/>
    <cellStyle name="40% - 强调文字颜色 4 2 3 5" xfId="15838"/>
    <cellStyle name="40% - 强调文字颜色 4 2 3 6" xfId="10173"/>
    <cellStyle name="40% - 强调文字颜色 4 2 3 7" xfId="18914"/>
    <cellStyle name="40% - 强调文字颜色 4 2 3 8" xfId="21640"/>
    <cellStyle name="40% - 强调文字颜色 4 2 3 9" xfId="19852"/>
    <cellStyle name="40% - 强调文字颜色 4 2 4" xfId="4152"/>
    <cellStyle name="40% - 强调文字颜色 4 2 5" xfId="6602"/>
    <cellStyle name="40% - 强调文字颜色 4 2 6" xfId="12747"/>
    <cellStyle name="40% - 强调文字颜色 4 2 7" xfId="15836"/>
    <cellStyle name="40% - 强调文字颜色 4 2 8" xfId="10174"/>
    <cellStyle name="40% - 强调文字颜色 4 2 9" xfId="17446"/>
    <cellStyle name="40% - 强调文字颜色 4 20" xfId="1060"/>
    <cellStyle name="40% - 强调文字颜色 4 20 10" xfId="4156"/>
    <cellStyle name="40% - 强调文字颜色 4 20 10 2" xfId="9489"/>
    <cellStyle name="40% - 强调文字颜色 4 20 10 3" xfId="15840"/>
    <cellStyle name="40% - 强调文字颜色 4 20 10 4" xfId="25338"/>
    <cellStyle name="40% - 强调文字颜色 4 20 10 5" xfId="28577"/>
    <cellStyle name="40% - 强调文字颜色 4 20 11" xfId="4157"/>
    <cellStyle name="40% - 强调文字颜色 4 20 11 2" xfId="9490"/>
    <cellStyle name="40% - 强调文字颜色 4 20 11 3" xfId="15841"/>
    <cellStyle name="40% - 强调文字颜色 4 20 11 4" xfId="25339"/>
    <cellStyle name="40% - 强调文字颜色 4 20 11 5" xfId="28578"/>
    <cellStyle name="40% - 强调文字颜色 4 20 12" xfId="4158"/>
    <cellStyle name="40% - 强调文字颜色 4 20 12 2" xfId="9491"/>
    <cellStyle name="40% - 强调文字颜色 4 20 12 3" xfId="15842"/>
    <cellStyle name="40% - 强调文字颜色 4 20 12 4" xfId="25340"/>
    <cellStyle name="40% - 强调文字颜色 4 20 12 5" xfId="28579"/>
    <cellStyle name="40% - 强调文字颜色 4 20 13" xfId="4159"/>
    <cellStyle name="40% - 强调文字颜色 4 20 13 2" xfId="9492"/>
    <cellStyle name="40% - 强调文字颜色 4 20 13 3" xfId="15843"/>
    <cellStyle name="40% - 强调文字颜色 4 20 13 4" xfId="25341"/>
    <cellStyle name="40% - 强调文字颜色 4 20 13 5" xfId="28580"/>
    <cellStyle name="40% - 强调文字颜色 4 20 14" xfId="4160"/>
    <cellStyle name="40% - 强调文字颜色 4 20 14 2" xfId="9493"/>
    <cellStyle name="40% - 强调文字颜色 4 20 14 3" xfId="15844"/>
    <cellStyle name="40% - 强调文字颜色 4 20 14 4" xfId="25342"/>
    <cellStyle name="40% - 强调文字颜色 4 20 14 5" xfId="28581"/>
    <cellStyle name="40% - 强调文字颜色 4 20 15" xfId="4161"/>
    <cellStyle name="40% - 强调文字颜色 4 20 15 2" xfId="9494"/>
    <cellStyle name="40% - 强调文字颜色 4 20 15 3" xfId="15845"/>
    <cellStyle name="40% - 强调文字颜色 4 20 15 4" xfId="25343"/>
    <cellStyle name="40% - 强调文字颜色 4 20 15 5" xfId="28582"/>
    <cellStyle name="40% - 强调文字颜色 4 20 16" xfId="4162"/>
    <cellStyle name="40% - 强调文字颜色 4 20 16 2" xfId="9495"/>
    <cellStyle name="40% - 强调文字颜色 4 20 16 3" xfId="15846"/>
    <cellStyle name="40% - 强调文字颜色 4 20 16 4" xfId="25344"/>
    <cellStyle name="40% - 强调文字颜色 4 20 16 5" xfId="28583"/>
    <cellStyle name="40% - 强调文字颜色 4 20 17" xfId="4163"/>
    <cellStyle name="40% - 强调文字颜色 4 20 17 2" xfId="9496"/>
    <cellStyle name="40% - 强调文字颜色 4 20 17 3" xfId="15847"/>
    <cellStyle name="40% - 强调文字颜色 4 20 17 4" xfId="25345"/>
    <cellStyle name="40% - 强调文字颜色 4 20 17 5" xfId="28584"/>
    <cellStyle name="40% - 强调文字颜色 4 20 18" xfId="4164"/>
    <cellStyle name="40% - 强调文字颜色 4 20 18 2" xfId="9497"/>
    <cellStyle name="40% - 强调文字颜色 4 20 18 3" xfId="15848"/>
    <cellStyle name="40% - 强调文字颜色 4 20 18 4" xfId="25346"/>
    <cellStyle name="40% - 强调文字颜色 4 20 18 5" xfId="28585"/>
    <cellStyle name="40% - 强调文字颜色 4 20 19" xfId="4165"/>
    <cellStyle name="40% - 强调文字颜色 4 20 19 2" xfId="9498"/>
    <cellStyle name="40% - 强调文字颜色 4 20 19 3" xfId="15849"/>
    <cellStyle name="40% - 强调文字颜色 4 20 19 4" xfId="25347"/>
    <cellStyle name="40% - 强调文字颜色 4 20 19 5" xfId="28586"/>
    <cellStyle name="40% - 强调文字颜色 4 20 2" xfId="4155"/>
    <cellStyle name="40% - 强调文字颜色 4 20 2 2" xfId="9499"/>
    <cellStyle name="40% - 强调文字颜色 4 20 2 3" xfId="15850"/>
    <cellStyle name="40% - 强调文字颜色 4 20 2 4" xfId="25348"/>
    <cellStyle name="40% - 强调文字颜色 4 20 2 5" xfId="28576"/>
    <cellStyle name="40% - 强调文字颜色 4 20 20" xfId="4167"/>
    <cellStyle name="40% - 强调文字颜色 4 20 20 2" xfId="9500"/>
    <cellStyle name="40% - 强调文字颜色 4 20 20 3" xfId="15851"/>
    <cellStyle name="40% - 强调文字颜色 4 20 20 4" xfId="25349"/>
    <cellStyle name="40% - 强调文字颜色 4 20 20 5" xfId="28587"/>
    <cellStyle name="40% - 强调文字颜色 4 20 21" xfId="4168"/>
    <cellStyle name="40% - 强调文字颜色 4 20 21 2" xfId="9501"/>
    <cellStyle name="40% - 强调文字颜色 4 20 21 3" xfId="15852"/>
    <cellStyle name="40% - 强调文字颜色 4 20 21 4" xfId="25350"/>
    <cellStyle name="40% - 强调文字颜色 4 20 21 5" xfId="28588"/>
    <cellStyle name="40% - 强调文字颜色 4 20 22" xfId="4169"/>
    <cellStyle name="40% - 强调文字颜色 4 20 22 2" xfId="9502"/>
    <cellStyle name="40% - 强调文字颜色 4 20 22 3" xfId="15853"/>
    <cellStyle name="40% - 强调文字颜色 4 20 22 4" xfId="25351"/>
    <cellStyle name="40% - 强调文字颜色 4 20 22 5" xfId="28589"/>
    <cellStyle name="40% - 强调文字颜色 4 20 23" xfId="4170"/>
    <cellStyle name="40% - 强调文字颜色 4 20 23 2" xfId="9503"/>
    <cellStyle name="40% - 强调文字颜色 4 20 23 3" xfId="15854"/>
    <cellStyle name="40% - 强调文字颜色 4 20 23 4" xfId="25352"/>
    <cellStyle name="40% - 强调文字颜色 4 20 23 5" xfId="28590"/>
    <cellStyle name="40% - 强调文字颜色 4 20 24" xfId="6605"/>
    <cellStyle name="40% - 强调文字颜色 4 20 25" xfId="11035"/>
    <cellStyle name="40% - 强调文字颜色 4 20 26" xfId="12750"/>
    <cellStyle name="40% - 强调文字颜色 4 20 27" xfId="15839"/>
    <cellStyle name="40% - 强调文字颜色 4 20 28" xfId="11308"/>
    <cellStyle name="40% - 强调文字颜色 4 20 29" xfId="18915"/>
    <cellStyle name="40% - 强调文字颜色 4 20 3" xfId="4171"/>
    <cellStyle name="40% - 强调文字颜色 4 20 3 2" xfId="9504"/>
    <cellStyle name="40% - 强调文字颜色 4 20 3 3" xfId="15855"/>
    <cellStyle name="40% - 强调文字颜色 4 20 3 4" xfId="25353"/>
    <cellStyle name="40% - 强调文字颜色 4 20 3 5" xfId="28591"/>
    <cellStyle name="40% - 强调文字颜色 4 20 30" xfId="23129"/>
    <cellStyle name="40% - 强调文字颜色 4 20 31" xfId="21477"/>
    <cellStyle name="40% - 强调文字颜色 4 20 32" xfId="30638"/>
    <cellStyle name="40% - 强调文字颜色 4 20 33" xfId="33353"/>
    <cellStyle name="40% - 强调文字颜色 4 20 4" xfId="4172"/>
    <cellStyle name="40% - 强调文字颜色 4 20 4 2" xfId="9505"/>
    <cellStyle name="40% - 强调文字颜色 4 20 4 3" xfId="15856"/>
    <cellStyle name="40% - 强调文字颜色 4 20 4 4" xfId="25354"/>
    <cellStyle name="40% - 强调文字颜色 4 20 4 5" xfId="28592"/>
    <cellStyle name="40% - 强调文字颜色 4 20 5" xfId="4173"/>
    <cellStyle name="40% - 强调文字颜色 4 20 5 2" xfId="9506"/>
    <cellStyle name="40% - 强调文字颜色 4 20 5 3" xfId="15857"/>
    <cellStyle name="40% - 强调文字颜色 4 20 5 4" xfId="25355"/>
    <cellStyle name="40% - 强调文字颜色 4 20 5 5" xfId="28593"/>
    <cellStyle name="40% - 强调文字颜色 4 20 6" xfId="4174"/>
    <cellStyle name="40% - 强调文字颜色 4 20 6 2" xfId="9507"/>
    <cellStyle name="40% - 强调文字颜色 4 20 6 3" xfId="15858"/>
    <cellStyle name="40% - 强调文字颜色 4 20 6 4" xfId="25356"/>
    <cellStyle name="40% - 强调文字颜色 4 20 6 5" xfId="28594"/>
    <cellStyle name="40% - 强调文字颜色 4 20 7" xfId="4175"/>
    <cellStyle name="40% - 强调文字颜色 4 20 7 2" xfId="9508"/>
    <cellStyle name="40% - 强调文字颜色 4 20 7 3" xfId="15859"/>
    <cellStyle name="40% - 强调文字颜色 4 20 7 4" xfId="25357"/>
    <cellStyle name="40% - 强调文字颜色 4 20 7 5" xfId="28595"/>
    <cellStyle name="40% - 强调文字颜色 4 20 8" xfId="4176"/>
    <cellStyle name="40% - 强调文字颜色 4 20 8 2" xfId="9509"/>
    <cellStyle name="40% - 强调文字颜色 4 20 8 3" xfId="15860"/>
    <cellStyle name="40% - 强调文字颜色 4 20 8 4" xfId="25358"/>
    <cellStyle name="40% - 强调文字颜色 4 20 8 5" xfId="28596"/>
    <cellStyle name="40% - 强调文字颜色 4 20 9" xfId="4177"/>
    <cellStyle name="40% - 强调文字颜色 4 20 9 2" xfId="9510"/>
    <cellStyle name="40% - 强调文字颜色 4 20 9 3" xfId="15861"/>
    <cellStyle name="40% - 强调文字颜色 4 20 9 4" xfId="25359"/>
    <cellStyle name="40% - 强调文字颜色 4 20 9 5" xfId="28597"/>
    <cellStyle name="40% - 强调文字颜色 4 21" xfId="1061"/>
    <cellStyle name="40% - 强调文字颜色 4 21 10" xfId="4179"/>
    <cellStyle name="40% - 强调文字颜色 4 21 10 2" xfId="9511"/>
    <cellStyle name="40% - 强调文字颜色 4 21 10 3" xfId="15863"/>
    <cellStyle name="40% - 强调文字颜色 4 21 10 4" xfId="25360"/>
    <cellStyle name="40% - 强调文字颜色 4 21 10 5" xfId="28599"/>
    <cellStyle name="40% - 强调文字颜色 4 21 11" xfId="4180"/>
    <cellStyle name="40% - 强调文字颜色 4 21 11 2" xfId="9512"/>
    <cellStyle name="40% - 强调文字颜色 4 21 11 3" xfId="15864"/>
    <cellStyle name="40% - 强调文字颜色 4 21 11 4" xfId="25361"/>
    <cellStyle name="40% - 强调文字颜色 4 21 11 5" xfId="28600"/>
    <cellStyle name="40% - 强调文字颜色 4 21 12" xfId="4181"/>
    <cellStyle name="40% - 强调文字颜色 4 21 12 2" xfId="9513"/>
    <cellStyle name="40% - 强调文字颜色 4 21 12 3" xfId="15865"/>
    <cellStyle name="40% - 强调文字颜色 4 21 12 4" xfId="25362"/>
    <cellStyle name="40% - 强调文字颜色 4 21 12 5" xfId="28601"/>
    <cellStyle name="40% - 强调文字颜色 4 21 13" xfId="4182"/>
    <cellStyle name="40% - 强调文字颜色 4 21 13 2" xfId="9514"/>
    <cellStyle name="40% - 强调文字颜色 4 21 13 3" xfId="15866"/>
    <cellStyle name="40% - 强调文字颜色 4 21 13 4" xfId="25363"/>
    <cellStyle name="40% - 强调文字颜色 4 21 13 5" xfId="28602"/>
    <cellStyle name="40% - 强调文字颜色 4 21 14" xfId="4183"/>
    <cellStyle name="40% - 强调文字颜色 4 21 14 2" xfId="9515"/>
    <cellStyle name="40% - 强调文字颜色 4 21 14 3" xfId="15867"/>
    <cellStyle name="40% - 强调文字颜色 4 21 14 4" xfId="25364"/>
    <cellStyle name="40% - 强调文字颜色 4 21 14 5" xfId="28603"/>
    <cellStyle name="40% - 强调文字颜色 4 21 15" xfId="4184"/>
    <cellStyle name="40% - 强调文字颜色 4 21 15 2" xfId="9516"/>
    <cellStyle name="40% - 强调文字颜色 4 21 15 3" xfId="15868"/>
    <cellStyle name="40% - 强调文字颜色 4 21 15 4" xfId="25365"/>
    <cellStyle name="40% - 强调文字颜色 4 21 15 5" xfId="28604"/>
    <cellStyle name="40% - 强调文字颜色 4 21 16" xfId="4185"/>
    <cellStyle name="40% - 强调文字颜色 4 21 16 2" xfId="9517"/>
    <cellStyle name="40% - 强调文字颜色 4 21 16 3" xfId="15869"/>
    <cellStyle name="40% - 强调文字颜色 4 21 16 4" xfId="25366"/>
    <cellStyle name="40% - 强调文字颜色 4 21 16 5" xfId="28605"/>
    <cellStyle name="40% - 强调文字颜色 4 21 17" xfId="4186"/>
    <cellStyle name="40% - 强调文字颜色 4 21 17 2" xfId="9518"/>
    <cellStyle name="40% - 强调文字颜色 4 21 17 3" xfId="15870"/>
    <cellStyle name="40% - 强调文字颜色 4 21 17 4" xfId="25367"/>
    <cellStyle name="40% - 强调文字颜色 4 21 17 5" xfId="28606"/>
    <cellStyle name="40% - 强调文字颜色 4 21 18" xfId="4187"/>
    <cellStyle name="40% - 强调文字颜色 4 21 18 2" xfId="9519"/>
    <cellStyle name="40% - 强调文字颜色 4 21 18 3" xfId="15871"/>
    <cellStyle name="40% - 强调文字颜色 4 21 18 4" xfId="25368"/>
    <cellStyle name="40% - 强调文字颜色 4 21 18 5" xfId="28607"/>
    <cellStyle name="40% - 强调文字颜色 4 21 19" xfId="4188"/>
    <cellStyle name="40% - 强调文字颜色 4 21 19 2" xfId="9520"/>
    <cellStyle name="40% - 强调文字颜色 4 21 19 3" xfId="15872"/>
    <cellStyle name="40% - 强调文字颜色 4 21 19 4" xfId="25369"/>
    <cellStyle name="40% - 强调文字颜色 4 21 19 5" xfId="28608"/>
    <cellStyle name="40% - 强调文字颜色 4 21 2" xfId="4178"/>
    <cellStyle name="40% - 强调文字颜色 4 21 2 2" xfId="9521"/>
    <cellStyle name="40% - 强调文字颜色 4 21 2 3" xfId="15873"/>
    <cellStyle name="40% - 强调文字颜色 4 21 2 4" xfId="25370"/>
    <cellStyle name="40% - 强调文字颜色 4 21 2 5" xfId="28598"/>
    <cellStyle name="40% - 强调文字颜色 4 21 20" xfId="4190"/>
    <cellStyle name="40% - 强调文字颜色 4 21 20 2" xfId="9522"/>
    <cellStyle name="40% - 强调文字颜色 4 21 20 3" xfId="15874"/>
    <cellStyle name="40% - 强调文字颜色 4 21 20 4" xfId="25371"/>
    <cellStyle name="40% - 强调文字颜色 4 21 20 5" xfId="28609"/>
    <cellStyle name="40% - 强调文字颜色 4 21 21" xfId="4191"/>
    <cellStyle name="40% - 强调文字颜色 4 21 21 2" xfId="9523"/>
    <cellStyle name="40% - 强调文字颜色 4 21 21 3" xfId="15875"/>
    <cellStyle name="40% - 强调文字颜色 4 21 21 4" xfId="25372"/>
    <cellStyle name="40% - 强调文字颜色 4 21 21 5" xfId="28610"/>
    <cellStyle name="40% - 强调文字颜色 4 21 22" xfId="4192"/>
    <cellStyle name="40% - 强调文字颜色 4 21 22 2" xfId="9524"/>
    <cellStyle name="40% - 强调文字颜色 4 21 22 3" xfId="15876"/>
    <cellStyle name="40% - 强调文字颜色 4 21 22 4" xfId="25373"/>
    <cellStyle name="40% - 强调文字颜色 4 21 22 5" xfId="28611"/>
    <cellStyle name="40% - 强调文字颜色 4 21 23" xfId="4193"/>
    <cellStyle name="40% - 强调文字颜色 4 21 23 2" xfId="9525"/>
    <cellStyle name="40% - 强调文字颜色 4 21 23 3" xfId="15877"/>
    <cellStyle name="40% - 强调文字颜色 4 21 23 4" xfId="25374"/>
    <cellStyle name="40% - 强调文字颜色 4 21 23 5" xfId="28612"/>
    <cellStyle name="40% - 强调文字颜色 4 21 24" xfId="6606"/>
    <cellStyle name="40% - 强调文字颜色 4 21 25" xfId="11036"/>
    <cellStyle name="40% - 强调文字颜色 4 21 26" xfId="12751"/>
    <cellStyle name="40% - 强调文字颜色 4 21 27" xfId="15862"/>
    <cellStyle name="40% - 强调文字颜色 4 21 28" xfId="10172"/>
    <cellStyle name="40% - 强调文字颜色 4 21 29" xfId="18916"/>
    <cellStyle name="40% - 强调文字颜色 4 21 3" xfId="4194"/>
    <cellStyle name="40% - 强调文字颜色 4 21 3 2" xfId="9526"/>
    <cellStyle name="40% - 强调文字颜色 4 21 3 3" xfId="15878"/>
    <cellStyle name="40% - 强调文字颜色 4 21 3 4" xfId="25375"/>
    <cellStyle name="40% - 强调文字颜色 4 21 3 5" xfId="28613"/>
    <cellStyle name="40% - 强调文字颜色 4 21 30" xfId="22146"/>
    <cellStyle name="40% - 强调文字颜色 4 21 31" xfId="20312"/>
    <cellStyle name="40% - 强调文字颜色 4 21 32" xfId="30639"/>
    <cellStyle name="40% - 强调文字颜色 4 21 33" xfId="31753"/>
    <cellStyle name="40% - 强调文字颜色 4 21 4" xfId="4195"/>
    <cellStyle name="40% - 强调文字颜色 4 21 4 2" xfId="9527"/>
    <cellStyle name="40% - 强调文字颜色 4 21 4 3" xfId="15879"/>
    <cellStyle name="40% - 强调文字颜色 4 21 4 4" xfId="25376"/>
    <cellStyle name="40% - 强调文字颜色 4 21 4 5" xfId="28614"/>
    <cellStyle name="40% - 强调文字颜色 4 21 5" xfId="4196"/>
    <cellStyle name="40% - 强调文字颜色 4 21 5 2" xfId="9528"/>
    <cellStyle name="40% - 强调文字颜色 4 21 5 3" xfId="15880"/>
    <cellStyle name="40% - 强调文字颜色 4 21 5 4" xfId="25377"/>
    <cellStyle name="40% - 强调文字颜色 4 21 5 5" xfId="28615"/>
    <cellStyle name="40% - 强调文字颜色 4 21 6" xfId="4197"/>
    <cellStyle name="40% - 强调文字颜色 4 21 6 2" xfId="9529"/>
    <cellStyle name="40% - 强调文字颜色 4 21 6 3" xfId="15881"/>
    <cellStyle name="40% - 强调文字颜色 4 21 6 4" xfId="25378"/>
    <cellStyle name="40% - 强调文字颜色 4 21 6 5" xfId="28616"/>
    <cellStyle name="40% - 强调文字颜色 4 21 7" xfId="4198"/>
    <cellStyle name="40% - 强调文字颜色 4 21 7 2" xfId="9530"/>
    <cellStyle name="40% - 强调文字颜色 4 21 7 3" xfId="15882"/>
    <cellStyle name="40% - 强调文字颜色 4 21 7 4" xfId="25379"/>
    <cellStyle name="40% - 强调文字颜色 4 21 7 5" xfId="28617"/>
    <cellStyle name="40% - 强调文字颜色 4 21 8" xfId="4199"/>
    <cellStyle name="40% - 强调文字颜色 4 21 8 2" xfId="9531"/>
    <cellStyle name="40% - 强调文字颜色 4 21 8 3" xfId="15883"/>
    <cellStyle name="40% - 强调文字颜色 4 21 8 4" xfId="25380"/>
    <cellStyle name="40% - 强调文字颜色 4 21 8 5" xfId="28618"/>
    <cellStyle name="40% - 强调文字颜色 4 21 9" xfId="4200"/>
    <cellStyle name="40% - 强调文字颜色 4 21 9 2" xfId="9532"/>
    <cellStyle name="40% - 强调文字颜色 4 21 9 3" xfId="15884"/>
    <cellStyle name="40% - 强调文字颜色 4 21 9 4" xfId="25381"/>
    <cellStyle name="40% - 强调文字颜色 4 21 9 5" xfId="28619"/>
    <cellStyle name="40% - 强调文字颜色 4 22" xfId="1062"/>
    <cellStyle name="40% - 强调文字颜色 4 22 10" xfId="4202"/>
    <cellStyle name="40% - 强调文字颜色 4 22 10 2" xfId="9533"/>
    <cellStyle name="40% - 强调文字颜色 4 22 10 3" xfId="15886"/>
    <cellStyle name="40% - 强调文字颜色 4 22 10 4" xfId="25382"/>
    <cellStyle name="40% - 强调文字颜色 4 22 10 5" xfId="28621"/>
    <cellStyle name="40% - 强调文字颜色 4 22 11" xfId="4203"/>
    <cellStyle name="40% - 强调文字颜色 4 22 11 2" xfId="9534"/>
    <cellStyle name="40% - 强调文字颜色 4 22 11 3" xfId="15887"/>
    <cellStyle name="40% - 强调文字颜色 4 22 11 4" xfId="25383"/>
    <cellStyle name="40% - 强调文字颜色 4 22 11 5" xfId="28622"/>
    <cellStyle name="40% - 强调文字颜色 4 22 12" xfId="4204"/>
    <cellStyle name="40% - 强调文字颜色 4 22 12 2" xfId="9535"/>
    <cellStyle name="40% - 强调文字颜色 4 22 12 3" xfId="15888"/>
    <cellStyle name="40% - 强调文字颜色 4 22 12 4" xfId="25384"/>
    <cellStyle name="40% - 强调文字颜色 4 22 12 5" xfId="28623"/>
    <cellStyle name="40% - 强调文字颜色 4 22 13" xfId="4205"/>
    <cellStyle name="40% - 强调文字颜色 4 22 13 2" xfId="9536"/>
    <cellStyle name="40% - 强调文字颜色 4 22 13 3" xfId="15889"/>
    <cellStyle name="40% - 强调文字颜色 4 22 13 4" xfId="25385"/>
    <cellStyle name="40% - 强调文字颜色 4 22 13 5" xfId="28624"/>
    <cellStyle name="40% - 强调文字颜色 4 22 14" xfId="4206"/>
    <cellStyle name="40% - 强调文字颜色 4 22 14 2" xfId="9537"/>
    <cellStyle name="40% - 强调文字颜色 4 22 14 3" xfId="15890"/>
    <cellStyle name="40% - 强调文字颜色 4 22 14 4" xfId="25386"/>
    <cellStyle name="40% - 强调文字颜色 4 22 14 5" xfId="28625"/>
    <cellStyle name="40% - 强调文字颜色 4 22 15" xfId="4207"/>
    <cellStyle name="40% - 强调文字颜色 4 22 15 2" xfId="9538"/>
    <cellStyle name="40% - 强调文字颜色 4 22 15 3" xfId="15891"/>
    <cellStyle name="40% - 强调文字颜色 4 22 15 4" xfId="25387"/>
    <cellStyle name="40% - 强调文字颜色 4 22 15 5" xfId="28626"/>
    <cellStyle name="40% - 强调文字颜色 4 22 16" xfId="4208"/>
    <cellStyle name="40% - 强调文字颜色 4 22 16 2" xfId="9539"/>
    <cellStyle name="40% - 强调文字颜色 4 22 16 3" xfId="15892"/>
    <cellStyle name="40% - 强调文字颜色 4 22 16 4" xfId="25388"/>
    <cellStyle name="40% - 强调文字颜色 4 22 16 5" xfId="28627"/>
    <cellStyle name="40% - 强调文字颜色 4 22 17" xfId="4209"/>
    <cellStyle name="40% - 强调文字颜色 4 22 17 2" xfId="9540"/>
    <cellStyle name="40% - 强调文字颜色 4 22 17 3" xfId="15893"/>
    <cellStyle name="40% - 强调文字颜色 4 22 17 4" xfId="25389"/>
    <cellStyle name="40% - 强调文字颜色 4 22 17 5" xfId="28628"/>
    <cellStyle name="40% - 强调文字颜色 4 22 18" xfId="4210"/>
    <cellStyle name="40% - 强调文字颜色 4 22 18 2" xfId="9541"/>
    <cellStyle name="40% - 强调文字颜色 4 22 18 3" xfId="15894"/>
    <cellStyle name="40% - 强调文字颜色 4 22 18 4" xfId="25390"/>
    <cellStyle name="40% - 强调文字颜色 4 22 18 5" xfId="28629"/>
    <cellStyle name="40% - 强调文字颜色 4 22 19" xfId="4211"/>
    <cellStyle name="40% - 强调文字颜色 4 22 19 2" xfId="9542"/>
    <cellStyle name="40% - 强调文字颜色 4 22 19 3" xfId="15895"/>
    <cellStyle name="40% - 强调文字颜色 4 22 19 4" xfId="25391"/>
    <cellStyle name="40% - 强调文字颜色 4 22 19 5" xfId="28630"/>
    <cellStyle name="40% - 强调文字颜色 4 22 2" xfId="4201"/>
    <cellStyle name="40% - 强调文字颜色 4 22 2 2" xfId="9543"/>
    <cellStyle name="40% - 强调文字颜色 4 22 2 3" xfId="15896"/>
    <cellStyle name="40% - 强调文字颜色 4 22 2 4" xfId="25392"/>
    <cellStyle name="40% - 强调文字颜色 4 22 2 5" xfId="28620"/>
    <cellStyle name="40% - 强调文字颜色 4 22 20" xfId="4213"/>
    <cellStyle name="40% - 强调文字颜色 4 22 20 2" xfId="9544"/>
    <cellStyle name="40% - 强调文字颜色 4 22 20 3" xfId="15897"/>
    <cellStyle name="40% - 强调文字颜色 4 22 20 4" xfId="25393"/>
    <cellStyle name="40% - 强调文字颜色 4 22 20 5" xfId="28631"/>
    <cellStyle name="40% - 强调文字颜色 4 22 21" xfId="4214"/>
    <cellStyle name="40% - 强调文字颜色 4 22 21 2" xfId="9545"/>
    <cellStyle name="40% - 强调文字颜色 4 22 21 3" xfId="15898"/>
    <cellStyle name="40% - 强调文字颜色 4 22 21 4" xfId="25394"/>
    <cellStyle name="40% - 强调文字颜色 4 22 21 5" xfId="28632"/>
    <cellStyle name="40% - 强调文字颜色 4 22 22" xfId="4215"/>
    <cellStyle name="40% - 强调文字颜色 4 22 22 2" xfId="9546"/>
    <cellStyle name="40% - 强调文字颜色 4 22 22 3" xfId="15899"/>
    <cellStyle name="40% - 强调文字颜色 4 22 22 4" xfId="25395"/>
    <cellStyle name="40% - 强调文字颜色 4 22 22 5" xfId="28633"/>
    <cellStyle name="40% - 强调文字颜色 4 22 23" xfId="4216"/>
    <cellStyle name="40% - 强调文字颜色 4 22 23 2" xfId="9547"/>
    <cellStyle name="40% - 强调文字颜色 4 22 23 3" xfId="15900"/>
    <cellStyle name="40% - 强调文字颜色 4 22 23 4" xfId="25396"/>
    <cellStyle name="40% - 强调文字颜色 4 22 23 5" xfId="28634"/>
    <cellStyle name="40% - 强调文字颜色 4 22 24" xfId="6607"/>
    <cellStyle name="40% - 强调文字颜色 4 22 25" xfId="11037"/>
    <cellStyle name="40% - 强调文字颜色 4 22 26" xfId="12752"/>
    <cellStyle name="40% - 强调文字颜色 4 22 27" xfId="15885"/>
    <cellStyle name="40% - 强调文字颜色 4 22 28" xfId="7705"/>
    <cellStyle name="40% - 强调文字颜色 4 22 29" xfId="18917"/>
    <cellStyle name="40% - 强调文字颜色 4 22 3" xfId="4217"/>
    <cellStyle name="40% - 强调文字颜色 4 22 3 2" xfId="9548"/>
    <cellStyle name="40% - 强调文字颜色 4 22 3 3" xfId="15901"/>
    <cellStyle name="40% - 强调文字颜色 4 22 3 4" xfId="25397"/>
    <cellStyle name="40% - 强调文字颜色 4 22 3 5" xfId="28635"/>
    <cellStyle name="40% - 强调文字颜色 4 22 30" xfId="21639"/>
    <cellStyle name="40% - 强调文字颜色 4 22 31" xfId="21072"/>
    <cellStyle name="40% - 强调文字颜色 4 22 32" xfId="30640"/>
    <cellStyle name="40% - 强调文字颜色 4 22 33" xfId="32219"/>
    <cellStyle name="40% - 强调文字颜色 4 22 4" xfId="4218"/>
    <cellStyle name="40% - 强调文字颜色 4 22 4 2" xfId="9549"/>
    <cellStyle name="40% - 强调文字颜色 4 22 4 3" xfId="15902"/>
    <cellStyle name="40% - 强调文字颜色 4 22 4 4" xfId="25398"/>
    <cellStyle name="40% - 强调文字颜色 4 22 4 5" xfId="28636"/>
    <cellStyle name="40% - 强调文字颜色 4 22 5" xfId="4219"/>
    <cellStyle name="40% - 强调文字颜色 4 22 5 2" xfId="9550"/>
    <cellStyle name="40% - 强调文字颜色 4 22 5 3" xfId="15903"/>
    <cellStyle name="40% - 强调文字颜色 4 22 5 4" xfId="25399"/>
    <cellStyle name="40% - 强调文字颜色 4 22 5 5" xfId="28637"/>
    <cellStyle name="40% - 强调文字颜色 4 22 6" xfId="4220"/>
    <cellStyle name="40% - 强调文字颜色 4 22 6 2" xfId="9551"/>
    <cellStyle name="40% - 强调文字颜色 4 22 6 3" xfId="15904"/>
    <cellStyle name="40% - 强调文字颜色 4 22 6 4" xfId="25400"/>
    <cellStyle name="40% - 强调文字颜色 4 22 6 5" xfId="28638"/>
    <cellStyle name="40% - 强调文字颜色 4 22 7" xfId="4221"/>
    <cellStyle name="40% - 强调文字颜色 4 22 7 2" xfId="9552"/>
    <cellStyle name="40% - 强调文字颜色 4 22 7 3" xfId="15905"/>
    <cellStyle name="40% - 强调文字颜色 4 22 7 4" xfId="25401"/>
    <cellStyle name="40% - 强调文字颜色 4 22 7 5" xfId="28639"/>
    <cellStyle name="40% - 强调文字颜色 4 22 8" xfId="4222"/>
    <cellStyle name="40% - 强调文字颜色 4 22 8 2" xfId="9553"/>
    <cellStyle name="40% - 强调文字颜色 4 22 8 3" xfId="15906"/>
    <cellStyle name="40% - 强调文字颜色 4 22 8 4" xfId="25402"/>
    <cellStyle name="40% - 强调文字颜色 4 22 8 5" xfId="28640"/>
    <cellStyle name="40% - 强调文字颜色 4 22 9" xfId="4223"/>
    <cellStyle name="40% - 强调文字颜色 4 22 9 2" xfId="9554"/>
    <cellStyle name="40% - 强调文字颜色 4 22 9 3" xfId="15907"/>
    <cellStyle name="40% - 强调文字颜色 4 22 9 4" xfId="25403"/>
    <cellStyle name="40% - 强调文字颜色 4 22 9 5" xfId="28641"/>
    <cellStyle name="40% - 强调文字颜色 4 23" xfId="1063"/>
    <cellStyle name="40% - 强调文字颜色 4 23 10" xfId="4225"/>
    <cellStyle name="40% - 强调文字颜色 4 23 10 2" xfId="9555"/>
    <cellStyle name="40% - 强调文字颜色 4 23 10 3" xfId="15909"/>
    <cellStyle name="40% - 强调文字颜色 4 23 10 4" xfId="25404"/>
    <cellStyle name="40% - 强调文字颜色 4 23 10 5" xfId="28643"/>
    <cellStyle name="40% - 强调文字颜色 4 23 11" xfId="4226"/>
    <cellStyle name="40% - 强调文字颜色 4 23 11 2" xfId="9556"/>
    <cellStyle name="40% - 强调文字颜色 4 23 11 3" xfId="15910"/>
    <cellStyle name="40% - 强调文字颜色 4 23 11 4" xfId="25405"/>
    <cellStyle name="40% - 强调文字颜色 4 23 11 5" xfId="28644"/>
    <cellStyle name="40% - 强调文字颜色 4 23 12" xfId="4227"/>
    <cellStyle name="40% - 强调文字颜色 4 23 12 2" xfId="9557"/>
    <cellStyle name="40% - 强调文字颜色 4 23 12 3" xfId="15911"/>
    <cellStyle name="40% - 强调文字颜色 4 23 12 4" xfId="25406"/>
    <cellStyle name="40% - 强调文字颜色 4 23 12 5" xfId="28645"/>
    <cellStyle name="40% - 强调文字颜色 4 23 13" xfId="4228"/>
    <cellStyle name="40% - 强调文字颜色 4 23 13 2" xfId="9558"/>
    <cellStyle name="40% - 强调文字颜色 4 23 13 3" xfId="15912"/>
    <cellStyle name="40% - 强调文字颜色 4 23 13 4" xfId="25407"/>
    <cellStyle name="40% - 强调文字颜色 4 23 13 5" xfId="28646"/>
    <cellStyle name="40% - 强调文字颜色 4 23 14" xfId="4229"/>
    <cellStyle name="40% - 强调文字颜色 4 23 14 2" xfId="9559"/>
    <cellStyle name="40% - 强调文字颜色 4 23 14 3" xfId="15913"/>
    <cellStyle name="40% - 强调文字颜色 4 23 14 4" xfId="25408"/>
    <cellStyle name="40% - 强调文字颜色 4 23 14 5" xfId="28647"/>
    <cellStyle name="40% - 强调文字颜色 4 23 15" xfId="4230"/>
    <cellStyle name="40% - 强调文字颜色 4 23 15 2" xfId="9560"/>
    <cellStyle name="40% - 强调文字颜色 4 23 15 3" xfId="15914"/>
    <cellStyle name="40% - 强调文字颜色 4 23 15 4" xfId="25409"/>
    <cellStyle name="40% - 强调文字颜色 4 23 15 5" xfId="28648"/>
    <cellStyle name="40% - 强调文字颜色 4 23 16" xfId="4231"/>
    <cellStyle name="40% - 强调文字颜色 4 23 16 2" xfId="9561"/>
    <cellStyle name="40% - 强调文字颜色 4 23 16 3" xfId="15915"/>
    <cellStyle name="40% - 强调文字颜色 4 23 16 4" xfId="25410"/>
    <cellStyle name="40% - 强调文字颜色 4 23 16 5" xfId="28649"/>
    <cellStyle name="40% - 强调文字颜色 4 23 17" xfId="4232"/>
    <cellStyle name="40% - 强调文字颜色 4 23 17 2" xfId="9562"/>
    <cellStyle name="40% - 强调文字颜色 4 23 17 3" xfId="15916"/>
    <cellStyle name="40% - 强调文字颜色 4 23 17 4" xfId="25411"/>
    <cellStyle name="40% - 强调文字颜色 4 23 17 5" xfId="28650"/>
    <cellStyle name="40% - 强调文字颜色 4 23 18" xfId="4233"/>
    <cellStyle name="40% - 强调文字颜色 4 23 18 2" xfId="9563"/>
    <cellStyle name="40% - 强调文字颜色 4 23 18 3" xfId="15917"/>
    <cellStyle name="40% - 强调文字颜色 4 23 18 4" xfId="25412"/>
    <cellStyle name="40% - 强调文字颜色 4 23 18 5" xfId="28651"/>
    <cellStyle name="40% - 强调文字颜色 4 23 19" xfId="4234"/>
    <cellStyle name="40% - 强调文字颜色 4 23 19 2" xfId="9564"/>
    <cellStyle name="40% - 强调文字颜色 4 23 19 3" xfId="15918"/>
    <cellStyle name="40% - 强调文字颜色 4 23 19 4" xfId="25413"/>
    <cellStyle name="40% - 强调文字颜色 4 23 19 5" xfId="28652"/>
    <cellStyle name="40% - 强调文字颜色 4 23 2" xfId="4224"/>
    <cellStyle name="40% - 强调文字颜色 4 23 2 2" xfId="9565"/>
    <cellStyle name="40% - 强调文字颜色 4 23 2 3" xfId="15919"/>
    <cellStyle name="40% - 强调文字颜色 4 23 2 4" xfId="25414"/>
    <cellStyle name="40% - 强调文字颜色 4 23 2 5" xfId="28642"/>
    <cellStyle name="40% - 强调文字颜色 4 23 20" xfId="4236"/>
    <cellStyle name="40% - 强调文字颜色 4 23 20 2" xfId="9566"/>
    <cellStyle name="40% - 强调文字颜色 4 23 20 3" xfId="15920"/>
    <cellStyle name="40% - 强调文字颜色 4 23 20 4" xfId="25415"/>
    <cellStyle name="40% - 强调文字颜色 4 23 20 5" xfId="28653"/>
    <cellStyle name="40% - 强调文字颜色 4 23 21" xfId="4237"/>
    <cellStyle name="40% - 强调文字颜色 4 23 21 2" xfId="9567"/>
    <cellStyle name="40% - 强调文字颜色 4 23 21 3" xfId="15921"/>
    <cellStyle name="40% - 强调文字颜色 4 23 21 4" xfId="25416"/>
    <cellStyle name="40% - 强调文字颜色 4 23 21 5" xfId="28654"/>
    <cellStyle name="40% - 强调文字颜色 4 23 22" xfId="4238"/>
    <cellStyle name="40% - 强调文字颜色 4 23 22 2" xfId="9568"/>
    <cellStyle name="40% - 强调文字颜色 4 23 22 3" xfId="15922"/>
    <cellStyle name="40% - 强调文字颜色 4 23 22 4" xfId="25417"/>
    <cellStyle name="40% - 强调文字颜色 4 23 22 5" xfId="28655"/>
    <cellStyle name="40% - 强调文字颜色 4 23 23" xfId="4239"/>
    <cellStyle name="40% - 强调文字颜色 4 23 23 2" xfId="9569"/>
    <cellStyle name="40% - 强调文字颜色 4 23 23 3" xfId="15923"/>
    <cellStyle name="40% - 强调文字颜色 4 23 23 4" xfId="25418"/>
    <cellStyle name="40% - 强调文字颜色 4 23 23 5" xfId="28656"/>
    <cellStyle name="40% - 强调文字颜色 4 23 24" xfId="6608"/>
    <cellStyle name="40% - 强调文字颜色 4 23 25" xfId="11038"/>
    <cellStyle name="40% - 强调文字颜色 4 23 26" xfId="12753"/>
    <cellStyle name="40% - 强调文字颜色 4 23 27" xfId="15908"/>
    <cellStyle name="40% - 强调文字颜色 4 23 28" xfId="11307"/>
    <cellStyle name="40% - 强调文字颜色 4 23 29" xfId="18918"/>
    <cellStyle name="40% - 强调文字颜色 4 23 3" xfId="4240"/>
    <cellStyle name="40% - 强调文字颜色 4 23 3 2" xfId="9570"/>
    <cellStyle name="40% - 强调文字颜色 4 23 3 3" xfId="15924"/>
    <cellStyle name="40% - 强调文字颜色 4 23 3 4" xfId="25419"/>
    <cellStyle name="40% - 强调文字颜色 4 23 3 5" xfId="28657"/>
    <cellStyle name="40% - 强调文字颜色 4 23 30" xfId="23128"/>
    <cellStyle name="40% - 强调文字颜色 4 23 31" xfId="20826"/>
    <cellStyle name="40% - 强调文字颜色 4 23 32" xfId="30641"/>
    <cellStyle name="40% - 强调文字颜色 4 23 33" xfId="32699"/>
    <cellStyle name="40% - 强调文字颜色 4 23 4" xfId="4241"/>
    <cellStyle name="40% - 强调文字颜色 4 23 4 2" xfId="9571"/>
    <cellStyle name="40% - 强调文字颜色 4 23 4 3" xfId="15925"/>
    <cellStyle name="40% - 强调文字颜色 4 23 4 4" xfId="25420"/>
    <cellStyle name="40% - 强调文字颜色 4 23 4 5" xfId="28658"/>
    <cellStyle name="40% - 强调文字颜色 4 23 5" xfId="4242"/>
    <cellStyle name="40% - 强调文字颜色 4 23 5 2" xfId="9572"/>
    <cellStyle name="40% - 强调文字颜色 4 23 5 3" xfId="15926"/>
    <cellStyle name="40% - 强调文字颜色 4 23 5 4" xfId="25421"/>
    <cellStyle name="40% - 强调文字颜色 4 23 5 5" xfId="28659"/>
    <cellStyle name="40% - 强调文字颜色 4 23 6" xfId="4243"/>
    <cellStyle name="40% - 强调文字颜色 4 23 6 2" xfId="9573"/>
    <cellStyle name="40% - 强调文字颜色 4 23 6 3" xfId="15927"/>
    <cellStyle name="40% - 强调文字颜色 4 23 6 4" xfId="25422"/>
    <cellStyle name="40% - 强调文字颜色 4 23 6 5" xfId="28660"/>
    <cellStyle name="40% - 强调文字颜色 4 23 7" xfId="4244"/>
    <cellStyle name="40% - 强调文字颜色 4 23 7 2" xfId="9574"/>
    <cellStyle name="40% - 强调文字颜色 4 23 7 3" xfId="15928"/>
    <cellStyle name="40% - 强调文字颜色 4 23 7 4" xfId="25423"/>
    <cellStyle name="40% - 强调文字颜色 4 23 7 5" xfId="28661"/>
    <cellStyle name="40% - 强调文字颜色 4 23 8" xfId="4245"/>
    <cellStyle name="40% - 强调文字颜色 4 23 8 2" xfId="9575"/>
    <cellStyle name="40% - 强调文字颜色 4 23 8 3" xfId="15929"/>
    <cellStyle name="40% - 强调文字颜色 4 23 8 4" xfId="25424"/>
    <cellStyle name="40% - 强调文字颜色 4 23 8 5" xfId="28662"/>
    <cellStyle name="40% - 强调文字颜色 4 23 9" xfId="4246"/>
    <cellStyle name="40% - 强调文字颜色 4 23 9 2" xfId="9576"/>
    <cellStyle name="40% - 强调文字颜色 4 23 9 3" xfId="15930"/>
    <cellStyle name="40% - 强调文字颜色 4 23 9 4" xfId="25425"/>
    <cellStyle name="40% - 强调文字颜色 4 23 9 5" xfId="28663"/>
    <cellStyle name="40% - 强调文字颜色 4 24" xfId="4100"/>
    <cellStyle name="40% - 强调文字颜色 4 24 2" xfId="4247"/>
    <cellStyle name="40% - 强调文字颜色 4 24 3" xfId="7397"/>
    <cellStyle name="40% - 强调文字颜色 4 24 4" xfId="15931"/>
    <cellStyle name="40% - 强调文字颜色 4 24 5" xfId="7391"/>
    <cellStyle name="40% - 强调文字颜色 4 24 6" xfId="26813"/>
    <cellStyle name="40% - 强调文字颜色 4 24 7" xfId="28554"/>
    <cellStyle name="40% - 强调文字颜色 4 25" xfId="4248"/>
    <cellStyle name="40% - 强调文字颜色 4 25 2" xfId="9577"/>
    <cellStyle name="40% - 强调文字颜色 4 25 3" xfId="15932"/>
    <cellStyle name="40% - 强调文字颜色 4 25 4" xfId="25426"/>
    <cellStyle name="40% - 强调文字颜色 4 25 5" xfId="26587"/>
    <cellStyle name="40% - 强调文字颜色 4 25 6" xfId="26814"/>
    <cellStyle name="40% - 强调文字颜色 4 25 7" xfId="28664"/>
    <cellStyle name="40% - 强调文字颜色 4 26" xfId="4249"/>
    <cellStyle name="40% - 强调文字颜色 4 26 2" xfId="9578"/>
    <cellStyle name="40% - 强调文字颜色 4 26 3" xfId="15933"/>
    <cellStyle name="40% - 强调文字颜色 4 26 4" xfId="25427"/>
    <cellStyle name="40% - 强调文字颜色 4 26 5" xfId="26588"/>
    <cellStyle name="40% - 强调文字颜色 4 26 6" xfId="26815"/>
    <cellStyle name="40% - 强调文字颜色 4 26 7" xfId="28665"/>
    <cellStyle name="40% - 强调文字颜色 4 27" xfId="4250"/>
    <cellStyle name="40% - 强调文字颜色 4 27 2" xfId="9579"/>
    <cellStyle name="40% - 强调文字颜色 4 27 3" xfId="15934"/>
    <cellStyle name="40% - 强调文字颜色 4 27 4" xfId="25428"/>
    <cellStyle name="40% - 强调文字颜色 4 27 5" xfId="26816"/>
    <cellStyle name="40% - 强调文字颜色 4 27 6" xfId="28666"/>
    <cellStyle name="40% - 强调文字颜色 4 28" xfId="4251"/>
    <cellStyle name="40% - 强调文字颜色 4 28 2" xfId="9580"/>
    <cellStyle name="40% - 强调文字颜色 4 28 3" xfId="15935"/>
    <cellStyle name="40% - 强调文字颜色 4 28 4" xfId="25429"/>
    <cellStyle name="40% - 强调文字颜色 4 28 5" xfId="26817"/>
    <cellStyle name="40% - 强调文字颜色 4 28 6" xfId="28667"/>
    <cellStyle name="40% - 强调文字颜色 4 29" xfId="4252"/>
    <cellStyle name="40% - 强调文字颜色 4 29 2" xfId="9581"/>
    <cellStyle name="40% - 强调文字颜色 4 29 3" xfId="15936"/>
    <cellStyle name="40% - 强调文字颜色 4 29 4" xfId="25430"/>
    <cellStyle name="40% - 强调文字颜色 4 29 5" xfId="26818"/>
    <cellStyle name="40% - 强调文字颜色 4 29 6" xfId="28668"/>
    <cellStyle name="40% - 强调文字颜色 4 3" xfId="1064"/>
    <cellStyle name="40% - 强调文字颜色 4 3 10" xfId="1065"/>
    <cellStyle name="40% - 强调文字颜色 4 3 10 10" xfId="30643"/>
    <cellStyle name="40% - 强调文字颜色 4 3 10 11" xfId="32698"/>
    <cellStyle name="40% - 强调文字颜色 4 3 10 2" xfId="4254"/>
    <cellStyle name="40% - 强调文字颜色 4 3 10 3" xfId="6610"/>
    <cellStyle name="40% - 强调文字颜色 4 3 10 4" xfId="12755"/>
    <cellStyle name="40% - 强调文字颜色 4 3 10 5" xfId="15938"/>
    <cellStyle name="40% - 强调文字颜色 4 3 10 6" xfId="10170"/>
    <cellStyle name="40% - 强调文字颜色 4 3 10 7" xfId="18920"/>
    <cellStyle name="40% - 强调文字颜色 4 3 10 8" xfId="21638"/>
    <cellStyle name="40% - 强调文字颜色 4 3 10 9" xfId="19851"/>
    <cellStyle name="40% - 强调文字颜色 4 3 11" xfId="1066"/>
    <cellStyle name="40% - 强调文字颜色 4 3 11 10" xfId="30644"/>
    <cellStyle name="40% - 强调文字颜色 4 3 11 11" xfId="32454"/>
    <cellStyle name="40% - 强调文字颜色 4 3 11 2" xfId="4255"/>
    <cellStyle name="40% - 强调文字颜色 4 3 11 3" xfId="6611"/>
    <cellStyle name="40% - 强调文字颜色 4 3 11 4" xfId="12756"/>
    <cellStyle name="40% - 强调文字颜色 4 3 11 5" xfId="15939"/>
    <cellStyle name="40% - 强调文字颜色 4 3 11 6" xfId="11304"/>
    <cellStyle name="40% - 强调文字颜色 4 3 11 7" xfId="18921"/>
    <cellStyle name="40% - 强调文字颜色 4 3 11 8" xfId="23127"/>
    <cellStyle name="40% - 强调文字颜色 4 3 11 9" xfId="21071"/>
    <cellStyle name="40% - 强调文字颜色 4 3 12" xfId="1067"/>
    <cellStyle name="40% - 强调文字颜色 4 3 12 10" xfId="30645"/>
    <cellStyle name="40% - 强调文字颜色 4 3 12 11" xfId="32218"/>
    <cellStyle name="40% - 强调文字颜色 4 3 12 2" xfId="4256"/>
    <cellStyle name="40% - 强调文字颜色 4 3 12 3" xfId="6612"/>
    <cellStyle name="40% - 强调文字颜色 4 3 12 4" xfId="12757"/>
    <cellStyle name="40% - 强调文字颜色 4 3 12 5" xfId="15940"/>
    <cellStyle name="40% - 强调文字颜色 4 3 12 6" xfId="10169"/>
    <cellStyle name="40% - 强调文字颜色 4 3 12 7" xfId="18922"/>
    <cellStyle name="40% - 强调文字颜色 4 3 12 8" xfId="22144"/>
    <cellStyle name="40% - 强调文字颜色 4 3 12 9" xfId="20506"/>
    <cellStyle name="40% - 强调文字颜色 4 3 13" xfId="1068"/>
    <cellStyle name="40% - 强调文字颜色 4 3 13 10" xfId="30646"/>
    <cellStyle name="40% - 强调文字颜色 4 3 13 11" xfId="31752"/>
    <cellStyle name="40% - 强调文字颜色 4 3 13 2" xfId="4257"/>
    <cellStyle name="40% - 强调文字颜色 4 3 13 3" xfId="6613"/>
    <cellStyle name="40% - 强调文字颜色 4 3 13 4" xfId="12758"/>
    <cellStyle name="40% - 强调文字颜色 4 3 13 5" xfId="15941"/>
    <cellStyle name="40% - 强调文字颜色 4 3 13 6" xfId="11303"/>
    <cellStyle name="40% - 强调文字颜色 4 3 13 7" xfId="18923"/>
    <cellStyle name="40% - 强调文字颜色 4 3 13 8" xfId="21637"/>
    <cellStyle name="40% - 强调文字颜色 4 3 13 9" xfId="19850"/>
    <cellStyle name="40% - 强调文字颜色 4 3 14" xfId="1069"/>
    <cellStyle name="40% - 强调文字颜色 4 3 14 10" xfId="30647"/>
    <cellStyle name="40% - 强调文字颜色 4 3 14 11" xfId="33352"/>
    <cellStyle name="40% - 强调文字颜色 4 3 14 2" xfId="4258"/>
    <cellStyle name="40% - 强调文字颜色 4 3 14 3" xfId="6614"/>
    <cellStyle name="40% - 强调文字颜色 4 3 14 4" xfId="12759"/>
    <cellStyle name="40% - 强调文字颜色 4 3 14 5" xfId="15942"/>
    <cellStyle name="40% - 强调文字颜色 4 3 14 6" xfId="10168"/>
    <cellStyle name="40% - 强调文字颜色 4 3 14 7" xfId="18924"/>
    <cellStyle name="40% - 强调文字颜色 4 3 14 8" xfId="23126"/>
    <cellStyle name="40% - 强调文字颜色 4 3 14 9" xfId="21070"/>
    <cellStyle name="40% - 强调文字颜色 4 3 15" xfId="1070"/>
    <cellStyle name="40% - 强调文字颜色 4 3 15 10" xfId="30648"/>
    <cellStyle name="40% - 强调文字颜色 4 3 15 11" xfId="33102"/>
    <cellStyle name="40% - 强调文字颜色 4 3 15 2" xfId="4259"/>
    <cellStyle name="40% - 强调文字颜色 4 3 15 3" xfId="6615"/>
    <cellStyle name="40% - 强调文字颜色 4 3 15 4" xfId="12760"/>
    <cellStyle name="40% - 强调文字颜色 4 3 15 5" xfId="15943"/>
    <cellStyle name="40% - 强调文字颜色 4 3 15 6" xfId="11302"/>
    <cellStyle name="40% - 强调文字颜色 4 3 15 7" xfId="18925"/>
    <cellStyle name="40% - 强调文字颜色 4 3 15 8" xfId="22143"/>
    <cellStyle name="40% - 强调文字颜色 4 3 15 9" xfId="20505"/>
    <cellStyle name="40% - 强调文字颜色 4 3 16" xfId="1071"/>
    <cellStyle name="40% - 强调文字颜色 4 3 16 10" xfId="30649"/>
    <cellStyle name="40% - 强调文字颜色 4 3 16 11" xfId="32697"/>
    <cellStyle name="40% - 强调文字颜色 4 3 16 2" xfId="4260"/>
    <cellStyle name="40% - 强调文字颜色 4 3 16 3" xfId="6616"/>
    <cellStyle name="40% - 强调文字颜色 4 3 16 4" xfId="12761"/>
    <cellStyle name="40% - 强调文字颜色 4 3 16 5" xfId="15944"/>
    <cellStyle name="40% - 强调文字颜色 4 3 16 6" xfId="10167"/>
    <cellStyle name="40% - 强调文字颜色 4 3 16 7" xfId="18926"/>
    <cellStyle name="40% - 强调文字颜色 4 3 16 8" xfId="21636"/>
    <cellStyle name="40% - 强调文字颜色 4 3 16 9" xfId="19849"/>
    <cellStyle name="40% - 强调文字颜色 4 3 17" xfId="1072"/>
    <cellStyle name="40% - 强调文字颜色 4 3 17 10" xfId="30650"/>
    <cellStyle name="40% - 强调文字颜色 4 3 17 11" xfId="32453"/>
    <cellStyle name="40% - 强调文字颜色 4 3 17 2" xfId="4261"/>
    <cellStyle name="40% - 强调文字颜色 4 3 17 3" xfId="6617"/>
    <cellStyle name="40% - 强调文字颜色 4 3 17 4" xfId="12762"/>
    <cellStyle name="40% - 强调文字颜色 4 3 17 5" xfId="15945"/>
    <cellStyle name="40% - 强调文字颜色 4 3 17 6" xfId="11297"/>
    <cellStyle name="40% - 强调文字颜色 4 3 17 7" xfId="18927"/>
    <cellStyle name="40% - 强调文字颜色 4 3 17 8" xfId="23116"/>
    <cellStyle name="40% - 强调文字颜色 4 3 17 9" xfId="21069"/>
    <cellStyle name="40% - 强调文字颜色 4 3 18" xfId="1073"/>
    <cellStyle name="40% - 强调文字颜色 4 3 18 10" xfId="30651"/>
    <cellStyle name="40% - 强调文字颜色 4 3 18 11" xfId="32217"/>
    <cellStyle name="40% - 强调文字颜色 4 3 18 2" xfId="4262"/>
    <cellStyle name="40% - 强调文字颜色 4 3 18 3" xfId="6618"/>
    <cellStyle name="40% - 强调文字颜色 4 3 18 4" xfId="12763"/>
    <cellStyle name="40% - 强调文字颜色 4 3 18 5" xfId="15946"/>
    <cellStyle name="40% - 强调文字颜色 4 3 18 6" xfId="10162"/>
    <cellStyle name="40% - 强调文字颜色 4 3 18 7" xfId="18928"/>
    <cellStyle name="40% - 强调文字颜色 4 3 18 8" xfId="22834"/>
    <cellStyle name="40% - 强调文字颜色 4 3 18 9" xfId="20504"/>
    <cellStyle name="40% - 强调文字颜色 4 3 19" xfId="1074"/>
    <cellStyle name="40% - 强调文字颜色 4 3 19 10" xfId="30652"/>
    <cellStyle name="40% - 强调文字颜色 4 3 19 11" xfId="31751"/>
    <cellStyle name="40% - 强调文字颜色 4 3 19 2" xfId="4263"/>
    <cellStyle name="40% - 强调文字颜色 4 3 19 3" xfId="6619"/>
    <cellStyle name="40% - 强调文字颜色 4 3 19 4" xfId="12764"/>
    <cellStyle name="40% - 强调文字颜色 4 3 19 5" xfId="15947"/>
    <cellStyle name="40% - 强调文字颜色 4 3 19 6" xfId="11299"/>
    <cellStyle name="40% - 强调文字颜色 4 3 19 7" xfId="18929"/>
    <cellStyle name="40% - 强调文字颜色 4 3 19 8" xfId="23125"/>
    <cellStyle name="40% - 强调文字颜色 4 3 19 9" xfId="19848"/>
    <cellStyle name="40% - 强调文字颜色 4 3 2" xfId="1075"/>
    <cellStyle name="40% - 强调文字颜色 4 3 2 10" xfId="30653"/>
    <cellStyle name="40% - 强调文字颜色 4 3 2 11" xfId="33351"/>
    <cellStyle name="40% - 强调文字颜色 4 3 2 2" xfId="4264"/>
    <cellStyle name="40% - 强调文字颜色 4 3 2 3" xfId="6620"/>
    <cellStyle name="40% - 强调文字颜色 4 3 2 4" xfId="12765"/>
    <cellStyle name="40% - 强调文字颜色 4 3 2 5" xfId="15948"/>
    <cellStyle name="40% - 强调文字颜色 4 3 2 6" xfId="10164"/>
    <cellStyle name="40% - 强调文字颜色 4 3 2 7" xfId="18930"/>
    <cellStyle name="40% - 强调文字颜色 4 3 2 8" xfId="22142"/>
    <cellStyle name="40% - 强调文字颜色 4 3 2 9" xfId="21068"/>
    <cellStyle name="40% - 强调文字颜色 4 3 20" xfId="4253"/>
    <cellStyle name="40% - 强调文字颜色 4 3 20 2" xfId="9582"/>
    <cellStyle name="40% - 强调文字颜色 4 3 20 3" xfId="15949"/>
    <cellStyle name="40% - 强调文字颜色 4 3 20 4" xfId="25431"/>
    <cellStyle name="40% - 强调文字颜色 4 3 20 5" xfId="26819"/>
    <cellStyle name="40% - 强调文字颜色 4 3 20 6" xfId="28669"/>
    <cellStyle name="40% - 强调文字颜色 4 3 21" xfId="4266"/>
    <cellStyle name="40% - 强调文字颜色 4 3 21 2" xfId="9583"/>
    <cellStyle name="40% - 强调文字颜色 4 3 21 3" xfId="15950"/>
    <cellStyle name="40% - 强调文字颜色 4 3 21 4" xfId="25432"/>
    <cellStyle name="40% - 强调文字颜色 4 3 21 5" xfId="26820"/>
    <cellStyle name="40% - 强调文字颜色 4 3 21 6" xfId="28670"/>
    <cellStyle name="40% - 强调文字颜色 4 3 22" xfId="4267"/>
    <cellStyle name="40% - 强调文字颜色 4 3 22 2" xfId="9584"/>
    <cellStyle name="40% - 强调文字颜色 4 3 22 3" xfId="15951"/>
    <cellStyle name="40% - 强调文字颜色 4 3 22 4" xfId="25433"/>
    <cellStyle name="40% - 强调文字颜色 4 3 22 5" xfId="26821"/>
    <cellStyle name="40% - 强调文字颜色 4 3 22 6" xfId="28671"/>
    <cellStyle name="40% - 强调文字颜色 4 3 23" xfId="4268"/>
    <cellStyle name="40% - 强调文字颜色 4 3 23 2" xfId="9585"/>
    <cellStyle name="40% - 强调文字颜色 4 3 23 3" xfId="15952"/>
    <cellStyle name="40% - 强调文字颜色 4 3 23 4" xfId="25434"/>
    <cellStyle name="40% - 强调文字颜色 4 3 23 5" xfId="26822"/>
    <cellStyle name="40% - 强调文字颜色 4 3 23 6" xfId="28672"/>
    <cellStyle name="40% - 强调文字颜色 4 3 24" xfId="4269"/>
    <cellStyle name="40% - 强调文字颜色 4 3 24 2" xfId="9586"/>
    <cellStyle name="40% - 强调文字颜色 4 3 24 3" xfId="15953"/>
    <cellStyle name="40% - 强调文字颜色 4 3 24 4" xfId="25435"/>
    <cellStyle name="40% - 强调文字颜色 4 3 24 5" xfId="26823"/>
    <cellStyle name="40% - 强调文字颜色 4 3 24 6" xfId="28673"/>
    <cellStyle name="40% - 强调文字颜色 4 3 25" xfId="4270"/>
    <cellStyle name="40% - 强调文字颜色 4 3 25 2" xfId="9587"/>
    <cellStyle name="40% - 强调文字颜色 4 3 25 3" xfId="15954"/>
    <cellStyle name="40% - 强调文字颜色 4 3 25 4" xfId="25436"/>
    <cellStyle name="40% - 强调文字颜色 4 3 25 5" xfId="26824"/>
    <cellStyle name="40% - 强调文字颜色 4 3 25 6" xfId="28674"/>
    <cellStyle name="40% - 强调文字颜色 4 3 26" xfId="4271"/>
    <cellStyle name="40% - 强调文字颜色 4 3 26 2" xfId="9588"/>
    <cellStyle name="40% - 强调文字颜色 4 3 26 3" xfId="15955"/>
    <cellStyle name="40% - 强调文字颜色 4 3 26 4" xfId="25437"/>
    <cellStyle name="40% - 强调文字颜色 4 3 26 5" xfId="26825"/>
    <cellStyle name="40% - 强调文字颜色 4 3 26 6" xfId="28675"/>
    <cellStyle name="40% - 强调文字颜色 4 3 27" xfId="4272"/>
    <cellStyle name="40% - 强调文字颜色 4 3 27 2" xfId="9589"/>
    <cellStyle name="40% - 强调文字颜色 4 3 27 3" xfId="15956"/>
    <cellStyle name="40% - 强调文字颜色 4 3 27 4" xfId="25438"/>
    <cellStyle name="40% - 强调文字颜色 4 3 27 5" xfId="26826"/>
    <cellStyle name="40% - 强调文字颜色 4 3 27 6" xfId="28676"/>
    <cellStyle name="40% - 强调文字颜色 4 3 28" xfId="4273"/>
    <cellStyle name="40% - 强调文字颜色 4 3 28 2" xfId="9590"/>
    <cellStyle name="40% - 强调文字颜色 4 3 28 3" xfId="15957"/>
    <cellStyle name="40% - 强调文字颜色 4 3 28 4" xfId="25439"/>
    <cellStyle name="40% - 强调文字颜色 4 3 28 5" xfId="26827"/>
    <cellStyle name="40% - 强调文字颜色 4 3 28 6" xfId="28677"/>
    <cellStyle name="40% - 强调文字颜色 4 3 29" xfId="4274"/>
    <cellStyle name="40% - 强调文字颜色 4 3 29 2" xfId="9591"/>
    <cellStyle name="40% - 强调文字颜色 4 3 29 3" xfId="15958"/>
    <cellStyle name="40% - 强调文字颜色 4 3 29 4" xfId="25440"/>
    <cellStyle name="40% - 强调文字颜色 4 3 29 5" xfId="28678"/>
    <cellStyle name="40% - 强调文字颜色 4 3 3" xfId="1076"/>
    <cellStyle name="40% - 强调文字颜色 4 3 3 10" xfId="30654"/>
    <cellStyle name="40% - 强调文字颜色 4 3 3 11" xfId="32216"/>
    <cellStyle name="40% - 强调文字颜色 4 3 3 2" xfId="4275"/>
    <cellStyle name="40% - 强调文字颜色 4 3 3 3" xfId="6621"/>
    <cellStyle name="40% - 强调文字颜色 4 3 3 4" xfId="12766"/>
    <cellStyle name="40% - 强调文字颜色 4 3 3 5" xfId="15959"/>
    <cellStyle name="40% - 强调文字颜色 4 3 3 6" xfId="11298"/>
    <cellStyle name="40% - 强调文字颜色 4 3 3 7" xfId="18931"/>
    <cellStyle name="40% - 强调文字颜色 4 3 3 8" xfId="21627"/>
    <cellStyle name="40% - 强调文字颜色 4 3 3 9" xfId="20503"/>
    <cellStyle name="40% - 强调文字颜色 4 3 30" xfId="4276"/>
    <cellStyle name="40% - 强调文字颜色 4 3 30 2" xfId="9592"/>
    <cellStyle name="40% - 强调文字颜色 4 3 30 3" xfId="15960"/>
    <cellStyle name="40% - 强调文字颜色 4 3 30 4" xfId="25441"/>
    <cellStyle name="40% - 强调文字颜色 4 3 30 5" xfId="28679"/>
    <cellStyle name="40% - 强调文字颜色 4 3 31" xfId="4277"/>
    <cellStyle name="40% - 强调文字颜色 4 3 31 2" xfId="9593"/>
    <cellStyle name="40% - 强调文字颜色 4 3 31 3" xfId="15961"/>
    <cellStyle name="40% - 强调文字颜色 4 3 31 4" xfId="25442"/>
    <cellStyle name="40% - 强调文字颜色 4 3 31 5" xfId="28680"/>
    <cellStyle name="40% - 强调文字颜色 4 3 32" xfId="4278"/>
    <cellStyle name="40% - 强调文字颜色 4 3 32 2" xfId="9594"/>
    <cellStyle name="40% - 强调文字颜色 4 3 32 3" xfId="15962"/>
    <cellStyle name="40% - 强调文字颜色 4 3 32 4" xfId="25443"/>
    <cellStyle name="40% - 强调文字颜色 4 3 32 5" xfId="28681"/>
    <cellStyle name="40% - 强调文字颜色 4 3 33" xfId="4279"/>
    <cellStyle name="40% - 强调文字颜色 4 3 33 2" xfId="9595"/>
    <cellStyle name="40% - 强调文字颜色 4 3 33 3" xfId="15963"/>
    <cellStyle name="40% - 强调文字颜色 4 3 33 4" xfId="25444"/>
    <cellStyle name="40% - 强调文字颜色 4 3 33 5" xfId="28682"/>
    <cellStyle name="40% - 强调文字颜色 4 3 34" xfId="4280"/>
    <cellStyle name="40% - 强调文字颜色 4 3 34 2" xfId="9596"/>
    <cellStyle name="40% - 强调文字颜色 4 3 34 3" xfId="15964"/>
    <cellStyle name="40% - 强调文字颜色 4 3 34 4" xfId="25445"/>
    <cellStyle name="40% - 强调文字颜色 4 3 34 5" xfId="28683"/>
    <cellStyle name="40% - 强调文字颜色 4 3 35" xfId="4281"/>
    <cellStyle name="40% - 强调文字颜色 4 3 35 2" xfId="9597"/>
    <cellStyle name="40% - 强调文字颜色 4 3 35 3" xfId="15965"/>
    <cellStyle name="40% - 强调文字颜色 4 3 35 4" xfId="25446"/>
    <cellStyle name="40% - 强调文字颜色 4 3 35 5" xfId="28684"/>
    <cellStyle name="40% - 强调文字颜色 4 3 36" xfId="4282"/>
    <cellStyle name="40% - 强调文字颜色 4 3 36 2" xfId="9598"/>
    <cellStyle name="40% - 强调文字颜色 4 3 36 3" xfId="15966"/>
    <cellStyle name="40% - 强调文字颜色 4 3 36 4" xfId="25447"/>
    <cellStyle name="40% - 强调文字颜色 4 3 36 5" xfId="28685"/>
    <cellStyle name="40% - 强调文字颜色 4 3 37" xfId="4283"/>
    <cellStyle name="40% - 强调文字颜色 4 3 37 2" xfId="9599"/>
    <cellStyle name="40% - 强调文字颜色 4 3 37 3" xfId="15967"/>
    <cellStyle name="40% - 强调文字颜色 4 3 37 4" xfId="25448"/>
    <cellStyle name="40% - 强调文字颜色 4 3 37 5" xfId="28686"/>
    <cellStyle name="40% - 强调文字颜色 4 3 38" xfId="4284"/>
    <cellStyle name="40% - 强调文字颜色 4 3 38 2" xfId="9600"/>
    <cellStyle name="40% - 强调文字颜色 4 3 38 3" xfId="15968"/>
    <cellStyle name="40% - 强调文字颜色 4 3 38 4" xfId="25449"/>
    <cellStyle name="40% - 强调文字颜色 4 3 38 5" xfId="28687"/>
    <cellStyle name="40% - 强调文字颜色 4 3 39" xfId="4285"/>
    <cellStyle name="40% - 强调文字颜色 4 3 39 2" xfId="9601"/>
    <cellStyle name="40% - 强调文字颜色 4 3 39 3" xfId="15969"/>
    <cellStyle name="40% - 强调文字颜色 4 3 39 4" xfId="25450"/>
    <cellStyle name="40% - 强调文字颜色 4 3 39 5" xfId="28688"/>
    <cellStyle name="40% - 强调文字颜色 4 3 4" xfId="1077"/>
    <cellStyle name="40% - 强调文字颜色 4 3 4 10" xfId="30655"/>
    <cellStyle name="40% - 强调文字颜色 4 3 4 11" xfId="32452"/>
    <cellStyle name="40% - 强调文字颜色 4 3 4 2" xfId="4286"/>
    <cellStyle name="40% - 强调文字颜色 4 3 4 3" xfId="6622"/>
    <cellStyle name="40% - 强调文字颜色 4 3 4 4" xfId="12767"/>
    <cellStyle name="40% - 强调文字颜色 4 3 4 5" xfId="15970"/>
    <cellStyle name="40% - 强调文字颜色 4 3 4 6" xfId="10163"/>
    <cellStyle name="40% - 强调文字颜色 4 3 4 7" xfId="18932"/>
    <cellStyle name="40% - 强调文字颜色 4 3 4 8" xfId="22616"/>
    <cellStyle name="40% - 强调文字颜色 4 3 4 9" xfId="19847"/>
    <cellStyle name="40% - 强调文字颜色 4 3 40" xfId="4287"/>
    <cellStyle name="40% - 强调文字颜色 4 3 40 2" xfId="9602"/>
    <cellStyle name="40% - 强调文字颜色 4 3 40 3" xfId="15971"/>
    <cellStyle name="40% - 强调文字颜色 4 3 40 4" xfId="25451"/>
    <cellStyle name="40% - 强调文字颜色 4 3 40 5" xfId="28689"/>
    <cellStyle name="40% - 强调文字颜色 4 3 41" xfId="4288"/>
    <cellStyle name="40% - 强调文字颜色 4 3 41 2" xfId="9603"/>
    <cellStyle name="40% - 强调文字颜色 4 3 41 3" xfId="15972"/>
    <cellStyle name="40% - 强调文字颜色 4 3 41 4" xfId="25452"/>
    <cellStyle name="40% - 强调文字颜色 4 3 41 5" xfId="28690"/>
    <cellStyle name="40% - 强调文字颜色 4 3 42" xfId="6609"/>
    <cellStyle name="40% - 强调文字颜色 4 3 42 2" xfId="23577"/>
    <cellStyle name="40% - 强调文字颜色 4 3 42 3" xfId="26162"/>
    <cellStyle name="40% - 强调文字颜色 4 3 43" xfId="11039"/>
    <cellStyle name="40% - 强调文字颜色 4 3 43 2" xfId="23795"/>
    <cellStyle name="40% - 强调文字颜色 4 3 43 3" xfId="26380"/>
    <cellStyle name="40% - 强调文字颜色 4 3 44" xfId="12754"/>
    <cellStyle name="40% - 强调文字颜色 4 3 44 2" xfId="23877"/>
    <cellStyle name="40% - 强调文字颜色 4 3 44 3" xfId="26462"/>
    <cellStyle name="40% - 强调文字颜色 4 3 45" xfId="15937"/>
    <cellStyle name="40% - 强调文字颜色 4 3 45 2" xfId="23917"/>
    <cellStyle name="40% - 强调文字颜色 4 3 45 3" xfId="26502"/>
    <cellStyle name="40% - 强调文字颜色 4 3 46" xfId="11305"/>
    <cellStyle name="40% - 强调文字颜色 4 3 47" xfId="18919"/>
    <cellStyle name="40% - 强调文字颜色 4 3 48" xfId="22145"/>
    <cellStyle name="40% - 强调文字颜色 4 3 49" xfId="20185"/>
    <cellStyle name="40% - 强调文字颜色 4 3 5" xfId="1078"/>
    <cellStyle name="40% - 强调文字颜色 4 3 5 10" xfId="30656"/>
    <cellStyle name="40% - 强调文字颜色 4 3 5 11" xfId="33350"/>
    <cellStyle name="40% - 强调文字颜色 4 3 5 2" xfId="4289"/>
    <cellStyle name="40% - 强调文字颜色 4 3 5 3" xfId="6623"/>
    <cellStyle name="40% - 强调文字颜色 4 3 5 4" xfId="12768"/>
    <cellStyle name="40% - 强调文字颜色 4 3 5 5" xfId="15973"/>
    <cellStyle name="40% - 强调文字颜色 4 3 5 6" xfId="11294"/>
    <cellStyle name="40% - 强调文字颜色 4 3 5 7" xfId="18933"/>
    <cellStyle name="40% - 强调文字颜色 4 3 5 8" xfId="23124"/>
    <cellStyle name="40% - 强调文字颜色 4 3 5 9" xfId="21067"/>
    <cellStyle name="40% - 强调文字颜色 4 3 50" xfId="30642"/>
    <cellStyle name="40% - 强调文字颜色 4 3 51" xfId="33103"/>
    <cellStyle name="40% - 强调文字颜色 4 3 6" xfId="1079"/>
    <cellStyle name="40% - 强调文字颜色 4 3 6 10" xfId="30657"/>
    <cellStyle name="40% - 强调文字颜色 4 3 6 11" xfId="33101"/>
    <cellStyle name="40% - 强调文字颜色 4 3 6 2" xfId="4290"/>
    <cellStyle name="40% - 强调文字颜色 4 3 6 3" xfId="6624"/>
    <cellStyle name="40% - 强调文字颜色 4 3 6 4" xfId="12769"/>
    <cellStyle name="40% - 强调文字颜色 4 3 6 5" xfId="15974"/>
    <cellStyle name="40% - 强调文字颜色 4 3 6 6" xfId="10159"/>
    <cellStyle name="40% - 强调文字颜色 4 3 6 7" xfId="18934"/>
    <cellStyle name="40% - 强调文字颜色 4 3 6 8" xfId="22141"/>
    <cellStyle name="40% - 强调文字颜色 4 3 6 9" xfId="20502"/>
    <cellStyle name="40% - 强调文字颜色 4 3 7" xfId="1080"/>
    <cellStyle name="40% - 强调文字颜色 4 3 7 10" xfId="30658"/>
    <cellStyle name="40% - 强调文字颜色 4 3 7 11" xfId="32696"/>
    <cellStyle name="40% - 强调文字颜色 4 3 7 2" xfId="4291"/>
    <cellStyle name="40% - 强调文字颜色 4 3 7 3" xfId="6625"/>
    <cellStyle name="40% - 强调文字颜色 4 3 7 4" xfId="12770"/>
    <cellStyle name="40% - 强调文字颜色 4 3 7 5" xfId="15975"/>
    <cellStyle name="40% - 强调文字颜色 4 3 7 6" xfId="11296"/>
    <cellStyle name="40% - 强调文字颜色 4 3 7 7" xfId="18935"/>
    <cellStyle name="40% - 强调文字颜色 4 3 7 8" xfId="21635"/>
    <cellStyle name="40% - 强调文字颜色 4 3 7 9" xfId="19846"/>
    <cellStyle name="40% - 强调文字颜色 4 3 8" xfId="1081"/>
    <cellStyle name="40% - 强调文字颜色 4 3 8 10" xfId="30659"/>
    <cellStyle name="40% - 强调文字颜色 4 3 8 11" xfId="32450"/>
    <cellStyle name="40% - 强调文字颜色 4 3 8 2" xfId="4292"/>
    <cellStyle name="40% - 强调文字颜色 4 3 8 3" xfId="6626"/>
    <cellStyle name="40% - 强调文字颜色 4 3 8 4" xfId="12771"/>
    <cellStyle name="40% - 强调文字颜色 4 3 8 5" xfId="15976"/>
    <cellStyle name="40% - 强调文字颜色 4 3 8 6" xfId="10161"/>
    <cellStyle name="40% - 强调文字颜色 4 3 8 7" xfId="18936"/>
    <cellStyle name="40% - 强调文字颜色 4 3 8 8" xfId="23123"/>
    <cellStyle name="40% - 强调文字颜色 4 3 8 9" xfId="21066"/>
    <cellStyle name="40% - 强调文字颜色 4 3 9" xfId="1082"/>
    <cellStyle name="40% - 强调文字颜色 4 3 9 10" xfId="30660"/>
    <cellStyle name="40% - 强调文字颜色 4 3 9 11" xfId="32214"/>
    <cellStyle name="40% - 强调文字颜色 4 3 9 2" xfId="4293"/>
    <cellStyle name="40% - 强调文字颜色 4 3 9 3" xfId="6627"/>
    <cellStyle name="40% - 强调文字颜色 4 3 9 4" xfId="12772"/>
    <cellStyle name="40% - 强调文字颜色 4 3 9 5" xfId="15977"/>
    <cellStyle name="40% - 强调文字颜色 4 3 9 6" xfId="11295"/>
    <cellStyle name="40% - 强调文字颜色 4 3 9 7" xfId="18937"/>
    <cellStyle name="40% - 强调文字颜色 4 3 9 8" xfId="22140"/>
    <cellStyle name="40% - 强调文字颜色 4 3 9 9" xfId="20501"/>
    <cellStyle name="40% - 强调文字颜色 4 30" xfId="4294"/>
    <cellStyle name="40% - 强调文字颜色 4 30 2" xfId="9604"/>
    <cellStyle name="40% - 强调文字颜色 4 30 3" xfId="15978"/>
    <cellStyle name="40% - 强调文字颜色 4 30 4" xfId="25453"/>
    <cellStyle name="40% - 强调文字颜色 4 30 5" xfId="26828"/>
    <cellStyle name="40% - 强调文字颜色 4 30 6" xfId="28691"/>
    <cellStyle name="40% - 强调文字颜色 4 31" xfId="4295"/>
    <cellStyle name="40% - 强调文字颜色 4 31 2" xfId="9605"/>
    <cellStyle name="40% - 强调文字颜色 4 31 3" xfId="15979"/>
    <cellStyle name="40% - 强调文字颜色 4 31 4" xfId="25454"/>
    <cellStyle name="40% - 强调文字颜色 4 31 5" xfId="26829"/>
    <cellStyle name="40% - 强调文字颜色 4 31 6" xfId="28692"/>
    <cellStyle name="40% - 强调文字颜色 4 32" xfId="4296"/>
    <cellStyle name="40% - 强调文字颜色 4 32 2" xfId="9606"/>
    <cellStyle name="40% - 强调文字颜色 4 32 3" xfId="15980"/>
    <cellStyle name="40% - 强调文字颜色 4 32 4" xfId="25455"/>
    <cellStyle name="40% - 强调文字颜色 4 32 5" xfId="26830"/>
    <cellStyle name="40% - 强调文字颜色 4 32 6" xfId="28693"/>
    <cellStyle name="40% - 强调文字颜色 4 33" xfId="4297"/>
    <cellStyle name="40% - 强调文字颜色 4 33 2" xfId="9607"/>
    <cellStyle name="40% - 强调文字颜色 4 33 3" xfId="15981"/>
    <cellStyle name="40% - 强调文字颜色 4 33 4" xfId="25456"/>
    <cellStyle name="40% - 强调文字颜色 4 33 5" xfId="28694"/>
    <cellStyle name="40% - 强调文字颜色 4 34" xfId="4298"/>
    <cellStyle name="40% - 强调文字颜色 4 34 2" xfId="9608"/>
    <cellStyle name="40% - 强调文字颜色 4 34 3" xfId="15982"/>
    <cellStyle name="40% - 强调文字颜色 4 34 4" xfId="25457"/>
    <cellStyle name="40% - 强调文字颜色 4 34 5" xfId="28695"/>
    <cellStyle name="40% - 强调文字颜色 4 35" xfId="4299"/>
    <cellStyle name="40% - 强调文字颜色 4 35 2" xfId="9609"/>
    <cellStyle name="40% - 强调文字颜色 4 35 3" xfId="15983"/>
    <cellStyle name="40% - 强调文字颜色 4 35 4" xfId="25458"/>
    <cellStyle name="40% - 强调文字颜色 4 35 5" xfId="28696"/>
    <cellStyle name="40% - 强调文字颜色 4 36" xfId="4300"/>
    <cellStyle name="40% - 强调文字颜色 4 36 2" xfId="9610"/>
    <cellStyle name="40% - 强调文字颜色 4 36 3" xfId="15984"/>
    <cellStyle name="40% - 强调文字颜色 4 36 4" xfId="25459"/>
    <cellStyle name="40% - 强调文字颜色 4 36 5" xfId="28697"/>
    <cellStyle name="40% - 强调文字颜色 4 37" xfId="4301"/>
    <cellStyle name="40% - 强调文字颜色 4 37 2" xfId="9611"/>
    <cellStyle name="40% - 强调文字颜色 4 37 3" xfId="15985"/>
    <cellStyle name="40% - 强调文字颜色 4 37 4" xfId="25460"/>
    <cellStyle name="40% - 强调文字颜色 4 37 5" xfId="28698"/>
    <cellStyle name="40% - 强调文字颜色 4 38" xfId="4302"/>
    <cellStyle name="40% - 强调文字颜色 4 38 2" xfId="9612"/>
    <cellStyle name="40% - 强调文字颜色 4 38 3" xfId="15986"/>
    <cellStyle name="40% - 强调文字颜色 4 38 4" xfId="25461"/>
    <cellStyle name="40% - 强调文字颜色 4 38 5" xfId="28699"/>
    <cellStyle name="40% - 强调文字颜色 4 39" xfId="4303"/>
    <cellStyle name="40% - 强调文字颜色 4 39 2" xfId="9613"/>
    <cellStyle name="40% - 强调文字颜色 4 39 3" xfId="15987"/>
    <cellStyle name="40% - 强调文字颜色 4 39 4" xfId="25462"/>
    <cellStyle name="40% - 强调文字颜色 4 39 5" xfId="28700"/>
    <cellStyle name="40% - 强调文字颜色 4 4" xfId="1083"/>
    <cellStyle name="40% - 强调文字颜色 4 4 10" xfId="12773"/>
    <cellStyle name="40% - 强调文字颜色 4 4 11" xfId="15988"/>
    <cellStyle name="40% - 强调文字颜色 4 4 12" xfId="10160"/>
    <cellStyle name="40% - 强调文字颜色 4 4 13" xfId="18938"/>
    <cellStyle name="40% - 强调文字颜色 4 4 14" xfId="21634"/>
    <cellStyle name="40% - 强调文字颜色 4 4 15" xfId="19845"/>
    <cellStyle name="40% - 强调文字颜色 4 4 16" xfId="30661"/>
    <cellStyle name="40% - 强调文字颜色 4 4 17" xfId="32451"/>
    <cellStyle name="40% - 强调文字颜色 4 4 2" xfId="1084"/>
    <cellStyle name="40% - 强调文字颜色 4 4 2 10" xfId="30662"/>
    <cellStyle name="40% - 强调文字颜色 4 4 2 11" xfId="32215"/>
    <cellStyle name="40% - 强调文字颜色 4 4 2 2" xfId="4305"/>
    <cellStyle name="40% - 强调文字颜色 4 4 2 3" xfId="6629"/>
    <cellStyle name="40% - 强调文字颜色 4 4 2 4" xfId="12774"/>
    <cellStyle name="40% - 强调文字颜色 4 4 2 5" xfId="15989"/>
    <cellStyle name="40% - 强调文字颜色 4 4 2 6" xfId="11291"/>
    <cellStyle name="40% - 强调文字颜色 4 4 2 7" xfId="18939"/>
    <cellStyle name="40% - 强调文字颜色 4 4 2 8" xfId="23122"/>
    <cellStyle name="40% - 强调文字颜色 4 4 2 9" xfId="21065"/>
    <cellStyle name="40% - 强调文字颜色 4 4 3" xfId="1085"/>
    <cellStyle name="40% - 强调文字颜色 4 4 3 10" xfId="30663"/>
    <cellStyle name="40% - 强调文字颜色 4 4 3 11" xfId="31750"/>
    <cellStyle name="40% - 强调文字颜色 4 4 3 2" xfId="4306"/>
    <cellStyle name="40% - 强调文字颜色 4 4 3 3" xfId="6630"/>
    <cellStyle name="40% - 强调文字颜色 4 4 3 4" xfId="12775"/>
    <cellStyle name="40% - 强调文字颜色 4 4 3 5" xfId="15990"/>
    <cellStyle name="40% - 强调文字颜色 4 4 3 6" xfId="10156"/>
    <cellStyle name="40% - 强调文字颜色 4 4 3 7" xfId="18940"/>
    <cellStyle name="40% - 强调文字颜色 4 4 3 8" xfId="22139"/>
    <cellStyle name="40% - 强调文字颜色 4 4 3 9" xfId="20500"/>
    <cellStyle name="40% - 强调文字颜色 4 4 4" xfId="1086"/>
    <cellStyle name="40% - 强调文字颜色 4 4 4 10" xfId="30664"/>
    <cellStyle name="40% - 强调文字颜色 4 4 4 11" xfId="33348"/>
    <cellStyle name="40% - 强调文字颜色 4 4 4 2" xfId="4307"/>
    <cellStyle name="40% - 强调文字颜色 4 4 4 3" xfId="6631"/>
    <cellStyle name="40% - 强调文字颜色 4 4 4 4" xfId="12776"/>
    <cellStyle name="40% - 强调文字颜色 4 4 4 5" xfId="15991"/>
    <cellStyle name="40% - 强调文字颜色 4 4 4 6" xfId="11293"/>
    <cellStyle name="40% - 强调文字颜色 4 4 4 7" xfId="18941"/>
    <cellStyle name="40% - 强调文字颜色 4 4 4 8" xfId="21633"/>
    <cellStyle name="40% - 强调文字颜色 4 4 4 9" xfId="19730"/>
    <cellStyle name="40% - 强调文字颜色 4 4 5" xfId="1087"/>
    <cellStyle name="40% - 强调文字颜色 4 4 5 10" xfId="30665"/>
    <cellStyle name="40% - 强调文字颜色 4 4 5 11" xfId="33099"/>
    <cellStyle name="40% - 强调文字颜色 4 4 5 2" xfId="4308"/>
    <cellStyle name="40% - 强调文字颜色 4 4 5 3" xfId="6632"/>
    <cellStyle name="40% - 强调文字颜色 4 4 5 4" xfId="12777"/>
    <cellStyle name="40% - 强调文字颜色 4 4 5 5" xfId="15992"/>
    <cellStyle name="40% - 强调文字颜色 4 4 5 6" xfId="10158"/>
    <cellStyle name="40% - 强调文字颜色 4 4 5 7" xfId="18942"/>
    <cellStyle name="40% - 强调文字颜色 4 4 5 8" xfId="23121"/>
    <cellStyle name="40% - 强调文字颜色 4 4 5 9" xfId="21476"/>
    <cellStyle name="40% - 强调文字颜色 4 4 6" xfId="1088"/>
    <cellStyle name="40% - 强调文字颜色 4 4 6 10" xfId="30666"/>
    <cellStyle name="40% - 强调文字颜色 4 4 6 11" xfId="32694"/>
    <cellStyle name="40% - 强调文字颜色 4 4 6 2" xfId="4309"/>
    <cellStyle name="40% - 强调文字颜色 4 4 6 3" xfId="6633"/>
    <cellStyle name="40% - 强调文字颜色 4 4 6 4" xfId="12778"/>
    <cellStyle name="40% - 强调文字颜色 4 4 6 5" xfId="15993"/>
    <cellStyle name="40% - 强调文字颜色 4 4 6 6" xfId="11292"/>
    <cellStyle name="40% - 强调文字颜色 4 4 6 7" xfId="18943"/>
    <cellStyle name="40% - 强调文字颜色 4 4 6 8" xfId="22138"/>
    <cellStyle name="40% - 强调文字颜色 4 4 6 9" xfId="20313"/>
    <cellStyle name="40% - 强调文字颜色 4 4 7" xfId="1089"/>
    <cellStyle name="40% - 强调文字颜色 4 4 7 10" xfId="30667"/>
    <cellStyle name="40% - 强调文字颜色 4 4 7 11" xfId="32448"/>
    <cellStyle name="40% - 强调文字颜色 4 4 7 2" xfId="4310"/>
    <cellStyle name="40% - 强调文字颜色 4 4 7 3" xfId="6634"/>
    <cellStyle name="40% - 强调文字颜色 4 4 7 4" xfId="12779"/>
    <cellStyle name="40% - 强调文字颜色 4 4 7 5" xfId="15994"/>
    <cellStyle name="40% - 强调文字颜色 4 4 7 6" xfId="10157"/>
    <cellStyle name="40% - 强调文字颜色 4 4 7 7" xfId="18944"/>
    <cellStyle name="40% - 强调文字颜色 4 4 7 8" xfId="21632"/>
    <cellStyle name="40% - 强调文字颜色 4 4 7 9" xfId="21064"/>
    <cellStyle name="40% - 强调文字颜色 4 4 8" xfId="4304"/>
    <cellStyle name="40% - 强调文字颜色 4 4 9" xfId="6628"/>
    <cellStyle name="40% - 强调文字颜色 4 40" xfId="4311"/>
    <cellStyle name="40% - 强调文字颜色 4 40 2" xfId="9614"/>
    <cellStyle name="40% - 强调文字颜色 4 40 3" xfId="15995"/>
    <cellStyle name="40% - 强调文字颜色 4 40 4" xfId="25463"/>
    <cellStyle name="40% - 强调文字颜色 4 40 5" xfId="28701"/>
    <cellStyle name="40% - 强调文字颜色 4 41" xfId="4312"/>
    <cellStyle name="40% - 强调文字颜色 4 41 2" xfId="9615"/>
    <cellStyle name="40% - 强调文字颜色 4 41 3" xfId="15996"/>
    <cellStyle name="40% - 强调文字颜色 4 41 4" xfId="25464"/>
    <cellStyle name="40% - 强调文字颜色 4 41 5" xfId="28702"/>
    <cellStyle name="40% - 强调文字颜色 4 42" xfId="4313"/>
    <cellStyle name="40% - 强调文字颜色 4 42 2" xfId="9616"/>
    <cellStyle name="40% - 强调文字颜色 4 42 3" xfId="15997"/>
    <cellStyle name="40% - 强调文字颜色 4 42 4" xfId="25465"/>
    <cellStyle name="40% - 强调文字颜色 4 42 5" xfId="28703"/>
    <cellStyle name="40% - 强调文字颜色 4 43" xfId="4314"/>
    <cellStyle name="40% - 强调文字颜色 4 43 2" xfId="9617"/>
    <cellStyle name="40% - 强调文字颜色 4 43 3" xfId="15998"/>
    <cellStyle name="40% - 强调文字颜色 4 43 4" xfId="25466"/>
    <cellStyle name="40% - 强调文字颜色 4 43 5" xfId="28704"/>
    <cellStyle name="40% - 强调文字颜色 4 44" xfId="4315"/>
    <cellStyle name="40% - 强调文字颜色 4 44 2" xfId="9618"/>
    <cellStyle name="40% - 强调文字颜色 4 44 3" xfId="15999"/>
    <cellStyle name="40% - 强调文字颜色 4 44 4" xfId="25467"/>
    <cellStyle name="40% - 强调文字颜色 4 44 5" xfId="28705"/>
    <cellStyle name="40% - 强调文字颜色 4 45" xfId="4316"/>
    <cellStyle name="40% - 强调文字颜色 4 45 2" xfId="9619"/>
    <cellStyle name="40% - 强调文字颜色 4 45 3" xfId="16000"/>
    <cellStyle name="40% - 强调文字颜色 4 45 4" xfId="25468"/>
    <cellStyle name="40% - 强调文字颜色 4 45 5" xfId="28706"/>
    <cellStyle name="40% - 强调文字颜色 4 46" xfId="6562"/>
    <cellStyle name="40% - 强调文字颜色 4 46 2" xfId="9465"/>
    <cellStyle name="40% - 强调文字颜色 4 46 3" xfId="17339"/>
    <cellStyle name="40% - 强调文字颜色 4 47" xfId="11030"/>
    <cellStyle name="40% - 强调文字颜色 4 47 2" xfId="23790"/>
    <cellStyle name="40% - 强调文字颜色 4 47 3" xfId="26375"/>
    <cellStyle name="40% - 强调文字颜色 4 48" xfId="12708"/>
    <cellStyle name="40% - 强调文字颜色 4 48 2" xfId="23874"/>
    <cellStyle name="40% - 强调文字颜色 4 48 3" xfId="26459"/>
    <cellStyle name="40% - 强调文字颜色 4 49" xfId="15784"/>
    <cellStyle name="40% - 强调文字颜色 4 49 2" xfId="23916"/>
    <cellStyle name="40% - 强调文字颜色 4 49 3" xfId="26501"/>
    <cellStyle name="40% - 强调文字颜色 4 5" xfId="1090"/>
    <cellStyle name="40% - 强调文字颜色 4 5 10" xfId="12780"/>
    <cellStyle name="40% - 强调文字颜色 4 5 11" xfId="16001"/>
    <cellStyle name="40% - 强调文字颜色 4 5 12" xfId="11287"/>
    <cellStyle name="40% - 强调文字颜色 4 5 13" xfId="18945"/>
    <cellStyle name="40% - 强调文字颜色 4 5 14" xfId="23120"/>
    <cellStyle name="40% - 强调文字颜色 4 5 15" xfId="20825"/>
    <cellStyle name="40% - 强调文字颜色 4 5 16" xfId="30668"/>
    <cellStyle name="40% - 强调文字颜色 4 5 17" xfId="32213"/>
    <cellStyle name="40% - 强调文字颜色 4 5 2" xfId="1091"/>
    <cellStyle name="40% - 强调文字颜色 4 5 2 10" xfId="30669"/>
    <cellStyle name="40% - 强调文字颜色 4 5 2 11" xfId="31749"/>
    <cellStyle name="40% - 强调文字颜色 4 5 2 2" xfId="4318"/>
    <cellStyle name="40% - 强调文字颜色 4 5 2 3" xfId="6636"/>
    <cellStyle name="40% - 强调文字颜色 4 5 2 4" xfId="12781"/>
    <cellStyle name="40% - 强调文字颜色 4 5 2 5" xfId="16002"/>
    <cellStyle name="40% - 强调文字颜色 4 5 2 6" xfId="10152"/>
    <cellStyle name="40% - 强调文字颜色 4 5 2 7" xfId="18946"/>
    <cellStyle name="40% - 强调文字颜色 4 5 2 8" xfId="22137"/>
    <cellStyle name="40% - 强调文字颜色 4 5 2 9" xfId="20184"/>
    <cellStyle name="40% - 强调文字颜色 4 5 3" xfId="1092"/>
    <cellStyle name="40% - 强调文字颜色 4 5 3 10" xfId="30670"/>
    <cellStyle name="40% - 强调文字颜色 4 5 3 11" xfId="33349"/>
    <cellStyle name="40% - 强调文字颜色 4 5 3 2" xfId="4319"/>
    <cellStyle name="40% - 强调文字颜色 4 5 3 3" xfId="6637"/>
    <cellStyle name="40% - 强调文字颜色 4 5 3 4" xfId="12782"/>
    <cellStyle name="40% - 强调文字颜色 4 5 3 5" xfId="16003"/>
    <cellStyle name="40% - 强调文字颜色 4 5 3 6" xfId="11289"/>
    <cellStyle name="40% - 强调文字颜色 4 5 3 7" xfId="18947"/>
    <cellStyle name="40% - 强调文字颜色 4 5 3 8" xfId="21631"/>
    <cellStyle name="40% - 强调文字颜色 4 5 3 9" xfId="19844"/>
    <cellStyle name="40% - 强调文字颜色 4 5 4" xfId="1093"/>
    <cellStyle name="40% - 强调文字颜色 4 5 4 10" xfId="30671"/>
    <cellStyle name="40% - 强调文字颜色 4 5 4 11" xfId="33100"/>
    <cellStyle name="40% - 强调文字颜色 4 5 4 2" xfId="4320"/>
    <cellStyle name="40% - 强调文字颜色 4 5 4 3" xfId="6638"/>
    <cellStyle name="40% - 强调文字颜色 4 5 4 4" xfId="12783"/>
    <cellStyle name="40% - 强调文字颜色 4 5 4 5" xfId="16004"/>
    <cellStyle name="40% - 强调文字颜色 4 5 4 6" xfId="10154"/>
    <cellStyle name="40% - 强调文字颜色 4 5 4 7" xfId="18948"/>
    <cellStyle name="40% - 强调文字颜色 4 5 4 8" xfId="23119"/>
    <cellStyle name="40% - 强调文字颜色 4 5 4 9" xfId="21475"/>
    <cellStyle name="40% - 强调文字颜色 4 5 5" xfId="1094"/>
    <cellStyle name="40% - 强调文字颜色 4 5 5 10" xfId="30672"/>
    <cellStyle name="40% - 强调文字颜色 4 5 5 11" xfId="32695"/>
    <cellStyle name="40% - 强调文字颜色 4 5 5 2" xfId="4321"/>
    <cellStyle name="40% - 强调文字颜色 4 5 5 3" xfId="6639"/>
    <cellStyle name="40% - 强调文字颜色 4 5 5 4" xfId="12784"/>
    <cellStyle name="40% - 强调文字颜色 4 5 5 5" xfId="16005"/>
    <cellStyle name="40% - 强调文字颜色 4 5 5 6" xfId="11288"/>
    <cellStyle name="40% - 强调文字颜色 4 5 5 7" xfId="18949"/>
    <cellStyle name="40% - 强调文字颜色 4 5 5 8" xfId="22136"/>
    <cellStyle name="40% - 强调文字颜色 4 5 5 9" xfId="20314"/>
    <cellStyle name="40% - 强调文字颜色 4 5 6" xfId="1095"/>
    <cellStyle name="40% - 强调文字颜色 4 5 6 10" xfId="30673"/>
    <cellStyle name="40% - 强调文字颜色 4 5 6 11" xfId="32449"/>
    <cellStyle name="40% - 强调文字颜色 4 5 6 2" xfId="4322"/>
    <cellStyle name="40% - 强调文字颜色 4 5 6 3" xfId="6640"/>
    <cellStyle name="40% - 强调文字颜色 4 5 6 4" xfId="12785"/>
    <cellStyle name="40% - 强调文字颜色 4 5 6 5" xfId="16006"/>
    <cellStyle name="40% - 强调文字颜色 4 5 6 6" xfId="10153"/>
    <cellStyle name="40% - 强调文字颜色 4 5 6 7" xfId="18950"/>
    <cellStyle name="40% - 强调文字颜色 4 5 6 8" xfId="21630"/>
    <cellStyle name="40% - 强调文字颜色 4 5 6 9" xfId="21063"/>
    <cellStyle name="40% - 强调文字颜色 4 5 7" xfId="1096"/>
    <cellStyle name="40% - 强调文字颜色 4 5 7 10" xfId="30674"/>
    <cellStyle name="40% - 强调文字颜色 4 5 7 11" xfId="32212"/>
    <cellStyle name="40% - 强调文字颜色 4 5 7 2" xfId="4323"/>
    <cellStyle name="40% - 强调文字颜色 4 5 7 3" xfId="6641"/>
    <cellStyle name="40% - 强调文字颜色 4 5 7 4" xfId="12786"/>
    <cellStyle name="40% - 强调文字颜色 4 5 7 5" xfId="16007"/>
    <cellStyle name="40% - 强调文字颜色 4 5 7 6" xfId="11284"/>
    <cellStyle name="40% - 强调文字颜色 4 5 7 7" xfId="18951"/>
    <cellStyle name="40% - 强调文字颜色 4 5 7 8" xfId="23118"/>
    <cellStyle name="40% - 强调文字颜色 4 5 7 9" xfId="20824"/>
    <cellStyle name="40% - 强调文字颜色 4 5 8" xfId="4317"/>
    <cellStyle name="40% - 强调文字颜色 4 5 9" xfId="6635"/>
    <cellStyle name="40% - 强调文字颜色 4 50" xfId="10195"/>
    <cellStyle name="40% - 强调文字颜色 4 50 2" xfId="27017"/>
    <cellStyle name="40% - 强调文字颜色 4 51" xfId="17445"/>
    <cellStyle name="40% - 强调文字颜色 4 52" xfId="17531"/>
    <cellStyle name="40% - 强调文字颜色 4 52 2" xfId="27150"/>
    <cellStyle name="40% - 强调文字颜色 4 53" xfId="17617"/>
    <cellStyle name="40% - 强调文字颜色 4 54" xfId="17703"/>
    <cellStyle name="40% - 强调文字颜色 4 55" xfId="17789"/>
    <cellStyle name="40% - 强调文字颜色 4 56" xfId="18871"/>
    <cellStyle name="40% - 强调文字颜色 4 56 2" xfId="21379"/>
    <cellStyle name="40% - 强调文字颜色 4 56 3" xfId="23462"/>
    <cellStyle name="40% - 强调文字颜色 4 57" xfId="21653"/>
    <cellStyle name="40% - 强调文字颜色 4 58" xfId="20519"/>
    <cellStyle name="40% - 强调文字颜色 4 6" xfId="1097"/>
    <cellStyle name="40% - 强调文字颜色 4 6 10" xfId="16008"/>
    <cellStyle name="40% - 强调文字颜色 4 6 11" xfId="10149"/>
    <cellStyle name="40% - 强调文字颜色 4 6 12" xfId="18952"/>
    <cellStyle name="40% - 强调文字颜色 4 6 13" xfId="22135"/>
    <cellStyle name="40% - 强调文字颜色 4 6 14" xfId="20183"/>
    <cellStyle name="40% - 强调文字颜色 4 6 15" xfId="30675"/>
    <cellStyle name="40% - 强调文字颜色 4 6 16" xfId="31748"/>
    <cellStyle name="40% - 强调文字颜色 4 6 2" xfId="1098"/>
    <cellStyle name="40% - 强调文字颜色 4 6 2 10" xfId="30676"/>
    <cellStyle name="40% - 强调文字颜色 4 6 2 11" xfId="33347"/>
    <cellStyle name="40% - 强调文字颜色 4 6 2 2" xfId="4325"/>
    <cellStyle name="40% - 强调文字颜色 4 6 2 3" xfId="6643"/>
    <cellStyle name="40% - 强调文字颜色 4 6 2 4" xfId="12788"/>
    <cellStyle name="40% - 强调文字颜色 4 6 2 5" xfId="16009"/>
    <cellStyle name="40% - 强调文字颜色 4 6 2 6" xfId="11286"/>
    <cellStyle name="40% - 强调文字颜色 4 6 2 7" xfId="18953"/>
    <cellStyle name="40% - 强调文字颜色 4 6 2 8" xfId="21629"/>
    <cellStyle name="40% - 强调文字颜色 4 6 2 9" xfId="19843"/>
    <cellStyle name="40% - 强调文字颜色 4 6 3" xfId="1099"/>
    <cellStyle name="40% - 强调文字颜色 4 6 3 10" xfId="30677"/>
    <cellStyle name="40% - 强调文字颜色 4 6 3 11" xfId="33090"/>
    <cellStyle name="40% - 强调文字颜色 4 6 3 2" xfId="4326"/>
    <cellStyle name="40% - 强调文字颜色 4 6 3 3" xfId="6644"/>
    <cellStyle name="40% - 强调文字颜色 4 6 3 4" xfId="12789"/>
    <cellStyle name="40% - 强调文字颜色 4 6 3 5" xfId="16010"/>
    <cellStyle name="40% - 强调文字颜色 4 6 3 6" xfId="10151"/>
    <cellStyle name="40% - 强调文字颜色 4 6 3 7" xfId="18954"/>
    <cellStyle name="40% - 强调文字颜色 4 6 3 8" xfId="23117"/>
    <cellStyle name="40% - 强调文字颜色 4 6 3 9" xfId="21474"/>
    <cellStyle name="40% - 强调文字颜色 4 6 4" xfId="1100"/>
    <cellStyle name="40% - 强调文字颜色 4 6 4 10" xfId="30678"/>
    <cellStyle name="40% - 强调文字颜色 4 6 4 11" xfId="32686"/>
    <cellStyle name="40% - 强调文字颜色 4 6 4 2" xfId="4327"/>
    <cellStyle name="40% - 强调文字颜色 4 6 4 3" xfId="6645"/>
    <cellStyle name="40% - 强调文字颜色 4 6 4 4" xfId="12790"/>
    <cellStyle name="40% - 强调文字颜色 4 6 4 5" xfId="16011"/>
    <cellStyle name="40% - 强调文字颜色 4 6 4 6" xfId="11285"/>
    <cellStyle name="40% - 强调文字颜色 4 6 4 7" xfId="18955"/>
    <cellStyle name="40% - 强调文字颜色 4 6 4 8" xfId="22134"/>
    <cellStyle name="40% - 强调文字颜色 4 6 4 9" xfId="20363"/>
    <cellStyle name="40% - 强调文字颜色 4 6 5" xfId="1101"/>
    <cellStyle name="40% - 强调文字颜色 4 6 5 10" xfId="30679"/>
    <cellStyle name="40% - 强调文字颜色 4 6 5 11" xfId="32442"/>
    <cellStyle name="40% - 强调文字颜色 4 6 5 2" xfId="4328"/>
    <cellStyle name="40% - 强调文字颜色 4 6 5 3" xfId="6646"/>
    <cellStyle name="40% - 强调文字颜色 4 6 5 4" xfId="12791"/>
    <cellStyle name="40% - 强调文字颜色 4 6 5 5" xfId="16012"/>
    <cellStyle name="40% - 强调文字颜色 4 6 5 6" xfId="10150"/>
    <cellStyle name="40% - 强调文字颜色 4 6 5 7" xfId="18956"/>
    <cellStyle name="40% - 强调文字颜色 4 6 5 8" xfId="21628"/>
    <cellStyle name="40% - 强调文字颜色 4 6 5 9" xfId="21062"/>
    <cellStyle name="40% - 强调文字颜色 4 6 6" xfId="1102"/>
    <cellStyle name="40% - 强调文字颜色 4 6 6 10" xfId="30680"/>
    <cellStyle name="40% - 强调文字颜色 4 6 6 11" xfId="32205"/>
    <cellStyle name="40% - 强调文字颜色 4 6 6 2" xfId="4329"/>
    <cellStyle name="40% - 强调文字颜色 4 6 6 3" xfId="6647"/>
    <cellStyle name="40% - 强调文字颜色 4 6 6 4" xfId="12792"/>
    <cellStyle name="40% - 强调文字颜色 4 6 6 5" xfId="16013"/>
    <cellStyle name="40% - 强调文字颜色 4 6 6 6" xfId="11283"/>
    <cellStyle name="40% - 强调文字颜色 4 6 6 7" xfId="18957"/>
    <cellStyle name="40% - 强调文字颜色 4 6 6 8" xfId="23115"/>
    <cellStyle name="40% - 强调文字颜色 4 6 6 9" xfId="20823"/>
    <cellStyle name="40% - 强调文字颜色 4 6 7" xfId="4324"/>
    <cellStyle name="40% - 强调文字颜色 4 6 8" xfId="6642"/>
    <cellStyle name="40% - 强调文字颜色 4 6 9" xfId="12787"/>
    <cellStyle name="40% - 强调文字颜色 4 7" xfId="1103"/>
    <cellStyle name="40% - 强调文字颜色 4 7 10" xfId="22833"/>
    <cellStyle name="40% - 强调文字颜色 4 7 11" xfId="20182"/>
    <cellStyle name="40% - 强调文字颜色 4 7 12" xfId="30681"/>
    <cellStyle name="40% - 强调文字颜色 4 7 13" xfId="32069"/>
    <cellStyle name="40% - 强调文字颜色 4 7 2" xfId="1104"/>
    <cellStyle name="40% - 强调文字颜色 4 7 2 10" xfId="30682"/>
    <cellStyle name="40% - 强调文字颜色 4 7 2 11" xfId="31741"/>
    <cellStyle name="40% - 强调文字颜色 4 7 2 2" xfId="4331"/>
    <cellStyle name="40% - 强调文字颜色 4 7 2 3" xfId="6649"/>
    <cellStyle name="40% - 强调文字颜色 4 7 2 4" xfId="12794"/>
    <cellStyle name="40% - 强调文字颜色 4 7 2 5" xfId="16015"/>
    <cellStyle name="40% - 强调文字颜色 4 7 2 6" xfId="11282"/>
    <cellStyle name="40% - 强调文字颜色 4 7 2 7" xfId="18959"/>
    <cellStyle name="40% - 强调文字颜色 4 7 2 8" xfId="22615"/>
    <cellStyle name="40% - 强调文字颜色 4 7 2 9" xfId="19842"/>
    <cellStyle name="40% - 强调文字颜色 4 7 3" xfId="1105"/>
    <cellStyle name="40% - 强调文字颜色 4 7 3 10" xfId="30683"/>
    <cellStyle name="40% - 强调文字颜色 4 7 3 11" xfId="33344"/>
    <cellStyle name="40% - 强调文字颜色 4 7 3 2" xfId="4332"/>
    <cellStyle name="40% - 强调文字颜色 4 7 3 3" xfId="6650"/>
    <cellStyle name="40% - 强调文字颜色 4 7 3 4" xfId="12795"/>
    <cellStyle name="40% - 强调文字颜色 4 7 3 5" xfId="16016"/>
    <cellStyle name="40% - 强调文字颜色 4 7 3 6" xfId="10147"/>
    <cellStyle name="40% - 强调文字颜色 4 7 3 7" xfId="18960"/>
    <cellStyle name="40% - 强调文字颜色 4 7 3 8" xfId="22132"/>
    <cellStyle name="40% - 强调文字颜色 4 7 3 9" xfId="20171"/>
    <cellStyle name="40% - 强调文字颜色 4 7 4" xfId="4330"/>
    <cellStyle name="40% - 强调文字颜色 4 7 5" xfId="6648"/>
    <cellStyle name="40% - 强调文字颜色 4 7 6" xfId="12793"/>
    <cellStyle name="40% - 强调文字颜色 4 7 7" xfId="16014"/>
    <cellStyle name="40% - 强调文字颜色 4 7 8" xfId="10148"/>
    <cellStyle name="40% - 强调文字颜色 4 7 9" xfId="18958"/>
    <cellStyle name="40% - 强调文字颜色 4 8" xfId="1106"/>
    <cellStyle name="40% - 强调文字颜色 4 8 10" xfId="16017"/>
    <cellStyle name="40% - 强调文字颜色 4 8 11" xfId="11281"/>
    <cellStyle name="40% - 强调文字颜色 4 8 12" xfId="18961"/>
    <cellStyle name="40% - 强调文字颜色 4 8 13" xfId="23114"/>
    <cellStyle name="40% - 强调文字颜色 4 8 14" xfId="19771"/>
    <cellStyle name="40% - 强调文字颜色 4 8 15" xfId="30684"/>
    <cellStyle name="40% - 强调文字颜色 4 8 16" xfId="33096"/>
    <cellStyle name="40% - 强调文字颜色 4 8 2" xfId="1107"/>
    <cellStyle name="40% - 强调文字颜色 4 8 2 10" xfId="30685"/>
    <cellStyle name="40% - 强调文字颜色 4 8 2 11" xfId="32691"/>
    <cellStyle name="40% - 强调文字颜色 4 8 2 2" xfId="4334"/>
    <cellStyle name="40% - 强调文字颜色 4 8 2 3" xfId="6652"/>
    <cellStyle name="40% - 强调文字颜色 4 8 2 4" xfId="12797"/>
    <cellStyle name="40% - 强调文字颜色 4 8 2 5" xfId="16018"/>
    <cellStyle name="40% - 强调文字颜色 4 8 2 6" xfId="10146"/>
    <cellStyle name="40% - 强调文字颜色 4 8 2 7" xfId="18962"/>
    <cellStyle name="40% - 强调文字颜色 4 8 2 8" xfId="22832"/>
    <cellStyle name="40% - 强调文字颜色 4 8 2 9" xfId="21061"/>
    <cellStyle name="40% - 强调文字颜色 4 8 3" xfId="1108"/>
    <cellStyle name="40% - 强调文字颜色 4 8 3 10" xfId="30686"/>
    <cellStyle name="40% - 强调文字颜色 4 8 3 11" xfId="32446"/>
    <cellStyle name="40% - 强调文字颜色 4 8 3 2" xfId="4335"/>
    <cellStyle name="40% - 强调文字颜色 4 8 3 3" xfId="6653"/>
    <cellStyle name="40% - 强调文字颜色 4 8 3 4" xfId="12798"/>
    <cellStyle name="40% - 强调文字颜色 4 8 3 5" xfId="16019"/>
    <cellStyle name="40% - 强调文字颜色 4 8 3 6" xfId="11280"/>
    <cellStyle name="40% - 强调文字颜色 4 8 3 7" xfId="18963"/>
    <cellStyle name="40% - 强调文字颜色 4 8 3 8" xfId="22614"/>
    <cellStyle name="40% - 强调文字颜色 4 8 3 9" xfId="20499"/>
    <cellStyle name="40% - 强调文字颜色 4 8 4" xfId="1109"/>
    <cellStyle name="40% - 强调文字颜色 4 8 4 10" xfId="30687"/>
    <cellStyle name="40% - 强调文字颜色 4 8 4 11" xfId="32209"/>
    <cellStyle name="40% - 强调文字颜色 4 8 4 2" xfId="4336"/>
    <cellStyle name="40% - 强调文字颜色 4 8 4 3" xfId="6654"/>
    <cellStyle name="40% - 强调文字颜色 4 8 4 4" xfId="12799"/>
    <cellStyle name="40% - 强调文字颜色 4 8 4 5" xfId="16020"/>
    <cellStyle name="40% - 强调文字颜色 4 8 4 6" xfId="10145"/>
    <cellStyle name="40% - 强调文字颜色 4 8 4 7" xfId="18964"/>
    <cellStyle name="40% - 强调文字颜色 4 8 4 8" xfId="22131"/>
    <cellStyle name="40% - 强调文字颜色 4 8 4 9" xfId="19841"/>
    <cellStyle name="40% - 强调文字颜色 4 8 5" xfId="1110"/>
    <cellStyle name="40% - 强调文字颜色 4 8 5 2" xfId="6655"/>
    <cellStyle name="40% - 强调文字颜色 4 8 5 3" xfId="12800"/>
    <cellStyle name="40% - 强调文字颜色 4 8 5 4" xfId="11279"/>
    <cellStyle name="40% - 强调文字颜色 4 8 5 5" xfId="18965"/>
    <cellStyle name="40% - 强调文字颜色 4 8 5 6" xfId="23113"/>
    <cellStyle name="40% - 强调文字颜色 4 8 5 7" xfId="21060"/>
    <cellStyle name="40% - 强调文字颜色 4 8 5 8" xfId="31592"/>
    <cellStyle name="40% - 强调文字颜色 4 8 5 9" xfId="30812"/>
    <cellStyle name="40% - 强调文字颜色 4 8 6" xfId="4333"/>
    <cellStyle name="40% - 强调文字颜色 4 8 7" xfId="6651"/>
    <cellStyle name="40% - 强调文字颜色 4 8 8" xfId="11040"/>
    <cellStyle name="40% - 强调文字颜色 4 8 9" xfId="12796"/>
    <cellStyle name="40% - 强调文字颜色 4 9" xfId="1111"/>
    <cellStyle name="40% - 强调文字颜色 4 9 10" xfId="16021"/>
    <cellStyle name="40% - 强调文字颜色 4 9 11" xfId="10144"/>
    <cellStyle name="40% - 强调文字颜色 4 9 12" xfId="18966"/>
    <cellStyle name="40% - 强调文字颜色 4 9 13" xfId="22130"/>
    <cellStyle name="40% - 强调文字颜色 4 9 14" xfId="20498"/>
    <cellStyle name="40% - 强调文字颜色 4 9 15" xfId="30688"/>
    <cellStyle name="40% - 强调文字颜色 4 9 16" xfId="31745"/>
    <cellStyle name="40% - 强调文字颜色 4 9 2" xfId="1112"/>
    <cellStyle name="40% - 强调文字颜色 4 9 2 10" xfId="30689"/>
    <cellStyle name="40% - 强调文字颜色 4 9 2 11" xfId="33346"/>
    <cellStyle name="40% - 强调文字颜色 4 9 2 2" xfId="4338"/>
    <cellStyle name="40% - 强调文字颜色 4 9 2 3" xfId="6657"/>
    <cellStyle name="40% - 强调文字颜色 4 9 2 4" xfId="12802"/>
    <cellStyle name="40% - 强调文字颜色 4 9 2 5" xfId="16022"/>
    <cellStyle name="40% - 强调文字颜色 4 9 2 6" xfId="11278"/>
    <cellStyle name="40% - 强调文字颜色 4 9 2 7" xfId="18967"/>
    <cellStyle name="40% - 强调文字颜色 4 9 2 8" xfId="21626"/>
    <cellStyle name="40% - 强调文字颜色 4 9 2 9" xfId="19840"/>
    <cellStyle name="40% - 强调文字颜色 4 9 3" xfId="1113"/>
    <cellStyle name="40% - 强调文字颜色 4 9 3 10" xfId="30690"/>
    <cellStyle name="40% - 强调文字颜色 4 9 3 11" xfId="33098"/>
    <cellStyle name="40% - 强调文字颜色 4 9 3 2" xfId="4339"/>
    <cellStyle name="40% - 强调文字颜色 4 9 3 3" xfId="6658"/>
    <cellStyle name="40% - 强调文字颜色 4 9 3 4" xfId="12803"/>
    <cellStyle name="40% - 强调文字颜色 4 9 3 5" xfId="16023"/>
    <cellStyle name="40% - 强调文字颜色 4 9 3 6" xfId="10143"/>
    <cellStyle name="40% - 强调文字颜色 4 9 3 7" xfId="18968"/>
    <cellStyle name="40% - 强调文字颜色 4 9 3 8" xfId="23112"/>
    <cellStyle name="40% - 强调文字颜色 4 9 3 9" xfId="21059"/>
    <cellStyle name="40% - 强调文字颜色 4 9 4" xfId="1114"/>
    <cellStyle name="40% - 强调文字颜色 4 9 4 10" xfId="30691"/>
    <cellStyle name="40% - 强调文字颜色 4 9 4 11" xfId="32693"/>
    <cellStyle name="40% - 强调文字颜色 4 9 4 2" xfId="4340"/>
    <cellStyle name="40% - 强调文字颜色 4 9 4 3" xfId="6659"/>
    <cellStyle name="40% - 强调文字颜色 4 9 4 4" xfId="12804"/>
    <cellStyle name="40% - 强调文字颜色 4 9 4 5" xfId="16024"/>
    <cellStyle name="40% - 强调文字颜色 4 9 4 6" xfId="11277"/>
    <cellStyle name="40% - 强调文字颜色 4 9 4 7" xfId="18969"/>
    <cellStyle name="40% - 强调文字颜色 4 9 4 8" xfId="22129"/>
    <cellStyle name="40% - 强调文字颜色 4 9 4 9" xfId="20497"/>
    <cellStyle name="40% - 强调文字颜色 4 9 5" xfId="1115"/>
    <cellStyle name="40% - 强调文字颜色 4 9 5 2" xfId="6660"/>
    <cellStyle name="40% - 强调文字颜色 4 9 5 3" xfId="12805"/>
    <cellStyle name="40% - 强调文字颜色 4 9 5 4" xfId="10142"/>
    <cellStyle name="40% - 强调文字颜色 4 9 5 5" xfId="18970"/>
    <cellStyle name="40% - 强调文字颜色 4 9 5 6" xfId="21625"/>
    <cellStyle name="40% - 强调文字颜色 4 9 5 7" xfId="19839"/>
    <cellStyle name="40% - 强调文字颜色 4 9 5 8" xfId="31593"/>
    <cellStyle name="40% - 强调文字颜色 4 9 5 9" xfId="32558"/>
    <cellStyle name="40% - 强调文字颜色 4 9 6" xfId="4337"/>
    <cellStyle name="40% - 强调文字颜色 4 9 7" xfId="6656"/>
    <cellStyle name="40% - 强调文字颜色 4 9 8" xfId="11041"/>
    <cellStyle name="40% - 强调文字颜色 4 9 9" xfId="12801"/>
    <cellStyle name="40% - 强调文字颜色 5" xfId="1116" builtinId="47" customBuiltin="1"/>
    <cellStyle name="40% - 强调文字颜色 5 10" xfId="1117"/>
    <cellStyle name="40% - 强调文字颜色 5 10 10" xfId="16026"/>
    <cellStyle name="40% - 强调文字颜色 5 10 11" xfId="11276"/>
    <cellStyle name="40% - 强调文字颜色 5 10 12" xfId="18972"/>
    <cellStyle name="40% - 强调文字颜色 5 10 13" xfId="22128"/>
    <cellStyle name="40% - 强调文字颜色 5 10 14" xfId="20496"/>
    <cellStyle name="40% - 强调文字颜色 5 10 15" xfId="30692"/>
    <cellStyle name="40% - 强调文字颜色 5 10 16" xfId="32211"/>
    <cellStyle name="40% - 强调文字颜色 5 10 2" xfId="1118"/>
    <cellStyle name="40% - 强调文字颜色 5 10 2 10" xfId="30693"/>
    <cellStyle name="40% - 强调文字颜色 5 10 2 11" xfId="31747"/>
    <cellStyle name="40% - 强调文字颜色 5 10 2 2" xfId="4343"/>
    <cellStyle name="40% - 强调文字颜色 5 10 2 3" xfId="6663"/>
    <cellStyle name="40% - 强调文字颜色 5 10 2 4" xfId="12808"/>
    <cellStyle name="40% - 强调文字颜色 5 10 2 5" xfId="16027"/>
    <cellStyle name="40% - 强调文字颜色 5 10 2 6" xfId="10141"/>
    <cellStyle name="40% - 强调文字颜色 5 10 2 7" xfId="18973"/>
    <cellStyle name="40% - 强调文字颜色 5 10 2 8" xfId="21624"/>
    <cellStyle name="40% - 强调文字颜色 5 10 2 9" xfId="19838"/>
    <cellStyle name="40% - 强调文字颜色 5 10 3" xfId="1119"/>
    <cellStyle name="40% - 强调文字颜色 5 10 3 10" xfId="30694"/>
    <cellStyle name="40% - 强调文字颜色 5 10 3 11" xfId="33345"/>
    <cellStyle name="40% - 强调文字颜色 5 10 3 2" xfId="4344"/>
    <cellStyle name="40% - 强调文字颜色 5 10 3 3" xfId="6664"/>
    <cellStyle name="40% - 强调文字颜色 5 10 3 4" xfId="12809"/>
    <cellStyle name="40% - 强调文字颜色 5 10 3 5" xfId="16028"/>
    <cellStyle name="40% - 强调文字颜色 5 10 3 6" xfId="11275"/>
    <cellStyle name="40% - 强调文字颜色 5 10 3 7" xfId="18974"/>
    <cellStyle name="40% - 强调文字颜色 5 10 3 8" xfId="23110"/>
    <cellStyle name="40% - 强调文字颜色 5 10 3 9" xfId="21057"/>
    <cellStyle name="40% - 强调文字颜色 5 10 4" xfId="1120"/>
    <cellStyle name="40% - 强调文字颜色 5 10 4 10" xfId="30695"/>
    <cellStyle name="40% - 强调文字颜色 5 10 4 11" xfId="33097"/>
    <cellStyle name="40% - 强调文字颜色 5 10 4 2" xfId="4345"/>
    <cellStyle name="40% - 强调文字颜色 5 10 4 3" xfId="6665"/>
    <cellStyle name="40% - 强调文字颜色 5 10 4 4" xfId="12810"/>
    <cellStyle name="40% - 强调文字颜色 5 10 4 5" xfId="16029"/>
    <cellStyle name="40% - 强调文字颜色 5 10 4 6" xfId="10140"/>
    <cellStyle name="40% - 强调文字颜色 5 10 4 7" xfId="18975"/>
    <cellStyle name="40% - 强调文字颜色 5 10 4 8" xfId="22127"/>
    <cellStyle name="40% - 强调文字颜色 5 10 4 9" xfId="20495"/>
    <cellStyle name="40% - 强调文字颜色 5 10 5" xfId="1121"/>
    <cellStyle name="40% - 强调文字颜色 5 10 5 2" xfId="6666"/>
    <cellStyle name="40% - 强调文字颜色 5 10 5 3" xfId="12811"/>
    <cellStyle name="40% - 强调文字颜色 5 10 5 4" xfId="11274"/>
    <cellStyle name="40% - 强调文字颜色 5 10 5 5" xfId="18976"/>
    <cellStyle name="40% - 强调文字颜色 5 10 5 6" xfId="21611"/>
    <cellStyle name="40% - 强调文字颜色 5 10 5 7" xfId="19837"/>
    <cellStyle name="40% - 强调文字颜色 5 10 5 8" xfId="31594"/>
    <cellStyle name="40% - 强调文字颜色 5 10 5 9" xfId="30811"/>
    <cellStyle name="40% - 强调文字颜色 5 10 6" xfId="4342"/>
    <cellStyle name="40% - 强调文字颜色 5 10 7" xfId="6662"/>
    <cellStyle name="40% - 强调文字颜色 5 10 8" xfId="11043"/>
    <cellStyle name="40% - 强调文字颜色 5 10 9" xfId="12807"/>
    <cellStyle name="40% - 强调文字颜色 5 11" xfId="1122"/>
    <cellStyle name="40% - 强调文字颜色 5 11 10" xfId="16030"/>
    <cellStyle name="40% - 强调文字颜色 5 11 11" xfId="10139"/>
    <cellStyle name="40% - 强调文字颜色 5 11 12" xfId="18977"/>
    <cellStyle name="40% - 强调文字颜色 5 11 13" xfId="23109"/>
    <cellStyle name="40% - 强调文字颜色 5 11 14" xfId="21056"/>
    <cellStyle name="40% - 强调文字颜色 5 11 15" xfId="30696"/>
    <cellStyle name="40% - 强调文字颜色 5 11 16" xfId="32692"/>
    <cellStyle name="40% - 强调文字颜色 5 11 2" xfId="1123"/>
    <cellStyle name="40% - 强调文字颜色 5 11 2 10" xfId="30697"/>
    <cellStyle name="40% - 强调文字颜色 5 11 2 11" xfId="32447"/>
    <cellStyle name="40% - 强调文字颜色 5 11 2 2" xfId="4347"/>
    <cellStyle name="40% - 强调文字颜色 5 11 2 3" xfId="6668"/>
    <cellStyle name="40% - 强调文字颜色 5 11 2 4" xfId="12813"/>
    <cellStyle name="40% - 强调文字颜色 5 11 2 5" xfId="16031"/>
    <cellStyle name="40% - 强调文字颜色 5 11 2 6" xfId="11273"/>
    <cellStyle name="40% - 强调文字颜色 5 11 2 7" xfId="18978"/>
    <cellStyle name="40% - 强调文字颜色 5 11 2 8" xfId="22831"/>
    <cellStyle name="40% - 强调文字颜色 5 11 2 9" xfId="20494"/>
    <cellStyle name="40% - 强调文字颜色 5 11 3" xfId="1124"/>
    <cellStyle name="40% - 强调文字颜色 5 11 3 10" xfId="30698"/>
    <cellStyle name="40% - 强调文字颜色 5 11 3 11" xfId="32210"/>
    <cellStyle name="40% - 强调文字颜色 5 11 3 2" xfId="4348"/>
    <cellStyle name="40% - 强调文字颜色 5 11 3 3" xfId="6669"/>
    <cellStyle name="40% - 强调文字颜色 5 11 3 4" xfId="12814"/>
    <cellStyle name="40% - 强调文字颜色 5 11 3 5" xfId="16032"/>
    <cellStyle name="40% - 强调文字颜色 5 11 3 6" xfId="10138"/>
    <cellStyle name="40% - 强调文字颜色 5 11 3 7" xfId="18979"/>
    <cellStyle name="40% - 强调文字颜色 5 11 3 8" xfId="22613"/>
    <cellStyle name="40% - 强调文字颜色 5 11 3 9" xfId="19836"/>
    <cellStyle name="40% - 强调文字颜色 5 11 4" xfId="1125"/>
    <cellStyle name="40% - 强调文字颜色 5 11 4 10" xfId="30699"/>
    <cellStyle name="40% - 强调文字颜色 5 11 4 11" xfId="31746"/>
    <cellStyle name="40% - 强调文字颜色 5 11 4 2" xfId="4349"/>
    <cellStyle name="40% - 强调文字颜色 5 11 4 3" xfId="6670"/>
    <cellStyle name="40% - 强调文字颜色 5 11 4 4" xfId="12815"/>
    <cellStyle name="40% - 强调文字颜色 5 11 4 5" xfId="16033"/>
    <cellStyle name="40% - 强调文字颜色 5 11 4 6" xfId="11272"/>
    <cellStyle name="40% - 强调文字颜色 5 11 4 7" xfId="18980"/>
    <cellStyle name="40% - 强调文字颜色 5 11 4 8" xfId="22126"/>
    <cellStyle name="40% - 强调文字颜色 5 11 4 9" xfId="21055"/>
    <cellStyle name="40% - 强调文字颜色 5 11 5" xfId="1126"/>
    <cellStyle name="40% - 强调文字颜色 5 11 5 2" xfId="6671"/>
    <cellStyle name="40% - 强调文字颜色 5 11 5 3" xfId="12816"/>
    <cellStyle name="40% - 强调文字颜色 5 11 5 4" xfId="10137"/>
    <cellStyle name="40% - 强调文字颜色 5 11 5 5" xfId="18981"/>
    <cellStyle name="40% - 强调文字颜色 5 11 5 6" xfId="23108"/>
    <cellStyle name="40% - 强调文字颜色 5 11 5 7" xfId="20493"/>
    <cellStyle name="40% - 强调文字颜色 5 11 5 8" xfId="31595"/>
    <cellStyle name="40% - 强调文字颜色 5 11 5 9" xfId="32557"/>
    <cellStyle name="40% - 强调文字颜色 5 11 6" xfId="4346"/>
    <cellStyle name="40% - 强调文字颜色 5 11 6 2" xfId="23643"/>
    <cellStyle name="40% - 强调文字颜色 5 11 6 3" xfId="26228"/>
    <cellStyle name="40% - 强调文字颜色 5 11 7" xfId="6667"/>
    <cellStyle name="40% - 强调文字颜色 5 11 7 2" xfId="23700"/>
    <cellStyle name="40% - 强调文字颜色 5 11 7 3" xfId="26285"/>
    <cellStyle name="40% - 强调文字颜色 5 11 8" xfId="11044"/>
    <cellStyle name="40% - 强调文字颜色 5 11 8 2" xfId="23797"/>
    <cellStyle name="40% - 强调文字颜色 5 11 8 3" xfId="26382"/>
    <cellStyle name="40% - 强调文字颜色 5 11 9" xfId="12812"/>
    <cellStyle name="40% - 强调文字颜色 5 12" xfId="1127"/>
    <cellStyle name="40% - 强调文字颜色 5 12 10" xfId="16034"/>
    <cellStyle name="40% - 强调文字颜色 5 12 11" xfId="7703"/>
    <cellStyle name="40% - 强调文字颜色 5 12 12" xfId="18982"/>
    <cellStyle name="40% - 强调文字颜色 5 12 13" xfId="22830"/>
    <cellStyle name="40% - 强调文字颜色 5 12 14" xfId="19835"/>
    <cellStyle name="40% - 强调文字颜色 5 12 15" xfId="30700"/>
    <cellStyle name="40% - 强调文字颜色 5 12 16" xfId="33341"/>
    <cellStyle name="40% - 强调文字颜色 5 12 2" xfId="1128"/>
    <cellStyle name="40% - 强调文字颜色 5 12 2 10" xfId="30701"/>
    <cellStyle name="40% - 强调文字颜色 5 12 2 11" xfId="33093"/>
    <cellStyle name="40% - 强调文字颜色 5 12 2 2" xfId="4351"/>
    <cellStyle name="40% - 强调文字颜色 5 12 2 3" xfId="6673"/>
    <cellStyle name="40% - 强调文字颜色 5 12 2 4" xfId="12818"/>
    <cellStyle name="40% - 强调文字颜色 5 12 2 5" xfId="16035"/>
    <cellStyle name="40% - 强调文字颜色 5 12 2 6" xfId="11271"/>
    <cellStyle name="40% - 强调文字颜色 5 12 2 7" xfId="18983"/>
    <cellStyle name="40% - 强调文字颜色 5 12 2 8" xfId="22612"/>
    <cellStyle name="40% - 强调文字颜色 5 12 2 9" xfId="21473"/>
    <cellStyle name="40% - 强调文字颜色 5 12 3" xfId="1129"/>
    <cellStyle name="40% - 强调文字颜色 5 12 3 10" xfId="30702"/>
    <cellStyle name="40% - 强调文字颜色 5 12 3 11" xfId="32688"/>
    <cellStyle name="40% - 强调文字颜色 5 12 3 2" xfId="4352"/>
    <cellStyle name="40% - 强调文字颜色 5 12 3 3" xfId="6674"/>
    <cellStyle name="40% - 强调文字颜色 5 12 3 4" xfId="12819"/>
    <cellStyle name="40% - 强调文字颜色 5 12 3 5" xfId="16036"/>
    <cellStyle name="40% - 强调文字颜色 5 12 3 6" xfId="7700"/>
    <cellStyle name="40% - 强调文字颜色 5 12 3 7" xfId="18984"/>
    <cellStyle name="40% - 强调文字颜色 5 12 3 8" xfId="22125"/>
    <cellStyle name="40% - 强调文字颜色 5 12 3 9" xfId="20315"/>
    <cellStyle name="40% - 强调文字颜色 5 12 4" xfId="1130"/>
    <cellStyle name="40% - 强调文字颜色 5 12 4 10" xfId="30703"/>
    <cellStyle name="40% - 强调文字颜色 5 12 4 11" xfId="32443"/>
    <cellStyle name="40% - 强调文字颜色 5 12 4 2" xfId="4353"/>
    <cellStyle name="40% - 强调文字颜色 5 12 4 3" xfId="6675"/>
    <cellStyle name="40% - 强调文字颜色 5 12 4 4" xfId="12820"/>
    <cellStyle name="40% - 强调文字颜色 5 12 4 5" xfId="16037"/>
    <cellStyle name="40% - 强调文字颜色 5 12 4 6" xfId="11268"/>
    <cellStyle name="40% - 强调文字颜色 5 12 4 7" xfId="18985"/>
    <cellStyle name="40% - 强调文字颜色 5 12 4 8" xfId="23107"/>
    <cellStyle name="40% - 强调文字颜色 5 12 4 9" xfId="21045"/>
    <cellStyle name="40% - 强调文字颜色 5 12 5" xfId="1131"/>
    <cellStyle name="40% - 强调文字颜色 5 12 5 2" xfId="6676"/>
    <cellStyle name="40% - 强调文字颜色 5 12 5 3" xfId="12821"/>
    <cellStyle name="40% - 强调文字颜色 5 12 5 4" xfId="10134"/>
    <cellStyle name="40% - 强调文字颜色 5 12 5 5" xfId="18986"/>
    <cellStyle name="40% - 强调文字颜色 5 12 5 6" xfId="22829"/>
    <cellStyle name="40% - 强调文字颜色 5 12 5 7" xfId="20822"/>
    <cellStyle name="40% - 强调文字颜色 5 12 5 8" xfId="31596"/>
    <cellStyle name="40% - 强调文字颜色 5 12 5 9" xfId="32961"/>
    <cellStyle name="40% - 强调文字颜色 5 12 6" xfId="4350"/>
    <cellStyle name="40% - 强调文字颜色 5 12 6 2" xfId="23644"/>
    <cellStyle name="40% - 强调文字颜色 5 12 6 3" xfId="26229"/>
    <cellStyle name="40% - 强调文字颜色 5 12 7" xfId="6672"/>
    <cellStyle name="40% - 强调文字颜色 5 12 7 2" xfId="23701"/>
    <cellStyle name="40% - 强调文字颜色 5 12 7 3" xfId="26286"/>
    <cellStyle name="40% - 强调文字颜色 5 12 8" xfId="11045"/>
    <cellStyle name="40% - 强调文字颜色 5 12 8 2" xfId="23798"/>
    <cellStyle name="40% - 强调文字颜色 5 12 8 3" xfId="26383"/>
    <cellStyle name="40% - 强调文字颜色 5 12 9" xfId="12817"/>
    <cellStyle name="40% - 强调文字颜色 5 13" xfId="1132"/>
    <cellStyle name="40% - 强调文字颜色 5 13 10" xfId="11267"/>
    <cellStyle name="40% - 强调文字颜色 5 13 11" xfId="18987"/>
    <cellStyle name="40% - 强调文字颜色 5 13 12" xfId="22611"/>
    <cellStyle name="40% - 强调文字颜色 5 13 13" xfId="21054"/>
    <cellStyle name="40% - 强调文字颜色 5 13 14" xfId="30704"/>
    <cellStyle name="40% - 强调文字颜色 5 13 15" xfId="32206"/>
    <cellStyle name="40% - 强调文字颜色 5 13 2" xfId="1133"/>
    <cellStyle name="40% - 强调文字颜色 5 13 2 10" xfId="30705"/>
    <cellStyle name="40% - 强调文字颜色 5 13 2 11" xfId="31742"/>
    <cellStyle name="40% - 强调文字颜色 5 13 2 2" xfId="4355"/>
    <cellStyle name="40% - 强调文字颜色 5 13 2 3" xfId="6678"/>
    <cellStyle name="40% - 强调文字颜色 5 13 2 4" xfId="12823"/>
    <cellStyle name="40% - 强调文字颜色 5 13 2 5" xfId="16039"/>
    <cellStyle name="40% - 强调文字颜色 5 13 2 6" xfId="10133"/>
    <cellStyle name="40% - 强调文字颜色 5 13 2 7" xfId="18988"/>
    <cellStyle name="40% - 强调文字颜色 5 13 2 8" xfId="22124"/>
    <cellStyle name="40% - 强调文字颜色 5 13 2 9" xfId="20492"/>
    <cellStyle name="40% - 强调文字颜色 5 13 3" xfId="1134"/>
    <cellStyle name="40% - 强调文字颜色 5 13 3 10" xfId="30706"/>
    <cellStyle name="40% - 强调文字颜色 5 13 3 11" xfId="33343"/>
    <cellStyle name="40% - 强调文字颜色 5 13 3 2" xfId="4356"/>
    <cellStyle name="40% - 强调文字颜色 5 13 3 3" xfId="6679"/>
    <cellStyle name="40% - 强调文字颜色 5 13 3 4" xfId="12824"/>
    <cellStyle name="40% - 强调文字颜色 5 13 3 5" xfId="16040"/>
    <cellStyle name="40% - 强调文字颜色 5 13 3 6" xfId="11266"/>
    <cellStyle name="40% - 强调文字颜色 5 13 3 7" xfId="18989"/>
    <cellStyle name="40% - 强调文字颜色 5 13 3 8" xfId="23093"/>
    <cellStyle name="40% - 强调文字颜色 5 13 3 9" xfId="19826"/>
    <cellStyle name="40% - 强调文字颜色 5 13 4" xfId="1135"/>
    <cellStyle name="40% - 强调文字颜色 5 13 4 10" xfId="30707"/>
    <cellStyle name="40% - 强调文字颜色 5 13 4 11" xfId="33095"/>
    <cellStyle name="40% - 强调文字颜色 5 13 4 2" xfId="4357"/>
    <cellStyle name="40% - 强调文字颜色 5 13 4 3" xfId="6680"/>
    <cellStyle name="40% - 强调文字颜色 5 13 4 4" xfId="12825"/>
    <cellStyle name="40% - 强调文字颜色 5 13 4 5" xfId="16041"/>
    <cellStyle name="40% - 强调文字颜色 5 13 4 6" xfId="10132"/>
    <cellStyle name="40% - 强调文字颜色 5 13 4 7" xfId="18990"/>
    <cellStyle name="40% - 强调文字颜色 5 13 4 8" xfId="22827"/>
    <cellStyle name="40% - 强调文字颜色 5 13 4 9" xfId="20747"/>
    <cellStyle name="40% - 强调文字颜色 5 13 5" xfId="1136"/>
    <cellStyle name="40% - 强调文字颜色 5 13 5 2" xfId="6681"/>
    <cellStyle name="40% - 强调文字颜色 5 13 5 3" xfId="12826"/>
    <cellStyle name="40% - 强调文字颜色 5 13 5 4" xfId="11265"/>
    <cellStyle name="40% - 强调文字颜色 5 13 5 5" xfId="18991"/>
    <cellStyle name="40% - 强调文字颜色 5 13 5 6" xfId="22609"/>
    <cellStyle name="40% - 强调文字颜色 5 13 5 7" xfId="21355"/>
    <cellStyle name="40% - 强调文字颜色 5 13 5 8" xfId="31597"/>
    <cellStyle name="40% - 强调文字颜色 5 13 5 9" xfId="33225"/>
    <cellStyle name="40% - 强调文字颜色 5 13 6" xfId="4354"/>
    <cellStyle name="40% - 强调文字颜色 5 13 6 2" xfId="23702"/>
    <cellStyle name="40% - 强调文字颜色 5 13 6 3" xfId="26287"/>
    <cellStyle name="40% - 强调文字颜色 5 13 7" xfId="6677"/>
    <cellStyle name="40% - 强调文字颜色 5 13 7 2" xfId="23799"/>
    <cellStyle name="40% - 强调文字颜色 5 13 7 3" xfId="26384"/>
    <cellStyle name="40% - 强调文字颜色 5 13 8" xfId="12822"/>
    <cellStyle name="40% - 强调文字颜色 5 13 8 2" xfId="23879"/>
    <cellStyle name="40% - 强调文字颜色 5 13 8 3" xfId="26464"/>
    <cellStyle name="40% - 强调文字颜色 5 13 9" xfId="16038"/>
    <cellStyle name="40% - 强调文字颜色 5 14" xfId="1137"/>
    <cellStyle name="40% - 强调文字颜色 5 14 10" xfId="10131"/>
    <cellStyle name="40% - 强调文字颜色 5 14 11" xfId="18992"/>
    <cellStyle name="40% - 强调文字颜色 5 14 12" xfId="23106"/>
    <cellStyle name="40% - 强调文字颜色 5 14 13" xfId="20483"/>
    <cellStyle name="40% - 强调文字颜色 5 14 14" xfId="30708"/>
    <cellStyle name="40% - 强调文字颜色 5 14 15" xfId="32690"/>
    <cellStyle name="40% - 强调文字颜色 5 14 2" xfId="1138"/>
    <cellStyle name="40% - 强调文字颜色 5 14 2 10" xfId="30709"/>
    <cellStyle name="40% - 强调文字颜色 5 14 2 11" xfId="32445"/>
    <cellStyle name="40% - 强调文字颜色 5 14 2 2" xfId="4359"/>
    <cellStyle name="40% - 强调文字颜色 5 14 2 3" xfId="6683"/>
    <cellStyle name="40% - 强调文字颜色 5 14 2 4" xfId="12828"/>
    <cellStyle name="40% - 强调文字颜色 5 14 2 5" xfId="16043"/>
    <cellStyle name="40% - 强调文字颜色 5 14 2 6" xfId="7701"/>
    <cellStyle name="40% - 强调文字颜色 5 14 2 7" xfId="18993"/>
    <cellStyle name="40% - 强调文字颜色 5 14 2 8" xfId="22123"/>
    <cellStyle name="40% - 强调文字颜色 5 14 2 9" xfId="20181"/>
    <cellStyle name="40% - 强调文字颜色 5 14 3" xfId="1139"/>
    <cellStyle name="40% - 强调文字颜色 5 14 3 10" xfId="30710"/>
    <cellStyle name="40% - 强调文字颜色 5 14 3 11" xfId="32208"/>
    <cellStyle name="40% - 强调文字颜色 5 14 3 2" xfId="4360"/>
    <cellStyle name="40% - 强调文字颜色 5 14 3 3" xfId="6684"/>
    <cellStyle name="40% - 强调文字颜色 5 14 3 4" xfId="12829"/>
    <cellStyle name="40% - 强调文字颜色 5 14 3 5" xfId="16044"/>
    <cellStyle name="40% - 强调文字颜色 5 14 3 6" xfId="11264"/>
    <cellStyle name="40% - 强调文字颜色 5 14 3 7" xfId="18994"/>
    <cellStyle name="40% - 强调文字颜色 5 14 3 8" xfId="21623"/>
    <cellStyle name="40% - 强调文字颜色 5 14 3 9" xfId="21053"/>
    <cellStyle name="40% - 强调文字颜色 5 14 4" xfId="1140"/>
    <cellStyle name="40% - 强调文字颜色 5 14 4 10" xfId="30711"/>
    <cellStyle name="40% - 强调文字颜色 5 14 4 11" xfId="31744"/>
    <cellStyle name="40% - 强调文字颜色 5 14 4 2" xfId="4361"/>
    <cellStyle name="40% - 强调文字颜色 5 14 4 3" xfId="6685"/>
    <cellStyle name="40% - 强调文字颜色 5 14 4 4" xfId="12830"/>
    <cellStyle name="40% - 强调文字颜色 5 14 4 5" xfId="16045"/>
    <cellStyle name="40% - 强调文字颜色 5 14 4 6" xfId="11262"/>
    <cellStyle name="40% - 强调文字颜色 5 14 4 7" xfId="18995"/>
    <cellStyle name="40% - 强调文字颜色 5 14 4 8" xfId="23105"/>
    <cellStyle name="40% - 强调文字颜色 5 14 4 9" xfId="20491"/>
    <cellStyle name="40% - 强调文字颜色 5 14 5" xfId="1141"/>
    <cellStyle name="40% - 强调文字颜色 5 14 5 2" xfId="6686"/>
    <cellStyle name="40% - 强调文字颜色 5 14 5 3" xfId="12831"/>
    <cellStyle name="40% - 强调文字颜色 5 14 5 4" xfId="10129"/>
    <cellStyle name="40% - 强调文字颜色 5 14 5 5" xfId="18996"/>
    <cellStyle name="40% - 强调文字颜色 5 14 5 6" xfId="22122"/>
    <cellStyle name="40% - 强调文字颜色 5 14 5 7" xfId="19834"/>
    <cellStyle name="40% - 强调文字颜色 5 14 5 8" xfId="31598"/>
    <cellStyle name="40% - 强调文字颜色 5 14 5 9" xfId="32103"/>
    <cellStyle name="40% - 强调文字颜色 5 14 6" xfId="4358"/>
    <cellStyle name="40% - 强调文字颜色 5 14 6 2" xfId="23703"/>
    <cellStyle name="40% - 强调文字颜色 5 14 6 3" xfId="26288"/>
    <cellStyle name="40% - 强调文字颜色 5 14 7" xfId="6682"/>
    <cellStyle name="40% - 强调文字颜色 5 14 7 2" xfId="23800"/>
    <cellStyle name="40% - 强调文字颜色 5 14 7 3" xfId="26385"/>
    <cellStyle name="40% - 强调文字颜色 5 14 8" xfId="12827"/>
    <cellStyle name="40% - 强调文字颜色 5 14 8 2" xfId="23880"/>
    <cellStyle name="40% - 强调文字颜色 5 14 8 3" xfId="26465"/>
    <cellStyle name="40% - 强调文字颜色 5 14 9" xfId="16042"/>
    <cellStyle name="40% - 强调文字颜色 5 15" xfId="1142"/>
    <cellStyle name="40% - 强调文字颜色 5 15 10" xfId="18997"/>
    <cellStyle name="40% - 强调文字颜色 5 15 11" xfId="21622"/>
    <cellStyle name="40% - 强调文字颜色 5 15 12" xfId="21052"/>
    <cellStyle name="40% - 强调文字颜色 5 15 13" xfId="30712"/>
    <cellStyle name="40% - 强调文字颜色 5 15 14" xfId="33342"/>
    <cellStyle name="40% - 强调文字颜色 5 15 2" xfId="1143"/>
    <cellStyle name="40% - 强调文字颜色 5 15 2 10" xfId="30713"/>
    <cellStyle name="40% - 强调文字颜色 5 15 2 11" xfId="33094"/>
    <cellStyle name="40% - 强调文字颜色 5 15 2 2" xfId="4363"/>
    <cellStyle name="40% - 强调文字颜色 5 15 2 3" xfId="6688"/>
    <cellStyle name="40% - 强调文字颜色 5 15 2 4" xfId="12833"/>
    <cellStyle name="40% - 强调文字颜色 5 15 2 5" xfId="16047"/>
    <cellStyle name="40% - 强调文字颜色 5 15 2 6" xfId="10128"/>
    <cellStyle name="40% - 强调文字颜色 5 15 2 7" xfId="18998"/>
    <cellStyle name="40% - 强调文字颜色 5 15 2 8" xfId="23104"/>
    <cellStyle name="40% - 强调文字颜色 5 15 2 9" xfId="20490"/>
    <cellStyle name="40% - 强调文字颜色 5 15 3" xfId="1144"/>
    <cellStyle name="40% - 强调文字颜色 5 15 3 10" xfId="30714"/>
    <cellStyle name="40% - 强调文字颜色 5 15 3 11" xfId="32689"/>
    <cellStyle name="40% - 强调文字颜色 5 15 3 2" xfId="4364"/>
    <cellStyle name="40% - 强调文字颜色 5 15 3 3" xfId="6689"/>
    <cellStyle name="40% - 强调文字颜色 5 15 3 4" xfId="12834"/>
    <cellStyle name="40% - 强调文字颜色 5 15 3 5" xfId="16048"/>
    <cellStyle name="40% - 强调文字颜色 5 15 3 6" xfId="11260"/>
    <cellStyle name="40% - 强调文字颜色 5 15 3 7" xfId="18999"/>
    <cellStyle name="40% - 强调文字颜色 5 15 3 8" xfId="22828"/>
    <cellStyle name="40% - 强调文字颜色 5 15 3 9" xfId="19833"/>
    <cellStyle name="40% - 强调文字颜色 5 15 4" xfId="1145"/>
    <cellStyle name="40% - 强调文字颜色 5 15 4 2" xfId="6690"/>
    <cellStyle name="40% - 强调文字颜色 5 15 4 3" xfId="12835"/>
    <cellStyle name="40% - 强调文字颜色 5 15 4 4" xfId="10127"/>
    <cellStyle name="40% - 强调文字颜色 5 15 4 5" xfId="19000"/>
    <cellStyle name="40% - 强调文字颜色 5 15 4 6" xfId="22610"/>
    <cellStyle name="40% - 强调文字颜色 5 15 4 7" xfId="21051"/>
    <cellStyle name="40% - 强调文字颜色 5 15 4 8" xfId="31599"/>
    <cellStyle name="40% - 强调文字颜色 5 15 4 9" xfId="32326"/>
    <cellStyle name="40% - 强调文字颜色 5 15 5" xfId="4362"/>
    <cellStyle name="40% - 强调文字颜色 5 15 6" xfId="6687"/>
    <cellStyle name="40% - 强调文字颜色 5 15 7" xfId="12832"/>
    <cellStyle name="40% - 强调文字颜色 5 15 8" xfId="16046"/>
    <cellStyle name="40% - 强调文字颜色 5 15 9" xfId="11261"/>
    <cellStyle name="40% - 强调文字颜色 5 16" xfId="1146"/>
    <cellStyle name="40% - 强调文字颜色 5 16 10" xfId="19001"/>
    <cellStyle name="40% - 强调文字颜色 5 16 11" xfId="22121"/>
    <cellStyle name="40% - 强调文字颜色 5 16 12" xfId="20489"/>
    <cellStyle name="40% - 强调文字颜色 5 16 13" xfId="30715"/>
    <cellStyle name="40% - 强调文字颜色 5 16 14" xfId="32444"/>
    <cellStyle name="40% - 强调文字颜色 5 16 2" xfId="1147"/>
    <cellStyle name="40% - 强调文字颜色 5 16 2 10" xfId="30716"/>
    <cellStyle name="40% - 强调文字颜色 5 16 2 11" xfId="32207"/>
    <cellStyle name="40% - 强调文字颜色 5 16 2 2" xfId="4366"/>
    <cellStyle name="40% - 强调文字颜色 5 16 2 3" xfId="6692"/>
    <cellStyle name="40% - 强调文字颜色 5 16 2 4" xfId="12837"/>
    <cellStyle name="40% - 强调文字颜色 5 16 2 5" xfId="16050"/>
    <cellStyle name="40% - 强调文字颜色 5 16 2 6" xfId="10126"/>
    <cellStyle name="40% - 强调文字颜色 5 16 2 7" xfId="19002"/>
    <cellStyle name="40% - 强调文字颜色 5 16 2 8" xfId="23103"/>
    <cellStyle name="40% - 强调文字颜色 5 16 2 9" xfId="19832"/>
    <cellStyle name="40% - 强调文字颜色 5 16 3" xfId="1148"/>
    <cellStyle name="40% - 强调文字颜色 5 16 3 10" xfId="30717"/>
    <cellStyle name="40% - 强调文字颜色 5 16 3 11" xfId="31743"/>
    <cellStyle name="40% - 强调文字颜色 5 16 3 2" xfId="4367"/>
    <cellStyle name="40% - 强调文字颜色 5 16 3 3" xfId="6693"/>
    <cellStyle name="40% - 强调文字颜色 5 16 3 4" xfId="12838"/>
    <cellStyle name="40% - 强调文字颜色 5 16 3 5" xfId="16051"/>
    <cellStyle name="40% - 强调文字颜色 5 16 3 6" xfId="11254"/>
    <cellStyle name="40% - 强调文字颜色 5 16 3 7" xfId="19003"/>
    <cellStyle name="40% - 强调文字颜色 5 16 3 8" xfId="22120"/>
    <cellStyle name="40% - 强调文字颜色 5 16 3 9" xfId="21050"/>
    <cellStyle name="40% - 强调文字颜色 5 16 4" xfId="1149"/>
    <cellStyle name="40% - 强调文字颜色 5 16 4 2" xfId="6694"/>
    <cellStyle name="40% - 强调文字颜色 5 16 4 3" xfId="12839"/>
    <cellStyle name="40% - 强调文字颜色 5 16 4 4" xfId="10121"/>
    <cellStyle name="40% - 强调文字颜色 5 16 4 5" xfId="19004"/>
    <cellStyle name="40% - 强调文字颜色 5 16 4 6" xfId="21621"/>
    <cellStyle name="40% - 强调文字颜色 5 16 4 7" xfId="20488"/>
    <cellStyle name="40% - 强调文字颜色 5 16 4 8" xfId="31600"/>
    <cellStyle name="40% - 强调文字颜色 5 16 4 9" xfId="32556"/>
    <cellStyle name="40% - 强调文字颜色 5 16 5" xfId="4365"/>
    <cellStyle name="40% - 强调文字颜色 5 16 6" xfId="6691"/>
    <cellStyle name="40% - 强调文字颜色 5 16 7" xfId="12836"/>
    <cellStyle name="40% - 强调文字颜色 5 16 8" xfId="16049"/>
    <cellStyle name="40% - 强调文字颜色 5 16 9" xfId="11259"/>
    <cellStyle name="40% - 强调文字颜色 5 17" xfId="1150"/>
    <cellStyle name="40% - 强调文字颜色 5 17 10" xfId="23102"/>
    <cellStyle name="40% - 强调文字颜色 5 17 11" xfId="19831"/>
    <cellStyle name="40% - 强调文字颜色 5 17 12" xfId="30718"/>
    <cellStyle name="40% - 强调文字颜色 5 17 13" xfId="33340"/>
    <cellStyle name="40% - 强调文字颜色 5 17 2" xfId="1151"/>
    <cellStyle name="40% - 强调文字颜色 5 17 2 2" xfId="6696"/>
    <cellStyle name="40% - 强调文字颜色 5 17 2 3" xfId="12841"/>
    <cellStyle name="40% - 强调文字颜色 5 17 2 4" xfId="10123"/>
    <cellStyle name="40% - 强调文字颜色 5 17 2 5" xfId="19006"/>
    <cellStyle name="40% - 强调文字颜色 5 17 2 6" xfId="22119"/>
    <cellStyle name="40% - 强调文字颜色 5 17 2 7" xfId="21049"/>
    <cellStyle name="40% - 强调文字颜色 5 17 2 8" xfId="31601"/>
    <cellStyle name="40% - 强调文字颜色 5 17 2 9" xfId="32053"/>
    <cellStyle name="40% - 强调文字颜色 5 17 3" xfId="1152"/>
    <cellStyle name="40% - 强调文字颜色 5 17 3 2" xfId="6697"/>
    <cellStyle name="40% - 强调文字颜色 5 17 3 3" xfId="12842"/>
    <cellStyle name="40% - 强调文字颜色 5 17 3 4" xfId="11255"/>
    <cellStyle name="40% - 强调文字颜色 5 17 3 5" xfId="19007"/>
    <cellStyle name="40% - 强调文字颜色 5 17 3 6" xfId="21620"/>
    <cellStyle name="40% - 强调文字颜色 5 17 3 7" xfId="20487"/>
    <cellStyle name="40% - 强调文字颜色 5 17 3 8" xfId="31602"/>
    <cellStyle name="40% - 强调文字颜色 5 17 3 9" xfId="32325"/>
    <cellStyle name="40% - 强调文字颜色 5 17 4" xfId="4368"/>
    <cellStyle name="40% - 强调文字颜色 5 17 5" xfId="6695"/>
    <cellStyle name="40% - 强调文字颜色 5 17 6" xfId="12840"/>
    <cellStyle name="40% - 强调文字颜色 5 17 7" xfId="16052"/>
    <cellStyle name="40% - 强调文字颜色 5 17 8" xfId="11256"/>
    <cellStyle name="40% - 强调文字颜色 5 17 9" xfId="19005"/>
    <cellStyle name="40% - 强调文字颜色 5 18" xfId="1153"/>
    <cellStyle name="40% - 强调文字颜色 5 18 10" xfId="30719"/>
    <cellStyle name="40% - 强调文字颜色 5 18 11" xfId="33091"/>
    <cellStyle name="40% - 强调文字颜色 5 18 2" xfId="1154"/>
    <cellStyle name="40% - 强调文字颜色 5 18 2 2" xfId="9621"/>
    <cellStyle name="40% - 强调文字颜色 5 18 2 3" xfId="17342"/>
    <cellStyle name="40% - 强调文字颜色 5 18 2 4" xfId="19009"/>
    <cellStyle name="40% - 强调文字颜色 5 18 2 5" xfId="21548"/>
    <cellStyle name="40% - 强调文字颜色 5 18 2 6" xfId="21048"/>
    <cellStyle name="40% - 强调文字颜色 5 18 2 7" xfId="31603"/>
    <cellStyle name="40% - 强调文字颜色 5 18 2 8" xfId="32102"/>
    <cellStyle name="40% - 强调文字颜色 5 18 3" xfId="4369"/>
    <cellStyle name="40% - 强调文字颜色 5 18 4" xfId="6698"/>
    <cellStyle name="40% - 强调文字颜色 5 18 5" xfId="16053"/>
    <cellStyle name="40% - 强调文字颜色 5 18 6" xfId="10122"/>
    <cellStyle name="40% - 强调文字颜色 5 18 7" xfId="19008"/>
    <cellStyle name="40% - 强调文字颜色 5 18 8" xfId="23101"/>
    <cellStyle name="40% - 强调文字颜色 5 18 9" xfId="19830"/>
    <cellStyle name="40% - 强调文字颜色 5 19" xfId="1155"/>
    <cellStyle name="40% - 强调文字颜色 5 19 10" xfId="4371"/>
    <cellStyle name="40% - 强调文字颜色 5 19 10 2" xfId="9622"/>
    <cellStyle name="40% - 强调文字颜色 5 19 10 3" xfId="16055"/>
    <cellStyle name="40% - 强调文字颜色 5 19 10 4" xfId="25469"/>
    <cellStyle name="40% - 强调文字颜色 5 19 10 5" xfId="28709"/>
    <cellStyle name="40% - 强调文字颜色 5 19 11" xfId="4372"/>
    <cellStyle name="40% - 强调文字颜色 5 19 11 2" xfId="9623"/>
    <cellStyle name="40% - 强调文字颜色 5 19 11 3" xfId="16056"/>
    <cellStyle name="40% - 强调文字颜色 5 19 11 4" xfId="25470"/>
    <cellStyle name="40% - 强调文字颜色 5 19 11 5" xfId="28710"/>
    <cellStyle name="40% - 强调文字颜色 5 19 12" xfId="4373"/>
    <cellStyle name="40% - 强调文字颜色 5 19 12 2" xfId="9624"/>
    <cellStyle name="40% - 强调文字颜色 5 19 12 3" xfId="16057"/>
    <cellStyle name="40% - 强调文字颜色 5 19 12 4" xfId="25471"/>
    <cellStyle name="40% - 强调文字颜色 5 19 12 5" xfId="28711"/>
    <cellStyle name="40% - 强调文字颜色 5 19 13" xfId="4374"/>
    <cellStyle name="40% - 强调文字颜色 5 19 13 2" xfId="9625"/>
    <cellStyle name="40% - 强调文字颜色 5 19 13 3" xfId="16058"/>
    <cellStyle name="40% - 强调文字颜色 5 19 13 4" xfId="25472"/>
    <cellStyle name="40% - 强调文字颜色 5 19 13 5" xfId="28712"/>
    <cellStyle name="40% - 强调文字颜色 5 19 14" xfId="4375"/>
    <cellStyle name="40% - 强调文字颜色 5 19 14 2" xfId="9626"/>
    <cellStyle name="40% - 强调文字颜色 5 19 14 3" xfId="16059"/>
    <cellStyle name="40% - 强调文字颜色 5 19 14 4" xfId="25473"/>
    <cellStyle name="40% - 强调文字颜色 5 19 14 5" xfId="28713"/>
    <cellStyle name="40% - 强调文字颜色 5 19 15" xfId="4376"/>
    <cellStyle name="40% - 强调文字颜色 5 19 15 2" xfId="9627"/>
    <cellStyle name="40% - 强调文字颜色 5 19 15 3" xfId="16060"/>
    <cellStyle name="40% - 强调文字颜色 5 19 15 4" xfId="25474"/>
    <cellStyle name="40% - 强调文字颜色 5 19 15 5" xfId="28714"/>
    <cellStyle name="40% - 强调文字颜色 5 19 16" xfId="4377"/>
    <cellStyle name="40% - 强调文字颜色 5 19 16 2" xfId="9628"/>
    <cellStyle name="40% - 强调文字颜色 5 19 16 3" xfId="16061"/>
    <cellStyle name="40% - 强调文字颜色 5 19 16 4" xfId="25475"/>
    <cellStyle name="40% - 强调文字颜色 5 19 16 5" xfId="28715"/>
    <cellStyle name="40% - 强调文字颜色 5 19 17" xfId="4378"/>
    <cellStyle name="40% - 强调文字颜色 5 19 17 2" xfId="9629"/>
    <cellStyle name="40% - 强调文字颜色 5 19 17 3" xfId="16062"/>
    <cellStyle name="40% - 强调文字颜色 5 19 17 4" xfId="25476"/>
    <cellStyle name="40% - 强调文字颜色 5 19 17 5" xfId="28716"/>
    <cellStyle name="40% - 强调文字颜色 5 19 18" xfId="4379"/>
    <cellStyle name="40% - 强调文字颜色 5 19 18 2" xfId="9630"/>
    <cellStyle name="40% - 强调文字颜色 5 19 18 3" xfId="16063"/>
    <cellStyle name="40% - 强调文字颜色 5 19 18 4" xfId="25477"/>
    <cellStyle name="40% - 强调文字颜色 5 19 18 5" xfId="28717"/>
    <cellStyle name="40% - 强调文字颜色 5 19 19" xfId="4380"/>
    <cellStyle name="40% - 强调文字颜色 5 19 19 2" xfId="9631"/>
    <cellStyle name="40% - 强调文字颜色 5 19 19 3" xfId="16064"/>
    <cellStyle name="40% - 强调文字颜色 5 19 19 4" xfId="25478"/>
    <cellStyle name="40% - 强调文字颜色 5 19 19 5" xfId="28718"/>
    <cellStyle name="40% - 强调文字颜色 5 19 2" xfId="1156"/>
    <cellStyle name="40% - 强调文字颜色 5 19 2 10" xfId="30722"/>
    <cellStyle name="40% - 强调文字颜色 5 19 2 11" xfId="33092"/>
    <cellStyle name="40% - 强调文字颜色 5 19 2 2" xfId="4381"/>
    <cellStyle name="40% - 强调文字颜色 5 19 2 3" xfId="6700"/>
    <cellStyle name="40% - 强调文字颜色 5 19 2 4" xfId="12844"/>
    <cellStyle name="40% - 强调文字颜色 5 19 2 5" xfId="16065"/>
    <cellStyle name="40% - 强调文字颜色 5 19 2 6" xfId="10118"/>
    <cellStyle name="40% - 强调文字颜色 5 19 2 7" xfId="19011"/>
    <cellStyle name="40% - 强调文字颜色 5 19 2 8" xfId="21619"/>
    <cellStyle name="40% - 强调文字颜色 5 19 2 9" xfId="19829"/>
    <cellStyle name="40% - 强调文字颜色 5 19 20" xfId="4382"/>
    <cellStyle name="40% - 强调文字颜色 5 19 20 2" xfId="9632"/>
    <cellStyle name="40% - 强调文字颜色 5 19 20 3" xfId="16066"/>
    <cellStyle name="40% - 强调文字颜色 5 19 20 4" xfId="25479"/>
    <cellStyle name="40% - 强调文字颜色 5 19 20 5" xfId="28719"/>
    <cellStyle name="40% - 强调文字颜色 5 19 21" xfId="4383"/>
    <cellStyle name="40% - 强调文字颜色 5 19 21 2" xfId="9633"/>
    <cellStyle name="40% - 强调文字颜色 5 19 21 3" xfId="16067"/>
    <cellStyle name="40% - 强调文字颜色 5 19 21 4" xfId="25480"/>
    <cellStyle name="40% - 强调文字颜色 5 19 21 5" xfId="28720"/>
    <cellStyle name="40% - 强调文字颜色 5 19 22" xfId="4384"/>
    <cellStyle name="40% - 强调文字颜色 5 19 22 2" xfId="9634"/>
    <cellStyle name="40% - 强调文字颜色 5 19 22 3" xfId="16068"/>
    <cellStyle name="40% - 强调文字颜色 5 19 22 4" xfId="25481"/>
    <cellStyle name="40% - 强调文字颜色 5 19 22 5" xfId="28721"/>
    <cellStyle name="40% - 强调文字颜色 5 19 23" xfId="4385"/>
    <cellStyle name="40% - 强调文字颜色 5 19 23 2" xfId="9635"/>
    <cellStyle name="40% - 强调文字颜色 5 19 23 3" xfId="16069"/>
    <cellStyle name="40% - 强调文字颜色 5 19 23 4" xfId="25482"/>
    <cellStyle name="40% - 强调文字颜色 5 19 23 5" xfId="28722"/>
    <cellStyle name="40% - 强调文字颜色 5 19 24" xfId="6699"/>
    <cellStyle name="40% - 强调文字颜色 5 19 25" xfId="11046"/>
    <cellStyle name="40% - 强调文字颜色 5 19 26" xfId="12843"/>
    <cellStyle name="40% - 强调文字颜色 5 19 27" xfId="16054"/>
    <cellStyle name="40% - 强调文字颜色 5 19 28" xfId="11251"/>
    <cellStyle name="40% - 强调文字颜色 5 19 29" xfId="19010"/>
    <cellStyle name="40% - 强调文字颜色 5 19 3" xfId="4370"/>
    <cellStyle name="40% - 强调文字颜色 5 19 3 2" xfId="9636"/>
    <cellStyle name="40% - 强调文字颜色 5 19 3 3" xfId="16070"/>
    <cellStyle name="40% - 强调文字颜色 5 19 3 4" xfId="25483"/>
    <cellStyle name="40% - 强调文字颜色 5 19 3 5" xfId="28708"/>
    <cellStyle name="40% - 强调文字颜色 5 19 30" xfId="22118"/>
    <cellStyle name="40% - 强调文字颜色 5 19 31" xfId="20486"/>
    <cellStyle name="40% - 强调文字颜色 5 19 32" xfId="30720"/>
    <cellStyle name="40% - 强调文字颜色 5 19 33" xfId="32687"/>
    <cellStyle name="40% - 强调文字颜色 5 19 4" xfId="4387"/>
    <cellStyle name="40% - 强调文字颜色 5 19 4 2" xfId="9637"/>
    <cellStyle name="40% - 强调文字颜色 5 19 4 3" xfId="16071"/>
    <cellStyle name="40% - 强调文字颜色 5 19 4 4" xfId="25484"/>
    <cellStyle name="40% - 强调文字颜色 5 19 4 5" xfId="28723"/>
    <cellStyle name="40% - 强调文字颜色 5 19 5" xfId="4388"/>
    <cellStyle name="40% - 强调文字颜色 5 19 5 2" xfId="9638"/>
    <cellStyle name="40% - 强调文字颜色 5 19 5 3" xfId="16072"/>
    <cellStyle name="40% - 强调文字颜色 5 19 5 4" xfId="25485"/>
    <cellStyle name="40% - 强调文字颜色 5 19 5 5" xfId="28724"/>
    <cellStyle name="40% - 强调文字颜色 5 19 6" xfId="4389"/>
    <cellStyle name="40% - 强调文字颜色 5 19 6 2" xfId="9639"/>
    <cellStyle name="40% - 强调文字颜色 5 19 6 3" xfId="16073"/>
    <cellStyle name="40% - 强调文字颜色 5 19 6 4" xfId="25486"/>
    <cellStyle name="40% - 强调文字颜色 5 19 6 5" xfId="28725"/>
    <cellStyle name="40% - 强调文字颜色 5 19 7" xfId="4390"/>
    <cellStyle name="40% - 强调文字颜色 5 19 7 2" xfId="9640"/>
    <cellStyle name="40% - 强调文字颜色 5 19 7 3" xfId="16074"/>
    <cellStyle name="40% - 强调文字颜色 5 19 7 4" xfId="25487"/>
    <cellStyle name="40% - 强调文字颜色 5 19 7 5" xfId="28726"/>
    <cellStyle name="40% - 强调文字颜色 5 19 8" xfId="4391"/>
    <cellStyle name="40% - 强调文字颜色 5 19 8 2" xfId="9641"/>
    <cellStyle name="40% - 强调文字颜色 5 19 8 3" xfId="16075"/>
    <cellStyle name="40% - 强调文字颜色 5 19 8 4" xfId="25488"/>
    <cellStyle name="40% - 强调文字颜色 5 19 8 5" xfId="28727"/>
    <cellStyle name="40% - 强调文字颜色 5 19 9" xfId="4392"/>
    <cellStyle name="40% - 强调文字颜色 5 19 9 2" xfId="9642"/>
    <cellStyle name="40% - 强调文字颜色 5 19 9 3" xfId="16076"/>
    <cellStyle name="40% - 强调文字颜色 5 19 9 4" xfId="25489"/>
    <cellStyle name="40% - 强调文字颜色 5 19 9 5" xfId="28728"/>
    <cellStyle name="40% - 强调文字颜色 5 2" xfId="1157"/>
    <cellStyle name="40% - 强调文字颜色 5 2 10" xfId="17534"/>
    <cellStyle name="40% - 强调文字颜色 5 2 11" xfId="17620"/>
    <cellStyle name="40% - 强调文字颜色 5 2 12" xfId="17706"/>
    <cellStyle name="40% - 强调文字颜色 5 2 13" xfId="17792"/>
    <cellStyle name="40% - 强调文字颜色 5 2 14" xfId="19012"/>
    <cellStyle name="40% - 强调文字颜色 5 2 15" xfId="23100"/>
    <cellStyle name="40% - 强调文字颜色 5 2 16" xfId="21047"/>
    <cellStyle name="40% - 强调文字颜色 5 2 2" xfId="1158"/>
    <cellStyle name="40% - 强调文字颜色 5 2 2 10" xfId="30723"/>
    <cellStyle name="40% - 强调文字颜色 5 2 2 11" xfId="33089"/>
    <cellStyle name="40% - 强调文字颜色 5 2 2 2" xfId="4394"/>
    <cellStyle name="40% - 强调文字颜色 5 2 2 3" xfId="6702"/>
    <cellStyle name="40% - 强调文字颜色 5 2 2 4" xfId="12846"/>
    <cellStyle name="40% - 强调文字颜色 5 2 2 5" xfId="16078"/>
    <cellStyle name="40% - 强调文字颜色 5 2 2 6" xfId="10120"/>
    <cellStyle name="40% - 强调文字颜色 5 2 2 7" xfId="19013"/>
    <cellStyle name="40% - 强调文字颜色 5 2 2 8" xfId="22117"/>
    <cellStyle name="40% - 强调文字颜色 5 2 2 9" xfId="20485"/>
    <cellStyle name="40% - 强调文字颜色 5 2 3" xfId="1159"/>
    <cellStyle name="40% - 强调文字颜色 5 2 3 10" xfId="30724"/>
    <cellStyle name="40% - 强调文字颜色 5 2 3 11" xfId="32685"/>
    <cellStyle name="40% - 强调文字颜色 5 2 3 2" xfId="4395"/>
    <cellStyle name="40% - 强调文字颜色 5 2 3 3" xfId="6703"/>
    <cellStyle name="40% - 强调文字颜色 5 2 3 4" xfId="12847"/>
    <cellStyle name="40% - 强调文字颜色 5 2 3 5" xfId="16079"/>
    <cellStyle name="40% - 强调文字颜色 5 2 3 6" xfId="11252"/>
    <cellStyle name="40% - 强调文字颜色 5 2 3 7" xfId="19014"/>
    <cellStyle name="40% - 强调文字颜色 5 2 3 8" xfId="21618"/>
    <cellStyle name="40% - 强调文字颜色 5 2 3 9" xfId="19828"/>
    <cellStyle name="40% - 强调文字颜色 5 2 4" xfId="4393"/>
    <cellStyle name="40% - 强调文字颜色 5 2 5" xfId="6701"/>
    <cellStyle name="40% - 强调文字颜色 5 2 6" xfId="12845"/>
    <cellStyle name="40% - 强调文字颜色 5 2 7" xfId="16077"/>
    <cellStyle name="40% - 强调文字颜色 5 2 8" xfId="11253"/>
    <cellStyle name="40% - 强调文字颜色 5 2 9" xfId="17448"/>
    <cellStyle name="40% - 强调文字颜色 5 20" xfId="1160"/>
    <cellStyle name="40% - 强调文字颜色 5 20 10" xfId="4397"/>
    <cellStyle name="40% - 强调文字颜色 5 20 10 2" xfId="9647"/>
    <cellStyle name="40% - 强调文字颜色 5 20 10 3" xfId="16081"/>
    <cellStyle name="40% - 强调文字颜色 5 20 10 4" xfId="25490"/>
    <cellStyle name="40% - 强调文字颜色 5 20 10 5" xfId="28730"/>
    <cellStyle name="40% - 强调文字颜色 5 20 11" xfId="4398"/>
    <cellStyle name="40% - 强调文字颜色 5 20 11 2" xfId="9648"/>
    <cellStyle name="40% - 强调文字颜色 5 20 11 3" xfId="16082"/>
    <cellStyle name="40% - 强调文字颜色 5 20 11 4" xfId="25491"/>
    <cellStyle name="40% - 强调文字颜色 5 20 11 5" xfId="28731"/>
    <cellStyle name="40% - 强调文字颜色 5 20 12" xfId="4399"/>
    <cellStyle name="40% - 强调文字颜色 5 20 12 2" xfId="9649"/>
    <cellStyle name="40% - 强调文字颜色 5 20 12 3" xfId="16083"/>
    <cellStyle name="40% - 强调文字颜色 5 20 12 4" xfId="25492"/>
    <cellStyle name="40% - 强调文字颜色 5 20 12 5" xfId="28732"/>
    <cellStyle name="40% - 强调文字颜色 5 20 13" xfId="4400"/>
    <cellStyle name="40% - 强调文字颜色 5 20 13 2" xfId="9650"/>
    <cellStyle name="40% - 强调文字颜色 5 20 13 3" xfId="16084"/>
    <cellStyle name="40% - 强调文字颜色 5 20 13 4" xfId="25493"/>
    <cellStyle name="40% - 强调文字颜色 5 20 13 5" xfId="28733"/>
    <cellStyle name="40% - 强调文字颜色 5 20 14" xfId="4401"/>
    <cellStyle name="40% - 强调文字颜色 5 20 14 2" xfId="9651"/>
    <cellStyle name="40% - 强调文字颜色 5 20 14 3" xfId="16085"/>
    <cellStyle name="40% - 强调文字颜色 5 20 14 4" xfId="25494"/>
    <cellStyle name="40% - 强调文字颜色 5 20 14 5" xfId="28734"/>
    <cellStyle name="40% - 强调文字颜色 5 20 15" xfId="4402"/>
    <cellStyle name="40% - 强调文字颜色 5 20 15 2" xfId="9652"/>
    <cellStyle name="40% - 强调文字颜色 5 20 15 3" xfId="16086"/>
    <cellStyle name="40% - 强调文字颜色 5 20 15 4" xfId="25495"/>
    <cellStyle name="40% - 强调文字颜色 5 20 15 5" xfId="28735"/>
    <cellStyle name="40% - 强调文字颜色 5 20 16" xfId="4403"/>
    <cellStyle name="40% - 强调文字颜色 5 20 16 2" xfId="9653"/>
    <cellStyle name="40% - 强调文字颜色 5 20 16 3" xfId="16087"/>
    <cellStyle name="40% - 强调文字颜色 5 20 16 4" xfId="25496"/>
    <cellStyle name="40% - 强调文字颜色 5 20 16 5" xfId="28736"/>
    <cellStyle name="40% - 强调文字颜色 5 20 17" xfId="4404"/>
    <cellStyle name="40% - 强调文字颜色 5 20 17 2" xfId="9654"/>
    <cellStyle name="40% - 强调文字颜色 5 20 17 3" xfId="16088"/>
    <cellStyle name="40% - 强调文字颜色 5 20 17 4" xfId="25497"/>
    <cellStyle name="40% - 强调文字颜色 5 20 17 5" xfId="28737"/>
    <cellStyle name="40% - 强调文字颜色 5 20 18" xfId="4405"/>
    <cellStyle name="40% - 强调文字颜色 5 20 18 2" xfId="9655"/>
    <cellStyle name="40% - 强调文字颜色 5 20 18 3" xfId="16089"/>
    <cellStyle name="40% - 强调文字颜色 5 20 18 4" xfId="25498"/>
    <cellStyle name="40% - 强调文字颜色 5 20 18 5" xfId="28738"/>
    <cellStyle name="40% - 强调文字颜色 5 20 19" xfId="4406"/>
    <cellStyle name="40% - 强调文字颜色 5 20 19 2" xfId="9656"/>
    <cellStyle name="40% - 强调文字颜色 5 20 19 3" xfId="16090"/>
    <cellStyle name="40% - 强调文字颜色 5 20 19 4" xfId="25499"/>
    <cellStyle name="40% - 强调文字颜色 5 20 19 5" xfId="28739"/>
    <cellStyle name="40% - 强调文字颜色 5 20 2" xfId="4396"/>
    <cellStyle name="40% - 强调文字颜色 5 20 2 2" xfId="9657"/>
    <cellStyle name="40% - 强调文字颜色 5 20 2 3" xfId="16091"/>
    <cellStyle name="40% - 强调文字颜色 5 20 2 4" xfId="25500"/>
    <cellStyle name="40% - 强调文字颜色 5 20 2 5" xfId="28729"/>
    <cellStyle name="40% - 强调文字颜色 5 20 20" xfId="4408"/>
    <cellStyle name="40% - 强调文字颜色 5 20 20 2" xfId="9658"/>
    <cellStyle name="40% - 强调文字颜色 5 20 20 3" xfId="16092"/>
    <cellStyle name="40% - 强调文字颜色 5 20 20 4" xfId="25501"/>
    <cellStyle name="40% - 强调文字颜色 5 20 20 5" xfId="28740"/>
    <cellStyle name="40% - 强调文字颜色 5 20 21" xfId="4409"/>
    <cellStyle name="40% - 强调文字颜色 5 20 21 2" xfId="9659"/>
    <cellStyle name="40% - 强调文字颜色 5 20 21 3" xfId="16093"/>
    <cellStyle name="40% - 强调文字颜色 5 20 21 4" xfId="25502"/>
    <cellStyle name="40% - 强调文字颜色 5 20 21 5" xfId="28741"/>
    <cellStyle name="40% - 强调文字颜色 5 20 22" xfId="4410"/>
    <cellStyle name="40% - 强调文字颜色 5 20 22 2" xfId="9660"/>
    <cellStyle name="40% - 强调文字颜色 5 20 22 3" xfId="16094"/>
    <cellStyle name="40% - 强调文字颜色 5 20 22 4" xfId="25503"/>
    <cellStyle name="40% - 强调文字颜色 5 20 22 5" xfId="28742"/>
    <cellStyle name="40% - 强调文字颜色 5 20 23" xfId="4411"/>
    <cellStyle name="40% - 强调文字颜色 5 20 23 2" xfId="9661"/>
    <cellStyle name="40% - 强调文字颜色 5 20 23 3" xfId="16095"/>
    <cellStyle name="40% - 强调文字颜色 5 20 23 4" xfId="25504"/>
    <cellStyle name="40% - 强调文字颜色 5 20 23 5" xfId="28743"/>
    <cellStyle name="40% - 强调文字颜色 5 20 24" xfId="6704"/>
    <cellStyle name="40% - 强调文字颜色 5 20 25" xfId="11050"/>
    <cellStyle name="40% - 强调文字颜色 5 20 26" xfId="12848"/>
    <cellStyle name="40% - 强调文字颜色 5 20 27" xfId="16080"/>
    <cellStyle name="40% - 强调文字颜色 5 20 28" xfId="10119"/>
    <cellStyle name="40% - 强调文字颜色 5 20 29" xfId="19015"/>
    <cellStyle name="40% - 强调文字颜色 5 20 3" xfId="4412"/>
    <cellStyle name="40% - 强调文字颜色 5 20 3 2" xfId="9662"/>
    <cellStyle name="40% - 强调文字颜色 5 20 3 3" xfId="16096"/>
    <cellStyle name="40% - 强调文字颜色 5 20 3 4" xfId="25505"/>
    <cellStyle name="40% - 强调文字颜色 5 20 3 5" xfId="28744"/>
    <cellStyle name="40% - 强调文字颜色 5 20 30" xfId="23099"/>
    <cellStyle name="40% - 强调文字颜色 5 20 31" xfId="21046"/>
    <cellStyle name="40% - 强调文字颜色 5 20 32" xfId="30725"/>
    <cellStyle name="40% - 强调文字颜色 5 20 33" xfId="32441"/>
    <cellStyle name="40% - 强调文字颜色 5 20 4" xfId="4413"/>
    <cellStyle name="40% - 强调文字颜色 5 20 4 2" xfId="9663"/>
    <cellStyle name="40% - 强调文字颜色 5 20 4 3" xfId="16097"/>
    <cellStyle name="40% - 强调文字颜色 5 20 4 4" xfId="25506"/>
    <cellStyle name="40% - 强调文字颜色 5 20 4 5" xfId="28745"/>
    <cellStyle name="40% - 强调文字颜色 5 20 5" xfId="4414"/>
    <cellStyle name="40% - 强调文字颜色 5 20 5 2" xfId="9664"/>
    <cellStyle name="40% - 强调文字颜色 5 20 5 3" xfId="16098"/>
    <cellStyle name="40% - 强调文字颜色 5 20 5 4" xfId="25507"/>
    <cellStyle name="40% - 强调文字颜色 5 20 5 5" xfId="28746"/>
    <cellStyle name="40% - 强调文字颜色 5 20 6" xfId="4415"/>
    <cellStyle name="40% - 强调文字颜色 5 20 6 2" xfId="9665"/>
    <cellStyle name="40% - 强调文字颜色 5 20 6 3" xfId="16099"/>
    <cellStyle name="40% - 强调文字颜色 5 20 6 4" xfId="25508"/>
    <cellStyle name="40% - 强调文字颜色 5 20 6 5" xfId="28747"/>
    <cellStyle name="40% - 强调文字颜色 5 20 7" xfId="4416"/>
    <cellStyle name="40% - 强调文字颜色 5 20 7 2" xfId="9666"/>
    <cellStyle name="40% - 强调文字颜色 5 20 7 3" xfId="16100"/>
    <cellStyle name="40% - 强调文字颜色 5 20 7 4" xfId="25509"/>
    <cellStyle name="40% - 强调文字颜色 5 20 7 5" xfId="28748"/>
    <cellStyle name="40% - 强调文字颜色 5 20 8" xfId="4417"/>
    <cellStyle name="40% - 强调文字颜色 5 20 8 2" xfId="9667"/>
    <cellStyle name="40% - 强调文字颜色 5 20 8 3" xfId="16101"/>
    <cellStyle name="40% - 强调文字颜色 5 20 8 4" xfId="25510"/>
    <cellStyle name="40% - 强调文字颜色 5 20 8 5" xfId="28749"/>
    <cellStyle name="40% - 强调文字颜色 5 20 9" xfId="4418"/>
    <cellStyle name="40% - 强调文字颜色 5 20 9 2" xfId="9668"/>
    <cellStyle name="40% - 强调文字颜色 5 20 9 3" xfId="16102"/>
    <cellStyle name="40% - 强调文字颜色 5 20 9 4" xfId="25511"/>
    <cellStyle name="40% - 强调文字颜色 5 20 9 5" xfId="28750"/>
    <cellStyle name="40% - 强调文字颜色 5 21" xfId="1161"/>
    <cellStyle name="40% - 强调文字颜色 5 21 10" xfId="4420"/>
    <cellStyle name="40% - 强调文字颜色 5 21 10 2" xfId="9670"/>
    <cellStyle name="40% - 强调文字颜色 5 21 10 3" xfId="16104"/>
    <cellStyle name="40% - 强调文字颜色 5 21 10 4" xfId="25512"/>
    <cellStyle name="40% - 强调文字颜色 5 21 10 5" xfId="28752"/>
    <cellStyle name="40% - 强调文字颜色 5 21 11" xfId="4421"/>
    <cellStyle name="40% - 强调文字颜色 5 21 11 2" xfId="9671"/>
    <cellStyle name="40% - 强调文字颜色 5 21 11 3" xfId="16105"/>
    <cellStyle name="40% - 强调文字颜色 5 21 11 4" xfId="25513"/>
    <cellStyle name="40% - 强调文字颜色 5 21 11 5" xfId="28753"/>
    <cellStyle name="40% - 强调文字颜色 5 21 12" xfId="4422"/>
    <cellStyle name="40% - 强调文字颜色 5 21 12 2" xfId="9672"/>
    <cellStyle name="40% - 强调文字颜色 5 21 12 3" xfId="16106"/>
    <cellStyle name="40% - 强调文字颜色 5 21 12 4" xfId="25514"/>
    <cellStyle name="40% - 强调文字颜色 5 21 12 5" xfId="28754"/>
    <cellStyle name="40% - 强调文字颜色 5 21 13" xfId="4423"/>
    <cellStyle name="40% - 强调文字颜色 5 21 13 2" xfId="9673"/>
    <cellStyle name="40% - 强调文字颜色 5 21 13 3" xfId="16107"/>
    <cellStyle name="40% - 强调文字颜色 5 21 13 4" xfId="25515"/>
    <cellStyle name="40% - 强调文字颜色 5 21 13 5" xfId="28755"/>
    <cellStyle name="40% - 强调文字颜色 5 21 14" xfId="4424"/>
    <cellStyle name="40% - 强调文字颜色 5 21 14 2" xfId="9674"/>
    <cellStyle name="40% - 强调文字颜色 5 21 14 3" xfId="16108"/>
    <cellStyle name="40% - 强调文字颜色 5 21 14 4" xfId="25516"/>
    <cellStyle name="40% - 强调文字颜色 5 21 14 5" xfId="28756"/>
    <cellStyle name="40% - 强调文字颜色 5 21 15" xfId="4425"/>
    <cellStyle name="40% - 强调文字颜色 5 21 15 2" xfId="9675"/>
    <cellStyle name="40% - 强调文字颜色 5 21 15 3" xfId="16109"/>
    <cellStyle name="40% - 强调文字颜色 5 21 15 4" xfId="25517"/>
    <cellStyle name="40% - 强调文字颜色 5 21 15 5" xfId="28757"/>
    <cellStyle name="40% - 强调文字颜色 5 21 16" xfId="4426"/>
    <cellStyle name="40% - 强调文字颜色 5 21 16 2" xfId="9676"/>
    <cellStyle name="40% - 强调文字颜色 5 21 16 3" xfId="16110"/>
    <cellStyle name="40% - 强调文字颜色 5 21 16 4" xfId="25518"/>
    <cellStyle name="40% - 强调文字颜色 5 21 16 5" xfId="28758"/>
    <cellStyle name="40% - 强调文字颜色 5 21 17" xfId="4427"/>
    <cellStyle name="40% - 强调文字颜色 5 21 17 2" xfId="9677"/>
    <cellStyle name="40% - 强调文字颜色 5 21 17 3" xfId="16111"/>
    <cellStyle name="40% - 强调文字颜色 5 21 17 4" xfId="25519"/>
    <cellStyle name="40% - 强调文字颜色 5 21 17 5" xfId="28759"/>
    <cellStyle name="40% - 强调文字颜色 5 21 18" xfId="4428"/>
    <cellStyle name="40% - 强调文字颜色 5 21 18 2" xfId="9678"/>
    <cellStyle name="40% - 强调文字颜色 5 21 18 3" xfId="16112"/>
    <cellStyle name="40% - 强调文字颜色 5 21 18 4" xfId="25520"/>
    <cellStyle name="40% - 强调文字颜色 5 21 18 5" xfId="28760"/>
    <cellStyle name="40% - 强调文字颜色 5 21 19" xfId="4429"/>
    <cellStyle name="40% - 强调文字颜色 5 21 19 2" xfId="9679"/>
    <cellStyle name="40% - 强调文字颜色 5 21 19 3" xfId="16113"/>
    <cellStyle name="40% - 强调文字颜色 5 21 19 4" xfId="25521"/>
    <cellStyle name="40% - 强调文字颜色 5 21 19 5" xfId="28761"/>
    <cellStyle name="40% - 强调文字颜色 5 21 2" xfId="4419"/>
    <cellStyle name="40% - 强调文字颜色 5 21 2 2" xfId="9680"/>
    <cellStyle name="40% - 强调文字颜色 5 21 2 3" xfId="16114"/>
    <cellStyle name="40% - 强调文字颜色 5 21 2 4" xfId="25522"/>
    <cellStyle name="40% - 强调文字颜色 5 21 2 5" xfId="28751"/>
    <cellStyle name="40% - 强调文字颜色 5 21 20" xfId="4431"/>
    <cellStyle name="40% - 强调文字颜色 5 21 20 2" xfId="9681"/>
    <cellStyle name="40% - 强调文字颜色 5 21 20 3" xfId="16115"/>
    <cellStyle name="40% - 强调文字颜色 5 21 20 4" xfId="25523"/>
    <cellStyle name="40% - 强调文字颜色 5 21 20 5" xfId="28762"/>
    <cellStyle name="40% - 强调文字颜色 5 21 21" xfId="4432"/>
    <cellStyle name="40% - 强调文字颜色 5 21 21 2" xfId="9682"/>
    <cellStyle name="40% - 强调文字颜色 5 21 21 3" xfId="16116"/>
    <cellStyle name="40% - 强调文字颜色 5 21 21 4" xfId="25524"/>
    <cellStyle name="40% - 强调文字颜色 5 21 21 5" xfId="28763"/>
    <cellStyle name="40% - 强调文字颜色 5 21 22" xfId="4433"/>
    <cellStyle name="40% - 强调文字颜色 5 21 22 2" xfId="9683"/>
    <cellStyle name="40% - 强调文字颜色 5 21 22 3" xfId="16117"/>
    <cellStyle name="40% - 强调文字颜色 5 21 22 4" xfId="25525"/>
    <cellStyle name="40% - 强调文字颜色 5 21 22 5" xfId="28764"/>
    <cellStyle name="40% - 强调文字颜色 5 21 23" xfId="4434"/>
    <cellStyle name="40% - 强调文字颜色 5 21 23 2" xfId="9684"/>
    <cellStyle name="40% - 强调文字颜色 5 21 23 3" xfId="16118"/>
    <cellStyle name="40% - 强调文字颜色 5 21 23 4" xfId="25526"/>
    <cellStyle name="40% - 强调文字颜色 5 21 23 5" xfId="28765"/>
    <cellStyle name="40% - 强调文字颜色 5 21 24" xfId="6705"/>
    <cellStyle name="40% - 强调文字颜色 5 21 25" xfId="11051"/>
    <cellStyle name="40% - 强调文字颜色 5 21 26" xfId="12849"/>
    <cellStyle name="40% - 强调文字颜色 5 21 27" xfId="16103"/>
    <cellStyle name="40% - 强调文字颜色 5 21 28" xfId="11250"/>
    <cellStyle name="40% - 强调文字颜色 5 21 29" xfId="19016"/>
    <cellStyle name="40% - 强调文字颜色 5 21 3" xfId="4435"/>
    <cellStyle name="40% - 强调文字颜色 5 21 3 2" xfId="9685"/>
    <cellStyle name="40% - 强调文字颜色 5 21 3 3" xfId="16119"/>
    <cellStyle name="40% - 强调文字颜色 5 21 3 4" xfId="25527"/>
    <cellStyle name="40% - 强调文字颜色 5 21 3 5" xfId="28766"/>
    <cellStyle name="40% - 强调文字颜色 5 21 30" xfId="22116"/>
    <cellStyle name="40% - 强调文字颜色 5 21 31" xfId="20484"/>
    <cellStyle name="40% - 强调文字颜色 5 21 32" xfId="30726"/>
    <cellStyle name="40% - 强调文字颜色 5 21 33" xfId="32684"/>
    <cellStyle name="40% - 强调文字颜色 5 21 4" xfId="4436"/>
    <cellStyle name="40% - 强调文字颜色 5 21 4 2" xfId="9686"/>
    <cellStyle name="40% - 强调文字颜色 5 21 4 3" xfId="16120"/>
    <cellStyle name="40% - 强调文字颜色 5 21 4 4" xfId="25528"/>
    <cellStyle name="40% - 强调文字颜色 5 21 4 5" xfId="28767"/>
    <cellStyle name="40% - 强调文字颜色 5 21 5" xfId="4437"/>
    <cellStyle name="40% - 强调文字颜色 5 21 5 2" xfId="9687"/>
    <cellStyle name="40% - 强调文字颜色 5 21 5 3" xfId="16121"/>
    <cellStyle name="40% - 强调文字颜色 5 21 5 4" xfId="25529"/>
    <cellStyle name="40% - 强调文字颜色 5 21 5 5" xfId="28768"/>
    <cellStyle name="40% - 强调文字颜色 5 21 6" xfId="4438"/>
    <cellStyle name="40% - 强调文字颜色 5 21 6 2" xfId="9688"/>
    <cellStyle name="40% - 强调文字颜色 5 21 6 3" xfId="16122"/>
    <cellStyle name="40% - 强调文字颜色 5 21 6 4" xfId="25530"/>
    <cellStyle name="40% - 强调文字颜色 5 21 6 5" xfId="28769"/>
    <cellStyle name="40% - 强调文字颜色 5 21 7" xfId="4439"/>
    <cellStyle name="40% - 强调文字颜色 5 21 7 2" xfId="9689"/>
    <cellStyle name="40% - 强调文字颜色 5 21 7 3" xfId="16123"/>
    <cellStyle name="40% - 强调文字颜色 5 21 7 4" xfId="25531"/>
    <cellStyle name="40% - 强调文字颜色 5 21 7 5" xfId="28770"/>
    <cellStyle name="40% - 强调文字颜色 5 21 8" xfId="4440"/>
    <cellStyle name="40% - 强调文字颜色 5 21 8 2" xfId="9690"/>
    <cellStyle name="40% - 强调文字颜色 5 21 8 3" xfId="16124"/>
    <cellStyle name="40% - 强调文字颜色 5 21 8 4" xfId="25532"/>
    <cellStyle name="40% - 强调文字颜色 5 21 8 5" xfId="28771"/>
    <cellStyle name="40% - 强调文字颜色 5 21 9" xfId="4441"/>
    <cellStyle name="40% - 强调文字颜色 5 21 9 2" xfId="9691"/>
    <cellStyle name="40% - 强调文字颜色 5 21 9 3" xfId="16125"/>
    <cellStyle name="40% - 强调文字颜色 5 21 9 4" xfId="25533"/>
    <cellStyle name="40% - 强调文字颜色 5 21 9 5" xfId="28772"/>
    <cellStyle name="40% - 强调文字颜色 5 22" xfId="1162"/>
    <cellStyle name="40% - 强调文字颜色 5 22 10" xfId="4443"/>
    <cellStyle name="40% - 强调文字颜色 5 22 10 2" xfId="9693"/>
    <cellStyle name="40% - 强调文字颜色 5 22 10 3" xfId="16127"/>
    <cellStyle name="40% - 强调文字颜色 5 22 10 4" xfId="25534"/>
    <cellStyle name="40% - 强调文字颜色 5 22 10 5" xfId="28774"/>
    <cellStyle name="40% - 强调文字颜色 5 22 11" xfId="4444"/>
    <cellStyle name="40% - 强调文字颜色 5 22 11 2" xfId="9694"/>
    <cellStyle name="40% - 强调文字颜色 5 22 11 3" xfId="16128"/>
    <cellStyle name="40% - 强调文字颜色 5 22 11 4" xfId="25535"/>
    <cellStyle name="40% - 强调文字颜色 5 22 11 5" xfId="28775"/>
    <cellStyle name="40% - 强调文字颜色 5 22 12" xfId="4445"/>
    <cellStyle name="40% - 强调文字颜色 5 22 12 2" xfId="9695"/>
    <cellStyle name="40% - 强调文字颜色 5 22 12 3" xfId="16129"/>
    <cellStyle name="40% - 强调文字颜色 5 22 12 4" xfId="25536"/>
    <cellStyle name="40% - 强调文字颜色 5 22 12 5" xfId="28776"/>
    <cellStyle name="40% - 强调文字颜色 5 22 13" xfId="4446"/>
    <cellStyle name="40% - 强调文字颜色 5 22 13 2" xfId="9696"/>
    <cellStyle name="40% - 强调文字颜色 5 22 13 3" xfId="16130"/>
    <cellStyle name="40% - 强调文字颜色 5 22 13 4" xfId="25537"/>
    <cellStyle name="40% - 强调文字颜色 5 22 13 5" xfId="28777"/>
    <cellStyle name="40% - 强调文字颜色 5 22 14" xfId="4447"/>
    <cellStyle name="40% - 强调文字颜色 5 22 14 2" xfId="9697"/>
    <cellStyle name="40% - 强调文字颜色 5 22 14 3" xfId="16131"/>
    <cellStyle name="40% - 强调文字颜色 5 22 14 4" xfId="25538"/>
    <cellStyle name="40% - 强调文字颜色 5 22 14 5" xfId="28778"/>
    <cellStyle name="40% - 强调文字颜色 5 22 15" xfId="4448"/>
    <cellStyle name="40% - 强调文字颜色 5 22 15 2" xfId="9698"/>
    <cellStyle name="40% - 强调文字颜色 5 22 15 3" xfId="16132"/>
    <cellStyle name="40% - 强调文字颜色 5 22 15 4" xfId="25539"/>
    <cellStyle name="40% - 强调文字颜色 5 22 15 5" xfId="28779"/>
    <cellStyle name="40% - 强调文字颜色 5 22 16" xfId="4449"/>
    <cellStyle name="40% - 强调文字颜色 5 22 16 2" xfId="9699"/>
    <cellStyle name="40% - 强调文字颜色 5 22 16 3" xfId="16133"/>
    <cellStyle name="40% - 强调文字颜色 5 22 16 4" xfId="25540"/>
    <cellStyle name="40% - 强调文字颜色 5 22 16 5" xfId="28780"/>
    <cellStyle name="40% - 强调文字颜色 5 22 17" xfId="4450"/>
    <cellStyle name="40% - 强调文字颜色 5 22 17 2" xfId="9700"/>
    <cellStyle name="40% - 强调文字颜色 5 22 17 3" xfId="16134"/>
    <cellStyle name="40% - 强调文字颜色 5 22 17 4" xfId="25541"/>
    <cellStyle name="40% - 强调文字颜色 5 22 17 5" xfId="28781"/>
    <cellStyle name="40% - 强调文字颜色 5 22 18" xfId="4451"/>
    <cellStyle name="40% - 强调文字颜色 5 22 18 2" xfId="9701"/>
    <cellStyle name="40% - 强调文字颜色 5 22 18 3" xfId="16135"/>
    <cellStyle name="40% - 强调文字颜色 5 22 18 4" xfId="25542"/>
    <cellStyle name="40% - 强调文字颜色 5 22 18 5" xfId="28782"/>
    <cellStyle name="40% - 强调文字颜色 5 22 19" xfId="4452"/>
    <cellStyle name="40% - 强调文字颜色 5 22 19 2" xfId="9702"/>
    <cellStyle name="40% - 强调文字颜色 5 22 19 3" xfId="16136"/>
    <cellStyle name="40% - 强调文字颜色 5 22 19 4" xfId="25543"/>
    <cellStyle name="40% - 强调文字颜色 5 22 19 5" xfId="28783"/>
    <cellStyle name="40% - 强调文字颜色 5 22 2" xfId="4442"/>
    <cellStyle name="40% - 强调文字颜色 5 22 2 2" xfId="9703"/>
    <cellStyle name="40% - 强调文字颜色 5 22 2 3" xfId="16137"/>
    <cellStyle name="40% - 强调文字颜色 5 22 2 4" xfId="25544"/>
    <cellStyle name="40% - 强调文字颜色 5 22 2 5" xfId="28773"/>
    <cellStyle name="40% - 强调文字颜色 5 22 20" xfId="4454"/>
    <cellStyle name="40% - 强调文字颜色 5 22 20 2" xfId="9704"/>
    <cellStyle name="40% - 强调文字颜色 5 22 20 3" xfId="16138"/>
    <cellStyle name="40% - 强调文字颜色 5 22 20 4" xfId="25545"/>
    <cellStyle name="40% - 强调文字颜色 5 22 20 5" xfId="28784"/>
    <cellStyle name="40% - 强调文字颜色 5 22 21" xfId="4455"/>
    <cellStyle name="40% - 强调文字颜色 5 22 21 2" xfId="9705"/>
    <cellStyle name="40% - 强调文字颜色 5 22 21 3" xfId="16139"/>
    <cellStyle name="40% - 强调文字颜色 5 22 21 4" xfId="25546"/>
    <cellStyle name="40% - 强调文字颜色 5 22 21 5" xfId="28785"/>
    <cellStyle name="40% - 强调文字颜色 5 22 22" xfId="4456"/>
    <cellStyle name="40% - 强调文字颜色 5 22 22 2" xfId="9706"/>
    <cellStyle name="40% - 强调文字颜色 5 22 22 3" xfId="16140"/>
    <cellStyle name="40% - 强调文字颜色 5 22 22 4" xfId="25547"/>
    <cellStyle name="40% - 强调文字颜色 5 22 22 5" xfId="28786"/>
    <cellStyle name="40% - 强调文字颜色 5 22 23" xfId="4457"/>
    <cellStyle name="40% - 强调文字颜色 5 22 23 2" xfId="9707"/>
    <cellStyle name="40% - 强调文字颜色 5 22 23 3" xfId="16141"/>
    <cellStyle name="40% - 强调文字颜色 5 22 23 4" xfId="25548"/>
    <cellStyle name="40% - 强调文字颜色 5 22 23 5" xfId="28787"/>
    <cellStyle name="40% - 强调文字颜色 5 22 24" xfId="6706"/>
    <cellStyle name="40% - 强调文字颜色 5 22 25" xfId="11052"/>
    <cellStyle name="40% - 强调文字颜色 5 22 26" xfId="12850"/>
    <cellStyle name="40% - 强调文字颜色 5 22 27" xfId="16126"/>
    <cellStyle name="40% - 强调文字颜色 5 22 28" xfId="10117"/>
    <cellStyle name="40% - 强调文字颜色 5 22 29" xfId="19017"/>
    <cellStyle name="40% - 强调文字颜色 5 22 3" xfId="4458"/>
    <cellStyle name="40% - 强调文字颜色 5 22 3 2" xfId="9708"/>
    <cellStyle name="40% - 强调文字颜色 5 22 3 3" xfId="16142"/>
    <cellStyle name="40% - 强调文字颜色 5 22 3 4" xfId="25549"/>
    <cellStyle name="40% - 强调文字颜色 5 22 3 5" xfId="28788"/>
    <cellStyle name="40% - 强调文字颜色 5 22 30" xfId="21617"/>
    <cellStyle name="40% - 强调文字颜色 5 22 31" xfId="19827"/>
    <cellStyle name="40% - 强调文字颜色 5 22 32" xfId="30728"/>
    <cellStyle name="40% - 强调文字颜色 5 22 33" xfId="33088"/>
    <cellStyle name="40% - 强调文字颜色 5 22 4" xfId="4459"/>
    <cellStyle name="40% - 强调文字颜色 5 22 4 2" xfId="9709"/>
    <cellStyle name="40% - 强调文字颜色 5 22 4 3" xfId="16143"/>
    <cellStyle name="40% - 强调文字颜色 5 22 4 4" xfId="25550"/>
    <cellStyle name="40% - 强调文字颜色 5 22 4 5" xfId="28789"/>
    <cellStyle name="40% - 强调文字颜色 5 22 5" xfId="4460"/>
    <cellStyle name="40% - 强调文字颜色 5 22 5 2" xfId="9710"/>
    <cellStyle name="40% - 强调文字颜色 5 22 5 3" xfId="16144"/>
    <cellStyle name="40% - 强调文字颜色 5 22 5 4" xfId="25551"/>
    <cellStyle name="40% - 强调文字颜色 5 22 5 5" xfId="28790"/>
    <cellStyle name="40% - 强调文字颜色 5 22 6" xfId="4461"/>
    <cellStyle name="40% - 强调文字颜色 5 22 6 2" xfId="9711"/>
    <cellStyle name="40% - 强调文字颜色 5 22 6 3" xfId="16145"/>
    <cellStyle name="40% - 强调文字颜色 5 22 6 4" xfId="25552"/>
    <cellStyle name="40% - 强调文字颜色 5 22 6 5" xfId="28791"/>
    <cellStyle name="40% - 强调文字颜色 5 22 7" xfId="4462"/>
    <cellStyle name="40% - 强调文字颜色 5 22 7 2" xfId="9712"/>
    <cellStyle name="40% - 强调文字颜色 5 22 7 3" xfId="16146"/>
    <cellStyle name="40% - 强调文字颜色 5 22 7 4" xfId="25553"/>
    <cellStyle name="40% - 强调文字颜色 5 22 7 5" xfId="28792"/>
    <cellStyle name="40% - 强调文字颜色 5 22 8" xfId="4463"/>
    <cellStyle name="40% - 强调文字颜色 5 22 8 2" xfId="9713"/>
    <cellStyle name="40% - 强调文字颜色 5 22 8 3" xfId="16147"/>
    <cellStyle name="40% - 强调文字颜色 5 22 8 4" xfId="25554"/>
    <cellStyle name="40% - 强调文字颜色 5 22 8 5" xfId="28793"/>
    <cellStyle name="40% - 强调文字颜色 5 22 9" xfId="4464"/>
    <cellStyle name="40% - 强调文字颜色 5 22 9 2" xfId="9714"/>
    <cellStyle name="40% - 强调文字颜色 5 22 9 3" xfId="16148"/>
    <cellStyle name="40% - 强调文字颜色 5 22 9 4" xfId="25555"/>
    <cellStyle name="40% - 强调文字颜色 5 22 9 5" xfId="28794"/>
    <cellStyle name="40% - 强调文字颜色 5 23" xfId="1163"/>
    <cellStyle name="40% - 强调文字颜色 5 23 10" xfId="4466"/>
    <cellStyle name="40% - 强调文字颜色 5 23 10 2" xfId="9716"/>
    <cellStyle name="40% - 强调文字颜色 5 23 10 3" xfId="16150"/>
    <cellStyle name="40% - 强调文字颜色 5 23 10 4" xfId="25556"/>
    <cellStyle name="40% - 强调文字颜色 5 23 10 5" xfId="28796"/>
    <cellStyle name="40% - 强调文字颜色 5 23 11" xfId="4467"/>
    <cellStyle name="40% - 强调文字颜色 5 23 11 2" xfId="9717"/>
    <cellStyle name="40% - 强调文字颜色 5 23 11 3" xfId="16151"/>
    <cellStyle name="40% - 强调文字颜色 5 23 11 4" xfId="25557"/>
    <cellStyle name="40% - 强调文字颜色 5 23 11 5" xfId="28797"/>
    <cellStyle name="40% - 强调文字颜色 5 23 12" xfId="4468"/>
    <cellStyle name="40% - 强调文字颜色 5 23 12 2" xfId="9718"/>
    <cellStyle name="40% - 强调文字颜色 5 23 12 3" xfId="16152"/>
    <cellStyle name="40% - 强调文字颜色 5 23 12 4" xfId="25558"/>
    <cellStyle name="40% - 强调文字颜色 5 23 12 5" xfId="28798"/>
    <cellStyle name="40% - 强调文字颜色 5 23 13" xfId="4469"/>
    <cellStyle name="40% - 强调文字颜色 5 23 13 2" xfId="9719"/>
    <cellStyle name="40% - 强调文字颜色 5 23 13 3" xfId="16153"/>
    <cellStyle name="40% - 强调文字颜色 5 23 13 4" xfId="25559"/>
    <cellStyle name="40% - 强调文字颜色 5 23 13 5" xfId="28799"/>
    <cellStyle name="40% - 强调文字颜色 5 23 14" xfId="4470"/>
    <cellStyle name="40% - 强调文字颜色 5 23 14 2" xfId="9720"/>
    <cellStyle name="40% - 强调文字颜色 5 23 14 3" xfId="16154"/>
    <cellStyle name="40% - 强调文字颜色 5 23 14 4" xfId="25560"/>
    <cellStyle name="40% - 强调文字颜色 5 23 14 5" xfId="28800"/>
    <cellStyle name="40% - 强调文字颜色 5 23 15" xfId="4471"/>
    <cellStyle name="40% - 强调文字颜色 5 23 15 2" xfId="9721"/>
    <cellStyle name="40% - 强调文字颜色 5 23 15 3" xfId="16155"/>
    <cellStyle name="40% - 强调文字颜色 5 23 15 4" xfId="25561"/>
    <cellStyle name="40% - 强调文字颜色 5 23 15 5" xfId="28801"/>
    <cellStyle name="40% - 强调文字颜色 5 23 16" xfId="4472"/>
    <cellStyle name="40% - 强调文字颜色 5 23 16 2" xfId="9722"/>
    <cellStyle name="40% - 强调文字颜色 5 23 16 3" xfId="16156"/>
    <cellStyle name="40% - 强调文字颜色 5 23 16 4" xfId="25562"/>
    <cellStyle name="40% - 强调文字颜色 5 23 16 5" xfId="28802"/>
    <cellStyle name="40% - 强调文字颜色 5 23 17" xfId="4473"/>
    <cellStyle name="40% - 强调文字颜色 5 23 17 2" xfId="9723"/>
    <cellStyle name="40% - 强调文字颜色 5 23 17 3" xfId="16157"/>
    <cellStyle name="40% - 强调文字颜色 5 23 17 4" xfId="25563"/>
    <cellStyle name="40% - 强调文字颜色 5 23 17 5" xfId="28803"/>
    <cellStyle name="40% - 强调文字颜色 5 23 18" xfId="4474"/>
    <cellStyle name="40% - 强调文字颜色 5 23 18 2" xfId="9724"/>
    <cellStyle name="40% - 强调文字颜色 5 23 18 3" xfId="16158"/>
    <cellStyle name="40% - 强调文字颜色 5 23 18 4" xfId="25564"/>
    <cellStyle name="40% - 强调文字颜色 5 23 18 5" xfId="28804"/>
    <cellStyle name="40% - 强调文字颜色 5 23 19" xfId="4475"/>
    <cellStyle name="40% - 强调文字颜色 5 23 19 2" xfId="9725"/>
    <cellStyle name="40% - 强调文字颜色 5 23 19 3" xfId="16159"/>
    <cellStyle name="40% - 强调文字颜色 5 23 19 4" xfId="25565"/>
    <cellStyle name="40% - 强调文字颜色 5 23 19 5" xfId="28805"/>
    <cellStyle name="40% - 强调文字颜色 5 23 2" xfId="4465"/>
    <cellStyle name="40% - 强调文字颜色 5 23 2 2" xfId="9726"/>
    <cellStyle name="40% - 强调文字颜色 5 23 2 3" xfId="16160"/>
    <cellStyle name="40% - 强调文字颜色 5 23 2 4" xfId="25566"/>
    <cellStyle name="40% - 强调文字颜色 5 23 2 5" xfId="28795"/>
    <cellStyle name="40% - 强调文字颜色 5 23 20" xfId="4477"/>
    <cellStyle name="40% - 强调文字颜色 5 23 20 2" xfId="9727"/>
    <cellStyle name="40% - 强调文字颜色 5 23 20 3" xfId="16161"/>
    <cellStyle name="40% - 强调文字颜色 5 23 20 4" xfId="25567"/>
    <cellStyle name="40% - 强调文字颜色 5 23 20 5" xfId="28806"/>
    <cellStyle name="40% - 强调文字颜色 5 23 21" xfId="4478"/>
    <cellStyle name="40% - 强调文字颜色 5 23 21 2" xfId="9728"/>
    <cellStyle name="40% - 强调文字颜色 5 23 21 3" xfId="16162"/>
    <cellStyle name="40% - 强调文字颜色 5 23 21 4" xfId="25568"/>
    <cellStyle name="40% - 强调文字颜色 5 23 21 5" xfId="28807"/>
    <cellStyle name="40% - 强调文字颜色 5 23 22" xfId="4479"/>
    <cellStyle name="40% - 强调文字颜色 5 23 22 2" xfId="9729"/>
    <cellStyle name="40% - 强调文字颜色 5 23 22 3" xfId="16163"/>
    <cellStyle name="40% - 强调文字颜色 5 23 22 4" xfId="25569"/>
    <cellStyle name="40% - 强调文字颜色 5 23 22 5" xfId="28808"/>
    <cellStyle name="40% - 强调文字颜色 5 23 23" xfId="4480"/>
    <cellStyle name="40% - 强调文字颜色 5 23 23 2" xfId="9730"/>
    <cellStyle name="40% - 强调文字颜色 5 23 23 3" xfId="16164"/>
    <cellStyle name="40% - 强调文字颜色 5 23 23 4" xfId="25570"/>
    <cellStyle name="40% - 强调文字颜色 5 23 23 5" xfId="28809"/>
    <cellStyle name="40% - 强调文字颜色 5 23 24" xfId="6707"/>
    <cellStyle name="40% - 强调文字颜色 5 23 25" xfId="11053"/>
    <cellStyle name="40% - 强调文字颜色 5 23 26" xfId="12851"/>
    <cellStyle name="40% - 强调文字颜色 5 23 27" xfId="16149"/>
    <cellStyle name="40% - 强调文字颜色 5 23 28" xfId="11249"/>
    <cellStyle name="40% - 强调文字颜色 5 23 29" xfId="19018"/>
    <cellStyle name="40% - 强调文字颜色 5 23 3" xfId="4481"/>
    <cellStyle name="40% - 强调文字颜色 5 23 3 2" xfId="9731"/>
    <cellStyle name="40% - 强调文字颜色 5 23 3 3" xfId="16165"/>
    <cellStyle name="40% - 强调文字颜色 5 23 3 4" xfId="25571"/>
    <cellStyle name="40% - 强调文字颜色 5 23 3 5" xfId="28810"/>
    <cellStyle name="40% - 强调文字颜色 5 23 30" xfId="23098"/>
    <cellStyle name="40% - 强调文字颜色 5 23 31" xfId="21044"/>
    <cellStyle name="40% - 强调文字颜色 5 23 32" xfId="30729"/>
    <cellStyle name="40% - 强调文字颜色 5 23 33" xfId="31740"/>
    <cellStyle name="40% - 强调文字颜色 5 23 4" xfId="4482"/>
    <cellStyle name="40% - 强调文字颜色 5 23 4 2" xfId="9732"/>
    <cellStyle name="40% - 强调文字颜色 5 23 4 3" xfId="16166"/>
    <cellStyle name="40% - 强调文字颜色 5 23 4 4" xfId="25572"/>
    <cellStyle name="40% - 强调文字颜色 5 23 4 5" xfId="28811"/>
    <cellStyle name="40% - 强调文字颜色 5 23 5" xfId="4483"/>
    <cellStyle name="40% - 强调文字颜色 5 23 5 2" xfId="9733"/>
    <cellStyle name="40% - 强调文字颜色 5 23 5 3" xfId="16167"/>
    <cellStyle name="40% - 强调文字颜色 5 23 5 4" xfId="25573"/>
    <cellStyle name="40% - 强调文字颜色 5 23 5 5" xfId="28812"/>
    <cellStyle name="40% - 强调文字颜色 5 23 6" xfId="4484"/>
    <cellStyle name="40% - 强调文字颜色 5 23 6 2" xfId="9734"/>
    <cellStyle name="40% - 强调文字颜色 5 23 6 3" xfId="16168"/>
    <cellStyle name="40% - 强调文字颜色 5 23 6 4" xfId="25574"/>
    <cellStyle name="40% - 强调文字颜色 5 23 6 5" xfId="28813"/>
    <cellStyle name="40% - 强调文字颜色 5 23 7" xfId="4485"/>
    <cellStyle name="40% - 强调文字颜色 5 23 7 2" xfId="9735"/>
    <cellStyle name="40% - 强调文字颜色 5 23 7 3" xfId="16169"/>
    <cellStyle name="40% - 强调文字颜色 5 23 7 4" xfId="25575"/>
    <cellStyle name="40% - 强调文字颜色 5 23 7 5" xfId="28814"/>
    <cellStyle name="40% - 强调文字颜色 5 23 8" xfId="4486"/>
    <cellStyle name="40% - 强调文字颜色 5 23 8 2" xfId="9736"/>
    <cellStyle name="40% - 强调文字颜色 5 23 8 3" xfId="16170"/>
    <cellStyle name="40% - 强调文字颜色 5 23 8 4" xfId="25576"/>
    <cellStyle name="40% - 强调文字颜色 5 23 8 5" xfId="28815"/>
    <cellStyle name="40% - 强调文字颜色 5 23 9" xfId="4487"/>
    <cellStyle name="40% - 强调文字颜色 5 23 9 2" xfId="9737"/>
    <cellStyle name="40% - 强调文字颜色 5 23 9 3" xfId="16171"/>
    <cellStyle name="40% - 强调文字颜色 5 23 9 4" xfId="25577"/>
    <cellStyle name="40% - 强调文字颜色 5 23 9 5" xfId="28816"/>
    <cellStyle name="40% - 强调文字颜色 5 24" xfId="4341"/>
    <cellStyle name="40% - 强调文字颜色 5 24 2" xfId="4488"/>
    <cellStyle name="40% - 强调文字颜色 5 24 3" xfId="7399"/>
    <cellStyle name="40% - 强调文字颜色 5 24 4" xfId="16172"/>
    <cellStyle name="40% - 强调文字颜色 5 24 5" xfId="7389"/>
    <cellStyle name="40% - 强调文字颜色 5 24 6" xfId="26831"/>
    <cellStyle name="40% - 强调文字颜色 5 24 7" xfId="28707"/>
    <cellStyle name="40% - 强调文字颜色 5 25" xfId="4489"/>
    <cellStyle name="40% - 强调文字颜色 5 25 2" xfId="9739"/>
    <cellStyle name="40% - 强调文字颜色 5 25 3" xfId="16173"/>
    <cellStyle name="40% - 强调文字颜色 5 25 4" xfId="25578"/>
    <cellStyle name="40% - 强调文字颜色 5 25 5" xfId="26589"/>
    <cellStyle name="40% - 强调文字颜色 5 25 6" xfId="26832"/>
    <cellStyle name="40% - 强调文字颜色 5 25 7" xfId="28817"/>
    <cellStyle name="40% - 强调文字颜色 5 26" xfId="4490"/>
    <cellStyle name="40% - 强调文字颜色 5 26 2" xfId="9740"/>
    <cellStyle name="40% - 强调文字颜色 5 26 3" xfId="16174"/>
    <cellStyle name="40% - 强调文字颜色 5 26 4" xfId="25579"/>
    <cellStyle name="40% - 强调文字颜色 5 26 5" xfId="26590"/>
    <cellStyle name="40% - 强调文字颜色 5 26 6" xfId="26833"/>
    <cellStyle name="40% - 强调文字颜色 5 26 7" xfId="28818"/>
    <cellStyle name="40% - 强调文字颜色 5 27" xfId="4491"/>
    <cellStyle name="40% - 强调文字颜色 5 27 2" xfId="9741"/>
    <cellStyle name="40% - 强调文字颜色 5 27 3" xfId="16175"/>
    <cellStyle name="40% - 强调文字颜色 5 27 4" xfId="25580"/>
    <cellStyle name="40% - 强调文字颜色 5 27 5" xfId="26834"/>
    <cellStyle name="40% - 强调文字颜色 5 27 6" xfId="28819"/>
    <cellStyle name="40% - 强调文字颜色 5 28" xfId="4492"/>
    <cellStyle name="40% - 强调文字颜色 5 28 2" xfId="9742"/>
    <cellStyle name="40% - 强调文字颜色 5 28 3" xfId="16176"/>
    <cellStyle name="40% - 强调文字颜色 5 28 4" xfId="25581"/>
    <cellStyle name="40% - 强调文字颜色 5 28 5" xfId="26835"/>
    <cellStyle name="40% - 强调文字颜色 5 28 6" xfId="28820"/>
    <cellStyle name="40% - 强调文字颜色 5 29" xfId="4493"/>
    <cellStyle name="40% - 强调文字颜色 5 29 2" xfId="9743"/>
    <cellStyle name="40% - 强调文字颜色 5 29 3" xfId="16177"/>
    <cellStyle name="40% - 强调文字颜色 5 29 4" xfId="25582"/>
    <cellStyle name="40% - 强调文字颜色 5 29 5" xfId="26836"/>
    <cellStyle name="40% - 强调文字颜色 5 29 6" xfId="28821"/>
    <cellStyle name="40% - 强调文字颜色 5 3" xfId="1164"/>
    <cellStyle name="40% - 强调文字颜色 5 3 10" xfId="1165"/>
    <cellStyle name="40% - 强调文字颜色 5 3 10 10" xfId="30732"/>
    <cellStyle name="40% - 强调文字颜色 5 3 10 11" xfId="31738"/>
    <cellStyle name="40% - 强调文字颜色 5 3 10 2" xfId="4495"/>
    <cellStyle name="40% - 强调文字颜色 5 3 10 3" xfId="6709"/>
    <cellStyle name="40% - 强调文字颜色 5 3 10 4" xfId="12853"/>
    <cellStyle name="40% - 强调文字颜色 5 3 10 5" xfId="16179"/>
    <cellStyle name="40% - 强调文字颜色 5 3 10 6" xfId="11248"/>
    <cellStyle name="40% - 强调文字颜色 5 3 10 7" xfId="19020"/>
    <cellStyle name="40% - 强调文字颜色 5 3 10 8" xfId="21616"/>
    <cellStyle name="40% - 强调文字颜色 5 3 10 9" xfId="19825"/>
    <cellStyle name="40% - 强调文字颜色 5 3 11" xfId="1166"/>
    <cellStyle name="40% - 强调文字颜色 5 3 11 10" xfId="30733"/>
    <cellStyle name="40% - 强调文字颜色 5 3 11 11" xfId="33339"/>
    <cellStyle name="40% - 强调文字颜色 5 3 11 2" xfId="4496"/>
    <cellStyle name="40% - 强调文字颜色 5 3 11 3" xfId="6710"/>
    <cellStyle name="40% - 强调文字颜色 5 3 11 4" xfId="12854"/>
    <cellStyle name="40% - 强调文字颜色 5 3 11 5" xfId="16180"/>
    <cellStyle name="40% - 强调文字颜色 5 3 11 6" xfId="10115"/>
    <cellStyle name="40% - 强调文字颜色 5 3 11 7" xfId="19021"/>
    <cellStyle name="40% - 强调文字颜色 5 3 11 8" xfId="23097"/>
    <cellStyle name="40% - 强调文字颜色 5 3 11 9" xfId="21043"/>
    <cellStyle name="40% - 强调文字颜色 5 3 12" xfId="1167"/>
    <cellStyle name="40% - 强调文字颜色 5 3 12 10" xfId="30734"/>
    <cellStyle name="40% - 强调文字颜色 5 3 12 11" xfId="33087"/>
    <cellStyle name="40% - 强调文字颜色 5 3 12 2" xfId="4497"/>
    <cellStyle name="40% - 强调文字颜色 5 3 12 3" xfId="6711"/>
    <cellStyle name="40% - 强调文字颜色 5 3 12 4" xfId="12855"/>
    <cellStyle name="40% - 强调文字颜色 5 3 12 5" xfId="16181"/>
    <cellStyle name="40% - 强调文字颜色 5 3 12 6" xfId="11247"/>
    <cellStyle name="40% - 强调文字颜色 5 3 12 7" xfId="19022"/>
    <cellStyle name="40% - 强调文字颜色 5 3 12 8" xfId="22114"/>
    <cellStyle name="40% - 强调文字颜色 5 3 12 9" xfId="20481"/>
    <cellStyle name="40% - 强调文字颜色 5 3 13" xfId="1168"/>
    <cellStyle name="40% - 强调文字颜色 5 3 13 10" xfId="30735"/>
    <cellStyle name="40% - 强调文字颜色 5 3 13 11" xfId="32683"/>
    <cellStyle name="40% - 强调文字颜色 5 3 13 2" xfId="4498"/>
    <cellStyle name="40% - 强调文字颜色 5 3 13 3" xfId="6712"/>
    <cellStyle name="40% - 强调文字颜色 5 3 13 4" xfId="12856"/>
    <cellStyle name="40% - 强调文字颜色 5 3 13 5" xfId="16182"/>
    <cellStyle name="40% - 强调文字颜色 5 3 13 6" xfId="10114"/>
    <cellStyle name="40% - 强调文字颜色 5 3 13 7" xfId="19023"/>
    <cellStyle name="40% - 强调文字颜色 5 3 13 8" xfId="21615"/>
    <cellStyle name="40% - 强调文字颜色 5 3 13 9" xfId="19824"/>
    <cellStyle name="40% - 强调文字颜色 5 3 14" xfId="1169"/>
    <cellStyle name="40% - 强调文字颜色 5 3 14 10" xfId="30736"/>
    <cellStyle name="40% - 强调文字颜色 5 3 14 11" xfId="32440"/>
    <cellStyle name="40% - 强调文字颜色 5 3 14 2" xfId="4499"/>
    <cellStyle name="40% - 强调文字颜色 5 3 14 3" xfId="6713"/>
    <cellStyle name="40% - 强调文字颜色 5 3 14 4" xfId="12857"/>
    <cellStyle name="40% - 强调文字颜色 5 3 14 5" xfId="16183"/>
    <cellStyle name="40% - 强调文字颜色 5 3 14 6" xfId="11246"/>
    <cellStyle name="40% - 强调文字颜色 5 3 14 7" xfId="19024"/>
    <cellStyle name="40% - 强调文字颜色 5 3 14 8" xfId="23096"/>
    <cellStyle name="40% - 强调文字颜色 5 3 14 9" xfId="21042"/>
    <cellStyle name="40% - 强调文字颜色 5 3 15" xfId="1170"/>
    <cellStyle name="40% - 强调文字颜色 5 3 15 10" xfId="30737"/>
    <cellStyle name="40% - 强调文字颜色 5 3 15 11" xfId="32204"/>
    <cellStyle name="40% - 强调文字颜色 5 3 15 2" xfId="4500"/>
    <cellStyle name="40% - 强调文字颜色 5 3 15 3" xfId="6714"/>
    <cellStyle name="40% - 强调文字颜色 5 3 15 4" xfId="12858"/>
    <cellStyle name="40% - 强调文字颜色 5 3 15 5" xfId="16184"/>
    <cellStyle name="40% - 强调文字颜色 5 3 15 6" xfId="10113"/>
    <cellStyle name="40% - 强调文字颜色 5 3 15 7" xfId="19025"/>
    <cellStyle name="40% - 强调文字颜色 5 3 15 8" xfId="22113"/>
    <cellStyle name="40% - 强调文字颜色 5 3 15 9" xfId="20480"/>
    <cellStyle name="40% - 强调文字颜色 5 3 16" xfId="1171"/>
    <cellStyle name="40% - 强调文字颜色 5 3 16 10" xfId="30738"/>
    <cellStyle name="40% - 强调文字颜色 5 3 16 11" xfId="31739"/>
    <cellStyle name="40% - 强调文字颜色 5 3 16 2" xfId="4501"/>
    <cellStyle name="40% - 强调文字颜色 5 3 16 3" xfId="6715"/>
    <cellStyle name="40% - 强调文字颜色 5 3 16 4" xfId="12859"/>
    <cellStyle name="40% - 强调文字颜色 5 3 16 5" xfId="16185"/>
    <cellStyle name="40% - 强调文字颜色 5 3 16 6" xfId="11245"/>
    <cellStyle name="40% - 强调文字颜色 5 3 16 7" xfId="19026"/>
    <cellStyle name="40% - 强调文字颜色 5 3 16 8" xfId="21614"/>
    <cellStyle name="40% - 强调文字颜色 5 3 16 9" xfId="19823"/>
    <cellStyle name="40% - 强调文字颜色 5 3 17" xfId="1172"/>
    <cellStyle name="40% - 强调文字颜色 5 3 17 10" xfId="30739"/>
    <cellStyle name="40% - 强调文字颜色 5 3 17 11" xfId="33338"/>
    <cellStyle name="40% - 强调文字颜色 5 3 17 2" xfId="4502"/>
    <cellStyle name="40% - 强调文字颜色 5 3 17 3" xfId="6716"/>
    <cellStyle name="40% - 强调文字颜色 5 3 17 4" xfId="12860"/>
    <cellStyle name="40% - 强调文字颜色 5 3 17 5" xfId="16186"/>
    <cellStyle name="40% - 强调文字颜色 5 3 17 6" xfId="10112"/>
    <cellStyle name="40% - 强调文字颜色 5 3 17 7" xfId="19027"/>
    <cellStyle name="40% - 强调文字颜色 5 3 17 8" xfId="23095"/>
    <cellStyle name="40% - 强调文字颜色 5 3 17 9" xfId="21041"/>
    <cellStyle name="40% - 强调文字颜色 5 3 18" xfId="1173"/>
    <cellStyle name="40% - 强调文字颜色 5 3 18 10" xfId="30740"/>
    <cellStyle name="40% - 强调文字颜色 5 3 18 11" xfId="33086"/>
    <cellStyle name="40% - 强调文字颜色 5 3 18 2" xfId="4503"/>
    <cellStyle name="40% - 强调文字颜色 5 3 18 3" xfId="6717"/>
    <cellStyle name="40% - 强调文字颜色 5 3 18 4" xfId="12861"/>
    <cellStyle name="40% - 强调文字颜色 5 3 18 5" xfId="16187"/>
    <cellStyle name="40% - 强调文字颜色 5 3 18 6" xfId="11244"/>
    <cellStyle name="40% - 强调文字颜色 5 3 18 7" xfId="19028"/>
    <cellStyle name="40% - 强调文字颜色 5 3 18 8" xfId="22112"/>
    <cellStyle name="40% - 强调文字颜色 5 3 18 9" xfId="20479"/>
    <cellStyle name="40% - 强调文字颜色 5 3 19" xfId="1174"/>
    <cellStyle name="40% - 强调文字颜色 5 3 19 10" xfId="30741"/>
    <cellStyle name="40% - 强调文字颜色 5 3 19 11" xfId="32682"/>
    <cellStyle name="40% - 强调文字颜色 5 3 19 2" xfId="4504"/>
    <cellStyle name="40% - 强调文字颜色 5 3 19 3" xfId="6718"/>
    <cellStyle name="40% - 强调文字颜色 5 3 19 4" xfId="12862"/>
    <cellStyle name="40% - 强调文字颜色 5 3 19 5" xfId="16188"/>
    <cellStyle name="40% - 强调文字颜色 5 3 19 6" xfId="10111"/>
    <cellStyle name="40% - 强调文字颜色 5 3 19 7" xfId="19029"/>
    <cellStyle name="40% - 强调文字颜色 5 3 19 8" xfId="21613"/>
    <cellStyle name="40% - 强调文字颜色 5 3 19 9" xfId="19822"/>
    <cellStyle name="40% - 强调文字颜色 5 3 2" xfId="1175"/>
    <cellStyle name="40% - 强调文字颜色 5 3 2 10" xfId="30742"/>
    <cellStyle name="40% - 强调文字颜色 5 3 2 11" xfId="32439"/>
    <cellStyle name="40% - 强调文字颜色 5 3 2 2" xfId="4505"/>
    <cellStyle name="40% - 强调文字颜色 5 3 2 3" xfId="6719"/>
    <cellStyle name="40% - 强调文字颜色 5 3 2 4" xfId="12863"/>
    <cellStyle name="40% - 强调文字颜色 5 3 2 5" xfId="16189"/>
    <cellStyle name="40% - 强调文字颜色 5 3 2 6" xfId="7698"/>
    <cellStyle name="40% - 强调文字颜色 5 3 2 7" xfId="19030"/>
    <cellStyle name="40% - 强调文字颜色 5 3 2 8" xfId="23094"/>
    <cellStyle name="40% - 强调文字颜色 5 3 2 9" xfId="21040"/>
    <cellStyle name="40% - 强调文字颜色 5 3 20" xfId="4494"/>
    <cellStyle name="40% - 强调文字颜色 5 3 20 2" xfId="9756"/>
    <cellStyle name="40% - 强调文字颜色 5 3 20 3" xfId="16190"/>
    <cellStyle name="40% - 强调文字颜色 5 3 20 4" xfId="25583"/>
    <cellStyle name="40% - 强调文字颜色 5 3 20 5" xfId="26837"/>
    <cellStyle name="40% - 强调文字颜色 5 3 20 6" xfId="28822"/>
    <cellStyle name="40% - 强调文字颜色 5 3 21" xfId="4507"/>
    <cellStyle name="40% - 强调文字颜色 5 3 21 2" xfId="9757"/>
    <cellStyle name="40% - 强调文字颜色 5 3 21 3" xfId="16191"/>
    <cellStyle name="40% - 强调文字颜色 5 3 21 4" xfId="25584"/>
    <cellStyle name="40% - 强调文字颜色 5 3 21 5" xfId="26838"/>
    <cellStyle name="40% - 强调文字颜色 5 3 21 6" xfId="28823"/>
    <cellStyle name="40% - 强调文字颜色 5 3 22" xfId="4508"/>
    <cellStyle name="40% - 强调文字颜色 5 3 22 2" xfId="9758"/>
    <cellStyle name="40% - 强调文字颜色 5 3 22 3" xfId="16192"/>
    <cellStyle name="40% - 强调文字颜色 5 3 22 4" xfId="25585"/>
    <cellStyle name="40% - 强调文字颜色 5 3 22 5" xfId="26839"/>
    <cellStyle name="40% - 强调文字颜色 5 3 22 6" xfId="28824"/>
    <cellStyle name="40% - 强调文字颜色 5 3 23" xfId="4509"/>
    <cellStyle name="40% - 强调文字颜色 5 3 23 2" xfId="9759"/>
    <cellStyle name="40% - 强调文字颜色 5 3 23 3" xfId="16193"/>
    <cellStyle name="40% - 强调文字颜色 5 3 23 4" xfId="25586"/>
    <cellStyle name="40% - 强调文字颜色 5 3 23 5" xfId="26840"/>
    <cellStyle name="40% - 强调文字颜色 5 3 23 6" xfId="28825"/>
    <cellStyle name="40% - 强调文字颜色 5 3 24" xfId="4510"/>
    <cellStyle name="40% - 强调文字颜色 5 3 24 2" xfId="9760"/>
    <cellStyle name="40% - 强调文字颜色 5 3 24 3" xfId="16194"/>
    <cellStyle name="40% - 强调文字颜色 5 3 24 4" xfId="25587"/>
    <cellStyle name="40% - 强调文字颜色 5 3 24 5" xfId="26841"/>
    <cellStyle name="40% - 强调文字颜色 5 3 24 6" xfId="28826"/>
    <cellStyle name="40% - 强调文字颜色 5 3 25" xfId="4511"/>
    <cellStyle name="40% - 强调文字颜色 5 3 25 2" xfId="9761"/>
    <cellStyle name="40% - 强调文字颜色 5 3 25 3" xfId="16195"/>
    <cellStyle name="40% - 强调文字颜色 5 3 25 4" xfId="25588"/>
    <cellStyle name="40% - 强调文字颜色 5 3 25 5" xfId="26842"/>
    <cellStyle name="40% - 强调文字颜色 5 3 25 6" xfId="28827"/>
    <cellStyle name="40% - 强调文字颜色 5 3 26" xfId="4512"/>
    <cellStyle name="40% - 强调文字颜色 5 3 26 2" xfId="9762"/>
    <cellStyle name="40% - 强调文字颜色 5 3 26 3" xfId="16196"/>
    <cellStyle name="40% - 强调文字颜色 5 3 26 4" xfId="25589"/>
    <cellStyle name="40% - 强调文字颜色 5 3 26 5" xfId="26843"/>
    <cellStyle name="40% - 强调文字颜色 5 3 26 6" xfId="28828"/>
    <cellStyle name="40% - 强调文字颜色 5 3 27" xfId="4513"/>
    <cellStyle name="40% - 强调文字颜色 5 3 27 2" xfId="9763"/>
    <cellStyle name="40% - 强调文字颜色 5 3 27 3" xfId="16197"/>
    <cellStyle name="40% - 强调文字颜色 5 3 27 4" xfId="25590"/>
    <cellStyle name="40% - 强调文字颜色 5 3 27 5" xfId="26844"/>
    <cellStyle name="40% - 强调文字颜色 5 3 27 6" xfId="28829"/>
    <cellStyle name="40% - 强调文字颜色 5 3 28" xfId="4514"/>
    <cellStyle name="40% - 强调文字颜色 5 3 28 2" xfId="9764"/>
    <cellStyle name="40% - 强调文字颜色 5 3 28 3" xfId="16198"/>
    <cellStyle name="40% - 强调文字颜色 5 3 28 4" xfId="25591"/>
    <cellStyle name="40% - 强调文字颜色 5 3 28 5" xfId="26845"/>
    <cellStyle name="40% - 强调文字颜色 5 3 28 6" xfId="28830"/>
    <cellStyle name="40% - 强调文字颜色 5 3 29" xfId="4515"/>
    <cellStyle name="40% - 强调文字颜色 5 3 29 2" xfId="9765"/>
    <cellStyle name="40% - 强调文字颜色 5 3 29 3" xfId="16199"/>
    <cellStyle name="40% - 强调文字颜色 5 3 29 4" xfId="25592"/>
    <cellStyle name="40% - 强调文字颜色 5 3 29 5" xfId="28831"/>
    <cellStyle name="40% - 强调文字颜色 5 3 3" xfId="1176"/>
    <cellStyle name="40% - 强调文字颜色 5 3 3 10" xfId="30744"/>
    <cellStyle name="40% - 强调文字颜色 5 3 3 11" xfId="33085"/>
    <cellStyle name="40% - 强调文字颜色 5 3 3 2" xfId="4516"/>
    <cellStyle name="40% - 强调文字颜色 5 3 3 3" xfId="6720"/>
    <cellStyle name="40% - 强调文字颜色 5 3 3 4" xfId="12864"/>
    <cellStyle name="40% - 强调文字颜色 5 3 3 5" xfId="16200"/>
    <cellStyle name="40% - 强调文字颜色 5 3 3 6" xfId="11243"/>
    <cellStyle name="40% - 强调文字颜色 5 3 3 7" xfId="19031"/>
    <cellStyle name="40% - 强调文字颜色 5 3 3 8" xfId="22111"/>
    <cellStyle name="40% - 强调文字颜色 5 3 3 9" xfId="20478"/>
    <cellStyle name="40% - 强调文字颜色 5 3 30" xfId="4517"/>
    <cellStyle name="40% - 强调文字颜色 5 3 30 2" xfId="9767"/>
    <cellStyle name="40% - 强调文字颜色 5 3 30 3" xfId="16201"/>
    <cellStyle name="40% - 强调文字颜色 5 3 30 4" xfId="25593"/>
    <cellStyle name="40% - 强调文字颜色 5 3 30 5" xfId="28832"/>
    <cellStyle name="40% - 强调文字颜色 5 3 31" xfId="4518"/>
    <cellStyle name="40% - 强调文字颜色 5 3 31 2" xfId="9768"/>
    <cellStyle name="40% - 强调文字颜色 5 3 31 3" xfId="16202"/>
    <cellStyle name="40% - 强调文字颜色 5 3 31 4" xfId="25594"/>
    <cellStyle name="40% - 强调文字颜色 5 3 31 5" xfId="28833"/>
    <cellStyle name="40% - 强调文字颜色 5 3 32" xfId="4519"/>
    <cellStyle name="40% - 强调文字颜色 5 3 32 2" xfId="9769"/>
    <cellStyle name="40% - 强调文字颜色 5 3 32 3" xfId="16203"/>
    <cellStyle name="40% - 强调文字颜色 5 3 32 4" xfId="25595"/>
    <cellStyle name="40% - 强调文字颜色 5 3 32 5" xfId="28834"/>
    <cellStyle name="40% - 强调文字颜色 5 3 33" xfId="4520"/>
    <cellStyle name="40% - 强调文字颜色 5 3 33 2" xfId="9770"/>
    <cellStyle name="40% - 强调文字颜色 5 3 33 3" xfId="16204"/>
    <cellStyle name="40% - 强调文字颜色 5 3 33 4" xfId="25596"/>
    <cellStyle name="40% - 强调文字颜色 5 3 33 5" xfId="28835"/>
    <cellStyle name="40% - 强调文字颜色 5 3 34" xfId="4521"/>
    <cellStyle name="40% - 强调文字颜色 5 3 34 2" xfId="9771"/>
    <cellStyle name="40% - 强调文字颜色 5 3 34 3" xfId="16205"/>
    <cellStyle name="40% - 强调文字颜色 5 3 34 4" xfId="25597"/>
    <cellStyle name="40% - 强调文字颜色 5 3 34 5" xfId="28836"/>
    <cellStyle name="40% - 强调文字颜色 5 3 35" xfId="4522"/>
    <cellStyle name="40% - 强调文字颜色 5 3 35 2" xfId="9772"/>
    <cellStyle name="40% - 强调文字颜色 5 3 35 3" xfId="16206"/>
    <cellStyle name="40% - 强调文字颜色 5 3 35 4" xfId="25598"/>
    <cellStyle name="40% - 强调文字颜色 5 3 35 5" xfId="28837"/>
    <cellStyle name="40% - 强调文字颜色 5 3 36" xfId="4523"/>
    <cellStyle name="40% - 强调文字颜色 5 3 36 2" xfId="9773"/>
    <cellStyle name="40% - 强调文字颜色 5 3 36 3" xfId="16207"/>
    <cellStyle name="40% - 强调文字颜色 5 3 36 4" xfId="25599"/>
    <cellStyle name="40% - 强调文字颜色 5 3 36 5" xfId="28838"/>
    <cellStyle name="40% - 强调文字颜色 5 3 37" xfId="4524"/>
    <cellStyle name="40% - 强调文字颜色 5 3 37 2" xfId="9774"/>
    <cellStyle name="40% - 强调文字颜色 5 3 37 3" xfId="16208"/>
    <cellStyle name="40% - 强调文字颜色 5 3 37 4" xfId="25600"/>
    <cellStyle name="40% - 强调文字颜色 5 3 37 5" xfId="28839"/>
    <cellStyle name="40% - 强调文字颜色 5 3 38" xfId="4525"/>
    <cellStyle name="40% - 强调文字颜色 5 3 38 2" xfId="9775"/>
    <cellStyle name="40% - 强调文字颜色 5 3 38 3" xfId="16209"/>
    <cellStyle name="40% - 强调文字颜色 5 3 38 4" xfId="25601"/>
    <cellStyle name="40% - 强调文字颜色 5 3 38 5" xfId="28840"/>
    <cellStyle name="40% - 强调文字颜色 5 3 39" xfId="4526"/>
    <cellStyle name="40% - 强调文字颜色 5 3 39 2" xfId="9776"/>
    <cellStyle name="40% - 强调文字颜色 5 3 39 3" xfId="16210"/>
    <cellStyle name="40% - 强调文字颜色 5 3 39 4" xfId="25602"/>
    <cellStyle name="40% - 强调文字颜色 5 3 39 5" xfId="28841"/>
    <cellStyle name="40% - 强调文字颜色 5 3 4" xfId="1177"/>
    <cellStyle name="40% - 强调文字颜色 5 3 4 10" xfId="30745"/>
    <cellStyle name="40% - 强调文字颜色 5 3 4 11" xfId="33337"/>
    <cellStyle name="40% - 强调文字颜色 5 3 4 2" xfId="4527"/>
    <cellStyle name="40% - 强调文字颜色 5 3 4 3" xfId="6721"/>
    <cellStyle name="40% - 强调文字颜色 5 3 4 4" xfId="12865"/>
    <cellStyle name="40% - 强调文字颜色 5 3 4 5" xfId="16211"/>
    <cellStyle name="40% - 强调文字颜色 5 3 4 6" xfId="10110"/>
    <cellStyle name="40% - 强调文字颜色 5 3 4 7" xfId="19032"/>
    <cellStyle name="40% - 强调文字颜色 5 3 4 8" xfId="21612"/>
    <cellStyle name="40% - 强调文字颜色 5 3 4 9" xfId="19821"/>
    <cellStyle name="40% - 强调文字颜色 5 3 40" xfId="4528"/>
    <cellStyle name="40% - 强调文字颜色 5 3 40 2" xfId="9778"/>
    <cellStyle name="40% - 强调文字颜色 5 3 40 3" xfId="16212"/>
    <cellStyle name="40% - 强调文字颜色 5 3 40 4" xfId="25603"/>
    <cellStyle name="40% - 强调文字颜色 5 3 40 5" xfId="28842"/>
    <cellStyle name="40% - 强调文字颜色 5 3 41" xfId="4529"/>
    <cellStyle name="40% - 强调文字颜色 5 3 41 2" xfId="9779"/>
    <cellStyle name="40% - 强调文字颜色 5 3 41 3" xfId="16213"/>
    <cellStyle name="40% - 强调文字颜色 5 3 41 4" xfId="25604"/>
    <cellStyle name="40% - 强调文字颜色 5 3 41 5" xfId="28843"/>
    <cellStyle name="40% - 强调文字颜色 5 3 42" xfId="6708"/>
    <cellStyle name="40% - 强调文字颜色 5 3 42 2" xfId="23578"/>
    <cellStyle name="40% - 强调文字颜色 5 3 42 3" xfId="26163"/>
    <cellStyle name="40% - 强调文字颜色 5 3 43" xfId="11054"/>
    <cellStyle name="40% - 强调文字颜色 5 3 43 2" xfId="23801"/>
    <cellStyle name="40% - 强调文字颜色 5 3 43 3" xfId="26386"/>
    <cellStyle name="40% - 强调文字颜色 5 3 44" xfId="12852"/>
    <cellStyle name="40% - 强调文字颜色 5 3 44 2" xfId="23881"/>
    <cellStyle name="40% - 强调文字颜色 5 3 44 3" xfId="26466"/>
    <cellStyle name="40% - 强调文字颜色 5 3 45" xfId="16178"/>
    <cellStyle name="40% - 强调文字颜色 5 3 45 2" xfId="23919"/>
    <cellStyle name="40% - 强调文字颜色 5 3 45 3" xfId="26504"/>
    <cellStyle name="40% - 强调文字颜色 5 3 46" xfId="10116"/>
    <cellStyle name="40% - 强调文字颜色 5 3 47" xfId="19019"/>
    <cellStyle name="40% - 强调文字颜色 5 3 48" xfId="22115"/>
    <cellStyle name="40% - 强调文字颜色 5 3 49" xfId="20482"/>
    <cellStyle name="40% - 强调文字颜色 5 3 5" xfId="1178"/>
    <cellStyle name="40% - 强调文字颜色 5 3 5 10" xfId="30746"/>
    <cellStyle name="40% - 强调文字颜色 5 3 5 11" xfId="32438"/>
    <cellStyle name="40% - 强调文字颜色 5 3 5 2" xfId="4530"/>
    <cellStyle name="40% - 强调文字颜色 5 3 5 3" xfId="6722"/>
    <cellStyle name="40% - 强调文字颜色 5 3 5 4" xfId="12866"/>
    <cellStyle name="40% - 强调文字颜色 5 3 5 5" xfId="16214"/>
    <cellStyle name="40% - 强调文字颜色 5 3 5 6" xfId="11242"/>
    <cellStyle name="40% - 强调文字颜色 5 3 5 7" xfId="19033"/>
    <cellStyle name="40% - 强调文字颜色 5 3 5 8" xfId="23092"/>
    <cellStyle name="40% - 强调文字颜色 5 3 5 9" xfId="21039"/>
    <cellStyle name="40% - 强调文字颜色 5 3 50" xfId="30731"/>
    <cellStyle name="40% - 强调文字颜色 5 3 51" xfId="32203"/>
    <cellStyle name="40% - 强调文字颜色 5 3 6" xfId="1179"/>
    <cellStyle name="40% - 强调文字颜色 5 3 6 10" xfId="30747"/>
    <cellStyle name="40% - 强调文字颜色 5 3 6 11" xfId="32202"/>
    <cellStyle name="40% - 强调文字颜色 5 3 6 2" xfId="4531"/>
    <cellStyle name="40% - 强调文字颜色 5 3 6 3" xfId="6723"/>
    <cellStyle name="40% - 强调文字颜色 5 3 6 4" xfId="12867"/>
    <cellStyle name="40% - 强调文字颜色 5 3 6 5" xfId="16215"/>
    <cellStyle name="40% - 强调文字颜色 5 3 6 6" xfId="10109"/>
    <cellStyle name="40% - 强调文字颜色 5 3 6 7" xfId="19034"/>
    <cellStyle name="40% - 强调文字颜色 5 3 6 8" xfId="22826"/>
    <cellStyle name="40% - 强调文字颜色 5 3 6 9" xfId="20477"/>
    <cellStyle name="40% - 强调文字颜色 5 3 7" xfId="1180"/>
    <cellStyle name="40% - 强调文字颜色 5 3 7 10" xfId="30748"/>
    <cellStyle name="40% - 强调文字颜色 5 3 7 11" xfId="31737"/>
    <cellStyle name="40% - 强调文字颜色 5 3 7 2" xfId="4532"/>
    <cellStyle name="40% - 强调文字颜色 5 3 7 3" xfId="6724"/>
    <cellStyle name="40% - 强调文字颜色 5 3 7 4" xfId="12868"/>
    <cellStyle name="40% - 强调文字颜色 5 3 7 5" xfId="16216"/>
    <cellStyle name="40% - 强调文字颜色 5 3 7 6" xfId="11241"/>
    <cellStyle name="40% - 强调文字颜色 5 3 7 7" xfId="19035"/>
    <cellStyle name="40% - 强调文字颜色 5 3 7 8" xfId="23091"/>
    <cellStyle name="40% - 强调文字颜色 5 3 7 9" xfId="19820"/>
    <cellStyle name="40% - 强调文字颜色 5 3 8" xfId="1181"/>
    <cellStyle name="40% - 强调文字颜色 5 3 8 10" xfId="30749"/>
    <cellStyle name="40% - 强调文字颜色 5 3 8 11" xfId="33335"/>
    <cellStyle name="40% - 强调文字颜色 5 3 8 2" xfId="4533"/>
    <cellStyle name="40% - 强调文字颜色 5 3 8 3" xfId="6725"/>
    <cellStyle name="40% - 强调文字颜色 5 3 8 4" xfId="12869"/>
    <cellStyle name="40% - 强调文字颜色 5 3 8 5" xfId="16217"/>
    <cellStyle name="40% - 强调文字颜色 5 3 8 6" xfId="10108"/>
    <cellStyle name="40% - 强调文字颜色 5 3 8 7" xfId="19036"/>
    <cellStyle name="40% - 强调文字颜色 5 3 8 8" xfId="22825"/>
    <cellStyle name="40% - 强调文字颜色 5 3 8 9" xfId="21038"/>
    <cellStyle name="40% - 强调文字颜色 5 3 9" xfId="1182"/>
    <cellStyle name="40% - 强调文字颜色 5 3 9 10" xfId="30750"/>
    <cellStyle name="40% - 强调文字颜色 5 3 9 11" xfId="33083"/>
    <cellStyle name="40% - 强调文字颜色 5 3 9 2" xfId="4534"/>
    <cellStyle name="40% - 强调文字颜色 5 3 9 3" xfId="6726"/>
    <cellStyle name="40% - 强调文字颜色 5 3 9 4" xfId="12870"/>
    <cellStyle name="40% - 强调文字颜色 5 3 9 5" xfId="16218"/>
    <cellStyle name="40% - 强调文字颜色 5 3 9 6" xfId="11240"/>
    <cellStyle name="40% - 强调文字颜色 5 3 9 7" xfId="19037"/>
    <cellStyle name="40% - 强调文字颜色 5 3 9 8" xfId="22607"/>
    <cellStyle name="40% - 强调文字颜色 5 3 9 9" xfId="20476"/>
    <cellStyle name="40% - 强调文字颜色 5 30" xfId="4535"/>
    <cellStyle name="40% - 强调文字颜色 5 30 2" xfId="9785"/>
    <cellStyle name="40% - 强调文字颜色 5 30 3" xfId="16219"/>
    <cellStyle name="40% - 强调文字颜色 5 30 4" xfId="25605"/>
    <cellStyle name="40% - 强调文字颜色 5 30 5" xfId="26846"/>
    <cellStyle name="40% - 强调文字颜色 5 30 6" xfId="28844"/>
    <cellStyle name="40% - 强调文字颜色 5 31" xfId="4536"/>
    <cellStyle name="40% - 强调文字颜色 5 31 2" xfId="9786"/>
    <cellStyle name="40% - 强调文字颜色 5 31 3" xfId="16220"/>
    <cellStyle name="40% - 强调文字颜色 5 31 4" xfId="25606"/>
    <cellStyle name="40% - 强调文字颜色 5 31 5" xfId="26847"/>
    <cellStyle name="40% - 强调文字颜色 5 31 6" xfId="28845"/>
    <cellStyle name="40% - 强调文字颜色 5 32" xfId="4537"/>
    <cellStyle name="40% - 强调文字颜色 5 32 2" xfId="9787"/>
    <cellStyle name="40% - 强调文字颜色 5 32 3" xfId="16221"/>
    <cellStyle name="40% - 强调文字颜色 5 32 4" xfId="25607"/>
    <cellStyle name="40% - 强调文字颜色 5 32 5" xfId="26848"/>
    <cellStyle name="40% - 强调文字颜色 5 32 6" xfId="28846"/>
    <cellStyle name="40% - 强调文字颜色 5 33" xfId="4538"/>
    <cellStyle name="40% - 强调文字颜色 5 33 2" xfId="9788"/>
    <cellStyle name="40% - 强调文字颜色 5 33 3" xfId="16222"/>
    <cellStyle name="40% - 强调文字颜色 5 33 4" xfId="25608"/>
    <cellStyle name="40% - 强调文字颜色 5 33 5" xfId="28847"/>
    <cellStyle name="40% - 强调文字颜色 5 34" xfId="4539"/>
    <cellStyle name="40% - 强调文字颜色 5 34 2" xfId="9789"/>
    <cellStyle name="40% - 强调文字颜色 5 34 3" xfId="16223"/>
    <cellStyle name="40% - 强调文字颜色 5 34 4" xfId="25609"/>
    <cellStyle name="40% - 强调文字颜色 5 34 5" xfId="28848"/>
    <cellStyle name="40% - 强调文字颜色 5 35" xfId="4540"/>
    <cellStyle name="40% - 强调文字颜色 5 35 2" xfId="9790"/>
    <cellStyle name="40% - 强调文字颜色 5 35 3" xfId="16224"/>
    <cellStyle name="40% - 强调文字颜色 5 35 4" xfId="25610"/>
    <cellStyle name="40% - 强调文字颜色 5 35 5" xfId="28849"/>
    <cellStyle name="40% - 强调文字颜色 5 36" xfId="4541"/>
    <cellStyle name="40% - 强调文字颜色 5 36 2" xfId="9791"/>
    <cellStyle name="40% - 强调文字颜色 5 36 3" xfId="16225"/>
    <cellStyle name="40% - 强调文字颜色 5 36 4" xfId="25611"/>
    <cellStyle name="40% - 强调文字颜色 5 36 5" xfId="28850"/>
    <cellStyle name="40% - 强调文字颜色 5 37" xfId="4542"/>
    <cellStyle name="40% - 强调文字颜色 5 37 2" xfId="9792"/>
    <cellStyle name="40% - 强调文字颜色 5 37 3" xfId="16226"/>
    <cellStyle name="40% - 强调文字颜色 5 37 4" xfId="25612"/>
    <cellStyle name="40% - 强调文字颜色 5 37 5" xfId="28851"/>
    <cellStyle name="40% - 强调文字颜色 5 38" xfId="4543"/>
    <cellStyle name="40% - 强调文字颜色 5 38 2" xfId="9793"/>
    <cellStyle name="40% - 强调文字颜色 5 38 3" xfId="16227"/>
    <cellStyle name="40% - 强调文字颜色 5 38 4" xfId="25613"/>
    <cellStyle name="40% - 强调文字颜色 5 38 5" xfId="28852"/>
    <cellStyle name="40% - 强调文字颜色 5 39" xfId="4544"/>
    <cellStyle name="40% - 强调文字颜色 5 39 2" xfId="9794"/>
    <cellStyle name="40% - 强调文字颜色 5 39 3" xfId="16228"/>
    <cellStyle name="40% - 强调文字颜色 5 39 4" xfId="25614"/>
    <cellStyle name="40% - 强调文字颜色 5 39 5" xfId="28853"/>
    <cellStyle name="40% - 强调文字颜色 5 4" xfId="1183"/>
    <cellStyle name="40% - 强调文字颜色 5 4 10" xfId="12871"/>
    <cellStyle name="40% - 强调文字颜色 5 4 11" xfId="16229"/>
    <cellStyle name="40% - 强调文字颜色 5 4 12" xfId="10107"/>
    <cellStyle name="40% - 强调文字颜色 5 4 13" xfId="19038"/>
    <cellStyle name="40% - 强调文字颜色 5 4 14" xfId="22108"/>
    <cellStyle name="40% - 强调文字颜色 5 4 15" xfId="19819"/>
    <cellStyle name="40% - 强调文字颜色 5 4 16" xfId="30751"/>
    <cellStyle name="40% - 强调文字颜色 5 4 17" xfId="33336"/>
    <cellStyle name="40% - 强调文字颜色 5 4 2" xfId="1184"/>
    <cellStyle name="40% - 强调文字颜色 5 4 2 10" xfId="30752"/>
    <cellStyle name="40% - 强调文字颜色 5 4 2 11" xfId="33084"/>
    <cellStyle name="40% - 强调文字颜色 5 4 2 2" xfId="4546"/>
    <cellStyle name="40% - 强调文字颜色 5 4 2 3" xfId="6728"/>
    <cellStyle name="40% - 强调文字颜色 5 4 2 4" xfId="12872"/>
    <cellStyle name="40% - 强调文字颜色 5 4 2 5" xfId="16230"/>
    <cellStyle name="40% - 强调文字颜色 5 4 2 6" xfId="11239"/>
    <cellStyle name="40% - 强调文字颜色 5 4 2 7" xfId="19039"/>
    <cellStyle name="40% - 强调文字颜色 5 4 2 8" xfId="23090"/>
    <cellStyle name="40% - 强调文字颜色 5 4 2 9" xfId="21472"/>
    <cellStyle name="40% - 强调文字颜色 5 4 3" xfId="1185"/>
    <cellStyle name="40% - 强调文字颜色 5 4 3 10" xfId="30753"/>
    <cellStyle name="40% - 强调文字颜色 5 4 3 11" xfId="32681"/>
    <cellStyle name="40% - 强调文字颜色 5 4 3 2" xfId="4547"/>
    <cellStyle name="40% - 强调文字颜色 5 4 3 3" xfId="6729"/>
    <cellStyle name="40% - 强调文字颜色 5 4 3 4" xfId="12873"/>
    <cellStyle name="40% - 强调文字颜色 5 4 3 5" xfId="16231"/>
    <cellStyle name="40% - 强调文字颜色 5 4 3 6" xfId="10106"/>
    <cellStyle name="40% - 强调文字颜色 5 4 3 7" xfId="19040"/>
    <cellStyle name="40% - 强调文字颜色 5 4 3 8" xfId="22824"/>
    <cellStyle name="40% - 强调文字颜色 5 4 3 9" xfId="20316"/>
    <cellStyle name="40% - 强调文字颜色 5 4 4" xfId="1186"/>
    <cellStyle name="40% - 强调文字颜色 5 4 4 10" xfId="30754"/>
    <cellStyle name="40% - 强调文字颜色 5 4 4 11" xfId="32437"/>
    <cellStyle name="40% - 强调文字颜色 5 4 4 2" xfId="4548"/>
    <cellStyle name="40% - 强调文字颜色 5 4 4 3" xfId="6730"/>
    <cellStyle name="40% - 强调文字颜色 5 4 4 4" xfId="12874"/>
    <cellStyle name="40% - 强调文字颜色 5 4 4 5" xfId="16232"/>
    <cellStyle name="40% - 强调文字颜色 5 4 4 6" xfId="7699"/>
    <cellStyle name="40% - 强调文字颜色 5 4 4 7" xfId="19041"/>
    <cellStyle name="40% - 强调文字颜色 5 4 4 8" xfId="22606"/>
    <cellStyle name="40% - 强调文字颜色 5 4 4 9" xfId="21028"/>
    <cellStyle name="40% - 强调文字颜色 5 4 5" xfId="1187"/>
    <cellStyle name="40% - 强调文字颜色 5 4 5 10" xfId="30755"/>
    <cellStyle name="40% - 强调文字颜色 5 4 5 11" xfId="32201"/>
    <cellStyle name="40% - 强调文字颜色 5 4 5 2" xfId="4549"/>
    <cellStyle name="40% - 强调文字颜色 5 4 5 3" xfId="6731"/>
    <cellStyle name="40% - 强调文字颜色 5 4 5 4" xfId="12875"/>
    <cellStyle name="40% - 强调文字颜色 5 4 5 5" xfId="16233"/>
    <cellStyle name="40% - 强调文字颜色 5 4 5 6" xfId="11238"/>
    <cellStyle name="40% - 强调文字颜色 5 4 5 7" xfId="19042"/>
    <cellStyle name="40% - 强调文字颜色 5 4 5 8" xfId="22107"/>
    <cellStyle name="40% - 强调文字颜色 5 4 5 9" xfId="20821"/>
    <cellStyle name="40% - 强调文字颜色 5 4 6" xfId="1188"/>
    <cellStyle name="40% - 强调文字颜色 5 4 6 10" xfId="30756"/>
    <cellStyle name="40% - 强调文字颜色 5 4 6 11" xfId="31736"/>
    <cellStyle name="40% - 强调文字颜色 5 4 6 2" xfId="4550"/>
    <cellStyle name="40% - 强调文字颜色 5 4 6 3" xfId="6732"/>
    <cellStyle name="40% - 强调文字颜色 5 4 6 4" xfId="12876"/>
    <cellStyle name="40% - 强调文字颜色 5 4 6 5" xfId="16234"/>
    <cellStyle name="40% - 强调文字颜色 5 4 6 6" xfId="7696"/>
    <cellStyle name="40% - 强调文字颜色 5 4 6 7" xfId="19043"/>
    <cellStyle name="40% - 强调文字颜色 5 4 6 8" xfId="23089"/>
    <cellStyle name="40% - 强调文字颜色 5 4 6 9" xfId="21037"/>
    <cellStyle name="40% - 强调文字颜色 5 4 7" xfId="1189"/>
    <cellStyle name="40% - 强调文字颜色 5 4 7 10" xfId="30757"/>
    <cellStyle name="40% - 强调文字颜色 5 4 7 11" xfId="33333"/>
    <cellStyle name="40% - 强调文字颜色 5 4 7 2" xfId="4551"/>
    <cellStyle name="40% - 强调文字颜色 5 4 7 3" xfId="6733"/>
    <cellStyle name="40% - 强调文字颜色 5 4 7 4" xfId="12877"/>
    <cellStyle name="40% - 强调文字颜色 5 4 7 5" xfId="16235"/>
    <cellStyle name="40% - 强调文字颜色 5 4 7 6" xfId="11235"/>
    <cellStyle name="40% - 强调文字颜色 5 4 7 7" xfId="19044"/>
    <cellStyle name="40% - 强调文字颜色 5 4 7 8" xfId="22106"/>
    <cellStyle name="40% - 强调文字颜色 5 4 7 9" xfId="20475"/>
    <cellStyle name="40% - 强调文字颜色 5 4 8" xfId="4545"/>
    <cellStyle name="40% - 强调文字颜色 5 4 9" xfId="6727"/>
    <cellStyle name="40% - 强调文字颜色 5 40" xfId="4552"/>
    <cellStyle name="40% - 强调文字颜色 5 40 2" xfId="9802"/>
    <cellStyle name="40% - 强调文字颜色 5 40 3" xfId="16236"/>
    <cellStyle name="40% - 强调文字颜色 5 40 4" xfId="25615"/>
    <cellStyle name="40% - 强调文字颜色 5 40 5" xfId="28854"/>
    <cellStyle name="40% - 强调文字颜色 5 41" xfId="4553"/>
    <cellStyle name="40% - 强调文字颜色 5 41 2" xfId="9803"/>
    <cellStyle name="40% - 强调文字颜色 5 41 3" xfId="16237"/>
    <cellStyle name="40% - 强调文字颜色 5 41 4" xfId="25616"/>
    <cellStyle name="40% - 强调文字颜色 5 41 5" xfId="28855"/>
    <cellStyle name="40% - 强调文字颜色 5 42" xfId="4554"/>
    <cellStyle name="40% - 强调文字颜色 5 42 2" xfId="9804"/>
    <cellStyle name="40% - 强调文字颜色 5 42 3" xfId="16238"/>
    <cellStyle name="40% - 强调文字颜色 5 42 4" xfId="25617"/>
    <cellStyle name="40% - 强调文字颜色 5 42 5" xfId="28856"/>
    <cellStyle name="40% - 强调文字颜色 5 43" xfId="4555"/>
    <cellStyle name="40% - 强调文字颜色 5 43 2" xfId="9805"/>
    <cellStyle name="40% - 强调文字颜色 5 43 3" xfId="16239"/>
    <cellStyle name="40% - 强调文字颜色 5 43 4" xfId="25618"/>
    <cellStyle name="40% - 强调文字颜色 5 43 5" xfId="28857"/>
    <cellStyle name="40% - 强调文字颜色 5 44" xfId="4556"/>
    <cellStyle name="40% - 强调文字颜色 5 44 2" xfId="9806"/>
    <cellStyle name="40% - 强调文字颜色 5 44 3" xfId="16240"/>
    <cellStyle name="40% - 强调文字颜色 5 44 4" xfId="25619"/>
    <cellStyle name="40% - 强调文字颜色 5 44 5" xfId="28858"/>
    <cellStyle name="40% - 强调文字颜色 5 45" xfId="4557"/>
    <cellStyle name="40% - 强调文字颜色 5 45 2" xfId="9807"/>
    <cellStyle name="40% - 强调文字颜色 5 45 3" xfId="16241"/>
    <cellStyle name="40% - 强调文字颜色 5 45 4" xfId="25620"/>
    <cellStyle name="40% - 强调文字颜色 5 45 5" xfId="28859"/>
    <cellStyle name="40% - 强调文字颜色 5 46" xfId="6661"/>
    <cellStyle name="40% - 强调文字颜色 5 46 2" xfId="9620"/>
    <cellStyle name="40% - 强调文字颜色 5 46 3" xfId="17341"/>
    <cellStyle name="40% - 强调文字颜色 5 47" xfId="11042"/>
    <cellStyle name="40% - 强调文字颜色 5 47 2" xfId="23796"/>
    <cellStyle name="40% - 强调文字颜色 5 47 3" xfId="26381"/>
    <cellStyle name="40% - 强调文字颜色 5 48" xfId="12806"/>
    <cellStyle name="40% - 强调文字颜色 5 48 2" xfId="23878"/>
    <cellStyle name="40% - 强调文字颜色 5 48 3" xfId="26463"/>
    <cellStyle name="40% - 强调文字颜色 5 49" xfId="16025"/>
    <cellStyle name="40% - 强调文字颜色 5 49 2" xfId="23918"/>
    <cellStyle name="40% - 强调文字颜色 5 49 3" xfId="26503"/>
    <cellStyle name="40% - 强调文字颜色 5 5" xfId="1190"/>
    <cellStyle name="40% - 强调文字颜色 5 5 10" xfId="12878"/>
    <cellStyle name="40% - 强调文字颜色 5 5 11" xfId="16242"/>
    <cellStyle name="40% - 强调文字颜色 5 5 12" xfId="10103"/>
    <cellStyle name="40% - 强调文字颜色 5 5 13" xfId="19045"/>
    <cellStyle name="40% - 强调文字颜色 5 5 14" xfId="21610"/>
    <cellStyle name="40% - 强调文字颜色 5 5 15" xfId="19810"/>
    <cellStyle name="40% - 强调文字颜色 5 5 16" xfId="30758"/>
    <cellStyle name="40% - 强调文字颜色 5 5 17" xfId="33082"/>
    <cellStyle name="40% - 强调文字颜色 5 5 2" xfId="1191"/>
    <cellStyle name="40% - 强调文字颜色 5 5 2 10" xfId="30759"/>
    <cellStyle name="40% - 强调文字颜色 5 5 2 11" xfId="32680"/>
    <cellStyle name="40% - 强调文字颜色 5 5 2 2" xfId="4559"/>
    <cellStyle name="40% - 强调文字颜色 5 5 2 3" xfId="6735"/>
    <cellStyle name="40% - 强调文字颜色 5 5 2 4" xfId="12879"/>
    <cellStyle name="40% - 强调文字颜色 5 5 2 5" xfId="16243"/>
    <cellStyle name="40% - 强调文字颜色 5 5 2 6" xfId="11234"/>
    <cellStyle name="40% - 强调文字颜色 5 5 2 7" xfId="19046"/>
    <cellStyle name="40% - 强调文字颜色 5 5 2 8" xfId="23088"/>
    <cellStyle name="40% - 强调文字颜色 5 5 2 9" xfId="20746"/>
    <cellStyle name="40% - 强调文字颜色 5 5 3" xfId="1192"/>
    <cellStyle name="40% - 强调文字颜色 5 5 3 10" xfId="30760"/>
    <cellStyle name="40% - 强调文字颜色 5 5 3 11" xfId="32436"/>
    <cellStyle name="40% - 强调文字颜色 5 5 3 2" xfId="4560"/>
    <cellStyle name="40% - 强调文字颜色 5 5 3 3" xfId="6736"/>
    <cellStyle name="40% - 强调文字颜色 5 5 3 4" xfId="12880"/>
    <cellStyle name="40% - 强调文字颜色 5 5 3 5" xfId="16244"/>
    <cellStyle name="40% - 强调文字颜色 5 5 3 6" xfId="10102"/>
    <cellStyle name="40% - 强调文字颜色 5 5 3 7" xfId="19047"/>
    <cellStyle name="40% - 强调文字颜色 5 5 3 8" xfId="22105"/>
    <cellStyle name="40% - 强调文字颜色 5 5 3 9" xfId="21354"/>
    <cellStyle name="40% - 强调文字颜色 5 5 4" xfId="1193"/>
    <cellStyle name="40% - 强调文字颜色 5 5 4 10" xfId="30761"/>
    <cellStyle name="40% - 强调文字颜色 5 5 4 11" xfId="32200"/>
    <cellStyle name="40% - 强调文字颜色 5 5 4 2" xfId="4561"/>
    <cellStyle name="40% - 强调文字颜色 5 5 4 3" xfId="6737"/>
    <cellStyle name="40% - 强调文字颜色 5 5 4 4" xfId="12881"/>
    <cellStyle name="40% - 强调文字颜色 5 5 4 5" xfId="16245"/>
    <cellStyle name="40% - 强调文字颜色 5 5 4 6" xfId="11233"/>
    <cellStyle name="40% - 强调文字颜色 5 5 4 7" xfId="19048"/>
    <cellStyle name="40% - 强调文字颜色 5 5 4 8" xfId="21609"/>
    <cellStyle name="40% - 强调文字颜色 5 5 4 9" xfId="20466"/>
    <cellStyle name="40% - 强调文字颜色 5 5 5" xfId="1194"/>
    <cellStyle name="40% - 强调文字颜色 5 5 5 10" xfId="30762"/>
    <cellStyle name="40% - 强调文字颜色 5 5 5 11" xfId="31735"/>
    <cellStyle name="40% - 强调文字颜色 5 5 5 2" xfId="4562"/>
    <cellStyle name="40% - 强调文字颜色 5 5 5 3" xfId="6738"/>
    <cellStyle name="40% - 强调文字颜色 5 5 5 4" xfId="12882"/>
    <cellStyle name="40% - 强调文字颜色 5 5 5 5" xfId="16246"/>
    <cellStyle name="40% - 强调文字颜色 5 5 5 6" xfId="10101"/>
    <cellStyle name="40% - 强调文字颜色 5 5 5 7" xfId="19049"/>
    <cellStyle name="40% - 强调文字颜色 5 5 5 8" xfId="23087"/>
    <cellStyle name="40% - 强调文字颜色 5 5 5 9" xfId="20180"/>
    <cellStyle name="40% - 强调文字颜色 5 5 6" xfId="1195"/>
    <cellStyle name="40% - 强调文字颜色 5 5 6 10" xfId="30763"/>
    <cellStyle name="40% - 强调文字颜色 5 5 6 11" xfId="33334"/>
    <cellStyle name="40% - 强调文字颜色 5 5 6 2" xfId="4563"/>
    <cellStyle name="40% - 强调文字颜色 5 5 6 3" xfId="6739"/>
    <cellStyle name="40% - 强调文字颜色 5 5 6 4" xfId="12883"/>
    <cellStyle name="40% - 强调文字颜色 5 5 6 5" xfId="16247"/>
    <cellStyle name="40% - 强调文字颜色 5 5 6 6" xfId="11232"/>
    <cellStyle name="40% - 强调文字颜色 5 5 6 7" xfId="19050"/>
    <cellStyle name="40% - 强调文字颜色 5 5 6 8" xfId="22104"/>
    <cellStyle name="40% - 强调文字颜色 5 5 6 9" xfId="21036"/>
    <cellStyle name="40% - 强调文字颜色 5 5 7" xfId="1196"/>
    <cellStyle name="40% - 强调文字颜色 5 5 7 10" xfId="30764"/>
    <cellStyle name="40% - 强调文字颜色 5 5 7 11" xfId="33081"/>
    <cellStyle name="40% - 强调文字颜色 5 5 7 2" xfId="4564"/>
    <cellStyle name="40% - 强调文字颜色 5 5 7 3" xfId="6740"/>
    <cellStyle name="40% - 强调文字颜色 5 5 7 4" xfId="12884"/>
    <cellStyle name="40% - 强调文字颜色 5 5 7 5" xfId="16248"/>
    <cellStyle name="40% - 强调文字颜色 5 5 7 6" xfId="10100"/>
    <cellStyle name="40% - 强调文字颜色 5 5 7 7" xfId="19051"/>
    <cellStyle name="40% - 强调文字颜色 5 5 7 8" xfId="21608"/>
    <cellStyle name="40% - 强调文字颜色 5 5 7 9" xfId="20474"/>
    <cellStyle name="40% - 强调文字颜色 5 5 8" xfId="4558"/>
    <cellStyle name="40% - 强调文字颜色 5 5 9" xfId="6734"/>
    <cellStyle name="40% - 强调文字颜色 5 50" xfId="7702"/>
    <cellStyle name="40% - 强调文字颜色 5 50 2" xfId="27018"/>
    <cellStyle name="40% - 强调文字颜色 5 51" xfId="17447"/>
    <cellStyle name="40% - 强调文字颜色 5 52" xfId="17533"/>
    <cellStyle name="40% - 强调文字颜色 5 52 2" xfId="27151"/>
    <cellStyle name="40% - 强调文字颜色 5 53" xfId="17619"/>
    <cellStyle name="40% - 强调文字颜色 5 54" xfId="17705"/>
    <cellStyle name="40% - 强调文字颜色 5 55" xfId="17791"/>
    <cellStyle name="40% - 强调文字颜色 5 56" xfId="18971"/>
    <cellStyle name="40% - 强调文字颜色 5 56 2" xfId="21380"/>
    <cellStyle name="40% - 强调文字颜色 5 56 3" xfId="23463"/>
    <cellStyle name="40% - 强调文字颜色 5 57" xfId="23111"/>
    <cellStyle name="40% - 强调文字颜色 5 58" xfId="21058"/>
    <cellStyle name="40% - 强调文字颜色 5 6" xfId="1197"/>
    <cellStyle name="40% - 强调文字颜色 5 6 10" xfId="16249"/>
    <cellStyle name="40% - 强调文字颜色 5 6 11" xfId="7697"/>
    <cellStyle name="40% - 强调文字颜色 5 6 12" xfId="19052"/>
    <cellStyle name="40% - 强调文字颜色 5 6 13" xfId="23086"/>
    <cellStyle name="40% - 强调文字颜色 5 6 14" xfId="19818"/>
    <cellStyle name="40% - 强调文字颜色 5 6 15" xfId="30765"/>
    <cellStyle name="40% - 强调文字颜色 5 6 16" xfId="32679"/>
    <cellStyle name="40% - 强调文字颜色 5 6 2" xfId="1198"/>
    <cellStyle name="40% - 强调文字颜色 5 6 2 10" xfId="30766"/>
    <cellStyle name="40% - 强调文字颜色 5 6 2 11" xfId="32435"/>
    <cellStyle name="40% - 强调文字颜色 5 6 2 2" xfId="4566"/>
    <cellStyle name="40% - 强调文字颜色 5 6 2 3" xfId="6742"/>
    <cellStyle name="40% - 强调文字颜色 5 6 2 4" xfId="12886"/>
    <cellStyle name="40% - 强调文字颜色 5 6 2 5" xfId="16250"/>
    <cellStyle name="40% - 强调文字颜色 5 6 2 6" xfId="11231"/>
    <cellStyle name="40% - 强调文字颜色 5 6 2 7" xfId="19053"/>
    <cellStyle name="40% - 强调文字颜色 5 6 2 8" xfId="22103"/>
    <cellStyle name="40% - 强调文字颜色 5 6 2 9" xfId="21035"/>
    <cellStyle name="40% - 强调文字颜色 5 6 3" xfId="1199"/>
    <cellStyle name="40% - 强调文字颜色 5 6 3 10" xfId="30767"/>
    <cellStyle name="40% - 强调文字颜色 5 6 3 11" xfId="32199"/>
    <cellStyle name="40% - 强调文字颜色 5 6 3 2" xfId="4567"/>
    <cellStyle name="40% - 强调文字颜色 5 6 3 3" xfId="6743"/>
    <cellStyle name="40% - 强调文字颜色 5 6 3 4" xfId="12887"/>
    <cellStyle name="40% - 强调文字颜色 5 6 3 5" xfId="16251"/>
    <cellStyle name="40% - 强调文字颜色 5 6 3 6" xfId="11229"/>
    <cellStyle name="40% - 强调文字颜色 5 6 3 7" xfId="19054"/>
    <cellStyle name="40% - 强调文字颜色 5 6 3 8" xfId="21607"/>
    <cellStyle name="40% - 强调文字颜色 5 6 3 9" xfId="20473"/>
    <cellStyle name="40% - 强调文字颜色 5 6 4" xfId="1200"/>
    <cellStyle name="40% - 强调文字颜色 5 6 4 10" xfId="30768"/>
    <cellStyle name="40% - 强调文字颜色 5 6 4 11" xfId="31734"/>
    <cellStyle name="40% - 强调文字颜色 5 6 4 2" xfId="4568"/>
    <cellStyle name="40% - 强调文字颜色 5 6 4 3" xfId="6744"/>
    <cellStyle name="40% - 强调文字颜色 5 6 4 4" xfId="12888"/>
    <cellStyle name="40% - 强调文字颜色 5 6 4 5" xfId="16252"/>
    <cellStyle name="40% - 强调文字颜色 5 6 4 6" xfId="10098"/>
    <cellStyle name="40% - 强调文字颜色 5 6 4 7" xfId="19055"/>
    <cellStyle name="40% - 强调文字颜色 5 6 4 8" xfId="23085"/>
    <cellStyle name="40% - 强调文字颜色 5 6 4 9" xfId="19817"/>
    <cellStyle name="40% - 强调文字颜色 5 6 5" xfId="1201"/>
    <cellStyle name="40% - 强调文字颜色 5 6 5 10" xfId="30769"/>
    <cellStyle name="40% - 强调文字颜色 5 6 5 11" xfId="33332"/>
    <cellStyle name="40% - 强调文字颜色 5 6 5 2" xfId="4569"/>
    <cellStyle name="40% - 强调文字颜色 5 6 5 3" xfId="6745"/>
    <cellStyle name="40% - 强调文字颜色 5 6 5 4" xfId="12889"/>
    <cellStyle name="40% - 强调文字颜色 5 6 5 5" xfId="16253"/>
    <cellStyle name="40% - 强调文字颜色 5 6 5 6" xfId="11228"/>
    <cellStyle name="40% - 强调文字颜色 5 6 5 7" xfId="19056"/>
    <cellStyle name="40% - 强调文字颜色 5 6 5 8" xfId="22102"/>
    <cellStyle name="40% - 强调文字颜色 5 6 5 9" xfId="21034"/>
    <cellStyle name="40% - 强调文字颜色 5 6 6" xfId="1202"/>
    <cellStyle name="40% - 强调文字颜色 5 6 6 10" xfId="30770"/>
    <cellStyle name="40% - 强调文字颜色 5 6 6 11" xfId="32534"/>
    <cellStyle name="40% - 强调文字颜色 5 6 6 2" xfId="4570"/>
    <cellStyle name="40% - 强调文字颜色 5 6 6 3" xfId="6746"/>
    <cellStyle name="40% - 强调文字颜色 5 6 6 4" xfId="12890"/>
    <cellStyle name="40% - 强调文字颜色 5 6 6 5" xfId="16254"/>
    <cellStyle name="40% - 强调文字颜色 5 6 6 6" xfId="10097"/>
    <cellStyle name="40% - 强调文字颜色 5 6 6 7" xfId="19057"/>
    <cellStyle name="40% - 强调文字颜色 5 6 6 8" xfId="21606"/>
    <cellStyle name="40% - 强调文字颜色 5 6 6 9" xfId="20472"/>
    <cellStyle name="40% - 强调文字颜色 5 6 7" xfId="4565"/>
    <cellStyle name="40% - 强调文字颜色 5 6 8" xfId="6741"/>
    <cellStyle name="40% - 强调文字颜色 5 6 9" xfId="12885"/>
    <cellStyle name="40% - 强调文字颜色 5 7" xfId="1203"/>
    <cellStyle name="40% - 强调文字颜色 5 7 10" xfId="23084"/>
    <cellStyle name="40% - 强调文字颜色 5 7 11" xfId="19816"/>
    <cellStyle name="40% - 强调文字颜色 5 7 12" xfId="30771"/>
    <cellStyle name="40% - 强调文字颜色 5 7 13" xfId="32081"/>
    <cellStyle name="40% - 强调文字颜色 5 7 2" xfId="1204"/>
    <cellStyle name="40% - 强调文字颜色 5 7 2 10" xfId="30772"/>
    <cellStyle name="40% - 强调文字颜色 5 7 2 11" xfId="33463"/>
    <cellStyle name="40% - 强调文字颜色 5 7 2 2" xfId="4572"/>
    <cellStyle name="40% - 强调文字颜色 5 7 2 3" xfId="6748"/>
    <cellStyle name="40% - 强调文字颜色 5 7 2 4" xfId="12892"/>
    <cellStyle name="40% - 强调文字颜色 5 7 2 5" xfId="16256"/>
    <cellStyle name="40% - 强调文字颜色 5 7 2 6" xfId="10096"/>
    <cellStyle name="40% - 强调文字颜色 5 7 2 7" xfId="19059"/>
    <cellStyle name="40% - 强调文字颜色 5 7 2 8" xfId="22101"/>
    <cellStyle name="40% - 强调文字颜色 5 7 2 9" xfId="21033"/>
    <cellStyle name="40% - 强调文字颜色 5 7 3" xfId="1205"/>
    <cellStyle name="40% - 强调文字颜色 5 7 3 10" xfId="30773"/>
    <cellStyle name="40% - 强调文字颜色 5 7 3 11" xfId="32031"/>
    <cellStyle name="40% - 强调文字颜色 5 7 3 2" xfId="4573"/>
    <cellStyle name="40% - 强调文字颜色 5 7 3 3" xfId="6749"/>
    <cellStyle name="40% - 强调文字颜色 5 7 3 4" xfId="12893"/>
    <cellStyle name="40% - 强调文字颜色 5 7 3 5" xfId="16257"/>
    <cellStyle name="40% - 强调文字颜色 5 7 3 6" xfId="11226"/>
    <cellStyle name="40% - 强调文字颜色 5 7 3 7" xfId="19060"/>
    <cellStyle name="40% - 强调文字颜色 5 7 3 8" xfId="21605"/>
    <cellStyle name="40% - 强调文字颜色 5 7 3 9" xfId="20471"/>
    <cellStyle name="40% - 强调文字颜色 5 7 4" xfId="4571"/>
    <cellStyle name="40% - 强调文字颜色 5 7 5" xfId="6747"/>
    <cellStyle name="40% - 强调文字颜色 5 7 6" xfId="12891"/>
    <cellStyle name="40% - 强调文字颜色 5 7 7" xfId="16255"/>
    <cellStyle name="40% - 强调文字颜色 5 7 8" xfId="11227"/>
    <cellStyle name="40% - 强调文字颜色 5 7 9" xfId="19058"/>
    <cellStyle name="40% - 强调文字颜色 5 8" xfId="1206"/>
    <cellStyle name="40% - 强调文字颜色 5 8 10" xfId="16258"/>
    <cellStyle name="40% - 强调文字颜色 5 8 11" xfId="10095"/>
    <cellStyle name="40% - 强调文字颜色 5 8 12" xfId="19061"/>
    <cellStyle name="40% - 强调文字颜色 5 8 13" xfId="23083"/>
    <cellStyle name="40% - 强调文字颜色 5 8 14" xfId="19815"/>
    <cellStyle name="40% - 强调文字颜色 5 8 15" xfId="30774"/>
    <cellStyle name="40% - 强调文字颜色 5 8 16" xfId="32917"/>
    <cellStyle name="40% - 强调文字颜色 5 8 2" xfId="1207"/>
    <cellStyle name="40% - 强调文字颜色 5 8 2 10" xfId="30775"/>
    <cellStyle name="40% - 强调文字颜色 5 8 2 11" xfId="33329"/>
    <cellStyle name="40% - 强调文字颜色 5 8 2 2" xfId="4575"/>
    <cellStyle name="40% - 强调文字颜色 5 8 2 3" xfId="6751"/>
    <cellStyle name="40% - 强调文字颜色 5 8 2 4" xfId="12895"/>
    <cellStyle name="40% - 强调文字颜色 5 8 2 5" xfId="16259"/>
    <cellStyle name="40% - 强调文字颜色 5 8 2 6" xfId="11221"/>
    <cellStyle name="40% - 强调文字颜色 5 8 2 7" xfId="19062"/>
    <cellStyle name="40% - 强调文字颜色 5 8 2 8" xfId="22100"/>
    <cellStyle name="40% - 强调文字颜色 5 8 2 9" xfId="21032"/>
    <cellStyle name="40% - 强调文字颜色 5 8 3" xfId="1208"/>
    <cellStyle name="40% - 强调文字颜色 5 8 3 10" xfId="30776"/>
    <cellStyle name="40% - 强调文字颜色 5 8 3 11" xfId="33079"/>
    <cellStyle name="40% - 强调文字颜色 5 8 3 2" xfId="4576"/>
    <cellStyle name="40% - 强调文字颜色 5 8 3 3" xfId="6752"/>
    <cellStyle name="40% - 强调文字颜色 5 8 3 4" xfId="12896"/>
    <cellStyle name="40% - 强调文字颜色 5 8 3 5" xfId="16260"/>
    <cellStyle name="40% - 强调文字颜色 5 8 3 6" xfId="10090"/>
    <cellStyle name="40% - 强调文字颜色 5 8 3 7" xfId="19063"/>
    <cellStyle name="40% - 强调文字颜色 5 8 3 8" xfId="21604"/>
    <cellStyle name="40% - 强调文字颜色 5 8 3 9" xfId="20470"/>
    <cellStyle name="40% - 强调文字颜色 5 8 4" xfId="1209"/>
    <cellStyle name="40% - 强调文字颜色 5 8 4 10" xfId="30777"/>
    <cellStyle name="40% - 强调文字颜色 5 8 4 11" xfId="32676"/>
    <cellStyle name="40% - 强调文字颜色 5 8 4 2" xfId="4577"/>
    <cellStyle name="40% - 强调文字颜色 5 8 4 3" xfId="6753"/>
    <cellStyle name="40% - 强调文字颜色 5 8 4 4" xfId="12897"/>
    <cellStyle name="40% - 强调文字颜色 5 8 4 5" xfId="16261"/>
    <cellStyle name="40% - 强调文字颜色 5 8 4 6" xfId="11223"/>
    <cellStyle name="40% - 强调文字颜色 5 8 4 7" xfId="19064"/>
    <cellStyle name="40% - 强调文字颜色 5 8 4 8" xfId="23073"/>
    <cellStyle name="40% - 强调文字颜色 5 8 4 9" xfId="19814"/>
    <cellStyle name="40% - 强调文字颜色 5 8 5" xfId="1210"/>
    <cellStyle name="40% - 强调文字颜色 5 8 5 2" xfId="6754"/>
    <cellStyle name="40% - 强调文字颜色 5 8 5 3" xfId="12898"/>
    <cellStyle name="40% - 强调文字颜色 5 8 5 4" xfId="10092"/>
    <cellStyle name="40% - 强调文字颜色 5 8 5 5" xfId="19065"/>
    <cellStyle name="40% - 强调文字颜色 5 8 5 6" xfId="22823"/>
    <cellStyle name="40% - 强调文字颜色 5 8 5 7" xfId="21031"/>
    <cellStyle name="40% - 强调文字颜色 5 8 5 8" xfId="31609"/>
    <cellStyle name="40% - 强调文字颜色 5 8 5 9" xfId="31620"/>
    <cellStyle name="40% - 强调文字颜色 5 8 6" xfId="4574"/>
    <cellStyle name="40% - 强调文字颜色 5 8 7" xfId="6750"/>
    <cellStyle name="40% - 强调文字颜色 5 8 8" xfId="11096"/>
    <cellStyle name="40% - 强调文字颜色 5 8 9" xfId="12894"/>
    <cellStyle name="40% - 强调文字颜色 5 9" xfId="1211"/>
    <cellStyle name="40% - 强调文字颜色 5 9 10" xfId="16262"/>
    <cellStyle name="40% - 强调文字颜色 5 9 11" xfId="11222"/>
    <cellStyle name="40% - 强调文字颜色 5 9 12" xfId="19066"/>
    <cellStyle name="40% - 强调文字颜色 5 9 13" xfId="23082"/>
    <cellStyle name="40% - 强调文字颜色 5 9 14" xfId="20469"/>
    <cellStyle name="40% - 强调文字颜色 5 9 15" xfId="30778"/>
    <cellStyle name="40% - 强调文字颜色 5 9 16" xfId="32432"/>
    <cellStyle name="40% - 强调文字颜色 5 9 2" xfId="1212"/>
    <cellStyle name="40% - 强调文字颜色 5 9 2 10" xfId="30779"/>
    <cellStyle name="40% - 强调文字颜色 5 9 2 11" xfId="32196"/>
    <cellStyle name="40% - 强调文字颜色 5 9 2 2" xfId="4579"/>
    <cellStyle name="40% - 强调文字颜色 5 9 2 3" xfId="6756"/>
    <cellStyle name="40% - 强调文字颜色 5 9 2 4" xfId="12900"/>
    <cellStyle name="40% - 强调文字颜色 5 9 2 5" xfId="16263"/>
    <cellStyle name="40% - 强调文字颜色 5 9 2 6" xfId="10091"/>
    <cellStyle name="40% - 强调文字颜色 5 9 2 7" xfId="19067"/>
    <cellStyle name="40% - 强调文字颜色 5 9 2 8" xfId="22099"/>
    <cellStyle name="40% - 强调文字颜色 5 9 2 9" xfId="19813"/>
    <cellStyle name="40% - 强调文字颜色 5 9 3" xfId="1213"/>
    <cellStyle name="40% - 强调文字颜色 5 9 3 10" xfId="30780"/>
    <cellStyle name="40% - 强调文字颜色 5 9 3 11" xfId="31731"/>
    <cellStyle name="40% - 强调文字颜色 5 9 3 2" xfId="4580"/>
    <cellStyle name="40% - 强调文字颜色 5 9 3 3" xfId="6757"/>
    <cellStyle name="40% - 强调文字颜色 5 9 3 4" xfId="12901"/>
    <cellStyle name="40% - 强调文字颜色 5 9 3 5" xfId="16264"/>
    <cellStyle name="40% - 强调文字颜色 5 9 3 6" xfId="11218"/>
    <cellStyle name="40% - 强调文字颜色 5 9 3 7" xfId="19068"/>
    <cellStyle name="40% - 强调文字颜色 5 9 3 8" xfId="21595"/>
    <cellStyle name="40% - 强调文字颜色 5 9 3 9" xfId="21030"/>
    <cellStyle name="40% - 强调文字颜色 5 9 4" xfId="1214"/>
    <cellStyle name="40% - 强调文字颜色 5 9 4 10" xfId="30781"/>
    <cellStyle name="40% - 强调文字颜色 5 9 4 11" xfId="33331"/>
    <cellStyle name="40% - 强调文字颜色 5 9 4 2" xfId="4581"/>
    <cellStyle name="40% - 强调文字颜色 5 9 4 3" xfId="6758"/>
    <cellStyle name="40% - 强调文字颜色 5 9 4 4" xfId="12902"/>
    <cellStyle name="40% - 强调文字颜色 5 9 4 5" xfId="16265"/>
    <cellStyle name="40% - 强调文字颜色 5 9 4 6" xfId="10087"/>
    <cellStyle name="40% - 强调文字颜色 5 9 4 7" xfId="19069"/>
    <cellStyle name="40% - 强调文字颜色 5 9 4 8" xfId="22605"/>
    <cellStyle name="40% - 强调文字颜色 5 9 4 9" xfId="20468"/>
    <cellStyle name="40% - 强调文字颜色 5 9 5" xfId="1215"/>
    <cellStyle name="40% - 强调文字颜色 5 9 5 2" xfId="6759"/>
    <cellStyle name="40% - 强调文字颜色 5 9 5 3" xfId="12903"/>
    <cellStyle name="40% - 强调文字颜色 5 9 5 4" xfId="11220"/>
    <cellStyle name="40% - 强调文字颜色 5 9 5 5" xfId="19070"/>
    <cellStyle name="40% - 强调文字颜色 5 9 5 6" xfId="23081"/>
    <cellStyle name="40% - 强调文字颜色 5 9 5 7" xfId="19812"/>
    <cellStyle name="40% - 强调文字颜色 5 9 5 8" xfId="31611"/>
    <cellStyle name="40% - 强调文字颜色 5 9 5 9" xfId="32324"/>
    <cellStyle name="40% - 强调文字颜色 5 9 6" xfId="4578"/>
    <cellStyle name="40% - 强调文字颜色 5 9 7" xfId="6755"/>
    <cellStyle name="40% - 强调文字颜色 5 9 8" xfId="11101"/>
    <cellStyle name="40% - 强调文字颜色 5 9 9" xfId="12899"/>
    <cellStyle name="40% - 强调文字颜色 6" xfId="1216" builtinId="51" customBuiltin="1"/>
    <cellStyle name="40% - 强调文字颜色 6 10" xfId="1217"/>
    <cellStyle name="40% - 强调文字颜色 6 10 10" xfId="16267"/>
    <cellStyle name="40% - 强调文字颜色 6 10 11" xfId="11219"/>
    <cellStyle name="40% - 强调文字颜色 6 10 12" xfId="19072"/>
    <cellStyle name="40% - 强调文字颜色 6 10 13" xfId="21603"/>
    <cellStyle name="40% - 强调文字颜色 6 10 14" xfId="20467"/>
    <cellStyle name="40% - 强调文字颜色 6 10 15" xfId="30782"/>
    <cellStyle name="40% - 强调文字颜色 6 10 16" xfId="32678"/>
    <cellStyle name="40% - 强调文字颜色 6 10 2" xfId="1218"/>
    <cellStyle name="40% - 强调文字颜色 6 10 2 10" xfId="30783"/>
    <cellStyle name="40% - 强调文字颜色 6 10 2 11" xfId="32434"/>
    <cellStyle name="40% - 强调文字颜色 6 10 2 2" xfId="4584"/>
    <cellStyle name="40% - 强调文字颜色 6 10 2 3" xfId="6762"/>
    <cellStyle name="40% - 强调文字颜色 6 10 2 4" xfId="12906"/>
    <cellStyle name="40% - 强调文字颜色 6 10 2 5" xfId="16268"/>
    <cellStyle name="40% - 强调文字颜色 6 10 2 6" xfId="10088"/>
    <cellStyle name="40% - 强调文字颜色 6 10 2 7" xfId="19073"/>
    <cellStyle name="40% - 强调文字颜色 6 10 2 8" xfId="23080"/>
    <cellStyle name="40% - 强调文字颜色 6 10 2 9" xfId="19811"/>
    <cellStyle name="40% - 强调文字颜色 6 10 3" xfId="1219"/>
    <cellStyle name="40% - 强调文字颜色 6 10 3 10" xfId="30784"/>
    <cellStyle name="40% - 强调文字颜色 6 10 3 11" xfId="32198"/>
    <cellStyle name="40% - 强调文字颜色 6 10 3 2" xfId="4585"/>
    <cellStyle name="40% - 强调文字颜色 6 10 3 3" xfId="6763"/>
    <cellStyle name="40% - 强调文字颜色 6 10 3 4" xfId="12907"/>
    <cellStyle name="40% - 强调文字颜色 6 10 3 5" xfId="16269"/>
    <cellStyle name="40% - 强调文字颜色 6 10 3 6" xfId="11215"/>
    <cellStyle name="40% - 强调文字颜色 6 10 3 7" xfId="19074"/>
    <cellStyle name="40% - 强调文字颜色 6 10 3 8" xfId="22097"/>
    <cellStyle name="40% - 强调文字颜色 6 10 3 9" xfId="21027"/>
    <cellStyle name="40% - 强调文字颜色 6 10 4" xfId="1220"/>
    <cellStyle name="40% - 强调文字颜色 6 10 4 10" xfId="30785"/>
    <cellStyle name="40% - 强调文字颜色 6 10 4 11" xfId="31733"/>
    <cellStyle name="40% - 强调文字颜色 6 10 4 2" xfId="4586"/>
    <cellStyle name="40% - 强调文字颜色 6 10 4 3" xfId="6764"/>
    <cellStyle name="40% - 强调文字颜色 6 10 4 4" xfId="12908"/>
    <cellStyle name="40% - 强调文字颜色 6 10 4 5" xfId="16270"/>
    <cellStyle name="40% - 强调文字颜色 6 10 4 6" xfId="10084"/>
    <cellStyle name="40% - 强调文字颜色 6 10 4 7" xfId="19075"/>
    <cellStyle name="40% - 强调文字颜色 6 10 4 8" xfId="21602"/>
    <cellStyle name="40% - 强调文字颜色 6 10 4 9" xfId="20465"/>
    <cellStyle name="40% - 强调文字颜色 6 10 5" xfId="1221"/>
    <cellStyle name="40% - 强调文字颜色 6 10 5 2" xfId="6765"/>
    <cellStyle name="40% - 强调文字颜色 6 10 5 3" xfId="12909"/>
    <cellStyle name="40% - 强调文字颜色 6 10 5 4" xfId="11217"/>
    <cellStyle name="40% - 强调文字颜色 6 10 5 5" xfId="19076"/>
    <cellStyle name="40% - 强调文字颜色 6 10 5 6" xfId="23079"/>
    <cellStyle name="40% - 强调文字颜色 6 10 5 7" xfId="19809"/>
    <cellStyle name="40% - 强调文字颜色 6 10 5 8" xfId="31614"/>
    <cellStyle name="40% - 强调文字颜色 6 10 5 9" xfId="32555"/>
    <cellStyle name="40% - 强调文字颜色 6 10 6" xfId="4583"/>
    <cellStyle name="40% - 强调文字颜色 6 10 7" xfId="6761"/>
    <cellStyle name="40% - 强调文字颜色 6 10 8" xfId="11107"/>
    <cellStyle name="40% - 强调文字颜色 6 10 9" xfId="12905"/>
    <cellStyle name="40% - 强调文字颜色 6 11" xfId="1222"/>
    <cellStyle name="40% - 强调文字颜色 6 11 10" xfId="16271"/>
    <cellStyle name="40% - 强调文字颜色 6 11 11" xfId="10086"/>
    <cellStyle name="40% - 强调文字颜色 6 11 12" xfId="19077"/>
    <cellStyle name="40% - 强调文字颜色 6 11 13" xfId="22096"/>
    <cellStyle name="40% - 强调文字颜色 6 11 14" xfId="21026"/>
    <cellStyle name="40% - 强调文字颜色 6 11 15" xfId="30786"/>
    <cellStyle name="40% - 强调文字颜色 6 11 16" xfId="33330"/>
    <cellStyle name="40% - 强调文字颜色 6 11 2" xfId="1223"/>
    <cellStyle name="40% - 强调文字颜色 6 11 2 10" xfId="30787"/>
    <cellStyle name="40% - 强调文字颜色 6 11 2 11" xfId="33080"/>
    <cellStyle name="40% - 强调文字颜色 6 11 2 2" xfId="4588"/>
    <cellStyle name="40% - 强调文字颜色 6 11 2 3" xfId="6767"/>
    <cellStyle name="40% - 强调文字颜色 6 11 2 4" xfId="12911"/>
    <cellStyle name="40% - 强调文字颜色 6 11 2 5" xfId="16272"/>
    <cellStyle name="40% - 强调文字颜色 6 11 2 6" xfId="11216"/>
    <cellStyle name="40% - 强调文字颜色 6 11 2 7" xfId="19078"/>
    <cellStyle name="40% - 强调文字颜色 6 11 2 8" xfId="21601"/>
    <cellStyle name="40% - 强调文字颜色 6 11 2 9" xfId="20464"/>
    <cellStyle name="40% - 强调文字颜色 6 11 3" xfId="1224"/>
    <cellStyle name="40% - 强调文字颜色 6 11 3 10" xfId="30788"/>
    <cellStyle name="40% - 强调文字颜色 6 11 3 11" xfId="32677"/>
    <cellStyle name="40% - 强调文字颜色 6 11 3 2" xfId="4589"/>
    <cellStyle name="40% - 强调文字颜色 6 11 3 3" xfId="6768"/>
    <cellStyle name="40% - 强调文字颜色 6 11 3 4" xfId="12912"/>
    <cellStyle name="40% - 强调文字颜色 6 11 3 5" xfId="16273"/>
    <cellStyle name="40% - 强调文字颜色 6 11 3 6" xfId="10085"/>
    <cellStyle name="40% - 强调文字颜色 6 11 3 7" xfId="19079"/>
    <cellStyle name="40% - 强调文字颜色 6 11 3 8" xfId="23078"/>
    <cellStyle name="40% - 强调文字颜色 6 11 3 9" xfId="19808"/>
    <cellStyle name="40% - 强调文字颜色 6 11 4" xfId="1225"/>
    <cellStyle name="40% - 强调文字颜色 6 11 4 10" xfId="30789"/>
    <cellStyle name="40% - 强调文字颜色 6 11 4 11" xfId="32433"/>
    <cellStyle name="40% - 强调文字颜色 6 11 4 2" xfId="4590"/>
    <cellStyle name="40% - 强调文字颜色 6 11 4 3" xfId="6769"/>
    <cellStyle name="40% - 强调文字颜色 6 11 4 4" xfId="12913"/>
    <cellStyle name="40% - 强调文字颜色 6 11 4 5" xfId="16274"/>
    <cellStyle name="40% - 强调文字颜色 6 11 4 6" xfId="11211"/>
    <cellStyle name="40% - 强调文字颜色 6 11 4 7" xfId="19080"/>
    <cellStyle name="40% - 强调文字颜色 6 11 4 8" xfId="22095"/>
    <cellStyle name="40% - 强调文字颜色 6 11 4 9" xfId="21025"/>
    <cellStyle name="40% - 强调文字颜色 6 11 5" xfId="1226"/>
    <cellStyle name="40% - 强调文字颜色 6 11 5 2" xfId="6770"/>
    <cellStyle name="40% - 强调文字颜色 6 11 5 3" xfId="12914"/>
    <cellStyle name="40% - 强调文字颜色 6 11 5 4" xfId="10080"/>
    <cellStyle name="40% - 强调文字颜色 6 11 5 5" xfId="19081"/>
    <cellStyle name="40% - 强调文字颜色 6 11 5 6" xfId="21600"/>
    <cellStyle name="40% - 强调文字颜色 6 11 5 7" xfId="20463"/>
    <cellStyle name="40% - 强调文字颜色 6 11 5 8" xfId="31615"/>
    <cellStyle name="40% - 强调文字颜色 6 11 5 9" xfId="33476"/>
    <cellStyle name="40% - 强调文字颜色 6 11 6" xfId="4587"/>
    <cellStyle name="40% - 强调文字颜色 6 11 6 2" xfId="23645"/>
    <cellStyle name="40% - 强调文字颜色 6 11 6 3" xfId="26230"/>
    <cellStyle name="40% - 强调文字颜色 6 11 7" xfId="6766"/>
    <cellStyle name="40% - 强调文字颜色 6 11 7 2" xfId="23704"/>
    <cellStyle name="40% - 强调文字颜色 6 11 7 3" xfId="26289"/>
    <cellStyle name="40% - 强调文字颜色 6 11 8" xfId="11112"/>
    <cellStyle name="40% - 强调文字颜色 6 11 8 2" xfId="23803"/>
    <cellStyle name="40% - 强调文字颜色 6 11 8 3" xfId="26388"/>
    <cellStyle name="40% - 强调文字颜色 6 11 9" xfId="12910"/>
    <cellStyle name="40% - 强调文字颜色 6 12" xfId="1227"/>
    <cellStyle name="40% - 强调文字颜色 6 12 10" xfId="16275"/>
    <cellStyle name="40% - 强调文字颜色 6 12 11" xfId="11213"/>
    <cellStyle name="40% - 强调文字颜色 6 12 12" xfId="19082"/>
    <cellStyle name="40% - 强调文字颜色 6 12 13" xfId="23077"/>
    <cellStyle name="40% - 强调文字颜色 6 12 14" xfId="19807"/>
    <cellStyle name="40% - 强调文字颜色 6 12 15" xfId="30790"/>
    <cellStyle name="40% - 强调文字颜色 6 12 16" xfId="32197"/>
    <cellStyle name="40% - 强调文字颜色 6 12 2" xfId="1228"/>
    <cellStyle name="40% - 强调文字颜色 6 12 2 10" xfId="30791"/>
    <cellStyle name="40% - 强调文字颜色 6 12 2 11" xfId="31732"/>
    <cellStyle name="40% - 强调文字颜色 6 12 2 2" xfId="4592"/>
    <cellStyle name="40% - 强调文字颜色 6 12 2 3" xfId="6772"/>
    <cellStyle name="40% - 强调文字颜色 6 12 2 4" xfId="12916"/>
    <cellStyle name="40% - 强调文字颜色 6 12 2 5" xfId="16276"/>
    <cellStyle name="40% - 强调文字颜色 6 12 2 6" xfId="10082"/>
    <cellStyle name="40% - 强调文字颜色 6 12 2 7" xfId="19083"/>
    <cellStyle name="40% - 强调文字颜色 6 12 2 8" xfId="22094"/>
    <cellStyle name="40% - 强调文字颜色 6 12 2 9" xfId="21024"/>
    <cellStyle name="40% - 强调文字颜色 6 12 3" xfId="1229"/>
    <cellStyle name="40% - 强调文字颜色 6 12 3 10" xfId="30792"/>
    <cellStyle name="40% - 强调文字颜色 6 12 3 11" xfId="33326"/>
    <cellStyle name="40% - 强调文字颜色 6 12 3 2" xfId="4593"/>
    <cellStyle name="40% - 强调文字颜色 6 12 3 3" xfId="6773"/>
    <cellStyle name="40% - 强调文字颜色 6 12 3 4" xfId="12917"/>
    <cellStyle name="40% - 强调文字颜色 6 12 3 5" xfId="16277"/>
    <cellStyle name="40% - 强调文字颜色 6 12 3 6" xfId="11212"/>
    <cellStyle name="40% - 强调文字颜色 6 12 3 7" xfId="19084"/>
    <cellStyle name="40% - 强调文字颜色 6 12 3 8" xfId="21599"/>
    <cellStyle name="40% - 强调文字颜色 6 12 3 9" xfId="20462"/>
    <cellStyle name="40% - 强调文字颜色 6 12 4" xfId="1230"/>
    <cellStyle name="40% - 强调文字颜色 6 12 4 10" xfId="30793"/>
    <cellStyle name="40% - 强调文字颜色 6 12 4 11" xfId="33076"/>
    <cellStyle name="40% - 强调文字颜色 6 12 4 2" xfId="4594"/>
    <cellStyle name="40% - 强调文字颜色 6 12 4 3" xfId="6774"/>
    <cellStyle name="40% - 强调文字颜色 6 12 4 4" xfId="12918"/>
    <cellStyle name="40% - 强调文字颜色 6 12 4 5" xfId="16278"/>
    <cellStyle name="40% - 强调文字颜色 6 12 4 6" xfId="10081"/>
    <cellStyle name="40% - 强调文字颜色 6 12 4 7" xfId="19085"/>
    <cellStyle name="40% - 强调文字颜色 6 12 4 8" xfId="23076"/>
    <cellStyle name="40% - 强调文字颜色 6 12 4 9" xfId="19806"/>
    <cellStyle name="40% - 强调文字颜色 6 12 5" xfId="1231"/>
    <cellStyle name="40% - 强调文字颜色 6 12 5 2" xfId="6775"/>
    <cellStyle name="40% - 强调文字颜色 6 12 5 3" xfId="12919"/>
    <cellStyle name="40% - 强调文字颜色 6 12 5 4" xfId="11208"/>
    <cellStyle name="40% - 强调文字颜色 6 12 5 5" xfId="19086"/>
    <cellStyle name="40% - 强调文字颜色 6 12 5 6" xfId="22093"/>
    <cellStyle name="40% - 强调文字颜色 6 12 5 7" xfId="21023"/>
    <cellStyle name="40% - 强调文字颜色 6 12 5 8" xfId="31616"/>
    <cellStyle name="40% - 强调文字颜色 6 12 5 9" xfId="32960"/>
    <cellStyle name="40% - 强调文字颜色 6 12 6" xfId="4591"/>
    <cellStyle name="40% - 强调文字颜色 6 12 6 2" xfId="23646"/>
    <cellStyle name="40% - 强调文字颜色 6 12 6 3" xfId="26231"/>
    <cellStyle name="40% - 强调文字颜色 6 12 7" xfId="6771"/>
    <cellStyle name="40% - 强调文字颜色 6 12 7 2" xfId="23705"/>
    <cellStyle name="40% - 强调文字颜色 6 12 7 3" xfId="26290"/>
    <cellStyle name="40% - 强调文字颜色 6 12 8" xfId="11117"/>
    <cellStyle name="40% - 强调文字颜色 6 12 8 2" xfId="23804"/>
    <cellStyle name="40% - 强调文字颜色 6 12 8 3" xfId="26389"/>
    <cellStyle name="40% - 强调文字颜色 6 12 9" xfId="12915"/>
    <cellStyle name="40% - 强调文字颜色 6 13" xfId="1232"/>
    <cellStyle name="40% - 强调文字颜色 6 13 10" xfId="10077"/>
    <cellStyle name="40% - 强调文字颜色 6 13 11" xfId="19087"/>
    <cellStyle name="40% - 强调文字颜色 6 13 12" xfId="21598"/>
    <cellStyle name="40% - 强调文字颜色 6 13 13" xfId="20461"/>
    <cellStyle name="40% - 强调文字颜色 6 13 14" xfId="30794"/>
    <cellStyle name="40% - 强调文字颜色 6 13 15" xfId="32673"/>
    <cellStyle name="40% - 强调文字颜色 6 13 2" xfId="1233"/>
    <cellStyle name="40% - 强调文字颜色 6 13 2 10" xfId="30795"/>
    <cellStyle name="40% - 强调文字颜色 6 13 2 11" xfId="32429"/>
    <cellStyle name="40% - 强调文字颜色 6 13 2 2" xfId="4596"/>
    <cellStyle name="40% - 强调文字颜色 6 13 2 3" xfId="6777"/>
    <cellStyle name="40% - 强调文字颜色 6 13 2 4" xfId="12921"/>
    <cellStyle name="40% - 强调文字颜色 6 13 2 5" xfId="16280"/>
    <cellStyle name="40% - 强调文字颜色 6 13 2 6" xfId="11210"/>
    <cellStyle name="40% - 强调文字颜色 6 13 2 7" xfId="19088"/>
    <cellStyle name="40% - 强调文字颜色 6 13 2 8" xfId="23075"/>
    <cellStyle name="40% - 强调文字颜色 6 13 2 9" xfId="19805"/>
    <cellStyle name="40% - 强调文字颜色 6 13 3" xfId="1234"/>
    <cellStyle name="40% - 强调文字颜色 6 13 3 10" xfId="30796"/>
    <cellStyle name="40% - 强调文字颜色 6 13 3 11" xfId="32193"/>
    <cellStyle name="40% - 强调文字颜色 6 13 3 2" xfId="4597"/>
    <cellStyle name="40% - 强调文字颜色 6 13 3 3" xfId="6778"/>
    <cellStyle name="40% - 强调文字颜色 6 13 3 4" xfId="12922"/>
    <cellStyle name="40% - 强调文字颜色 6 13 3 5" xfId="16281"/>
    <cellStyle name="40% - 强调文字颜色 6 13 3 6" xfId="10079"/>
    <cellStyle name="40% - 强调文字颜色 6 13 3 7" xfId="19089"/>
    <cellStyle name="40% - 强调文字颜色 6 13 3 8" xfId="22092"/>
    <cellStyle name="40% - 强调文字颜色 6 13 3 9" xfId="21022"/>
    <cellStyle name="40% - 强调文字颜色 6 13 4" xfId="1235"/>
    <cellStyle name="40% - 强调文字颜色 6 13 4 10" xfId="30797"/>
    <cellStyle name="40% - 强调文字颜色 6 13 4 11" xfId="31728"/>
    <cellStyle name="40% - 强调文字颜色 6 13 4 2" xfId="4598"/>
    <cellStyle name="40% - 强调文字颜色 6 13 4 3" xfId="6779"/>
    <cellStyle name="40% - 强调文字颜色 6 13 4 4" xfId="12923"/>
    <cellStyle name="40% - 强调文字颜色 6 13 4 5" xfId="16282"/>
    <cellStyle name="40% - 强调文字颜色 6 13 4 6" xfId="11209"/>
    <cellStyle name="40% - 强调文字颜色 6 13 4 7" xfId="19090"/>
    <cellStyle name="40% - 强调文字颜色 6 13 4 8" xfId="21597"/>
    <cellStyle name="40% - 强调文字颜色 6 13 4 9" xfId="20460"/>
    <cellStyle name="40% - 强调文字颜色 6 13 5" xfId="1236"/>
    <cellStyle name="40% - 强调文字颜色 6 13 5 2" xfId="6780"/>
    <cellStyle name="40% - 强调文字颜色 6 13 5 3" xfId="12924"/>
    <cellStyle name="40% - 强调文字颜色 6 13 5 4" xfId="10078"/>
    <cellStyle name="40% - 强调文字颜色 6 13 5 5" xfId="19091"/>
    <cellStyle name="40% - 强调文字颜色 6 13 5 6" xfId="23074"/>
    <cellStyle name="40% - 强调文字颜色 6 13 5 7" xfId="19804"/>
    <cellStyle name="40% - 强调文字颜色 6 13 5 8" xfId="31617"/>
    <cellStyle name="40% - 强调文字颜色 6 13 5 9" xfId="31618"/>
    <cellStyle name="40% - 强调文字颜色 6 13 6" xfId="4595"/>
    <cellStyle name="40% - 强调文字颜色 6 13 6 2" xfId="23706"/>
    <cellStyle name="40% - 强调文字颜色 6 13 6 3" xfId="26291"/>
    <cellStyle name="40% - 强调文字颜色 6 13 7" xfId="6776"/>
    <cellStyle name="40% - 强调文字颜色 6 13 7 2" xfId="23805"/>
    <cellStyle name="40% - 强调文字颜色 6 13 7 3" xfId="26390"/>
    <cellStyle name="40% - 强调文字颜色 6 13 8" xfId="12920"/>
    <cellStyle name="40% - 强调文字颜色 6 13 8 2" xfId="23883"/>
    <cellStyle name="40% - 强调文字颜色 6 13 8 3" xfId="26468"/>
    <cellStyle name="40% - 强调文字颜色 6 13 9" xfId="16279"/>
    <cellStyle name="40% - 强调文字颜色 6 14" xfId="1237"/>
    <cellStyle name="40% - 强调文字颜色 6 14 10" xfId="11205"/>
    <cellStyle name="40% - 强调文字颜色 6 14 11" xfId="19092"/>
    <cellStyle name="40% - 强调文字颜色 6 14 12" xfId="22091"/>
    <cellStyle name="40% - 强调文字颜色 6 14 13" xfId="21021"/>
    <cellStyle name="40% - 强调文字颜色 6 14 14" xfId="30798"/>
    <cellStyle name="40% - 强调文字颜色 6 14 15" xfId="33328"/>
    <cellStyle name="40% - 强调文字颜色 6 14 2" xfId="1238"/>
    <cellStyle name="40% - 强调文字颜色 6 14 2 10" xfId="30799"/>
    <cellStyle name="40% - 强调文字颜色 6 14 2 11" xfId="33078"/>
    <cellStyle name="40% - 强调文字颜色 6 14 2 2" xfId="4600"/>
    <cellStyle name="40% - 强调文字颜色 6 14 2 3" xfId="6782"/>
    <cellStyle name="40% - 强调文字颜色 6 14 2 4" xfId="12926"/>
    <cellStyle name="40% - 强调文字颜色 6 14 2 5" xfId="16284"/>
    <cellStyle name="40% - 强调文字颜色 6 14 2 6" xfId="10074"/>
    <cellStyle name="40% - 强调文字颜色 6 14 2 7" xfId="19093"/>
    <cellStyle name="40% - 强调文字颜色 6 14 2 8" xfId="21596"/>
    <cellStyle name="40% - 强调文字颜色 6 14 2 9" xfId="20459"/>
    <cellStyle name="40% - 强调文字颜色 6 14 3" xfId="1239"/>
    <cellStyle name="40% - 强调文字颜色 6 14 3 10" xfId="30800"/>
    <cellStyle name="40% - 强调文字颜色 6 14 3 11" xfId="32675"/>
    <cellStyle name="40% - 强调文字颜色 6 14 3 2" xfId="4601"/>
    <cellStyle name="40% - 强调文字颜色 6 14 3 3" xfId="6783"/>
    <cellStyle name="40% - 强调文字颜色 6 14 3 4" xfId="12927"/>
    <cellStyle name="40% - 强调文字颜色 6 14 3 5" xfId="16285"/>
    <cellStyle name="40% - 强调文字颜色 6 14 3 6" xfId="11207"/>
    <cellStyle name="40% - 强调文字颜色 6 14 3 7" xfId="19094"/>
    <cellStyle name="40% - 强调文字颜色 6 14 3 8" xfId="23072"/>
    <cellStyle name="40% - 强调文字颜色 6 14 3 9" xfId="19803"/>
    <cellStyle name="40% - 强调文字颜色 6 14 4" xfId="1240"/>
    <cellStyle name="40% - 强调文字颜色 6 14 4 10" xfId="30801"/>
    <cellStyle name="40% - 强调文字颜色 6 14 4 11" xfId="32431"/>
    <cellStyle name="40% - 强调文字颜色 6 14 4 2" xfId="4602"/>
    <cellStyle name="40% - 强调文字颜色 6 14 4 3" xfId="6784"/>
    <cellStyle name="40% - 强调文字颜色 6 14 4 4" xfId="12928"/>
    <cellStyle name="40% - 强调文字颜色 6 14 4 5" xfId="16286"/>
    <cellStyle name="40% - 强调文字颜色 6 14 4 6" xfId="10076"/>
    <cellStyle name="40% - 强调文字颜色 6 14 4 7" xfId="19095"/>
    <cellStyle name="40% - 强调文字颜色 6 14 4 8" xfId="22089"/>
    <cellStyle name="40% - 强调文字颜色 6 14 4 9" xfId="21471"/>
    <cellStyle name="40% - 强调文字颜色 6 14 5" xfId="1241"/>
    <cellStyle name="40% - 强调文字颜色 6 14 5 2" xfId="6785"/>
    <cellStyle name="40% - 强调文字颜色 6 14 5 3" xfId="12929"/>
    <cellStyle name="40% - 强调文字颜色 6 14 5 4" xfId="11206"/>
    <cellStyle name="40% - 强调文字颜色 6 14 5 5" xfId="19096"/>
    <cellStyle name="40% - 强调文字颜色 6 14 5 6" xfId="21594"/>
    <cellStyle name="40% - 强调文字颜色 6 14 5 7" xfId="20317"/>
    <cellStyle name="40% - 强调文字颜色 6 14 5 8" xfId="31619"/>
    <cellStyle name="40% - 强调文字颜色 6 14 5 9" xfId="32323"/>
    <cellStyle name="40% - 强调文字颜色 6 14 6" xfId="4599"/>
    <cellStyle name="40% - 强调文字颜色 6 14 6 2" xfId="23707"/>
    <cellStyle name="40% - 强调文字颜色 6 14 6 3" xfId="26292"/>
    <cellStyle name="40% - 强调文字颜色 6 14 7" xfId="6781"/>
    <cellStyle name="40% - 强调文字颜色 6 14 7 2" xfId="23806"/>
    <cellStyle name="40% - 强调文字颜色 6 14 7 3" xfId="26391"/>
    <cellStyle name="40% - 强调文字颜色 6 14 8" xfId="12925"/>
    <cellStyle name="40% - 强调文字颜色 6 14 8 2" xfId="23884"/>
    <cellStyle name="40% - 强调文字颜色 6 14 8 3" xfId="26469"/>
    <cellStyle name="40% - 强调文字颜色 6 14 9" xfId="16283"/>
    <cellStyle name="40% - 强调文字颜色 6 15" xfId="1242"/>
    <cellStyle name="40% - 强调文字颜色 6 15 10" xfId="19097"/>
    <cellStyle name="40% - 强调文字颜色 6 15 11" xfId="23071"/>
    <cellStyle name="40% - 强调文字颜色 6 15 12" xfId="21011"/>
    <cellStyle name="40% - 强调文字颜色 6 15 13" xfId="30802"/>
    <cellStyle name="40% - 强调文字颜色 6 15 14" xfId="32195"/>
    <cellStyle name="40% - 强调文字颜色 6 15 2" xfId="1243"/>
    <cellStyle name="40% - 强调文字颜色 6 15 2 10" xfId="30803"/>
    <cellStyle name="40% - 强调文字颜色 6 15 2 11" xfId="31730"/>
    <cellStyle name="40% - 强调文字颜色 6 15 2 2" xfId="4604"/>
    <cellStyle name="40% - 强调文字颜色 6 15 2 3" xfId="6787"/>
    <cellStyle name="40% - 强调文字颜色 6 15 2 4" xfId="12931"/>
    <cellStyle name="40% - 强调文字颜色 6 15 2 5" xfId="16288"/>
    <cellStyle name="40% - 强调文字颜色 6 15 2 6" xfId="10069"/>
    <cellStyle name="40% - 强调文字颜色 6 15 2 7" xfId="19098"/>
    <cellStyle name="40% - 强调文字颜色 6 15 2 8" xfId="22088"/>
    <cellStyle name="40% - 强调文字颜色 6 15 2 9" xfId="20820"/>
    <cellStyle name="40% - 强调文字颜色 6 15 3" xfId="1244"/>
    <cellStyle name="40% - 强调文字颜色 6 15 3 10" xfId="30804"/>
    <cellStyle name="40% - 强调文字颜色 6 15 3 11" xfId="33327"/>
    <cellStyle name="40% - 强调文字颜色 6 15 3 2" xfId="4605"/>
    <cellStyle name="40% - 强调文字颜色 6 15 3 3" xfId="6788"/>
    <cellStyle name="40% - 强调文字颜色 6 15 3 4" xfId="12932"/>
    <cellStyle name="40% - 强调文字颜色 6 15 3 5" xfId="16289"/>
    <cellStyle name="40% - 强调文字颜色 6 15 3 6" xfId="7695"/>
    <cellStyle name="40% - 强调文字颜色 6 15 3 7" xfId="19099"/>
    <cellStyle name="40% - 强调文字颜色 6 15 3 8" xfId="21593"/>
    <cellStyle name="40% - 强调文字颜色 6 15 3 9" xfId="21020"/>
    <cellStyle name="40% - 强调文字颜色 6 15 4" xfId="1245"/>
    <cellStyle name="40% - 强调文字颜色 6 15 4 2" xfId="6789"/>
    <cellStyle name="40% - 强调文字颜色 6 15 4 3" xfId="12933"/>
    <cellStyle name="40% - 强调文字颜色 6 15 4 4" xfId="11203"/>
    <cellStyle name="40% - 强调文字颜色 6 15 4 5" xfId="19100"/>
    <cellStyle name="40% - 强调文字颜色 6 15 4 6" xfId="23070"/>
    <cellStyle name="40% - 强调文字颜色 6 15 4 7" xfId="20458"/>
    <cellStyle name="40% - 强调文字颜色 6 15 4 8" xfId="31621"/>
    <cellStyle name="40% - 强调文字颜色 6 15 4 9" xfId="32959"/>
    <cellStyle name="40% - 强调文字颜色 6 15 5" xfId="4603"/>
    <cellStyle name="40% - 强调文字颜色 6 15 6" xfId="6786"/>
    <cellStyle name="40% - 强调文字颜色 6 15 7" xfId="12930"/>
    <cellStyle name="40% - 强调文字颜色 6 15 8" xfId="16287"/>
    <cellStyle name="40% - 强调文字颜色 6 15 9" xfId="10075"/>
    <cellStyle name="40% - 强调文字颜色 6 16" xfId="1246"/>
    <cellStyle name="40% - 强调文字颜色 6 16 10" xfId="19101"/>
    <cellStyle name="40% - 强调文字颜色 6 16 11" xfId="22087"/>
    <cellStyle name="40% - 强调文字颜色 6 16 12" xfId="19794"/>
    <cellStyle name="40% - 强调文字颜色 6 16 13" xfId="30805"/>
    <cellStyle name="40% - 强调文字颜色 6 16 14" xfId="33077"/>
    <cellStyle name="40% - 强调文字颜色 6 16 2" xfId="1247"/>
    <cellStyle name="40% - 强调文字颜色 6 16 2 10" xfId="30806"/>
    <cellStyle name="40% - 强调文字颜色 6 16 2 11" xfId="32674"/>
    <cellStyle name="40% - 强调文字颜色 6 16 2 2" xfId="4607"/>
    <cellStyle name="40% - 强调文字颜色 6 16 2 3" xfId="6791"/>
    <cellStyle name="40% - 强调文字颜色 6 16 2 4" xfId="12935"/>
    <cellStyle name="40% - 强调文字颜色 6 16 2 5" xfId="16291"/>
    <cellStyle name="40% - 强调文字颜色 6 16 2 6" xfId="10072"/>
    <cellStyle name="40% - 强调文字颜色 6 16 2 7" xfId="19102"/>
    <cellStyle name="40% - 强调文字颜色 6 16 2 8" xfId="21592"/>
    <cellStyle name="40% - 强调文字颜色 6 16 2 9" xfId="20745"/>
    <cellStyle name="40% - 强调文字颜色 6 16 3" xfId="1248"/>
    <cellStyle name="40% - 强调文字颜色 6 16 3 10" xfId="30807"/>
    <cellStyle name="40% - 强调文字颜色 6 16 3 11" xfId="32430"/>
    <cellStyle name="40% - 强调文字颜色 6 16 3 2" xfId="4608"/>
    <cellStyle name="40% - 强调文字颜色 6 16 3 3" xfId="6792"/>
    <cellStyle name="40% - 强调文字颜色 6 16 3 4" xfId="12936"/>
    <cellStyle name="40% - 强调文字颜色 6 16 3 5" xfId="16292"/>
    <cellStyle name="40% - 强调文字颜色 6 16 3 6" xfId="11201"/>
    <cellStyle name="40% - 强调文字颜色 6 16 3 7" xfId="19103"/>
    <cellStyle name="40% - 强调文字颜色 6 16 3 8" xfId="23069"/>
    <cellStyle name="40% - 强调文字颜色 6 16 3 9" xfId="21353"/>
    <cellStyle name="40% - 强调文字颜色 6 16 4" xfId="1249"/>
    <cellStyle name="40% - 强调文字颜色 6 16 4 2" xfId="6793"/>
    <cellStyle name="40% - 强调文字颜色 6 16 4 3" xfId="12937"/>
    <cellStyle name="40% - 强调文字颜色 6 16 4 4" xfId="10071"/>
    <cellStyle name="40% - 强调文字颜色 6 16 4 5" xfId="19104"/>
    <cellStyle name="40% - 强调文字颜色 6 16 4 6" xfId="22086"/>
    <cellStyle name="40% - 强调文字颜色 6 16 4 7" xfId="20449"/>
    <cellStyle name="40% - 强调文字颜色 6 16 4 8" xfId="31622"/>
    <cellStyle name="40% - 强调文字颜色 6 16 4 9" xfId="32101"/>
    <cellStyle name="40% - 强调文字颜色 6 16 5" xfId="4606"/>
    <cellStyle name="40% - 强调文字颜色 6 16 6" xfId="6790"/>
    <cellStyle name="40% - 强调文字颜色 6 16 7" xfId="12934"/>
    <cellStyle name="40% - 强调文字颜色 6 16 8" xfId="16290"/>
    <cellStyle name="40% - 强调文字颜色 6 16 9" xfId="11202"/>
    <cellStyle name="40% - 强调文字颜色 6 17" xfId="1250"/>
    <cellStyle name="40% - 强调文字颜色 6 17 10" xfId="21591"/>
    <cellStyle name="40% - 强调文字颜色 6 17 11" xfId="20179"/>
    <cellStyle name="40% - 强调文字颜色 6 17 12" xfId="30808"/>
    <cellStyle name="40% - 强调文字颜色 6 17 13" xfId="32194"/>
    <cellStyle name="40% - 强调文字颜色 6 17 2" xfId="1251"/>
    <cellStyle name="40% - 强调文字颜色 6 17 2 2" xfId="6795"/>
    <cellStyle name="40% - 强调文字颜色 6 17 2 3" xfId="12939"/>
    <cellStyle name="40% - 强调文字颜色 6 17 2 4" xfId="10070"/>
    <cellStyle name="40% - 强调文字颜色 6 17 2 5" xfId="19106"/>
    <cellStyle name="40% - 强调文字颜色 6 17 2 6" xfId="23068"/>
    <cellStyle name="40% - 强调文字颜色 6 17 2 7" xfId="21019"/>
    <cellStyle name="40% - 强调文字颜色 6 17 2 8" xfId="31623"/>
    <cellStyle name="40% - 强调文字颜色 6 17 2 9" xfId="32958"/>
    <cellStyle name="40% - 强调文字颜色 6 17 3" xfId="1252"/>
    <cellStyle name="40% - 强调文字颜色 6 17 3 2" xfId="6796"/>
    <cellStyle name="40% - 强调文字颜色 6 17 3 3" xfId="12940"/>
    <cellStyle name="40% - 强调文字颜色 6 17 3 4" xfId="10065"/>
    <cellStyle name="40% - 强调文字颜色 6 17 3 5" xfId="19107"/>
    <cellStyle name="40% - 强调文字颜色 6 17 3 6" xfId="22085"/>
    <cellStyle name="40% - 强调文字颜色 6 17 3 7" xfId="20457"/>
    <cellStyle name="40% - 强调文字颜色 6 17 3 8" xfId="31624"/>
    <cellStyle name="40% - 强调文字颜色 6 17 3 9" xfId="32322"/>
    <cellStyle name="40% - 强调文字颜色 6 17 4" xfId="4609"/>
    <cellStyle name="40% - 强调文字颜色 6 17 5" xfId="6794"/>
    <cellStyle name="40% - 强调文字颜色 6 17 6" xfId="12938"/>
    <cellStyle name="40% - 强调文字颜色 6 17 7" xfId="16293"/>
    <cellStyle name="40% - 强调文字颜色 6 17 8" xfId="11200"/>
    <cellStyle name="40% - 强调文字颜色 6 17 9" xfId="19105"/>
    <cellStyle name="40% - 强调文字颜色 6 18" xfId="1253"/>
    <cellStyle name="40% - 强调文字颜色 6 18 10" xfId="30809"/>
    <cellStyle name="40% - 强调文字颜色 6 18 11" xfId="31729"/>
    <cellStyle name="40% - 强调文字颜色 6 18 2" xfId="1254"/>
    <cellStyle name="40% - 强调文字颜色 6 18 2 2" xfId="9860"/>
    <cellStyle name="40% - 强调文字颜色 6 18 2 3" xfId="17344"/>
    <cellStyle name="40% - 强调文字颜色 6 18 2 4" xfId="19109"/>
    <cellStyle name="40% - 强调文字颜色 6 18 2 5" xfId="21547"/>
    <cellStyle name="40% - 强调文字颜色 6 18 2 6" xfId="21018"/>
    <cellStyle name="40% - 强调文字颜色 6 18 2 7" xfId="31625"/>
    <cellStyle name="40% - 强调文字颜色 6 18 2 8" xfId="32100"/>
    <cellStyle name="40% - 强调文字颜色 6 18 3" xfId="4610"/>
    <cellStyle name="40% - 强调文字颜色 6 18 4" xfId="6797"/>
    <cellStyle name="40% - 强调文字颜色 6 18 5" xfId="16294"/>
    <cellStyle name="40% - 强调文字颜色 6 18 6" xfId="7694"/>
    <cellStyle name="40% - 强调文字颜色 6 18 7" xfId="19108"/>
    <cellStyle name="40% - 强调文字颜色 6 18 8" xfId="21590"/>
    <cellStyle name="40% - 强调文字颜色 6 18 9" xfId="19802"/>
    <cellStyle name="40% - 强调文字颜色 6 19" xfId="1255"/>
    <cellStyle name="40% - 强调文字颜色 6 19 10" xfId="4612"/>
    <cellStyle name="40% - 强调文字颜色 6 19 10 2" xfId="9862"/>
    <cellStyle name="40% - 强调文字颜色 6 19 10 3" xfId="16296"/>
    <cellStyle name="40% - 强调文字颜色 6 19 10 4" xfId="25621"/>
    <cellStyle name="40% - 强调文字颜色 6 19 10 5" xfId="28862"/>
    <cellStyle name="40% - 强调文字颜色 6 19 11" xfId="4613"/>
    <cellStyle name="40% - 强调文字颜色 6 19 11 2" xfId="9863"/>
    <cellStyle name="40% - 强调文字颜色 6 19 11 3" xfId="16297"/>
    <cellStyle name="40% - 强调文字颜色 6 19 11 4" xfId="25622"/>
    <cellStyle name="40% - 强调文字颜色 6 19 11 5" xfId="28863"/>
    <cellStyle name="40% - 强调文字颜色 6 19 12" xfId="4614"/>
    <cellStyle name="40% - 强调文字颜色 6 19 12 2" xfId="9864"/>
    <cellStyle name="40% - 强调文字颜色 6 19 12 3" xfId="16298"/>
    <cellStyle name="40% - 强调文字颜色 6 19 12 4" xfId="25623"/>
    <cellStyle name="40% - 强调文字颜色 6 19 12 5" xfId="28864"/>
    <cellStyle name="40% - 强调文字颜色 6 19 13" xfId="4615"/>
    <cellStyle name="40% - 强调文字颜色 6 19 13 2" xfId="9865"/>
    <cellStyle name="40% - 强调文字颜色 6 19 13 3" xfId="16299"/>
    <cellStyle name="40% - 强调文字颜色 6 19 13 4" xfId="25624"/>
    <cellStyle name="40% - 强调文字颜色 6 19 13 5" xfId="28865"/>
    <cellStyle name="40% - 强调文字颜色 6 19 14" xfId="4616"/>
    <cellStyle name="40% - 强调文字颜色 6 19 14 2" xfId="9866"/>
    <cellStyle name="40% - 强调文字颜色 6 19 14 3" xfId="16300"/>
    <cellStyle name="40% - 强调文字颜色 6 19 14 4" xfId="25625"/>
    <cellStyle name="40% - 强调文字颜色 6 19 14 5" xfId="28866"/>
    <cellStyle name="40% - 强调文字颜色 6 19 15" xfId="4617"/>
    <cellStyle name="40% - 强调文字颜色 6 19 15 2" xfId="9867"/>
    <cellStyle name="40% - 强调文字颜色 6 19 15 3" xfId="16301"/>
    <cellStyle name="40% - 强调文字颜色 6 19 15 4" xfId="25626"/>
    <cellStyle name="40% - 强调文字颜色 6 19 15 5" xfId="28867"/>
    <cellStyle name="40% - 强调文字颜色 6 19 16" xfId="4618"/>
    <cellStyle name="40% - 强调文字颜色 6 19 16 2" xfId="9868"/>
    <cellStyle name="40% - 强调文字颜色 6 19 16 3" xfId="16302"/>
    <cellStyle name="40% - 强调文字颜色 6 19 16 4" xfId="25627"/>
    <cellStyle name="40% - 强调文字颜色 6 19 16 5" xfId="28868"/>
    <cellStyle name="40% - 强调文字颜色 6 19 17" xfId="4619"/>
    <cellStyle name="40% - 强调文字颜色 6 19 17 2" xfId="9869"/>
    <cellStyle name="40% - 强调文字颜色 6 19 17 3" xfId="16303"/>
    <cellStyle name="40% - 强调文字颜色 6 19 17 4" xfId="25628"/>
    <cellStyle name="40% - 强调文字颜色 6 19 17 5" xfId="28869"/>
    <cellStyle name="40% - 强调文字颜色 6 19 18" xfId="4620"/>
    <cellStyle name="40% - 强调文字颜色 6 19 18 2" xfId="9870"/>
    <cellStyle name="40% - 强调文字颜色 6 19 18 3" xfId="16304"/>
    <cellStyle name="40% - 强调文字颜色 6 19 18 4" xfId="25629"/>
    <cellStyle name="40% - 强调文字颜色 6 19 18 5" xfId="28870"/>
    <cellStyle name="40% - 强调文字颜色 6 19 19" xfId="4621"/>
    <cellStyle name="40% - 强调文字颜色 6 19 19 2" xfId="9871"/>
    <cellStyle name="40% - 强调文字颜色 6 19 19 3" xfId="16305"/>
    <cellStyle name="40% - 强调文字颜色 6 19 19 4" xfId="25630"/>
    <cellStyle name="40% - 强调文字颜色 6 19 19 5" xfId="28871"/>
    <cellStyle name="40% - 强调文字颜色 6 19 2" xfId="1256"/>
    <cellStyle name="40% - 强调文字颜色 6 19 2 10" xfId="30813"/>
    <cellStyle name="40% - 强调文字颜色 6 19 2 11" xfId="31727"/>
    <cellStyle name="40% - 强调文字颜色 6 19 2 2" xfId="4622"/>
    <cellStyle name="40% - 强调文字颜色 6 19 2 3" xfId="6799"/>
    <cellStyle name="40% - 强调文字颜色 6 19 2 4" xfId="12943"/>
    <cellStyle name="40% - 强调文字颜色 6 19 2 5" xfId="16306"/>
    <cellStyle name="40% - 强调文字颜色 6 19 2 6" xfId="11197"/>
    <cellStyle name="40% - 强调文字颜色 6 19 2 7" xfId="19111"/>
    <cellStyle name="40% - 强调文字颜色 6 19 2 8" xfId="22084"/>
    <cellStyle name="40% - 强调文字颜色 6 19 2 9" xfId="19801"/>
    <cellStyle name="40% - 强调文字颜色 6 19 20" xfId="4623"/>
    <cellStyle name="40% - 强调文字颜色 6 19 20 2" xfId="9873"/>
    <cellStyle name="40% - 强调文字颜色 6 19 20 3" xfId="16307"/>
    <cellStyle name="40% - 强调文字颜色 6 19 20 4" xfId="25631"/>
    <cellStyle name="40% - 强调文字颜色 6 19 20 5" xfId="28872"/>
    <cellStyle name="40% - 强调文字颜色 6 19 21" xfId="4624"/>
    <cellStyle name="40% - 强调文字颜色 6 19 21 2" xfId="9874"/>
    <cellStyle name="40% - 强调文字颜色 6 19 21 3" xfId="16308"/>
    <cellStyle name="40% - 强调文字颜色 6 19 21 4" xfId="25632"/>
    <cellStyle name="40% - 强调文字颜色 6 19 21 5" xfId="28873"/>
    <cellStyle name="40% - 强调文字颜色 6 19 22" xfId="4625"/>
    <cellStyle name="40% - 强调文字颜色 6 19 22 2" xfId="9875"/>
    <cellStyle name="40% - 强调文字颜色 6 19 22 3" xfId="16309"/>
    <cellStyle name="40% - 强调文字颜色 6 19 22 4" xfId="25633"/>
    <cellStyle name="40% - 强调文字颜色 6 19 22 5" xfId="28874"/>
    <cellStyle name="40% - 强调文字颜色 6 19 23" xfId="4626"/>
    <cellStyle name="40% - 强调文字颜色 6 19 23 2" xfId="9876"/>
    <cellStyle name="40% - 强调文字颜色 6 19 23 3" xfId="16310"/>
    <cellStyle name="40% - 强调文字颜色 6 19 23 4" xfId="25634"/>
    <cellStyle name="40% - 强调文字颜色 6 19 23 5" xfId="28875"/>
    <cellStyle name="40% - 强调文字颜色 6 19 24" xfId="6798"/>
    <cellStyle name="40% - 强调文字颜色 6 19 25" xfId="11143"/>
    <cellStyle name="40% - 强调文字颜色 6 19 26" xfId="12942"/>
    <cellStyle name="40% - 强调文字颜色 6 19 27" xfId="16295"/>
    <cellStyle name="40% - 强调文字颜色 6 19 28" xfId="11198"/>
    <cellStyle name="40% - 强调文字颜色 6 19 29" xfId="19110"/>
    <cellStyle name="40% - 强调文字颜色 6 19 3" xfId="4611"/>
    <cellStyle name="40% - 强调文字颜色 6 19 3 2" xfId="9877"/>
    <cellStyle name="40% - 强调文字颜色 6 19 3 3" xfId="16311"/>
    <cellStyle name="40% - 强调文字颜色 6 19 3 4" xfId="25635"/>
    <cellStyle name="40% - 强调文字颜色 6 19 3 5" xfId="28861"/>
    <cellStyle name="40% - 强调文字颜色 6 19 30" xfId="23067"/>
    <cellStyle name="40% - 强调文字颜色 6 19 31" xfId="20456"/>
    <cellStyle name="40% - 强调文字颜色 6 19 32" xfId="30810"/>
    <cellStyle name="40% - 强调文字颜色 6 19 33" xfId="33324"/>
    <cellStyle name="40% - 强调文字颜色 6 19 4" xfId="4628"/>
    <cellStyle name="40% - 强调文字颜色 6 19 4 2" xfId="9878"/>
    <cellStyle name="40% - 强调文字颜色 6 19 4 3" xfId="16312"/>
    <cellStyle name="40% - 强调文字颜色 6 19 4 4" xfId="25636"/>
    <cellStyle name="40% - 强调文字颜色 6 19 4 5" xfId="28876"/>
    <cellStyle name="40% - 强调文字颜色 6 19 5" xfId="4629"/>
    <cellStyle name="40% - 强调文字颜色 6 19 5 2" xfId="9879"/>
    <cellStyle name="40% - 强调文字颜色 6 19 5 3" xfId="16313"/>
    <cellStyle name="40% - 强调文字颜色 6 19 5 4" xfId="25637"/>
    <cellStyle name="40% - 强调文字颜色 6 19 5 5" xfId="28877"/>
    <cellStyle name="40% - 强调文字颜色 6 19 6" xfId="4630"/>
    <cellStyle name="40% - 强调文字颜色 6 19 6 2" xfId="9880"/>
    <cellStyle name="40% - 强调文字颜色 6 19 6 3" xfId="16314"/>
    <cellStyle name="40% - 强调文字颜色 6 19 6 4" xfId="25638"/>
    <cellStyle name="40% - 强调文字颜色 6 19 6 5" xfId="28878"/>
    <cellStyle name="40% - 强调文字颜色 6 19 7" xfId="4631"/>
    <cellStyle name="40% - 强调文字颜色 6 19 7 2" xfId="9881"/>
    <cellStyle name="40% - 强调文字颜色 6 19 7 3" xfId="16315"/>
    <cellStyle name="40% - 强调文字颜色 6 19 7 4" xfId="25639"/>
    <cellStyle name="40% - 强调文字颜色 6 19 7 5" xfId="28879"/>
    <cellStyle name="40% - 强调文字颜色 6 19 8" xfId="4632"/>
    <cellStyle name="40% - 强调文字颜色 6 19 8 2" xfId="9882"/>
    <cellStyle name="40% - 强调文字颜色 6 19 8 3" xfId="16316"/>
    <cellStyle name="40% - 强调文字颜色 6 19 8 4" xfId="25640"/>
    <cellStyle name="40% - 强调文字颜色 6 19 8 5" xfId="28880"/>
    <cellStyle name="40% - 强调文字颜色 6 19 9" xfId="4633"/>
    <cellStyle name="40% - 强调文字颜色 6 19 9 2" xfId="9883"/>
    <cellStyle name="40% - 强调文字颜色 6 19 9 3" xfId="16317"/>
    <cellStyle name="40% - 强调文字颜色 6 19 9 4" xfId="25641"/>
    <cellStyle name="40% - 强调文字颜色 6 19 9 5" xfId="28881"/>
    <cellStyle name="40% - 强调文字颜色 6 2" xfId="1257"/>
    <cellStyle name="40% - 强调文字颜色 6 2 10" xfId="17536"/>
    <cellStyle name="40% - 强调文字颜色 6 2 11" xfId="17622"/>
    <cellStyle name="40% - 强调文字颜色 6 2 12" xfId="17708"/>
    <cellStyle name="40% - 强调文字颜色 6 2 13" xfId="17794"/>
    <cellStyle name="40% - 强调文字颜色 6 2 14" xfId="19112"/>
    <cellStyle name="40% - 强调文字颜色 6 2 15" xfId="21589"/>
    <cellStyle name="40% - 强调文字颜色 6 2 16" xfId="21017"/>
    <cellStyle name="40% - 强调文字颜色 6 2 2" xfId="1258"/>
    <cellStyle name="40% - 强调文字颜色 6 2 2 10" xfId="30816"/>
    <cellStyle name="40% - 强调文字颜色 6 2 2 11" xfId="33325"/>
    <cellStyle name="40% - 强调文字颜色 6 2 2 2" xfId="4635"/>
    <cellStyle name="40% - 强调文字颜色 6 2 2 3" xfId="6801"/>
    <cellStyle name="40% - 强调文字颜色 6 2 2 4" xfId="12945"/>
    <cellStyle name="40% - 强调文字颜色 6 2 2 5" xfId="16319"/>
    <cellStyle name="40% - 强调文字颜色 6 2 2 6" xfId="11196"/>
    <cellStyle name="40% - 强调文字颜色 6 2 2 7" xfId="19113"/>
    <cellStyle name="40% - 强调文字颜色 6 2 2 8" xfId="23066"/>
    <cellStyle name="40% - 强调文字颜色 6 2 2 9" xfId="20455"/>
    <cellStyle name="40% - 强调文字颜色 6 2 3" xfId="1259"/>
    <cellStyle name="40% - 强调文字颜色 6 2 3 10" xfId="30817"/>
    <cellStyle name="40% - 强调文字颜色 6 2 3 11" xfId="33075"/>
    <cellStyle name="40% - 强调文字颜色 6 2 3 2" xfId="4636"/>
    <cellStyle name="40% - 强调文字颜色 6 2 3 3" xfId="6802"/>
    <cellStyle name="40% - 强调文字颜色 6 2 3 4" xfId="12946"/>
    <cellStyle name="40% - 强调文字颜色 6 2 3 5" xfId="16320"/>
    <cellStyle name="40% - 强调文字颜色 6 2 3 6" xfId="10067"/>
    <cellStyle name="40% - 强调文字颜色 6 2 3 7" xfId="19114"/>
    <cellStyle name="40% - 强调文字颜色 6 2 3 8" xfId="22822"/>
    <cellStyle name="40% - 强调文字颜色 6 2 3 9" xfId="19800"/>
    <cellStyle name="40% - 强调文字颜色 6 2 4" xfId="4634"/>
    <cellStyle name="40% - 强调文字颜色 6 2 5" xfId="6800"/>
    <cellStyle name="40% - 强调文字颜色 6 2 6" xfId="12944"/>
    <cellStyle name="40% - 强调文字颜色 6 2 7" xfId="16318"/>
    <cellStyle name="40% - 强调文字颜色 6 2 8" xfId="10068"/>
    <cellStyle name="40% - 强调文字颜色 6 2 9" xfId="17450"/>
    <cellStyle name="40% - 强调文字颜色 6 20" xfId="1260"/>
    <cellStyle name="40% - 强调文字颜色 6 20 10" xfId="4638"/>
    <cellStyle name="40% - 强调文字颜色 6 20 10 2" xfId="9888"/>
    <cellStyle name="40% - 强调文字颜色 6 20 10 3" xfId="16322"/>
    <cellStyle name="40% - 强调文字颜色 6 20 10 4" xfId="25642"/>
    <cellStyle name="40% - 强调文字颜色 6 20 10 5" xfId="28883"/>
    <cellStyle name="40% - 强调文字颜色 6 20 11" xfId="4639"/>
    <cellStyle name="40% - 强调文字颜色 6 20 11 2" xfId="9889"/>
    <cellStyle name="40% - 强调文字颜色 6 20 11 3" xfId="16323"/>
    <cellStyle name="40% - 强调文字颜色 6 20 11 4" xfId="25643"/>
    <cellStyle name="40% - 强调文字颜色 6 20 11 5" xfId="28884"/>
    <cellStyle name="40% - 强调文字颜色 6 20 12" xfId="4640"/>
    <cellStyle name="40% - 强调文字颜色 6 20 12 2" xfId="9890"/>
    <cellStyle name="40% - 强调文字颜色 6 20 12 3" xfId="16324"/>
    <cellStyle name="40% - 强调文字颜色 6 20 12 4" xfId="25644"/>
    <cellStyle name="40% - 强调文字颜色 6 20 12 5" xfId="28885"/>
    <cellStyle name="40% - 强调文字颜色 6 20 13" xfId="4641"/>
    <cellStyle name="40% - 强调文字颜色 6 20 13 2" xfId="9891"/>
    <cellStyle name="40% - 强调文字颜色 6 20 13 3" xfId="16325"/>
    <cellStyle name="40% - 强调文字颜色 6 20 13 4" xfId="25645"/>
    <cellStyle name="40% - 强调文字颜色 6 20 13 5" xfId="28886"/>
    <cellStyle name="40% - 强调文字颜色 6 20 14" xfId="4642"/>
    <cellStyle name="40% - 强调文字颜色 6 20 14 2" xfId="9892"/>
    <cellStyle name="40% - 强调文字颜色 6 20 14 3" xfId="16326"/>
    <cellStyle name="40% - 强调文字颜色 6 20 14 4" xfId="25646"/>
    <cellStyle name="40% - 强调文字颜色 6 20 14 5" xfId="28887"/>
    <cellStyle name="40% - 强调文字颜色 6 20 15" xfId="4643"/>
    <cellStyle name="40% - 强调文字颜色 6 20 15 2" xfId="9893"/>
    <cellStyle name="40% - 强调文字颜色 6 20 15 3" xfId="16327"/>
    <cellStyle name="40% - 强调文字颜色 6 20 15 4" xfId="25647"/>
    <cellStyle name="40% - 强调文字颜色 6 20 15 5" xfId="28888"/>
    <cellStyle name="40% - 强调文字颜色 6 20 16" xfId="4644"/>
    <cellStyle name="40% - 强调文字颜色 6 20 16 2" xfId="9894"/>
    <cellStyle name="40% - 强调文字颜色 6 20 16 3" xfId="16328"/>
    <cellStyle name="40% - 强调文字颜色 6 20 16 4" xfId="25648"/>
    <cellStyle name="40% - 强调文字颜色 6 20 16 5" xfId="28889"/>
    <cellStyle name="40% - 强调文字颜色 6 20 17" xfId="4645"/>
    <cellStyle name="40% - 强调文字颜色 6 20 17 2" xfId="9895"/>
    <cellStyle name="40% - 强调文字颜色 6 20 17 3" xfId="16329"/>
    <cellStyle name="40% - 强调文字颜色 6 20 17 4" xfId="25649"/>
    <cellStyle name="40% - 强调文字颜色 6 20 17 5" xfId="28890"/>
    <cellStyle name="40% - 强调文字颜色 6 20 18" xfId="4646"/>
    <cellStyle name="40% - 强调文字颜色 6 20 18 2" xfId="9896"/>
    <cellStyle name="40% - 强调文字颜色 6 20 18 3" xfId="16330"/>
    <cellStyle name="40% - 强调文字颜色 6 20 18 4" xfId="25650"/>
    <cellStyle name="40% - 强调文字颜色 6 20 18 5" xfId="28891"/>
    <cellStyle name="40% - 强调文字颜色 6 20 19" xfId="4647"/>
    <cellStyle name="40% - 强调文字颜色 6 20 19 2" xfId="9897"/>
    <cellStyle name="40% - 强调文字颜色 6 20 19 3" xfId="16331"/>
    <cellStyle name="40% - 强调文字颜色 6 20 19 4" xfId="25651"/>
    <cellStyle name="40% - 强调文字颜色 6 20 19 5" xfId="28892"/>
    <cellStyle name="40% - 强调文字颜色 6 20 2" xfId="4637"/>
    <cellStyle name="40% - 强调文字颜色 6 20 2 2" xfId="9898"/>
    <cellStyle name="40% - 强调文字颜色 6 20 2 3" xfId="16332"/>
    <cellStyle name="40% - 强调文字颜色 6 20 2 4" xfId="25652"/>
    <cellStyle name="40% - 强调文字颜色 6 20 2 5" xfId="28882"/>
    <cellStyle name="40% - 强调文字颜色 6 20 20" xfId="4649"/>
    <cellStyle name="40% - 强调文字颜色 6 20 20 2" xfId="9899"/>
    <cellStyle name="40% - 强调文字颜色 6 20 20 3" xfId="16333"/>
    <cellStyle name="40% - 强调文字颜色 6 20 20 4" xfId="25653"/>
    <cellStyle name="40% - 强调文字颜色 6 20 20 5" xfId="28893"/>
    <cellStyle name="40% - 强调文字颜色 6 20 21" xfId="4650"/>
    <cellStyle name="40% - 强调文字颜色 6 20 21 2" xfId="9900"/>
    <cellStyle name="40% - 强调文字颜色 6 20 21 3" xfId="16334"/>
    <cellStyle name="40% - 强调文字颜色 6 20 21 4" xfId="25654"/>
    <cellStyle name="40% - 强调文字颜色 6 20 21 5" xfId="28894"/>
    <cellStyle name="40% - 强调文字颜色 6 20 22" xfId="4651"/>
    <cellStyle name="40% - 强调文字颜色 6 20 22 2" xfId="9901"/>
    <cellStyle name="40% - 强调文字颜色 6 20 22 3" xfId="16335"/>
    <cellStyle name="40% - 强调文字颜色 6 20 22 4" xfId="25655"/>
    <cellStyle name="40% - 强调文字颜色 6 20 22 5" xfId="28895"/>
    <cellStyle name="40% - 强调文字颜色 6 20 23" xfId="4652"/>
    <cellStyle name="40% - 强调文字颜色 6 20 23 2" xfId="9902"/>
    <cellStyle name="40% - 强调文字颜色 6 20 23 3" xfId="16336"/>
    <cellStyle name="40% - 强调文字颜色 6 20 23 4" xfId="25656"/>
    <cellStyle name="40% - 强调文字颜色 6 20 23 5" xfId="28896"/>
    <cellStyle name="40% - 强调文字颜色 6 20 24" xfId="6803"/>
    <cellStyle name="40% - 强调文字颜色 6 20 25" xfId="11148"/>
    <cellStyle name="40% - 强调文字颜色 6 20 26" xfId="12947"/>
    <cellStyle name="40% - 强调文字颜色 6 20 27" xfId="16321"/>
    <cellStyle name="40% - 强调文字颜色 6 20 28" xfId="11195"/>
    <cellStyle name="40% - 强调文字颜色 6 20 29" xfId="19115"/>
    <cellStyle name="40% - 强调文字颜色 6 20 3" xfId="4653"/>
    <cellStyle name="40% - 强调文字颜色 6 20 3 2" xfId="9903"/>
    <cellStyle name="40% - 强调文字颜色 6 20 3 3" xfId="16337"/>
    <cellStyle name="40% - 强调文字颜色 6 20 3 4" xfId="25657"/>
    <cellStyle name="40% - 强调文字颜色 6 20 3 5" xfId="28897"/>
    <cellStyle name="40% - 强调文字颜色 6 20 30" xfId="22604"/>
    <cellStyle name="40% - 强调文字颜色 6 20 31" xfId="21016"/>
    <cellStyle name="40% - 强调文字颜色 6 20 32" xfId="30818"/>
    <cellStyle name="40% - 强调文字颜色 6 20 33" xfId="32672"/>
    <cellStyle name="40% - 强调文字颜色 6 20 4" xfId="4654"/>
    <cellStyle name="40% - 强调文字颜色 6 20 4 2" xfId="9904"/>
    <cellStyle name="40% - 强调文字颜色 6 20 4 3" xfId="16338"/>
    <cellStyle name="40% - 强调文字颜色 6 20 4 4" xfId="25658"/>
    <cellStyle name="40% - 强调文字颜色 6 20 4 5" xfId="28898"/>
    <cellStyle name="40% - 强调文字颜色 6 20 5" xfId="4655"/>
    <cellStyle name="40% - 强调文字颜色 6 20 5 2" xfId="9905"/>
    <cellStyle name="40% - 强调文字颜色 6 20 5 3" xfId="16339"/>
    <cellStyle name="40% - 强调文字颜色 6 20 5 4" xfId="25659"/>
    <cellStyle name="40% - 强调文字颜色 6 20 5 5" xfId="28899"/>
    <cellStyle name="40% - 强调文字颜色 6 20 6" xfId="4656"/>
    <cellStyle name="40% - 强调文字颜色 6 20 6 2" xfId="9906"/>
    <cellStyle name="40% - 强调文字颜色 6 20 6 3" xfId="16340"/>
    <cellStyle name="40% - 强调文字颜色 6 20 6 4" xfId="25660"/>
    <cellStyle name="40% - 强调文字颜色 6 20 6 5" xfId="28900"/>
    <cellStyle name="40% - 强调文字颜色 6 20 7" xfId="4657"/>
    <cellStyle name="40% - 强调文字颜色 6 20 7 2" xfId="9907"/>
    <cellStyle name="40% - 强调文字颜色 6 20 7 3" xfId="16341"/>
    <cellStyle name="40% - 强调文字颜色 6 20 7 4" xfId="25661"/>
    <cellStyle name="40% - 强调文字颜色 6 20 7 5" xfId="28901"/>
    <cellStyle name="40% - 强调文字颜色 6 20 8" xfId="4658"/>
    <cellStyle name="40% - 强调文字颜色 6 20 8 2" xfId="9908"/>
    <cellStyle name="40% - 强调文字颜色 6 20 8 3" xfId="16342"/>
    <cellStyle name="40% - 强调文字颜色 6 20 8 4" xfId="25662"/>
    <cellStyle name="40% - 强调文字颜色 6 20 8 5" xfId="28902"/>
    <cellStyle name="40% - 强调文字颜色 6 20 9" xfId="4659"/>
    <cellStyle name="40% - 强调文字颜色 6 20 9 2" xfId="9909"/>
    <cellStyle name="40% - 强调文字颜色 6 20 9 3" xfId="16343"/>
    <cellStyle name="40% - 强调文字颜色 6 20 9 4" xfId="25663"/>
    <cellStyle name="40% - 强调文字颜色 6 20 9 5" xfId="28903"/>
    <cellStyle name="40% - 强调文字颜色 6 21" xfId="1261"/>
    <cellStyle name="40% - 强调文字颜色 6 21 10" xfId="4661"/>
    <cellStyle name="40% - 强调文字颜色 6 21 10 2" xfId="9911"/>
    <cellStyle name="40% - 强调文字颜色 6 21 10 3" xfId="16345"/>
    <cellStyle name="40% - 强调文字颜色 6 21 10 4" xfId="25664"/>
    <cellStyle name="40% - 强调文字颜色 6 21 10 5" xfId="28905"/>
    <cellStyle name="40% - 强调文字颜色 6 21 11" xfId="4662"/>
    <cellStyle name="40% - 强调文字颜色 6 21 11 2" xfId="9912"/>
    <cellStyle name="40% - 强调文字颜色 6 21 11 3" xfId="16346"/>
    <cellStyle name="40% - 强调文字颜色 6 21 11 4" xfId="25665"/>
    <cellStyle name="40% - 强调文字颜色 6 21 11 5" xfId="28906"/>
    <cellStyle name="40% - 强调文字颜色 6 21 12" xfId="4663"/>
    <cellStyle name="40% - 强调文字颜色 6 21 12 2" xfId="9913"/>
    <cellStyle name="40% - 强调文字颜色 6 21 12 3" xfId="16347"/>
    <cellStyle name="40% - 强调文字颜色 6 21 12 4" xfId="25666"/>
    <cellStyle name="40% - 强调文字颜色 6 21 12 5" xfId="28907"/>
    <cellStyle name="40% - 强调文字颜色 6 21 13" xfId="4664"/>
    <cellStyle name="40% - 强调文字颜色 6 21 13 2" xfId="9914"/>
    <cellStyle name="40% - 强调文字颜色 6 21 13 3" xfId="16348"/>
    <cellStyle name="40% - 强调文字颜色 6 21 13 4" xfId="25667"/>
    <cellStyle name="40% - 强调文字颜色 6 21 13 5" xfId="28908"/>
    <cellStyle name="40% - 强调文字颜色 6 21 14" xfId="4665"/>
    <cellStyle name="40% - 强调文字颜色 6 21 14 2" xfId="9915"/>
    <cellStyle name="40% - 强调文字颜色 6 21 14 3" xfId="16349"/>
    <cellStyle name="40% - 强调文字颜色 6 21 14 4" xfId="25668"/>
    <cellStyle name="40% - 强调文字颜色 6 21 14 5" xfId="28909"/>
    <cellStyle name="40% - 强调文字颜色 6 21 15" xfId="4666"/>
    <cellStyle name="40% - 强调文字颜色 6 21 15 2" xfId="9916"/>
    <cellStyle name="40% - 强调文字颜色 6 21 15 3" xfId="16350"/>
    <cellStyle name="40% - 强调文字颜色 6 21 15 4" xfId="25669"/>
    <cellStyle name="40% - 强调文字颜色 6 21 15 5" xfId="28910"/>
    <cellStyle name="40% - 强调文字颜色 6 21 16" xfId="4667"/>
    <cellStyle name="40% - 强调文字颜色 6 21 16 2" xfId="9917"/>
    <cellStyle name="40% - 强调文字颜色 6 21 16 3" xfId="16351"/>
    <cellStyle name="40% - 强调文字颜色 6 21 16 4" xfId="25670"/>
    <cellStyle name="40% - 强调文字颜色 6 21 16 5" xfId="28911"/>
    <cellStyle name="40% - 强调文字颜色 6 21 17" xfId="4668"/>
    <cellStyle name="40% - 强调文字颜色 6 21 17 2" xfId="9918"/>
    <cellStyle name="40% - 强调文字颜色 6 21 17 3" xfId="16352"/>
    <cellStyle name="40% - 强调文字颜色 6 21 17 4" xfId="25671"/>
    <cellStyle name="40% - 强调文字颜色 6 21 17 5" xfId="28912"/>
    <cellStyle name="40% - 强调文字颜色 6 21 18" xfId="4669"/>
    <cellStyle name="40% - 强调文字颜色 6 21 18 2" xfId="9919"/>
    <cellStyle name="40% - 强调文字颜色 6 21 18 3" xfId="16353"/>
    <cellStyle name="40% - 强调文字颜色 6 21 18 4" xfId="25672"/>
    <cellStyle name="40% - 强调文字颜色 6 21 18 5" xfId="28913"/>
    <cellStyle name="40% - 强调文字颜色 6 21 19" xfId="4670"/>
    <cellStyle name="40% - 强调文字颜色 6 21 19 2" xfId="9920"/>
    <cellStyle name="40% - 强调文字颜色 6 21 19 3" xfId="16354"/>
    <cellStyle name="40% - 强调文字颜色 6 21 19 4" xfId="25673"/>
    <cellStyle name="40% - 强调文字颜色 6 21 19 5" xfId="28914"/>
    <cellStyle name="40% - 强调文字颜色 6 21 2" xfId="4660"/>
    <cellStyle name="40% - 强调文字颜色 6 21 2 2" xfId="9921"/>
    <cellStyle name="40% - 强调文字颜色 6 21 2 3" xfId="16355"/>
    <cellStyle name="40% - 强调文字颜色 6 21 2 4" xfId="25674"/>
    <cellStyle name="40% - 强调文字颜色 6 21 2 5" xfId="28904"/>
    <cellStyle name="40% - 强调文字颜色 6 21 20" xfId="4672"/>
    <cellStyle name="40% - 强调文字颜色 6 21 20 2" xfId="9922"/>
    <cellStyle name="40% - 强调文字颜色 6 21 20 3" xfId="16356"/>
    <cellStyle name="40% - 强调文字颜色 6 21 20 4" xfId="25675"/>
    <cellStyle name="40% - 强调文字颜色 6 21 20 5" xfId="28915"/>
    <cellStyle name="40% - 强调文字颜色 6 21 21" xfId="4673"/>
    <cellStyle name="40% - 强调文字颜色 6 21 21 2" xfId="9923"/>
    <cellStyle name="40% - 强调文字颜色 6 21 21 3" xfId="16357"/>
    <cellStyle name="40% - 强调文字颜色 6 21 21 4" xfId="25676"/>
    <cellStyle name="40% - 强调文字颜色 6 21 21 5" xfId="28916"/>
    <cellStyle name="40% - 强调文字颜色 6 21 22" xfId="4674"/>
    <cellStyle name="40% - 强调文字颜色 6 21 22 2" xfId="9924"/>
    <cellStyle name="40% - 强调文字颜色 6 21 22 3" xfId="16358"/>
    <cellStyle name="40% - 强调文字颜色 6 21 22 4" xfId="25677"/>
    <cellStyle name="40% - 强调文字颜色 6 21 22 5" xfId="28917"/>
    <cellStyle name="40% - 强调文字颜色 6 21 23" xfId="4675"/>
    <cellStyle name="40% - 强调文字颜色 6 21 23 2" xfId="9925"/>
    <cellStyle name="40% - 强调文字颜色 6 21 23 3" xfId="16359"/>
    <cellStyle name="40% - 强调文字颜色 6 21 23 4" xfId="25678"/>
    <cellStyle name="40% - 强调文字颜色 6 21 23 5" xfId="28918"/>
    <cellStyle name="40% - 强调文字颜色 6 21 24" xfId="6804"/>
    <cellStyle name="40% - 强调文字颜色 6 21 25" xfId="11149"/>
    <cellStyle name="40% - 强调文字颜色 6 21 26" xfId="12948"/>
    <cellStyle name="40% - 强调文字颜色 6 21 27" xfId="16344"/>
    <cellStyle name="40% - 强调文字颜色 6 21 28" xfId="10066"/>
    <cellStyle name="40% - 强调文字颜色 6 21 29" xfId="19116"/>
    <cellStyle name="40% - 强调文字颜色 6 21 3" xfId="4676"/>
    <cellStyle name="40% - 强调文字颜色 6 21 3 2" xfId="9926"/>
    <cellStyle name="40% - 强调文字颜色 6 21 3 3" xfId="16360"/>
    <cellStyle name="40% - 强调文字颜色 6 21 3 4" xfId="25679"/>
    <cellStyle name="40% - 强调文字颜色 6 21 3 5" xfId="28919"/>
    <cellStyle name="40% - 强调文字颜色 6 21 30" xfId="21588"/>
    <cellStyle name="40% - 强调文字颜色 6 21 31" xfId="20454"/>
    <cellStyle name="40% - 强调文字颜色 6 21 32" xfId="30819"/>
    <cellStyle name="40% - 强调文字颜色 6 21 33" xfId="33074"/>
    <cellStyle name="40% - 强调文字颜色 6 21 4" xfId="4677"/>
    <cellStyle name="40% - 强调文字颜色 6 21 4 2" xfId="9927"/>
    <cellStyle name="40% - 强调文字颜色 6 21 4 3" xfId="16361"/>
    <cellStyle name="40% - 强调文字颜色 6 21 4 4" xfId="25680"/>
    <cellStyle name="40% - 强调文字颜色 6 21 4 5" xfId="28920"/>
    <cellStyle name="40% - 强调文字颜色 6 21 5" xfId="4678"/>
    <cellStyle name="40% - 强调文字颜色 6 21 5 2" xfId="9928"/>
    <cellStyle name="40% - 强调文字颜色 6 21 5 3" xfId="16362"/>
    <cellStyle name="40% - 强调文字颜色 6 21 5 4" xfId="25681"/>
    <cellStyle name="40% - 强调文字颜色 6 21 5 5" xfId="28921"/>
    <cellStyle name="40% - 强调文字颜色 6 21 6" xfId="4679"/>
    <cellStyle name="40% - 强调文字颜色 6 21 6 2" xfId="9929"/>
    <cellStyle name="40% - 强调文字颜色 6 21 6 3" xfId="16363"/>
    <cellStyle name="40% - 强调文字颜色 6 21 6 4" xfId="25682"/>
    <cellStyle name="40% - 强调文字颜色 6 21 6 5" xfId="28922"/>
    <cellStyle name="40% - 强调文字颜色 6 21 7" xfId="4680"/>
    <cellStyle name="40% - 强调文字颜色 6 21 7 2" xfId="9930"/>
    <cellStyle name="40% - 强调文字颜色 6 21 7 3" xfId="16364"/>
    <cellStyle name="40% - 强调文字颜色 6 21 7 4" xfId="25683"/>
    <cellStyle name="40% - 强调文字颜色 6 21 7 5" xfId="28923"/>
    <cellStyle name="40% - 强调文字颜色 6 21 8" xfId="4681"/>
    <cellStyle name="40% - 强调文字颜色 6 21 8 2" xfId="9931"/>
    <cellStyle name="40% - 强调文字颜色 6 21 8 3" xfId="16365"/>
    <cellStyle name="40% - 强调文字颜色 6 21 8 4" xfId="25684"/>
    <cellStyle name="40% - 强调文字颜色 6 21 8 5" xfId="28924"/>
    <cellStyle name="40% - 强调文字颜色 6 21 9" xfId="4682"/>
    <cellStyle name="40% - 强调文字颜色 6 21 9 2" xfId="9932"/>
    <cellStyle name="40% - 强调文字颜色 6 21 9 3" xfId="16366"/>
    <cellStyle name="40% - 强调文字颜色 6 21 9 4" xfId="25685"/>
    <cellStyle name="40% - 强调文字颜色 6 21 9 5" xfId="28925"/>
    <cellStyle name="40% - 强调文字颜色 6 22" xfId="1262"/>
    <cellStyle name="40% - 强调文字颜色 6 22 10" xfId="4684"/>
    <cellStyle name="40% - 强调文字颜色 6 22 10 2" xfId="9934"/>
    <cellStyle name="40% - 强调文字颜色 6 22 10 3" xfId="16368"/>
    <cellStyle name="40% - 强调文字颜色 6 22 10 4" xfId="25686"/>
    <cellStyle name="40% - 强调文字颜色 6 22 10 5" xfId="28927"/>
    <cellStyle name="40% - 强调文字颜色 6 22 11" xfId="4685"/>
    <cellStyle name="40% - 强调文字颜色 6 22 11 2" xfId="9935"/>
    <cellStyle name="40% - 强调文字颜色 6 22 11 3" xfId="16369"/>
    <cellStyle name="40% - 强调文字颜色 6 22 11 4" xfId="25687"/>
    <cellStyle name="40% - 强调文字颜色 6 22 11 5" xfId="28928"/>
    <cellStyle name="40% - 强调文字颜色 6 22 12" xfId="4686"/>
    <cellStyle name="40% - 强调文字颜色 6 22 12 2" xfId="9936"/>
    <cellStyle name="40% - 强调文字颜色 6 22 12 3" xfId="16370"/>
    <cellStyle name="40% - 强调文字颜色 6 22 12 4" xfId="25688"/>
    <cellStyle name="40% - 强调文字颜色 6 22 12 5" xfId="28929"/>
    <cellStyle name="40% - 强调文字颜色 6 22 13" xfId="4687"/>
    <cellStyle name="40% - 强调文字颜色 6 22 13 2" xfId="9937"/>
    <cellStyle name="40% - 强调文字颜色 6 22 13 3" xfId="16371"/>
    <cellStyle name="40% - 强调文字颜色 6 22 13 4" xfId="25689"/>
    <cellStyle name="40% - 强调文字颜色 6 22 13 5" xfId="28930"/>
    <cellStyle name="40% - 强调文字颜色 6 22 14" xfId="4688"/>
    <cellStyle name="40% - 强调文字颜色 6 22 14 2" xfId="9938"/>
    <cellStyle name="40% - 强调文字颜色 6 22 14 3" xfId="16372"/>
    <cellStyle name="40% - 强调文字颜色 6 22 14 4" xfId="25690"/>
    <cellStyle name="40% - 强调文字颜色 6 22 14 5" xfId="28931"/>
    <cellStyle name="40% - 强调文字颜色 6 22 15" xfId="4689"/>
    <cellStyle name="40% - 强调文字颜色 6 22 15 2" xfId="9939"/>
    <cellStyle name="40% - 强调文字颜色 6 22 15 3" xfId="16373"/>
    <cellStyle name="40% - 强调文字颜色 6 22 15 4" xfId="25691"/>
    <cellStyle name="40% - 强调文字颜色 6 22 15 5" xfId="28932"/>
    <cellStyle name="40% - 强调文字颜色 6 22 16" xfId="4690"/>
    <cellStyle name="40% - 强调文字颜色 6 22 16 2" xfId="9940"/>
    <cellStyle name="40% - 强调文字颜色 6 22 16 3" xfId="16374"/>
    <cellStyle name="40% - 强调文字颜色 6 22 16 4" xfId="25692"/>
    <cellStyle name="40% - 强调文字颜色 6 22 16 5" xfId="28933"/>
    <cellStyle name="40% - 强调文字颜色 6 22 17" xfId="4691"/>
    <cellStyle name="40% - 强调文字颜色 6 22 17 2" xfId="9941"/>
    <cellStyle name="40% - 强调文字颜色 6 22 17 3" xfId="16375"/>
    <cellStyle name="40% - 强调文字颜色 6 22 17 4" xfId="25693"/>
    <cellStyle name="40% - 强调文字颜色 6 22 17 5" xfId="28934"/>
    <cellStyle name="40% - 强调文字颜色 6 22 18" xfId="4692"/>
    <cellStyle name="40% - 强调文字颜色 6 22 18 2" xfId="9942"/>
    <cellStyle name="40% - 强调文字颜色 6 22 18 3" xfId="16376"/>
    <cellStyle name="40% - 强调文字颜色 6 22 18 4" xfId="25694"/>
    <cellStyle name="40% - 强调文字颜色 6 22 18 5" xfId="28935"/>
    <cellStyle name="40% - 强调文字颜色 6 22 19" xfId="4693"/>
    <cellStyle name="40% - 强调文字颜色 6 22 19 2" xfId="9943"/>
    <cellStyle name="40% - 强调文字颜色 6 22 19 3" xfId="16377"/>
    <cellStyle name="40% - 强调文字颜色 6 22 19 4" xfId="25695"/>
    <cellStyle name="40% - 强调文字颜色 6 22 19 5" xfId="28936"/>
    <cellStyle name="40% - 强调文字颜色 6 22 2" xfId="4683"/>
    <cellStyle name="40% - 强调文字颜色 6 22 2 2" xfId="9944"/>
    <cellStyle name="40% - 强调文字颜色 6 22 2 3" xfId="16378"/>
    <cellStyle name="40% - 强调文字颜色 6 22 2 4" xfId="25696"/>
    <cellStyle name="40% - 强调文字颜色 6 22 2 5" xfId="28926"/>
    <cellStyle name="40% - 强调文字颜色 6 22 20" xfId="4695"/>
    <cellStyle name="40% - 强调文字颜色 6 22 20 2" xfId="9945"/>
    <cellStyle name="40% - 强调文字颜色 6 22 20 3" xfId="16379"/>
    <cellStyle name="40% - 强调文字颜色 6 22 20 4" xfId="25697"/>
    <cellStyle name="40% - 强调文字颜色 6 22 20 5" xfId="28937"/>
    <cellStyle name="40% - 强调文字颜色 6 22 21" xfId="4696"/>
    <cellStyle name="40% - 强调文字颜色 6 22 21 2" xfId="9946"/>
    <cellStyle name="40% - 强调文字颜色 6 22 21 3" xfId="16380"/>
    <cellStyle name="40% - 强调文字颜色 6 22 21 4" xfId="25698"/>
    <cellStyle name="40% - 强调文字颜色 6 22 21 5" xfId="28938"/>
    <cellStyle name="40% - 强调文字颜色 6 22 22" xfId="4697"/>
    <cellStyle name="40% - 强调文字颜色 6 22 22 2" xfId="9947"/>
    <cellStyle name="40% - 强调文字颜色 6 22 22 3" xfId="16381"/>
    <cellStyle name="40% - 强调文字颜色 6 22 22 4" xfId="25699"/>
    <cellStyle name="40% - 强调文字颜色 6 22 22 5" xfId="28939"/>
    <cellStyle name="40% - 强调文字颜色 6 22 23" xfId="4698"/>
    <cellStyle name="40% - 强调文字颜色 6 22 23 2" xfId="9948"/>
    <cellStyle name="40% - 强调文字颜色 6 22 23 3" xfId="16382"/>
    <cellStyle name="40% - 强调文字颜色 6 22 23 4" xfId="25700"/>
    <cellStyle name="40% - 强调文字颜色 6 22 23 5" xfId="28940"/>
    <cellStyle name="40% - 强调文字颜色 6 22 24" xfId="6805"/>
    <cellStyle name="40% - 强调文字颜色 6 22 25" xfId="11150"/>
    <cellStyle name="40% - 强调文字颜色 6 22 26" xfId="12949"/>
    <cellStyle name="40% - 强调文字颜色 6 22 27" xfId="16367"/>
    <cellStyle name="40% - 强调文字颜色 6 22 28" xfId="11191"/>
    <cellStyle name="40% - 强调文字颜色 6 22 29" xfId="19117"/>
    <cellStyle name="40% - 强调文字颜色 6 22 3" xfId="4699"/>
    <cellStyle name="40% - 强调文字颜色 6 22 3 2" xfId="9949"/>
    <cellStyle name="40% - 强调文字颜色 6 22 3 3" xfId="16383"/>
    <cellStyle name="40% - 强调文字颜色 6 22 3 4" xfId="25701"/>
    <cellStyle name="40% - 强调文字颜色 6 22 3 5" xfId="28941"/>
    <cellStyle name="40% - 强调文字颜色 6 22 30" xfId="23056"/>
    <cellStyle name="40% - 强调文字颜色 6 22 31" xfId="19799"/>
    <cellStyle name="40% - 强调文字颜色 6 22 32" xfId="30826"/>
    <cellStyle name="40% - 强调文字颜色 6 22 33" xfId="33323"/>
    <cellStyle name="40% - 强调文字颜色 6 22 4" xfId="4700"/>
    <cellStyle name="40% - 强调文字颜色 6 22 4 2" xfId="9950"/>
    <cellStyle name="40% - 强调文字颜色 6 22 4 3" xfId="16384"/>
    <cellStyle name="40% - 强调文字颜色 6 22 4 4" xfId="25702"/>
    <cellStyle name="40% - 强调文字颜色 6 22 4 5" xfId="28942"/>
    <cellStyle name="40% - 强调文字颜色 6 22 5" xfId="4701"/>
    <cellStyle name="40% - 强调文字颜色 6 22 5 2" xfId="9951"/>
    <cellStyle name="40% - 强调文字颜色 6 22 5 3" xfId="16385"/>
    <cellStyle name="40% - 强调文字颜色 6 22 5 4" xfId="25703"/>
    <cellStyle name="40% - 强调文字颜色 6 22 5 5" xfId="28943"/>
    <cellStyle name="40% - 强调文字颜色 6 22 6" xfId="4702"/>
    <cellStyle name="40% - 强调文字颜色 6 22 6 2" xfId="9952"/>
    <cellStyle name="40% - 强调文字颜色 6 22 6 3" xfId="16386"/>
    <cellStyle name="40% - 强调文字颜色 6 22 6 4" xfId="25704"/>
    <cellStyle name="40% - 强调文字颜色 6 22 6 5" xfId="28944"/>
    <cellStyle name="40% - 强调文字颜色 6 22 7" xfId="4703"/>
    <cellStyle name="40% - 强调文字颜色 6 22 7 2" xfId="9953"/>
    <cellStyle name="40% - 强调文字颜色 6 22 7 3" xfId="16387"/>
    <cellStyle name="40% - 强调文字颜色 6 22 7 4" xfId="25705"/>
    <cellStyle name="40% - 强调文字颜色 6 22 7 5" xfId="28945"/>
    <cellStyle name="40% - 强调文字颜色 6 22 8" xfId="4704"/>
    <cellStyle name="40% - 强调文字颜色 6 22 8 2" xfId="9954"/>
    <cellStyle name="40% - 强调文字颜色 6 22 8 3" xfId="16388"/>
    <cellStyle name="40% - 强调文字颜色 6 22 8 4" xfId="25706"/>
    <cellStyle name="40% - 强调文字颜色 6 22 8 5" xfId="28946"/>
    <cellStyle name="40% - 强调文字颜色 6 22 9" xfId="4705"/>
    <cellStyle name="40% - 强调文字颜色 6 22 9 2" xfId="9955"/>
    <cellStyle name="40% - 强调文字颜色 6 22 9 3" xfId="16389"/>
    <cellStyle name="40% - 强调文字颜色 6 22 9 4" xfId="25707"/>
    <cellStyle name="40% - 强调文字颜色 6 22 9 5" xfId="28947"/>
    <cellStyle name="40% - 强调文字颜色 6 23" xfId="1263"/>
    <cellStyle name="40% - 强调文字颜色 6 23 10" xfId="4707"/>
    <cellStyle name="40% - 强调文字颜色 6 23 10 2" xfId="9957"/>
    <cellStyle name="40% - 强调文字颜色 6 23 10 3" xfId="16391"/>
    <cellStyle name="40% - 强调文字颜色 6 23 10 4" xfId="25708"/>
    <cellStyle name="40% - 强调文字颜色 6 23 10 5" xfId="28949"/>
    <cellStyle name="40% - 强调文字颜色 6 23 11" xfId="4708"/>
    <cellStyle name="40% - 强调文字颜色 6 23 11 2" xfId="9958"/>
    <cellStyle name="40% - 强调文字颜色 6 23 11 3" xfId="16392"/>
    <cellStyle name="40% - 强调文字颜色 6 23 11 4" xfId="25709"/>
    <cellStyle name="40% - 强调文字颜色 6 23 11 5" xfId="28950"/>
    <cellStyle name="40% - 强调文字颜色 6 23 12" xfId="4709"/>
    <cellStyle name="40% - 强调文字颜色 6 23 12 2" xfId="9959"/>
    <cellStyle name="40% - 强调文字颜色 6 23 12 3" xfId="16393"/>
    <cellStyle name="40% - 强调文字颜色 6 23 12 4" xfId="25710"/>
    <cellStyle name="40% - 强调文字颜色 6 23 12 5" xfId="28951"/>
    <cellStyle name="40% - 强调文字颜色 6 23 13" xfId="4710"/>
    <cellStyle name="40% - 强调文字颜色 6 23 13 2" xfId="9960"/>
    <cellStyle name="40% - 强调文字颜色 6 23 13 3" xfId="16394"/>
    <cellStyle name="40% - 强调文字颜色 6 23 13 4" xfId="25711"/>
    <cellStyle name="40% - 强调文字颜色 6 23 13 5" xfId="28952"/>
    <cellStyle name="40% - 强调文字颜色 6 23 14" xfId="4711"/>
    <cellStyle name="40% - 强调文字颜色 6 23 14 2" xfId="9961"/>
    <cellStyle name="40% - 强调文字颜色 6 23 14 3" xfId="16395"/>
    <cellStyle name="40% - 强调文字颜色 6 23 14 4" xfId="25712"/>
    <cellStyle name="40% - 强调文字颜色 6 23 14 5" xfId="28953"/>
    <cellStyle name="40% - 强调文字颜色 6 23 15" xfId="4712"/>
    <cellStyle name="40% - 强调文字颜色 6 23 15 2" xfId="9962"/>
    <cellStyle name="40% - 强调文字颜色 6 23 15 3" xfId="16396"/>
    <cellStyle name="40% - 强调文字颜色 6 23 15 4" xfId="25713"/>
    <cellStyle name="40% - 强调文字颜色 6 23 15 5" xfId="28954"/>
    <cellStyle name="40% - 强调文字颜色 6 23 16" xfId="4713"/>
    <cellStyle name="40% - 强调文字颜色 6 23 16 2" xfId="9963"/>
    <cellStyle name="40% - 强调文字颜色 6 23 16 3" xfId="16397"/>
    <cellStyle name="40% - 强调文字颜色 6 23 16 4" xfId="25714"/>
    <cellStyle name="40% - 强调文字颜色 6 23 16 5" xfId="28955"/>
    <cellStyle name="40% - 强调文字颜色 6 23 17" xfId="4714"/>
    <cellStyle name="40% - 强调文字颜色 6 23 17 2" xfId="9964"/>
    <cellStyle name="40% - 强调文字颜色 6 23 17 3" xfId="16398"/>
    <cellStyle name="40% - 强调文字颜色 6 23 17 4" xfId="25715"/>
    <cellStyle name="40% - 强调文字颜色 6 23 17 5" xfId="28956"/>
    <cellStyle name="40% - 强调文字颜色 6 23 18" xfId="4715"/>
    <cellStyle name="40% - 强调文字颜色 6 23 18 2" xfId="9965"/>
    <cellStyle name="40% - 强调文字颜色 6 23 18 3" xfId="16399"/>
    <cellStyle name="40% - 强调文字颜色 6 23 18 4" xfId="25716"/>
    <cellStyle name="40% - 强调文字颜色 6 23 18 5" xfId="28957"/>
    <cellStyle name="40% - 强调文字颜色 6 23 19" xfId="4716"/>
    <cellStyle name="40% - 强调文字颜色 6 23 19 2" xfId="9966"/>
    <cellStyle name="40% - 强调文字颜色 6 23 19 3" xfId="16400"/>
    <cellStyle name="40% - 强调文字颜色 6 23 19 4" xfId="25717"/>
    <cellStyle name="40% - 强调文字颜色 6 23 19 5" xfId="28958"/>
    <cellStyle name="40% - 强调文字颜色 6 23 2" xfId="4706"/>
    <cellStyle name="40% - 强调文字颜色 6 23 2 2" xfId="9967"/>
    <cellStyle name="40% - 强调文字颜色 6 23 2 3" xfId="16401"/>
    <cellStyle name="40% - 强调文字颜色 6 23 2 4" xfId="25718"/>
    <cellStyle name="40% - 强调文字颜色 6 23 2 5" xfId="28948"/>
    <cellStyle name="40% - 强调文字颜色 6 23 20" xfId="4718"/>
    <cellStyle name="40% - 强调文字颜色 6 23 20 2" xfId="9968"/>
    <cellStyle name="40% - 强调文字颜色 6 23 20 3" xfId="16402"/>
    <cellStyle name="40% - 强调文字颜色 6 23 20 4" xfId="25719"/>
    <cellStyle name="40% - 强调文字颜色 6 23 20 5" xfId="28959"/>
    <cellStyle name="40% - 强调文字颜色 6 23 21" xfId="4719"/>
    <cellStyle name="40% - 强调文字颜色 6 23 21 2" xfId="9969"/>
    <cellStyle name="40% - 强调文字颜色 6 23 21 3" xfId="16403"/>
    <cellStyle name="40% - 强调文字颜色 6 23 21 4" xfId="25720"/>
    <cellStyle name="40% - 强调文字颜色 6 23 21 5" xfId="28960"/>
    <cellStyle name="40% - 强调文字颜色 6 23 22" xfId="4720"/>
    <cellStyle name="40% - 强调文字颜色 6 23 22 2" xfId="9970"/>
    <cellStyle name="40% - 强调文字颜色 6 23 22 3" xfId="16404"/>
    <cellStyle name="40% - 强调文字颜色 6 23 22 4" xfId="25721"/>
    <cellStyle name="40% - 强调文字颜色 6 23 22 5" xfId="28961"/>
    <cellStyle name="40% - 强调文字颜色 6 23 23" xfId="4721"/>
    <cellStyle name="40% - 强调文字颜色 6 23 23 2" xfId="9971"/>
    <cellStyle name="40% - 强调文字颜色 6 23 23 3" xfId="16405"/>
    <cellStyle name="40% - 强调文字颜色 6 23 23 4" xfId="25722"/>
    <cellStyle name="40% - 强调文字颜色 6 23 23 5" xfId="28962"/>
    <cellStyle name="40% - 强调文字颜色 6 23 24" xfId="6806"/>
    <cellStyle name="40% - 强调文字颜色 6 23 25" xfId="11151"/>
    <cellStyle name="40% - 强调文字颜色 6 23 26" xfId="12950"/>
    <cellStyle name="40% - 强调文字颜色 6 23 27" xfId="16390"/>
    <cellStyle name="40% - 强调文字颜色 6 23 28" xfId="10062"/>
    <cellStyle name="40% - 强调文字颜色 6 23 29" xfId="19118"/>
    <cellStyle name="40% - 强调文字颜色 6 23 3" xfId="4722"/>
    <cellStyle name="40% - 强调文字颜色 6 23 3 2" xfId="9972"/>
    <cellStyle name="40% - 强调文字颜色 6 23 3 3" xfId="16406"/>
    <cellStyle name="40% - 强调文字颜色 6 23 3 4" xfId="25723"/>
    <cellStyle name="40% - 强调文字颜色 6 23 3 5" xfId="28963"/>
    <cellStyle name="40% - 强调文字颜色 6 23 30" xfId="22820"/>
    <cellStyle name="40% - 强调文字颜色 6 23 31" xfId="21015"/>
    <cellStyle name="40% - 强调文字颜色 6 23 32" xfId="30831"/>
    <cellStyle name="40% - 强调文字颜色 6 23 33" xfId="31726"/>
    <cellStyle name="40% - 强调文字颜色 6 23 4" xfId="4723"/>
    <cellStyle name="40% - 强调文字颜色 6 23 4 2" xfId="9973"/>
    <cellStyle name="40% - 强调文字颜色 6 23 4 3" xfId="16407"/>
    <cellStyle name="40% - 强调文字颜色 6 23 4 4" xfId="25724"/>
    <cellStyle name="40% - 强调文字颜色 6 23 4 5" xfId="28964"/>
    <cellStyle name="40% - 强调文字颜色 6 23 5" xfId="4724"/>
    <cellStyle name="40% - 强调文字颜色 6 23 5 2" xfId="9974"/>
    <cellStyle name="40% - 强调文字颜色 6 23 5 3" xfId="16408"/>
    <cellStyle name="40% - 强调文字颜色 6 23 5 4" xfId="25725"/>
    <cellStyle name="40% - 强调文字颜色 6 23 5 5" xfId="28965"/>
    <cellStyle name="40% - 强调文字颜色 6 23 6" xfId="4725"/>
    <cellStyle name="40% - 强调文字颜色 6 23 6 2" xfId="9975"/>
    <cellStyle name="40% - 强调文字颜色 6 23 6 3" xfId="16409"/>
    <cellStyle name="40% - 强调文字颜色 6 23 6 4" xfId="25726"/>
    <cellStyle name="40% - 强调文字颜色 6 23 6 5" xfId="28966"/>
    <cellStyle name="40% - 强调文字颜色 6 23 7" xfId="4726"/>
    <cellStyle name="40% - 强调文字颜色 6 23 7 2" xfId="9976"/>
    <cellStyle name="40% - 强调文字颜色 6 23 7 3" xfId="16410"/>
    <cellStyle name="40% - 强调文字颜色 6 23 7 4" xfId="25727"/>
    <cellStyle name="40% - 强调文字颜色 6 23 7 5" xfId="28967"/>
    <cellStyle name="40% - 强调文字颜色 6 23 8" xfId="4727"/>
    <cellStyle name="40% - 强调文字颜色 6 23 8 2" xfId="9977"/>
    <cellStyle name="40% - 强调文字颜色 6 23 8 3" xfId="16411"/>
    <cellStyle name="40% - 强调文字颜色 6 23 8 4" xfId="25728"/>
    <cellStyle name="40% - 强调文字颜色 6 23 8 5" xfId="28968"/>
    <cellStyle name="40% - 强调文字颜色 6 23 9" xfId="4728"/>
    <cellStyle name="40% - 强调文字颜色 6 23 9 2" xfId="9978"/>
    <cellStyle name="40% - 强调文字颜色 6 23 9 3" xfId="16412"/>
    <cellStyle name="40% - 强调文字颜色 6 23 9 4" xfId="25729"/>
    <cellStyle name="40% - 强调文字颜色 6 23 9 5" xfId="28969"/>
    <cellStyle name="40% - 强调文字颜色 6 24" xfId="4582"/>
    <cellStyle name="40% - 强调文字颜色 6 24 2" xfId="4729"/>
    <cellStyle name="40% - 强调文字颜色 6 24 3" xfId="7537"/>
    <cellStyle name="40% - 强调文字颜色 6 24 4" xfId="16413"/>
    <cellStyle name="40% - 强调文字颜色 6 24 5" xfId="8844"/>
    <cellStyle name="40% - 强调文字颜色 6 24 6" xfId="26849"/>
    <cellStyle name="40% - 强调文字颜色 6 24 7" xfId="28860"/>
    <cellStyle name="40% - 强调文字颜色 6 25" xfId="4730"/>
    <cellStyle name="40% - 强调文字颜色 6 25 2" xfId="9980"/>
    <cellStyle name="40% - 强调文字颜色 6 25 3" xfId="16414"/>
    <cellStyle name="40% - 强调文字颜色 6 25 4" xfId="25730"/>
    <cellStyle name="40% - 强调文字颜色 6 25 5" xfId="26591"/>
    <cellStyle name="40% - 强调文字颜色 6 25 6" xfId="26850"/>
    <cellStyle name="40% - 强调文字颜色 6 25 7" xfId="28970"/>
    <cellStyle name="40% - 强调文字颜色 6 26" xfId="4731"/>
    <cellStyle name="40% - 强调文字颜色 6 26 2" xfId="9981"/>
    <cellStyle name="40% - 强调文字颜色 6 26 3" xfId="16415"/>
    <cellStyle name="40% - 强调文字颜色 6 26 4" xfId="25731"/>
    <cellStyle name="40% - 强调文字颜色 6 26 5" xfId="26592"/>
    <cellStyle name="40% - 强调文字颜色 6 26 6" xfId="26851"/>
    <cellStyle name="40% - 强调文字颜色 6 26 7" xfId="28971"/>
    <cellStyle name="40% - 强调文字颜色 6 27" xfId="4732"/>
    <cellStyle name="40% - 强调文字颜色 6 27 2" xfId="9982"/>
    <cellStyle name="40% - 强调文字颜色 6 27 3" xfId="16416"/>
    <cellStyle name="40% - 强调文字颜色 6 27 4" xfId="25732"/>
    <cellStyle name="40% - 强调文字颜色 6 27 5" xfId="26852"/>
    <cellStyle name="40% - 强调文字颜色 6 27 6" xfId="28972"/>
    <cellStyle name="40% - 强调文字颜色 6 28" xfId="4733"/>
    <cellStyle name="40% - 强调文字颜色 6 28 2" xfId="9983"/>
    <cellStyle name="40% - 强调文字颜色 6 28 3" xfId="16417"/>
    <cellStyle name="40% - 强调文字颜色 6 28 4" xfId="25733"/>
    <cellStyle name="40% - 强调文字颜色 6 28 5" xfId="26853"/>
    <cellStyle name="40% - 强调文字颜色 6 28 6" xfId="28973"/>
    <cellStyle name="40% - 强调文字颜色 6 29" xfId="4734"/>
    <cellStyle name="40% - 强调文字颜色 6 29 2" xfId="9984"/>
    <cellStyle name="40% - 强调文字颜色 6 29 3" xfId="16418"/>
    <cellStyle name="40% - 强调文字颜色 6 29 4" xfId="25734"/>
    <cellStyle name="40% - 强调文字颜色 6 29 5" xfId="26854"/>
    <cellStyle name="40% - 强调文字颜色 6 29 6" xfId="28974"/>
    <cellStyle name="40% - 强调文字颜色 6 3" xfId="1264"/>
    <cellStyle name="40% - 强调文字颜色 6 3 10" xfId="1265"/>
    <cellStyle name="40% - 强调文字颜色 6 3 10 10" xfId="30835"/>
    <cellStyle name="40% - 强调文字颜色 6 3 10 11" xfId="32192"/>
    <cellStyle name="40% - 强调文字颜色 6 3 10 2" xfId="4736"/>
    <cellStyle name="40% - 强调文字颜色 6 3 10 3" xfId="6808"/>
    <cellStyle name="40% - 强调文字颜色 6 3 10 4" xfId="12952"/>
    <cellStyle name="40% - 强调文字颜色 6 3 10 5" xfId="16420"/>
    <cellStyle name="40% - 强调文字颜色 6 3 10 6" xfId="10064"/>
    <cellStyle name="40% - 强调文字颜色 6 3 10 7" xfId="19120"/>
    <cellStyle name="40% - 强调文字颜色 6 3 10 8" xfId="22821"/>
    <cellStyle name="40% - 强调文字颜色 6 3 10 9" xfId="19798"/>
    <cellStyle name="40% - 强调文字颜色 6 3 11" xfId="1266"/>
    <cellStyle name="40% - 强调文字颜色 6 3 11 10" xfId="30836"/>
    <cellStyle name="40% - 强调文字颜色 6 3 11 11" xfId="31725"/>
    <cellStyle name="40% - 强调文字颜色 6 3 11 2" xfId="4737"/>
    <cellStyle name="40% - 强调文字颜色 6 3 11 3" xfId="6809"/>
    <cellStyle name="40% - 强调文字颜色 6 3 11 4" xfId="12953"/>
    <cellStyle name="40% - 强调文字颜色 6 3 11 5" xfId="16421"/>
    <cellStyle name="40% - 强调文字颜色 6 3 11 6" xfId="11192"/>
    <cellStyle name="40% - 强调文字颜色 6 3 11 7" xfId="19121"/>
    <cellStyle name="40% - 强调文字颜色 6 3 11 8" xfId="22603"/>
    <cellStyle name="40% - 强调文字颜色 6 3 11 9" xfId="21014"/>
    <cellStyle name="40% - 强调文字颜色 6 3 12" xfId="1267"/>
    <cellStyle name="40% - 强调文字颜色 6 3 12 10" xfId="30837"/>
    <cellStyle name="40% - 强调文字颜色 6 3 12 11" xfId="33321"/>
    <cellStyle name="40% - 强调文字颜色 6 3 12 2" xfId="4738"/>
    <cellStyle name="40% - 强调文字颜色 6 3 12 3" xfId="6810"/>
    <cellStyle name="40% - 强调文字颜色 6 3 12 4" xfId="12954"/>
    <cellStyle name="40% - 强调文字颜色 6 3 12 5" xfId="16422"/>
    <cellStyle name="40% - 强调文字颜色 6 3 12 6" xfId="10063"/>
    <cellStyle name="40% - 强调文字颜色 6 3 12 7" xfId="19122"/>
    <cellStyle name="40% - 强调文字颜色 6 3 12 8" xfId="22082"/>
    <cellStyle name="40% - 强调文字颜色 6 3 12 9" xfId="20452"/>
    <cellStyle name="40% - 强调文字颜色 6 3 13" xfId="1268"/>
    <cellStyle name="40% - 强调文字颜色 6 3 13 10" xfId="30838"/>
    <cellStyle name="40% - 强调文字颜色 6 3 13 11" xfId="33072"/>
    <cellStyle name="40% - 强调文字颜色 6 3 13 2" xfId="4739"/>
    <cellStyle name="40% - 强调文字颜色 6 3 13 3" xfId="6811"/>
    <cellStyle name="40% - 强调文字颜色 6 3 13 4" xfId="12955"/>
    <cellStyle name="40% - 强调文字颜色 6 3 13 5" xfId="16423"/>
    <cellStyle name="40% - 强调文字颜色 6 3 13 6" xfId="11185"/>
    <cellStyle name="40% - 强调文字颜色 6 3 13 7" xfId="19123"/>
    <cellStyle name="40% - 强调文字颜色 6 3 13 8" xfId="22602"/>
    <cellStyle name="40% - 强调文字颜色 6 3 13 9" xfId="19797"/>
    <cellStyle name="40% - 强调文字颜色 6 3 14" xfId="1269"/>
    <cellStyle name="40% - 强调文字颜色 6 3 14 10" xfId="30839"/>
    <cellStyle name="40% - 强调文字颜色 6 3 14 11" xfId="32670"/>
    <cellStyle name="40% - 强调文字颜色 6 3 14 2" xfId="4740"/>
    <cellStyle name="40% - 强调文字颜色 6 3 14 3" xfId="6812"/>
    <cellStyle name="40% - 强调文字颜色 6 3 14 4" xfId="12956"/>
    <cellStyle name="40% - 强调文字颜色 6 3 14 5" xfId="16424"/>
    <cellStyle name="40% - 强调文字颜色 6 3 14 6" xfId="10056"/>
    <cellStyle name="40% - 强调文字颜色 6 3 14 7" xfId="19124"/>
    <cellStyle name="40% - 强调文字颜色 6 3 14 8" xfId="22073"/>
    <cellStyle name="40% - 强调文字颜色 6 3 14 9" xfId="21013"/>
    <cellStyle name="40% - 强调文字颜色 6 3 15" xfId="1270"/>
    <cellStyle name="40% - 强调文字颜色 6 3 15 10" xfId="30840"/>
    <cellStyle name="40% - 强调文字颜色 6 3 15 11" xfId="32427"/>
    <cellStyle name="40% - 强调文字颜色 6 3 15 2" xfId="4741"/>
    <cellStyle name="40% - 强调文字颜色 6 3 15 3" xfId="6813"/>
    <cellStyle name="40% - 强调文字颜色 6 3 15 4" xfId="12957"/>
    <cellStyle name="40% - 强调文字颜色 6 3 15 5" xfId="16425"/>
    <cellStyle name="40% - 强调文字颜色 6 3 15 6" xfId="11190"/>
    <cellStyle name="40% - 强调文字颜色 6 3 15 7" xfId="19125"/>
    <cellStyle name="40% - 强调文字颜色 6 3 15 8" xfId="23064"/>
    <cellStyle name="40% - 强调文字颜色 6 3 15 9" xfId="20451"/>
    <cellStyle name="40% - 强调文字颜色 6 3 16" xfId="1271"/>
    <cellStyle name="40% - 强调文字颜色 6 3 16 10" xfId="30841"/>
    <cellStyle name="40% - 强调文字颜色 6 3 16 11" xfId="32191"/>
    <cellStyle name="40% - 强调文字颜色 6 3 16 2" xfId="4742"/>
    <cellStyle name="40% - 强调文字颜色 6 3 16 3" xfId="6814"/>
    <cellStyle name="40% - 强调文字颜色 6 3 16 4" xfId="12958"/>
    <cellStyle name="40% - 强调文字颜色 6 3 16 5" xfId="16426"/>
    <cellStyle name="40% - 强调文字颜色 6 3 16 6" xfId="10061"/>
    <cellStyle name="40% - 强调文字颜色 6 3 16 7" xfId="19126"/>
    <cellStyle name="40% - 强调文字颜色 6 3 16 8" xfId="22081"/>
    <cellStyle name="40% - 强调文字颜色 6 3 16 9" xfId="19796"/>
    <cellStyle name="40% - 强调文字颜色 6 3 17" xfId="1272"/>
    <cellStyle name="40% - 强调文字颜色 6 3 17 10" xfId="30842"/>
    <cellStyle name="40% - 强调文字颜色 6 3 17 11" xfId="31724"/>
    <cellStyle name="40% - 强调文字颜色 6 3 17 2" xfId="4743"/>
    <cellStyle name="40% - 强调文字颜色 6 3 17 3" xfId="6815"/>
    <cellStyle name="40% - 强调文字颜色 6 3 17 4" xfId="12959"/>
    <cellStyle name="40% - 强调文字颜色 6 3 17 5" xfId="16427"/>
    <cellStyle name="40% - 强调文字颜色 6 3 17 6" xfId="11189"/>
    <cellStyle name="40% - 强调文字颜色 6 3 17 7" xfId="19127"/>
    <cellStyle name="40% - 强调文字颜色 6 3 17 8" xfId="21586"/>
    <cellStyle name="40% - 强调文字颜色 6 3 17 9" xfId="21012"/>
    <cellStyle name="40% - 强调文字颜色 6 3 18" xfId="1273"/>
    <cellStyle name="40% - 强调文字颜色 6 3 18 10" xfId="30843"/>
    <cellStyle name="40% - 强调文字颜色 6 3 18 11" xfId="33322"/>
    <cellStyle name="40% - 强调文字颜色 6 3 18 2" xfId="4744"/>
    <cellStyle name="40% - 强调文字颜色 6 3 18 3" xfId="6816"/>
    <cellStyle name="40% - 强调文字颜色 6 3 18 4" xfId="12960"/>
    <cellStyle name="40% - 强调文字颜色 6 3 18 5" xfId="16428"/>
    <cellStyle name="40% - 强调文字颜色 6 3 18 6" xfId="10060"/>
    <cellStyle name="40% - 强调文字颜色 6 3 18 7" xfId="19128"/>
    <cellStyle name="40% - 强调文字颜色 6 3 18 8" xfId="23063"/>
    <cellStyle name="40% - 强调文字颜色 6 3 18 9" xfId="20450"/>
    <cellStyle name="40% - 强调文字颜色 6 3 19" xfId="1274"/>
    <cellStyle name="40% - 强调文字颜色 6 3 19 10" xfId="30844"/>
    <cellStyle name="40% - 强调文字颜色 6 3 19 11" xfId="33073"/>
    <cellStyle name="40% - 强调文字颜色 6 3 19 2" xfId="4745"/>
    <cellStyle name="40% - 强调文字颜色 6 3 19 3" xfId="6817"/>
    <cellStyle name="40% - 强调文字颜色 6 3 19 4" xfId="12961"/>
    <cellStyle name="40% - 强调文字颜色 6 3 19 5" xfId="16429"/>
    <cellStyle name="40% - 强调文字颜色 6 3 19 6" xfId="11188"/>
    <cellStyle name="40% - 强调文字颜色 6 3 19 7" xfId="19129"/>
    <cellStyle name="40% - 强调文字颜色 6 3 19 8" xfId="22080"/>
    <cellStyle name="40% - 强调文字颜色 6 3 19 9" xfId="19795"/>
    <cellStyle name="40% - 强调文字颜色 6 3 2" xfId="1275"/>
    <cellStyle name="40% - 强调文字颜色 6 3 2 10" xfId="30845"/>
    <cellStyle name="40% - 强调文字颜色 6 3 2 11" xfId="32671"/>
    <cellStyle name="40% - 强调文字颜色 6 3 2 2" xfId="4746"/>
    <cellStyle name="40% - 强调文字颜色 6 3 2 3" xfId="6818"/>
    <cellStyle name="40% - 强调文字颜色 6 3 2 4" xfId="12962"/>
    <cellStyle name="40% - 强调文字颜色 6 3 2 5" xfId="16430"/>
    <cellStyle name="40% - 强调文字颜色 6 3 2 6" xfId="10059"/>
    <cellStyle name="40% - 强调文字颜色 6 3 2 7" xfId="19130"/>
    <cellStyle name="40% - 强调文字颜色 6 3 2 8" xfId="21585"/>
    <cellStyle name="40% - 强调文字颜色 6 3 2 9" xfId="21470"/>
    <cellStyle name="40% - 强调文字颜色 6 3 20" xfId="4735"/>
    <cellStyle name="40% - 强调文字颜色 6 3 20 2" xfId="9997"/>
    <cellStyle name="40% - 强调文字颜色 6 3 20 3" xfId="16431"/>
    <cellStyle name="40% - 强调文字颜色 6 3 20 4" xfId="25735"/>
    <cellStyle name="40% - 强调文字颜色 6 3 20 5" xfId="26855"/>
    <cellStyle name="40% - 强调文字颜色 6 3 20 6" xfId="28975"/>
    <cellStyle name="40% - 强调文字颜色 6 3 21" xfId="4748"/>
    <cellStyle name="40% - 强调文字颜色 6 3 21 2" xfId="9998"/>
    <cellStyle name="40% - 强调文字颜色 6 3 21 3" xfId="16432"/>
    <cellStyle name="40% - 强调文字颜色 6 3 21 4" xfId="25736"/>
    <cellStyle name="40% - 强调文字颜色 6 3 21 5" xfId="26856"/>
    <cellStyle name="40% - 强调文字颜色 6 3 21 6" xfId="28976"/>
    <cellStyle name="40% - 强调文字颜色 6 3 22" xfId="4749"/>
    <cellStyle name="40% - 强调文字颜色 6 3 22 2" xfId="9999"/>
    <cellStyle name="40% - 强调文字颜色 6 3 22 3" xfId="16433"/>
    <cellStyle name="40% - 强调文字颜色 6 3 22 4" xfId="25737"/>
    <cellStyle name="40% - 强调文字颜色 6 3 22 5" xfId="26857"/>
    <cellStyle name="40% - 强调文字颜色 6 3 22 6" xfId="28977"/>
    <cellStyle name="40% - 强调文字颜色 6 3 23" xfId="4750"/>
    <cellStyle name="40% - 强调文字颜色 6 3 23 2" xfId="10000"/>
    <cellStyle name="40% - 强调文字颜色 6 3 23 3" xfId="16434"/>
    <cellStyle name="40% - 强调文字颜色 6 3 23 4" xfId="25738"/>
    <cellStyle name="40% - 强调文字颜色 6 3 23 5" xfId="26858"/>
    <cellStyle name="40% - 强调文字颜色 6 3 23 6" xfId="28978"/>
    <cellStyle name="40% - 强调文字颜色 6 3 24" xfId="4751"/>
    <cellStyle name="40% - 强调文字颜色 6 3 24 2" xfId="10001"/>
    <cellStyle name="40% - 强调文字颜色 6 3 24 3" xfId="16435"/>
    <cellStyle name="40% - 强调文字颜色 6 3 24 4" xfId="25739"/>
    <cellStyle name="40% - 强调文字颜色 6 3 24 5" xfId="26859"/>
    <cellStyle name="40% - 强调文字颜色 6 3 24 6" xfId="28979"/>
    <cellStyle name="40% - 强调文字颜色 6 3 25" xfId="4752"/>
    <cellStyle name="40% - 强调文字颜色 6 3 25 2" xfId="10002"/>
    <cellStyle name="40% - 强调文字颜色 6 3 25 3" xfId="16436"/>
    <cellStyle name="40% - 强调文字颜色 6 3 25 4" xfId="25740"/>
    <cellStyle name="40% - 强调文字颜色 6 3 25 5" xfId="26860"/>
    <cellStyle name="40% - 强调文字颜色 6 3 25 6" xfId="28980"/>
    <cellStyle name="40% - 强调文字颜色 6 3 26" xfId="4753"/>
    <cellStyle name="40% - 强调文字颜色 6 3 26 2" xfId="10003"/>
    <cellStyle name="40% - 强调文字颜色 6 3 26 3" xfId="16437"/>
    <cellStyle name="40% - 强调文字颜色 6 3 26 4" xfId="25741"/>
    <cellStyle name="40% - 强调文字颜色 6 3 26 5" xfId="26861"/>
    <cellStyle name="40% - 强调文字颜色 6 3 26 6" xfId="28981"/>
    <cellStyle name="40% - 强调文字颜色 6 3 27" xfId="4754"/>
    <cellStyle name="40% - 强调文字颜色 6 3 27 2" xfId="10004"/>
    <cellStyle name="40% - 强调文字颜色 6 3 27 3" xfId="16438"/>
    <cellStyle name="40% - 强调文字颜色 6 3 27 4" xfId="25742"/>
    <cellStyle name="40% - 强调文字颜色 6 3 27 5" xfId="26862"/>
    <cellStyle name="40% - 强调文字颜色 6 3 27 6" xfId="28982"/>
    <cellStyle name="40% - 强调文字颜色 6 3 28" xfId="4755"/>
    <cellStyle name="40% - 强调文字颜色 6 3 28 2" xfId="10005"/>
    <cellStyle name="40% - 强调文字颜色 6 3 28 3" xfId="16439"/>
    <cellStyle name="40% - 强调文字颜色 6 3 28 4" xfId="25743"/>
    <cellStyle name="40% - 强调文字颜色 6 3 28 5" xfId="26863"/>
    <cellStyle name="40% - 强调文字颜色 6 3 28 6" xfId="28983"/>
    <cellStyle name="40% - 强调文字颜色 6 3 29" xfId="4756"/>
    <cellStyle name="40% - 强调文字颜色 6 3 29 2" xfId="10006"/>
    <cellStyle name="40% - 强调文字颜色 6 3 29 3" xfId="16440"/>
    <cellStyle name="40% - 强调文字颜色 6 3 29 4" xfId="25744"/>
    <cellStyle name="40% - 强调文字颜色 6 3 29 5" xfId="28984"/>
    <cellStyle name="40% - 强调文字颜色 6 3 3" xfId="1276"/>
    <cellStyle name="40% - 强调文字颜色 6 3 3 10" xfId="30848"/>
    <cellStyle name="40% - 强调文字颜色 6 3 3 11" xfId="33071"/>
    <cellStyle name="40% - 强调文字颜色 6 3 3 2" xfId="4757"/>
    <cellStyle name="40% - 强调文字颜色 6 3 3 3" xfId="6819"/>
    <cellStyle name="40% - 强调文字颜色 6 3 3 4" xfId="12963"/>
    <cellStyle name="40% - 强调文字颜色 6 3 3 5" xfId="16441"/>
    <cellStyle name="40% - 强调文字颜色 6 3 3 6" xfId="11187"/>
    <cellStyle name="40% - 强调文字颜色 6 3 3 7" xfId="19131"/>
    <cellStyle name="40% - 强调文字颜色 6 3 3 8" xfId="23062"/>
    <cellStyle name="40% - 强调文字颜色 6 3 3 9" xfId="20318"/>
    <cellStyle name="40% - 强调文字颜色 6 3 30" xfId="4758"/>
    <cellStyle name="40% - 强调文字颜色 6 3 30 2" xfId="10008"/>
    <cellStyle name="40% - 强调文字颜色 6 3 30 3" xfId="16442"/>
    <cellStyle name="40% - 强调文字颜色 6 3 30 4" xfId="25745"/>
    <cellStyle name="40% - 强调文字颜色 6 3 30 5" xfId="28985"/>
    <cellStyle name="40% - 强调文字颜色 6 3 31" xfId="4759"/>
    <cellStyle name="40% - 强调文字颜色 6 3 31 2" xfId="10009"/>
    <cellStyle name="40% - 强调文字颜色 6 3 31 3" xfId="16443"/>
    <cellStyle name="40% - 强调文字颜色 6 3 31 4" xfId="25746"/>
    <cellStyle name="40% - 强调文字颜色 6 3 31 5" xfId="28986"/>
    <cellStyle name="40% - 强调文字颜色 6 3 32" xfId="4760"/>
    <cellStyle name="40% - 强调文字颜色 6 3 32 2" xfId="10010"/>
    <cellStyle name="40% - 强调文字颜色 6 3 32 3" xfId="16444"/>
    <cellStyle name="40% - 强调文字颜色 6 3 32 4" xfId="25747"/>
    <cellStyle name="40% - 强调文字颜色 6 3 32 5" xfId="28987"/>
    <cellStyle name="40% - 强调文字颜色 6 3 33" xfId="4761"/>
    <cellStyle name="40% - 强调文字颜色 6 3 33 2" xfId="10011"/>
    <cellStyle name="40% - 强调文字颜色 6 3 33 3" xfId="16445"/>
    <cellStyle name="40% - 强调文字颜色 6 3 33 4" xfId="25748"/>
    <cellStyle name="40% - 强调文字颜色 6 3 33 5" xfId="28988"/>
    <cellStyle name="40% - 强调文字颜色 6 3 34" xfId="4762"/>
    <cellStyle name="40% - 强调文字颜色 6 3 34 2" xfId="10012"/>
    <cellStyle name="40% - 强调文字颜色 6 3 34 3" xfId="16446"/>
    <cellStyle name="40% - 强调文字颜色 6 3 34 4" xfId="25749"/>
    <cellStyle name="40% - 强调文字颜色 6 3 34 5" xfId="28989"/>
    <cellStyle name="40% - 强调文字颜色 6 3 35" xfId="4763"/>
    <cellStyle name="40% - 强调文字颜色 6 3 35 2" xfId="10013"/>
    <cellStyle name="40% - 强调文字颜色 6 3 35 3" xfId="16447"/>
    <cellStyle name="40% - 强调文字颜色 6 3 35 4" xfId="25750"/>
    <cellStyle name="40% - 强调文字颜色 6 3 35 5" xfId="28990"/>
    <cellStyle name="40% - 强调文字颜色 6 3 36" xfId="4764"/>
    <cellStyle name="40% - 强调文字颜色 6 3 36 2" xfId="10014"/>
    <cellStyle name="40% - 强调文字颜色 6 3 36 3" xfId="16448"/>
    <cellStyle name="40% - 强调文字颜色 6 3 36 4" xfId="25751"/>
    <cellStyle name="40% - 强调文字颜色 6 3 36 5" xfId="28991"/>
    <cellStyle name="40% - 强调文字颜色 6 3 37" xfId="4765"/>
    <cellStyle name="40% - 强调文字颜色 6 3 37 2" xfId="10015"/>
    <cellStyle name="40% - 强调文字颜色 6 3 37 3" xfId="16449"/>
    <cellStyle name="40% - 强调文字颜色 6 3 37 4" xfId="25752"/>
    <cellStyle name="40% - 强调文字颜色 6 3 37 5" xfId="28992"/>
    <cellStyle name="40% - 强调文字颜色 6 3 38" xfId="4766"/>
    <cellStyle name="40% - 强调文字颜色 6 3 38 2" xfId="10016"/>
    <cellStyle name="40% - 强调文字颜色 6 3 38 3" xfId="16450"/>
    <cellStyle name="40% - 强调文字颜色 6 3 38 4" xfId="25753"/>
    <cellStyle name="40% - 强调文字颜色 6 3 38 5" xfId="28993"/>
    <cellStyle name="40% - 强调文字颜色 6 3 39" xfId="4767"/>
    <cellStyle name="40% - 强调文字颜色 6 3 39 2" xfId="10017"/>
    <cellStyle name="40% - 强调文字颜色 6 3 39 3" xfId="16451"/>
    <cellStyle name="40% - 强调文字颜色 6 3 39 4" xfId="25754"/>
    <cellStyle name="40% - 强调文字颜色 6 3 39 5" xfId="28994"/>
    <cellStyle name="40% - 强调文字颜色 6 3 4" xfId="1277"/>
    <cellStyle name="40% - 强调文字颜色 6 3 4 10" xfId="30849"/>
    <cellStyle name="40% - 强调文字颜色 6 3 4 11" xfId="33320"/>
    <cellStyle name="40% - 强调文字颜色 6 3 4 2" xfId="4768"/>
    <cellStyle name="40% - 强调文字颜色 6 3 4 3" xfId="6820"/>
    <cellStyle name="40% - 强调文字颜色 6 3 4 4" xfId="12964"/>
    <cellStyle name="40% - 强调文字颜色 6 3 4 5" xfId="16452"/>
    <cellStyle name="40% - 强调文字颜色 6 3 4 6" xfId="10058"/>
    <cellStyle name="40% - 强调文字颜色 6 3 4 7" xfId="19132"/>
    <cellStyle name="40% - 强调文字颜色 6 3 4 8" xfId="22079"/>
    <cellStyle name="40% - 强调文字颜色 6 3 4 9" xfId="21010"/>
    <cellStyle name="40% - 强调文字颜色 6 3 40" xfId="4769"/>
    <cellStyle name="40% - 强调文字颜色 6 3 40 2" xfId="10019"/>
    <cellStyle name="40% - 强调文字颜色 6 3 40 3" xfId="16453"/>
    <cellStyle name="40% - 强调文字颜色 6 3 40 4" xfId="25755"/>
    <cellStyle name="40% - 强调文字颜色 6 3 40 5" xfId="28995"/>
    <cellStyle name="40% - 强调文字颜色 6 3 41" xfId="4770"/>
    <cellStyle name="40% - 强调文字颜色 6 3 41 2" xfId="10020"/>
    <cellStyle name="40% - 强调文字颜色 6 3 41 3" xfId="16454"/>
    <cellStyle name="40% - 强调文字颜色 6 3 41 4" xfId="25756"/>
    <cellStyle name="40% - 强调文字颜色 6 3 41 5" xfId="28996"/>
    <cellStyle name="40% - 强调文字颜色 6 3 42" xfId="6807"/>
    <cellStyle name="40% - 强调文字颜色 6 3 42 2" xfId="23579"/>
    <cellStyle name="40% - 强调文字颜色 6 3 42 3" xfId="26164"/>
    <cellStyle name="40% - 强调文字颜色 6 3 43" xfId="11152"/>
    <cellStyle name="40% - 强调文字颜色 6 3 43 2" xfId="23807"/>
    <cellStyle name="40% - 强调文字颜色 6 3 43 3" xfId="26392"/>
    <cellStyle name="40% - 强调文字颜色 6 3 44" xfId="12951"/>
    <cellStyle name="40% - 强调文字颜色 6 3 44 2" xfId="23885"/>
    <cellStyle name="40% - 强调文字颜色 6 3 44 3" xfId="26470"/>
    <cellStyle name="40% - 强调文字颜色 6 3 45" xfId="16419"/>
    <cellStyle name="40% - 强调文字颜色 6 3 45 2" xfId="23921"/>
    <cellStyle name="40% - 强调文字颜色 6 3 45 3" xfId="26506"/>
    <cellStyle name="40% - 强调文字颜色 6 3 46" xfId="11193"/>
    <cellStyle name="40% - 强调文字颜色 6 3 47" xfId="19119"/>
    <cellStyle name="40% - 强调文字颜色 6 3 48" xfId="23065"/>
    <cellStyle name="40% - 强调文字颜色 6 3 49" xfId="20453"/>
    <cellStyle name="40% - 强调文字颜色 6 3 5" xfId="1278"/>
    <cellStyle name="40% - 强调文字颜色 6 3 5 10" xfId="30850"/>
    <cellStyle name="40% - 强调文字颜色 6 3 5 11" xfId="32426"/>
    <cellStyle name="40% - 强调文字颜色 6 3 5 2" xfId="4771"/>
    <cellStyle name="40% - 强调文字颜色 6 3 5 3" xfId="6821"/>
    <cellStyle name="40% - 强调文字颜色 6 3 5 4" xfId="12965"/>
    <cellStyle name="40% - 强调文字颜色 6 3 5 5" xfId="16455"/>
    <cellStyle name="40% - 强调文字颜色 6 3 5 6" xfId="11186"/>
    <cellStyle name="40% - 强调文字颜色 6 3 5 7" xfId="19133"/>
    <cellStyle name="40% - 强调文字颜色 6 3 5 8" xfId="21584"/>
    <cellStyle name="40% - 强调文字颜色 6 3 5 9" xfId="20819"/>
    <cellStyle name="40% - 强调文字颜色 6 3 50" xfId="30834"/>
    <cellStyle name="40% - 强调文字颜色 6 3 51" xfId="32428"/>
    <cellStyle name="40% - 强调文字颜色 6 3 6" xfId="1279"/>
    <cellStyle name="40% - 强调文字颜色 6 3 6 10" xfId="30851"/>
    <cellStyle name="40% - 强调文字颜色 6 3 6 11" xfId="32190"/>
    <cellStyle name="40% - 强调文字颜色 6 3 6 2" xfId="4772"/>
    <cellStyle name="40% - 强调文字颜色 6 3 6 3" xfId="6822"/>
    <cellStyle name="40% - 强调文字颜色 6 3 6 4" xfId="12966"/>
    <cellStyle name="40% - 强调文字颜色 6 3 6 5" xfId="16456"/>
    <cellStyle name="40% - 强调文字颜色 6 3 6 6" xfId="10057"/>
    <cellStyle name="40% - 强调文字颜色 6 3 6 7" xfId="19134"/>
    <cellStyle name="40% - 强调文字颜色 6 3 6 8" xfId="23061"/>
    <cellStyle name="40% - 强调文字颜色 6 3 6 9" xfId="20178"/>
    <cellStyle name="40% - 强调文字颜色 6 3 7" xfId="1280"/>
    <cellStyle name="40% - 强调文字颜色 6 3 7 10" xfId="30852"/>
    <cellStyle name="40% - 强调文字颜色 6 3 7 11" xfId="31723"/>
    <cellStyle name="40% - 强调文字颜色 6 3 7 2" xfId="4773"/>
    <cellStyle name="40% - 强调文字颜色 6 3 7 3" xfId="6823"/>
    <cellStyle name="40% - 强调文字颜色 6 3 7 4" xfId="12967"/>
    <cellStyle name="40% - 强调文字颜色 6 3 7 5" xfId="16457"/>
    <cellStyle name="40% - 强调文字颜色 6 3 7 6" xfId="11178"/>
    <cellStyle name="40% - 强调文字颜色 6 3 7 7" xfId="19135"/>
    <cellStyle name="40% - 强调文字颜色 6 3 7 8" xfId="22078"/>
    <cellStyle name="40% - 强调文字颜色 6 3 7 9" xfId="19793"/>
    <cellStyle name="40% - 强调文字颜色 6 3 8" xfId="1281"/>
    <cellStyle name="40% - 强调文字颜色 6 3 8 10" xfId="30853"/>
    <cellStyle name="40% - 强调文字颜色 6 3 8 11" xfId="33319"/>
    <cellStyle name="40% - 强调文字颜色 6 3 8 2" xfId="4774"/>
    <cellStyle name="40% - 强调文字颜色 6 3 8 3" xfId="6824"/>
    <cellStyle name="40% - 强调文字颜色 6 3 8 4" xfId="12968"/>
    <cellStyle name="40% - 强调文字颜色 6 3 8 5" xfId="16458"/>
    <cellStyle name="40% - 强调文字颜色 6 3 8 6" xfId="10049"/>
    <cellStyle name="40% - 强调文字颜色 6 3 8 7" xfId="19136"/>
    <cellStyle name="40% - 强调文字颜色 6 3 8 8" xfId="21583"/>
    <cellStyle name="40% - 强调文字颜色 6 3 8 9" xfId="21469"/>
    <cellStyle name="40% - 强调文字颜色 6 3 9" xfId="1282"/>
    <cellStyle name="40% - 强调文字颜色 6 3 9 10" xfId="30854"/>
    <cellStyle name="40% - 强调文字颜色 6 3 9 11" xfId="32149"/>
    <cellStyle name="40% - 强调文字颜色 6 3 9 2" xfId="4775"/>
    <cellStyle name="40% - 强调文字颜色 6 3 9 3" xfId="6825"/>
    <cellStyle name="40% - 强调文字颜色 6 3 9 4" xfId="12969"/>
    <cellStyle name="40% - 强调文字颜色 6 3 9 5" xfId="16459"/>
    <cellStyle name="40% - 强调文字颜色 6 3 9 6" xfId="11184"/>
    <cellStyle name="40% - 强调文字颜色 6 3 9 7" xfId="19137"/>
    <cellStyle name="40% - 强调文字颜色 6 3 9 8" xfId="23060"/>
    <cellStyle name="40% - 强调文字颜色 6 3 9 9" xfId="20319"/>
    <cellStyle name="40% - 强调文字颜色 6 30" xfId="4776"/>
    <cellStyle name="40% - 强调文字颜色 6 30 2" xfId="10026"/>
    <cellStyle name="40% - 强调文字颜色 6 30 3" xfId="16460"/>
    <cellStyle name="40% - 强调文字颜色 6 30 4" xfId="25757"/>
    <cellStyle name="40% - 强调文字颜色 6 30 5" xfId="26864"/>
    <cellStyle name="40% - 强调文字颜色 6 30 6" xfId="28997"/>
    <cellStyle name="40% - 强调文字颜色 6 31" xfId="4777"/>
    <cellStyle name="40% - 强调文字颜色 6 31 2" xfId="10027"/>
    <cellStyle name="40% - 强调文字颜色 6 31 3" xfId="16461"/>
    <cellStyle name="40% - 强调文字颜色 6 31 4" xfId="25758"/>
    <cellStyle name="40% - 强调文字颜色 6 31 5" xfId="26865"/>
    <cellStyle name="40% - 强调文字颜色 6 31 6" xfId="28998"/>
    <cellStyle name="40% - 强调文字颜色 6 32" xfId="4778"/>
    <cellStyle name="40% - 强调文字颜色 6 32 2" xfId="10028"/>
    <cellStyle name="40% - 强调文字颜色 6 32 3" xfId="16462"/>
    <cellStyle name="40% - 强调文字颜色 6 32 4" xfId="25759"/>
    <cellStyle name="40% - 强调文字颜色 6 32 5" xfId="26866"/>
    <cellStyle name="40% - 强调文字颜色 6 32 6" xfId="28999"/>
    <cellStyle name="40% - 强调文字颜色 6 33" xfId="4779"/>
    <cellStyle name="40% - 强调文字颜色 6 33 2" xfId="10029"/>
    <cellStyle name="40% - 强调文字颜色 6 33 3" xfId="16463"/>
    <cellStyle name="40% - 强调文字颜色 6 33 4" xfId="25760"/>
    <cellStyle name="40% - 强调文字颜色 6 33 5" xfId="29000"/>
    <cellStyle name="40% - 强调文字颜色 6 34" xfId="4780"/>
    <cellStyle name="40% - 强调文字颜色 6 34 2" xfId="10030"/>
    <cellStyle name="40% - 强调文字颜色 6 34 3" xfId="16464"/>
    <cellStyle name="40% - 强调文字颜色 6 34 4" xfId="25761"/>
    <cellStyle name="40% - 强调文字颜色 6 34 5" xfId="29001"/>
    <cellStyle name="40% - 强调文字颜色 6 35" xfId="4781"/>
    <cellStyle name="40% - 强调文字颜色 6 35 2" xfId="10031"/>
    <cellStyle name="40% - 强调文字颜色 6 35 3" xfId="16465"/>
    <cellStyle name="40% - 强调文字颜色 6 35 4" xfId="25762"/>
    <cellStyle name="40% - 强调文字颜色 6 35 5" xfId="29002"/>
    <cellStyle name="40% - 强调文字颜色 6 36" xfId="4782"/>
    <cellStyle name="40% - 强调文字颜色 6 36 2" xfId="10032"/>
    <cellStyle name="40% - 强调文字颜色 6 36 3" xfId="16466"/>
    <cellStyle name="40% - 强调文字颜色 6 36 4" xfId="25763"/>
    <cellStyle name="40% - 强调文字颜色 6 36 5" xfId="29003"/>
    <cellStyle name="40% - 强调文字颜色 6 37" xfId="4783"/>
    <cellStyle name="40% - 强调文字颜色 6 37 2" xfId="10033"/>
    <cellStyle name="40% - 强调文字颜色 6 37 3" xfId="16467"/>
    <cellStyle name="40% - 强调文字颜色 6 37 4" xfId="25764"/>
    <cellStyle name="40% - 强调文字颜色 6 37 5" xfId="29004"/>
    <cellStyle name="40% - 强调文字颜色 6 38" xfId="4784"/>
    <cellStyle name="40% - 强调文字颜色 6 38 2" xfId="10034"/>
    <cellStyle name="40% - 强调文字颜色 6 38 3" xfId="16468"/>
    <cellStyle name="40% - 强调文字颜色 6 38 4" xfId="25765"/>
    <cellStyle name="40% - 强调文字颜色 6 38 5" xfId="29005"/>
    <cellStyle name="40% - 强调文字颜色 6 39" xfId="4785"/>
    <cellStyle name="40% - 强调文字颜色 6 39 2" xfId="10035"/>
    <cellStyle name="40% - 强调文字颜色 6 39 3" xfId="16469"/>
    <cellStyle name="40% - 强调文字颜色 6 39 4" xfId="25766"/>
    <cellStyle name="40% - 强调文字颜色 6 39 5" xfId="29006"/>
    <cellStyle name="40% - 强调文字颜色 6 4" xfId="1283"/>
    <cellStyle name="40% - 强调文字颜色 6 4 10" xfId="12970"/>
    <cellStyle name="40% - 强调文字颜色 6 4 11" xfId="16470"/>
    <cellStyle name="40% - 强调文字颜色 6 4 12" xfId="10055"/>
    <cellStyle name="40% - 强调文字颜色 6 4 13" xfId="19138"/>
    <cellStyle name="40% - 强调文字颜色 6 4 14" xfId="22077"/>
    <cellStyle name="40% - 强调文字颜色 6 4 15" xfId="21009"/>
    <cellStyle name="40% - 强调文字颜色 6 4 16" xfId="30855"/>
    <cellStyle name="40% - 强调文字颜色 6 4 17" xfId="32669"/>
    <cellStyle name="40% - 强调文字颜色 6 4 2" xfId="1284"/>
    <cellStyle name="40% - 强调文字颜色 6 4 2 10" xfId="30856"/>
    <cellStyle name="40% - 强调文字颜色 6 4 2 11" xfId="32425"/>
    <cellStyle name="40% - 强调文字颜色 6 4 2 2" xfId="4787"/>
    <cellStyle name="40% - 强调文字颜色 6 4 2 3" xfId="6827"/>
    <cellStyle name="40% - 强调文字颜色 6 4 2 4" xfId="12971"/>
    <cellStyle name="40% - 强调文字颜色 6 4 2 5" xfId="16471"/>
    <cellStyle name="40% - 强调文字颜色 6 4 2 6" xfId="11183"/>
    <cellStyle name="40% - 强调文字颜色 6 4 2 7" xfId="19139"/>
    <cellStyle name="40% - 强调文字颜色 6 4 2 8" xfId="21582"/>
    <cellStyle name="40% - 强调文字颜色 6 4 2 9" xfId="20818"/>
    <cellStyle name="40% - 强调文字颜色 6 4 3" xfId="1285"/>
    <cellStyle name="40% - 强调文字颜色 6 4 3 10" xfId="30857"/>
    <cellStyle name="40% - 强调文字颜色 6 4 3 11" xfId="32189"/>
    <cellStyle name="40% - 强调文字颜色 6 4 3 2" xfId="4788"/>
    <cellStyle name="40% - 强调文字颜色 6 4 3 3" xfId="6828"/>
    <cellStyle name="40% - 强调文字颜色 6 4 3 4" xfId="12972"/>
    <cellStyle name="40% - 强调文字颜色 6 4 3 5" xfId="16472"/>
    <cellStyle name="40% - 强调文字颜色 6 4 3 6" xfId="10054"/>
    <cellStyle name="40% - 强调文字颜色 6 4 3 7" xfId="19140"/>
    <cellStyle name="40% - 强调文字颜色 6 4 3 8" xfId="23059"/>
    <cellStyle name="40% - 强调文字颜色 6 4 3 9" xfId="20177"/>
    <cellStyle name="40% - 强调文字颜色 6 4 4" xfId="1286"/>
    <cellStyle name="40% - 强调文字颜色 6 4 4 10" xfId="30858"/>
    <cellStyle name="40% - 强调文字颜色 6 4 4 11" xfId="31722"/>
    <cellStyle name="40% - 强调文字颜色 6 4 4 2" xfId="4789"/>
    <cellStyle name="40% - 强调文字颜色 6 4 4 3" xfId="6829"/>
    <cellStyle name="40% - 强调文字颜色 6 4 4 4" xfId="12973"/>
    <cellStyle name="40% - 强调文字颜色 6 4 4 5" xfId="16473"/>
    <cellStyle name="40% - 强调文字颜色 6 4 4 6" xfId="11182"/>
    <cellStyle name="40% - 强调文字颜色 6 4 4 7" xfId="19141"/>
    <cellStyle name="40% - 强调文字颜色 6 4 4 8" xfId="22076"/>
    <cellStyle name="40% - 强调文字颜色 6 4 4 9" xfId="19792"/>
    <cellStyle name="40% - 强调文字颜色 6 4 5" xfId="1287"/>
    <cellStyle name="40% - 强调文字颜色 6 4 5 10" xfId="30859"/>
    <cellStyle name="40% - 强调文字颜色 6 4 5 11" xfId="33318"/>
    <cellStyle name="40% - 强调文字颜色 6 4 5 2" xfId="4790"/>
    <cellStyle name="40% - 强调文字颜色 6 4 5 3" xfId="6830"/>
    <cellStyle name="40% - 强调文字颜色 6 4 5 4" xfId="12974"/>
    <cellStyle name="40% - 强调文字颜色 6 4 5 5" xfId="16474"/>
    <cellStyle name="40% - 强调文字颜色 6 4 5 6" xfId="10053"/>
    <cellStyle name="40% - 强调文字颜色 6 4 5 7" xfId="19142"/>
    <cellStyle name="40% - 强调文字颜色 6 4 5 8" xfId="21581"/>
    <cellStyle name="40% - 强调文字颜色 6 4 5 9" xfId="21008"/>
    <cellStyle name="40% - 强调文字颜色 6 4 6" xfId="1288"/>
    <cellStyle name="40% - 强调文字颜色 6 4 6 10" xfId="30860"/>
    <cellStyle name="40% - 强调文字颜色 6 4 6 11" xfId="33070"/>
    <cellStyle name="40% - 强调文字颜色 6 4 6 2" xfId="4791"/>
    <cellStyle name="40% - 强调文字颜色 6 4 6 3" xfId="6831"/>
    <cellStyle name="40% - 强调文字颜色 6 4 6 4" xfId="12975"/>
    <cellStyle name="40% - 强调文字颜色 6 4 6 5" xfId="16475"/>
    <cellStyle name="40% - 强调文字颜色 6 4 6 6" xfId="11181"/>
    <cellStyle name="40% - 强调文字颜色 6 4 6 7" xfId="19143"/>
    <cellStyle name="40% - 强调文字颜色 6 4 6 8" xfId="23058"/>
    <cellStyle name="40% - 强调文字颜色 6 4 6 9" xfId="20448"/>
    <cellStyle name="40% - 强调文字颜色 6 4 7" xfId="1289"/>
    <cellStyle name="40% - 强调文字颜色 6 4 7 10" xfId="30861"/>
    <cellStyle name="40% - 强调文字颜色 6 4 7 11" xfId="32668"/>
    <cellStyle name="40% - 强调文字颜色 6 4 7 2" xfId="4792"/>
    <cellStyle name="40% - 强调文字颜色 6 4 7 3" xfId="6832"/>
    <cellStyle name="40% - 强调文字颜色 6 4 7 4" xfId="12976"/>
    <cellStyle name="40% - 强调文字颜色 6 4 7 5" xfId="16476"/>
    <cellStyle name="40% - 强调文字颜色 6 4 7 6" xfId="10052"/>
    <cellStyle name="40% - 强调文字颜色 6 4 7 7" xfId="19144"/>
    <cellStyle name="40% - 强调文字颜色 6 4 7 8" xfId="22075"/>
    <cellStyle name="40% - 强调文字颜色 6 4 7 9" xfId="19791"/>
    <cellStyle name="40% - 强调文字颜色 6 4 8" xfId="4786"/>
    <cellStyle name="40% - 强调文字颜色 6 4 9" xfId="6826"/>
    <cellStyle name="40% - 强调文字颜色 6 40" xfId="4793"/>
    <cellStyle name="40% - 强调文字颜色 6 40 2" xfId="10043"/>
    <cellStyle name="40% - 强调文字颜色 6 40 3" xfId="16477"/>
    <cellStyle name="40% - 强调文字颜色 6 40 4" xfId="25767"/>
    <cellStyle name="40% - 强调文字颜色 6 40 5" xfId="29007"/>
    <cellStyle name="40% - 强调文字颜色 6 41" xfId="4794"/>
    <cellStyle name="40% - 强调文字颜色 6 41 2" xfId="10044"/>
    <cellStyle name="40% - 强调文字颜色 6 41 3" xfId="16478"/>
    <cellStyle name="40% - 强调文字颜色 6 41 4" xfId="25768"/>
    <cellStyle name="40% - 强调文字颜色 6 41 5" xfId="29008"/>
    <cellStyle name="40% - 强调文字颜色 6 42" xfId="4795"/>
    <cellStyle name="40% - 强调文字颜色 6 42 2" xfId="10045"/>
    <cellStyle name="40% - 强调文字颜色 6 42 3" xfId="16479"/>
    <cellStyle name="40% - 强调文字颜色 6 42 4" xfId="25769"/>
    <cellStyle name="40% - 强调文字颜色 6 42 5" xfId="29009"/>
    <cellStyle name="40% - 强调文字颜色 6 43" xfId="4796"/>
    <cellStyle name="40% - 强调文字颜色 6 43 2" xfId="10046"/>
    <cellStyle name="40% - 强调文字颜色 6 43 3" xfId="16480"/>
    <cellStyle name="40% - 强调文字颜色 6 43 4" xfId="25770"/>
    <cellStyle name="40% - 强调文字颜色 6 43 5" xfId="29010"/>
    <cellStyle name="40% - 强调文字颜色 6 44" xfId="4797"/>
    <cellStyle name="40% - 强调文字颜色 6 44 2" xfId="10047"/>
    <cellStyle name="40% - 强调文字颜色 6 44 3" xfId="16481"/>
    <cellStyle name="40% - 强调文字颜色 6 44 4" xfId="25771"/>
    <cellStyle name="40% - 强调文字颜色 6 44 5" xfId="29011"/>
    <cellStyle name="40% - 强调文字颜色 6 45" xfId="4798"/>
    <cellStyle name="40% - 强调文字颜色 6 45 2" xfId="10048"/>
    <cellStyle name="40% - 强调文字颜色 6 45 3" xfId="16482"/>
    <cellStyle name="40% - 强调文字颜色 6 45 4" xfId="25772"/>
    <cellStyle name="40% - 强调文字颜色 6 45 5" xfId="29012"/>
    <cellStyle name="40% - 强调文字颜色 6 46" xfId="6760"/>
    <cellStyle name="40% - 强调文字颜色 6 46 2" xfId="9832"/>
    <cellStyle name="40% - 强调文字颜色 6 46 3" xfId="17343"/>
    <cellStyle name="40% - 强调文字颜色 6 47" xfId="11106"/>
    <cellStyle name="40% - 强调文字颜色 6 47 2" xfId="23802"/>
    <cellStyle name="40% - 强调文字颜色 6 47 3" xfId="26387"/>
    <cellStyle name="40% - 强调文字颜色 6 48" xfId="12904"/>
    <cellStyle name="40% - 强调文字颜色 6 48 2" xfId="23882"/>
    <cellStyle name="40% - 强调文字颜色 6 48 3" xfId="26467"/>
    <cellStyle name="40% - 强调文字颜色 6 49" xfId="16266"/>
    <cellStyle name="40% - 强调文字颜色 6 49 2" xfId="23920"/>
    <cellStyle name="40% - 强调文字颜色 6 49 3" xfId="26505"/>
    <cellStyle name="40% - 强调文字颜色 6 5" xfId="1290"/>
    <cellStyle name="40% - 强调文字颜色 6 5 10" xfId="12977"/>
    <cellStyle name="40% - 强调文字颜色 6 5 11" xfId="16483"/>
    <cellStyle name="40% - 强调文字颜色 6 5 12" xfId="11180"/>
    <cellStyle name="40% - 强调文字颜色 6 5 13" xfId="19145"/>
    <cellStyle name="40% - 强调文字颜色 6 5 14" xfId="21580"/>
    <cellStyle name="40% - 强调文字颜色 6 5 15" xfId="21007"/>
    <cellStyle name="40% - 强调文字颜色 6 5 16" xfId="30863"/>
    <cellStyle name="40% - 强调文字颜色 6 5 17" xfId="32422"/>
    <cellStyle name="40% - 强调文字颜色 6 5 2" xfId="1291"/>
    <cellStyle name="40% - 强调文字颜色 6 5 2 10" xfId="30864"/>
    <cellStyle name="40% - 强调文字颜色 6 5 2 11" xfId="32186"/>
    <cellStyle name="40% - 强调文字颜色 6 5 2 2" xfId="4800"/>
    <cellStyle name="40% - 强调文字颜色 6 5 2 3" xfId="6834"/>
    <cellStyle name="40% - 强调文字颜色 6 5 2 4" xfId="12978"/>
    <cellStyle name="40% - 强调文字颜色 6 5 2 5" xfId="16484"/>
    <cellStyle name="40% - 强调文字颜色 6 5 2 6" xfId="10051"/>
    <cellStyle name="40% - 强调文字颜色 6 5 2 7" xfId="19146"/>
    <cellStyle name="40% - 强调文字颜色 6 5 2 8" xfId="23057"/>
    <cellStyle name="40% - 强调文字颜色 6 5 2 9" xfId="20447"/>
    <cellStyle name="40% - 强调文字颜色 6 5 3" xfId="1292"/>
    <cellStyle name="40% - 强调文字颜色 6 5 3 10" xfId="30865"/>
    <cellStyle name="40% - 强调文字颜色 6 5 3 11" xfId="31719"/>
    <cellStyle name="40% - 强调文字颜色 6 5 3 2" xfId="4801"/>
    <cellStyle name="40% - 强调文字颜色 6 5 3 3" xfId="6835"/>
    <cellStyle name="40% - 强调文字颜色 6 5 3 4" xfId="12979"/>
    <cellStyle name="40% - 强调文字颜色 6 5 3 5" xfId="16485"/>
    <cellStyle name="40% - 强调文字颜色 6 5 3 6" xfId="11179"/>
    <cellStyle name="40% - 强调文字颜色 6 5 3 7" xfId="19147"/>
    <cellStyle name="40% - 强调文字颜色 6 5 3 8" xfId="22074"/>
    <cellStyle name="40% - 强调文字颜色 6 5 3 9" xfId="19790"/>
    <cellStyle name="40% - 强调文字颜色 6 5 4" xfId="1293"/>
    <cellStyle name="40% - 强调文字颜色 6 5 4 10" xfId="30866"/>
    <cellStyle name="40% - 强调文字颜色 6 5 4 11" xfId="33317"/>
    <cellStyle name="40% - 强调文字颜色 6 5 4 2" xfId="4802"/>
    <cellStyle name="40% - 强调文字颜色 6 5 4 3" xfId="6836"/>
    <cellStyle name="40% - 强调文字颜色 6 5 4 4" xfId="12980"/>
    <cellStyle name="40% - 强调文字颜色 6 5 4 5" xfId="16486"/>
    <cellStyle name="40% - 强调文字颜色 6 5 4 6" xfId="10050"/>
    <cellStyle name="40% - 强调文字颜色 6 5 4 7" xfId="19148"/>
    <cellStyle name="40% - 强调文字颜色 6 5 4 8" xfId="21579"/>
    <cellStyle name="40% - 强调文字颜色 6 5 4 9" xfId="21006"/>
    <cellStyle name="40% - 强调文字颜色 6 5 5" xfId="1294"/>
    <cellStyle name="40% - 强调文字颜色 6 5 5 10" xfId="30867"/>
    <cellStyle name="40% - 强调文字颜色 6 5 5 11" xfId="33069"/>
    <cellStyle name="40% - 强调文字颜色 6 5 5 2" xfId="4803"/>
    <cellStyle name="40% - 强调文字颜色 6 5 5 3" xfId="6837"/>
    <cellStyle name="40% - 强调文字颜色 6 5 5 4" xfId="12981"/>
    <cellStyle name="40% - 强调文字颜色 6 5 5 5" xfId="16487"/>
    <cellStyle name="40% - 强调文字颜色 6 5 5 6" xfId="7693"/>
    <cellStyle name="40% - 强调文字颜色 6 5 5 7" xfId="19149"/>
    <cellStyle name="40% - 强调文字颜色 6 5 5 8" xfId="23055"/>
    <cellStyle name="40% - 强调文字颜色 6 5 5 9" xfId="20446"/>
    <cellStyle name="40% - 强调文字颜色 6 5 6" xfId="1295"/>
    <cellStyle name="40% - 强调文字颜色 6 5 6 10" xfId="30868"/>
    <cellStyle name="40% - 强调文字颜色 6 5 6 11" xfId="32667"/>
    <cellStyle name="40% - 强调文字颜色 6 5 6 2" xfId="4804"/>
    <cellStyle name="40% - 强调文字颜色 6 5 6 3" xfId="6838"/>
    <cellStyle name="40% - 强调文字颜色 6 5 6 4" xfId="12982"/>
    <cellStyle name="40% - 强调文字颜色 6 5 6 5" xfId="16488"/>
    <cellStyle name="40% - 强调文字颜色 6 5 6 6" xfId="7692"/>
    <cellStyle name="40% - 强调文字颜色 6 5 6 7" xfId="19150"/>
    <cellStyle name="40% - 强调文字颜色 6 5 6 8" xfId="22819"/>
    <cellStyle name="40% - 强调文字颜色 6 5 6 9" xfId="19789"/>
    <cellStyle name="40% - 强调文字颜色 6 5 7" xfId="1296"/>
    <cellStyle name="40% - 强调文字颜色 6 5 7 10" xfId="30869"/>
    <cellStyle name="40% - 强调文字颜色 6 5 7 11" xfId="32424"/>
    <cellStyle name="40% - 强调文字颜色 6 5 7 2" xfId="4805"/>
    <cellStyle name="40% - 强调文字颜色 6 5 7 3" xfId="6839"/>
    <cellStyle name="40% - 强调文字颜色 6 5 7 4" xfId="12983"/>
    <cellStyle name="40% - 强调文字颜色 6 5 7 5" xfId="16489"/>
    <cellStyle name="40% - 强调文字颜色 6 5 7 6" xfId="7691"/>
    <cellStyle name="40% - 强调文字颜色 6 5 7 7" xfId="19151"/>
    <cellStyle name="40% - 强调文字颜色 6 5 7 8" xfId="22601"/>
    <cellStyle name="40% - 强调文字颜色 6 5 7 9" xfId="21005"/>
    <cellStyle name="40% - 强调文字颜色 6 5 8" xfId="4799"/>
    <cellStyle name="40% - 强调文字颜色 6 5 9" xfId="6833"/>
    <cellStyle name="40% - 强调文字颜色 6 50" xfId="10089"/>
    <cellStyle name="40% - 强调文字颜色 6 50 2" xfId="27019"/>
    <cellStyle name="40% - 强调文字颜色 6 51" xfId="17449"/>
    <cellStyle name="40% - 强调文字颜色 6 52" xfId="17535"/>
    <cellStyle name="40% - 强调文字颜色 6 52 2" xfId="27152"/>
    <cellStyle name="40% - 强调文字颜色 6 53" xfId="17621"/>
    <cellStyle name="40% - 强调文字颜色 6 54" xfId="17707"/>
    <cellStyle name="40% - 强调文字颜色 6 55" xfId="17793"/>
    <cellStyle name="40% - 强调文字颜色 6 56" xfId="19071"/>
    <cellStyle name="40% - 强调文字颜色 6 56 2" xfId="21381"/>
    <cellStyle name="40% - 强调文字颜色 6 56 3" xfId="23464"/>
    <cellStyle name="40% - 强调文字颜色 6 57" xfId="22098"/>
    <cellStyle name="40% - 强调文字颜色 6 58" xfId="21029"/>
    <cellStyle name="40% - 强调文字颜色 6 6" xfId="1297"/>
    <cellStyle name="40% - 强调文字颜色 6 6 10" xfId="16490"/>
    <cellStyle name="40% - 强调文字颜色 6 6 11" xfId="7690"/>
    <cellStyle name="40% - 强调文字颜色 6 6 12" xfId="19152"/>
    <cellStyle name="40% - 强调文字颜色 6 6 13" xfId="22072"/>
    <cellStyle name="40% - 强调文字颜色 6 6 14" xfId="20445"/>
    <cellStyle name="40% - 强调文字颜色 6 6 15" xfId="30870"/>
    <cellStyle name="40% - 强调文字颜色 6 6 16" xfId="32188"/>
    <cellStyle name="40% - 强调文字颜色 6 6 2" xfId="1298"/>
    <cellStyle name="40% - 强调文字颜色 6 6 2 10" xfId="30871"/>
    <cellStyle name="40% - 强调文字颜色 6 6 2 11" xfId="31721"/>
    <cellStyle name="40% - 强调文字颜色 6 6 2 2" xfId="4807"/>
    <cellStyle name="40% - 强调文字颜色 6 6 2 3" xfId="6841"/>
    <cellStyle name="40% - 强调文字颜色 6 6 2 4" xfId="12985"/>
    <cellStyle name="40% - 强调文字颜色 6 6 2 5" xfId="16491"/>
    <cellStyle name="40% - 强调文字颜色 6 6 2 6" xfId="7689"/>
    <cellStyle name="40% - 强调文字颜色 6 6 2 7" xfId="19153"/>
    <cellStyle name="40% - 强调文字颜色 6 6 2 8" xfId="23054"/>
    <cellStyle name="40% - 强调文字颜色 6 6 2 9" xfId="19772"/>
    <cellStyle name="40% - 强调文字颜色 6 6 3" xfId="1299"/>
    <cellStyle name="40% - 强调文字颜色 6 6 3 10" xfId="30872"/>
    <cellStyle name="40% - 强调文字颜色 6 6 3 11" xfId="33316"/>
    <cellStyle name="40% - 强调文字颜色 6 6 3 2" xfId="4808"/>
    <cellStyle name="40% - 强调文字颜色 6 6 3 3" xfId="6842"/>
    <cellStyle name="40% - 强调文字颜色 6 6 3 4" xfId="12986"/>
    <cellStyle name="40% - 强调文字颜色 6 6 3 5" xfId="16492"/>
    <cellStyle name="40% - 强调文字颜色 6 6 3 6" xfId="7688"/>
    <cellStyle name="40% - 强调文字颜色 6 6 3 7" xfId="19154"/>
    <cellStyle name="40% - 强调文字颜色 6 6 3 8" xfId="22818"/>
    <cellStyle name="40% - 强调文字颜色 6 6 3 9" xfId="21468"/>
    <cellStyle name="40% - 强调文字颜色 6 6 4" xfId="1300"/>
    <cellStyle name="40% - 强调文字颜色 6 6 4 10" xfId="30873"/>
    <cellStyle name="40% - 强调文字颜色 6 6 4 11" xfId="33068"/>
    <cellStyle name="40% - 强调文字颜色 6 6 4 2" xfId="4809"/>
    <cellStyle name="40% - 强调文字颜色 6 6 4 3" xfId="6843"/>
    <cellStyle name="40% - 强调文字颜色 6 6 4 4" xfId="12987"/>
    <cellStyle name="40% - 强调文字颜色 6 6 4 5" xfId="16493"/>
    <cellStyle name="40% - 强调文字颜色 6 6 4 6" xfId="11171"/>
    <cellStyle name="40% - 强调文字颜色 6 6 4 7" xfId="19155"/>
    <cellStyle name="40% - 强调文字颜色 6 6 4 8" xfId="22600"/>
    <cellStyle name="40% - 强调文字颜色 6 6 4 9" xfId="20320"/>
    <cellStyle name="40% - 强调文字颜色 6 6 5" xfId="1301"/>
    <cellStyle name="40% - 强调文字颜色 6 6 5 10" xfId="30874"/>
    <cellStyle name="40% - 强调文字颜色 6 6 5 11" xfId="32666"/>
    <cellStyle name="40% - 强调文字颜色 6 6 5 2" xfId="4810"/>
    <cellStyle name="40% - 强调文字颜色 6 6 5 3" xfId="6844"/>
    <cellStyle name="40% - 强调文字颜色 6 6 5 4" xfId="12988"/>
    <cellStyle name="40% - 强调文字颜色 6 6 5 5" xfId="16494"/>
    <cellStyle name="40% - 强调文字颜色 6 6 5 6" xfId="10036"/>
    <cellStyle name="40% - 强调文字颜色 6 6 5 7" xfId="19156"/>
    <cellStyle name="40% - 强调文字颜色 6 6 5 8" xfId="22071"/>
    <cellStyle name="40% - 强调文字颜色 6 6 5 9" xfId="21004"/>
    <cellStyle name="40% - 强调文字颜色 6 6 6" xfId="1302"/>
    <cellStyle name="40% - 强调文字颜色 6 6 6 10" xfId="30875"/>
    <cellStyle name="40% - 强调文字颜色 6 6 6 11" xfId="32423"/>
    <cellStyle name="40% - 强调文字颜色 6 6 6 2" xfId="4811"/>
    <cellStyle name="40% - 强调文字颜色 6 6 6 3" xfId="6845"/>
    <cellStyle name="40% - 强调文字颜色 6 6 6 4" xfId="12989"/>
    <cellStyle name="40% - 强调文字颜色 6 6 6 5" xfId="16495"/>
    <cellStyle name="40% - 强调文字颜色 6 6 6 6" xfId="11177"/>
    <cellStyle name="40% - 强调文字颜色 6 6 6 7" xfId="19157"/>
    <cellStyle name="40% - 强调文字颜色 6 6 6 8" xfId="23053"/>
    <cellStyle name="40% - 强调文字颜色 6 6 6 9" xfId="20817"/>
    <cellStyle name="40% - 强调文字颜色 6 6 7" xfId="4806"/>
    <cellStyle name="40% - 强调文字颜色 6 6 8" xfId="6840"/>
    <cellStyle name="40% - 强调文字颜色 6 6 9" xfId="12984"/>
    <cellStyle name="40% - 强调文字颜色 6 7" xfId="1303"/>
    <cellStyle name="40% - 强调文字颜色 6 7 10" xfId="22817"/>
    <cellStyle name="40% - 强调文字颜色 6 7 11" xfId="20176"/>
    <cellStyle name="40% - 强调文字颜色 6 7 12" xfId="30876"/>
    <cellStyle name="40% - 强调文字颜色 6 7 13" xfId="32187"/>
    <cellStyle name="40% - 强调文字颜色 6 7 2" xfId="1304"/>
    <cellStyle name="40% - 强调文字颜色 6 7 2 10" xfId="30877"/>
    <cellStyle name="40% - 强调文字颜色 6 7 2 11" xfId="31720"/>
    <cellStyle name="40% - 强调文字颜色 6 7 2 2" xfId="4813"/>
    <cellStyle name="40% - 强调文字颜色 6 7 2 3" xfId="6847"/>
    <cellStyle name="40% - 强调文字颜色 6 7 2 4" xfId="12991"/>
    <cellStyle name="40% - 强调文字颜色 6 7 2 5" xfId="16497"/>
    <cellStyle name="40% - 强调文字颜色 6 7 2 6" xfId="11176"/>
    <cellStyle name="40% - 强调文字颜色 6 7 2 7" xfId="19159"/>
    <cellStyle name="40% - 强调文字颜色 6 7 2 8" xfId="22599"/>
    <cellStyle name="40% - 强调文字颜色 6 7 2 9" xfId="19788"/>
    <cellStyle name="40% - 强调文字颜色 6 7 3" xfId="1305"/>
    <cellStyle name="40% - 强调文字颜色 6 7 3 10" xfId="30878"/>
    <cellStyle name="40% - 强调文字颜色 6 7 3 11" xfId="33313"/>
    <cellStyle name="40% - 强调文字颜色 6 7 3 2" xfId="4814"/>
    <cellStyle name="40% - 强调文字颜色 6 7 3 3" xfId="6848"/>
    <cellStyle name="40% - 强调文字颜色 6 7 3 4" xfId="12992"/>
    <cellStyle name="40% - 强调文字颜色 6 7 3 5" xfId="16498"/>
    <cellStyle name="40% - 强调文字颜色 6 7 3 6" xfId="10041"/>
    <cellStyle name="40% - 强调文字颜色 6 7 3 7" xfId="19160"/>
    <cellStyle name="40% - 强调文字颜色 6 7 3 8" xfId="22070"/>
    <cellStyle name="40% - 强调文字颜色 6 7 3 9" xfId="21467"/>
    <cellStyle name="40% - 强调文字颜色 6 7 4" xfId="4812"/>
    <cellStyle name="40% - 强调文字颜色 6 7 5" xfId="6846"/>
    <cellStyle name="40% - 强调文字颜色 6 7 6" xfId="12990"/>
    <cellStyle name="40% - 强调文字颜色 6 7 7" xfId="16496"/>
    <cellStyle name="40% - 强调文字颜色 6 7 8" xfId="10042"/>
    <cellStyle name="40% - 强调文字颜色 6 7 9" xfId="19158"/>
    <cellStyle name="40% - 强调文字颜色 6 8" xfId="1306"/>
    <cellStyle name="40% - 强调文字颜色 6 8 10" xfId="16499"/>
    <cellStyle name="40% - 强调文字颜色 6 8 11" xfId="11175"/>
    <cellStyle name="40% - 强调文字颜色 6 8 12" xfId="19161"/>
    <cellStyle name="40% - 强调文字颜色 6 8 13" xfId="23052"/>
    <cellStyle name="40% - 强调文字颜色 6 8 14" xfId="20321"/>
    <cellStyle name="40% - 强调文字颜色 6 8 15" xfId="30879"/>
    <cellStyle name="40% - 强调文字颜色 6 8 16" xfId="33065"/>
    <cellStyle name="40% - 强调文字颜色 6 8 2" xfId="1307"/>
    <cellStyle name="40% - 强调文字颜色 6 8 2 10" xfId="30880"/>
    <cellStyle name="40% - 强调文字颜色 6 8 2 11" xfId="32663"/>
    <cellStyle name="40% - 强调文字颜色 6 8 2 2" xfId="4816"/>
    <cellStyle name="40% - 强调文字颜色 6 8 2 3" xfId="6850"/>
    <cellStyle name="40% - 强调文字颜色 6 8 2 4" xfId="12994"/>
    <cellStyle name="40% - 强调文字颜色 6 8 2 5" xfId="16500"/>
    <cellStyle name="40% - 强调文字颜色 6 8 2 6" xfId="10040"/>
    <cellStyle name="40% - 强调文字颜色 6 8 2 7" xfId="19162"/>
    <cellStyle name="40% - 强调文字颜色 6 8 2 8" xfId="22816"/>
    <cellStyle name="40% - 强调文字颜色 6 8 2 9" xfId="21003"/>
    <cellStyle name="40% - 强调文字颜色 6 8 3" xfId="1308"/>
    <cellStyle name="40% - 强调文字颜色 6 8 3 10" xfId="30881"/>
    <cellStyle name="40% - 强调文字颜色 6 8 3 11" xfId="32420"/>
    <cellStyle name="40% - 强调文字颜色 6 8 3 2" xfId="4817"/>
    <cellStyle name="40% - 强调文字颜色 6 8 3 3" xfId="6851"/>
    <cellStyle name="40% - 强调文字颜色 6 8 3 4" xfId="12995"/>
    <cellStyle name="40% - 强调文字颜色 6 8 3 5" xfId="16501"/>
    <cellStyle name="40% - 强调文字颜色 6 8 3 6" xfId="11174"/>
    <cellStyle name="40% - 强调文字颜色 6 8 3 7" xfId="19163"/>
    <cellStyle name="40% - 强调文字颜色 6 8 3 8" xfId="22598"/>
    <cellStyle name="40% - 强调文字颜色 6 8 3 9" xfId="20816"/>
    <cellStyle name="40% - 强调文字颜色 6 8 4" xfId="1309"/>
    <cellStyle name="40% - 强调文字颜色 6 8 4 10" xfId="30882"/>
    <cellStyle name="40% - 强调文字颜色 6 8 4 11" xfId="32184"/>
    <cellStyle name="40% - 强调文字颜色 6 8 4 2" xfId="4818"/>
    <cellStyle name="40% - 强调文字颜色 6 8 4 3" xfId="6852"/>
    <cellStyle name="40% - 强调文字颜色 6 8 4 4" xfId="12996"/>
    <cellStyle name="40% - 强调文字颜色 6 8 4 5" xfId="16502"/>
    <cellStyle name="40% - 强调文字颜色 6 8 4 6" xfId="10039"/>
    <cellStyle name="40% - 强调文字颜色 6 8 4 7" xfId="19164"/>
    <cellStyle name="40% - 强调文字颜色 6 8 4 8" xfId="22069"/>
    <cellStyle name="40% - 强调文字颜色 6 8 4 9" xfId="20175"/>
    <cellStyle name="40% - 强调文字颜色 6 8 5" xfId="1310"/>
    <cellStyle name="40% - 强调文字颜色 6 8 5 2" xfId="6853"/>
    <cellStyle name="40% - 强调文字颜色 6 8 5 3" xfId="12997"/>
    <cellStyle name="40% - 强调文字颜色 6 8 5 4" xfId="11173"/>
    <cellStyle name="40% - 强调文字颜色 6 8 5 5" xfId="19165"/>
    <cellStyle name="40% - 强调文字颜色 6 8 5 6" xfId="23051"/>
    <cellStyle name="40% - 强调文字颜色 6 8 5 7" xfId="19787"/>
    <cellStyle name="40% - 强调文字颜色 6 8 5 8" xfId="31632"/>
    <cellStyle name="40% - 强调文字颜色 6 8 5 9" xfId="33224"/>
    <cellStyle name="40% - 强调文字颜色 6 8 6" xfId="4815"/>
    <cellStyle name="40% - 强调文字颜色 6 8 7" xfId="6849"/>
    <cellStyle name="40% - 强调文字颜色 6 8 8" xfId="11194"/>
    <cellStyle name="40% - 强调文字颜色 6 8 9" xfId="12993"/>
    <cellStyle name="40% - 强调文字颜色 6 9" xfId="1311"/>
    <cellStyle name="40% - 强调文字颜色 6 9 10" xfId="16503"/>
    <cellStyle name="40% - 强调文字颜色 6 9 11" xfId="10038"/>
    <cellStyle name="40% - 强调文字颜色 6 9 12" xfId="19166"/>
    <cellStyle name="40% - 强调文字颜色 6 9 13" xfId="22815"/>
    <cellStyle name="40% - 强调文字颜色 6 9 14" xfId="21466"/>
    <cellStyle name="40% - 强调文字颜色 6 9 15" xfId="30883"/>
    <cellStyle name="40% - 强调文字颜色 6 9 16" xfId="31716"/>
    <cellStyle name="40% - 强调文字颜色 6 9 2" xfId="1312"/>
    <cellStyle name="40% - 强调文字颜色 6 9 2 10" xfId="30884"/>
    <cellStyle name="40% - 强调文字颜色 6 9 2 11" xfId="33315"/>
    <cellStyle name="40% - 强调文字颜色 6 9 2 2" xfId="4820"/>
    <cellStyle name="40% - 强调文字颜色 6 9 2 3" xfId="6855"/>
    <cellStyle name="40% - 强调文字颜色 6 9 2 4" xfId="12999"/>
    <cellStyle name="40% - 强调文字颜色 6 9 2 5" xfId="16504"/>
    <cellStyle name="40% - 强调文字颜色 6 9 2 6" xfId="11172"/>
    <cellStyle name="40% - 强调文字颜色 6 9 2 7" xfId="19167"/>
    <cellStyle name="40% - 强调文字颜色 6 9 2 8" xfId="22597"/>
    <cellStyle name="40% - 强调文字颜色 6 9 2 9" xfId="20322"/>
    <cellStyle name="40% - 强调文字颜色 6 9 3" xfId="1313"/>
    <cellStyle name="40% - 强调文字颜色 6 9 3 10" xfId="30885"/>
    <cellStyle name="40% - 强调文字颜色 6 9 3 11" xfId="33067"/>
    <cellStyle name="40% - 强调文字颜色 6 9 3 2" xfId="4821"/>
    <cellStyle name="40% - 强调文字颜色 6 9 3 3" xfId="6856"/>
    <cellStyle name="40% - 强调文字颜色 6 9 3 4" xfId="13000"/>
    <cellStyle name="40% - 强调文字颜色 6 9 3 5" xfId="16505"/>
    <cellStyle name="40% - 强调文字颜色 6 9 3 6" xfId="10037"/>
    <cellStyle name="40% - 强调文字颜色 6 9 3 7" xfId="19168"/>
    <cellStyle name="40% - 强调文字颜色 6 9 3 8" xfId="22068"/>
    <cellStyle name="40% - 强调文字颜色 6 9 3 9" xfId="21002"/>
    <cellStyle name="40% - 强调文字颜色 6 9 4" xfId="1314"/>
    <cellStyle name="40% - 强调文字颜色 6 9 4 10" xfId="30886"/>
    <cellStyle name="40% - 强调文字颜色 6 9 4 11" xfId="32665"/>
    <cellStyle name="40% - 强调文字颜色 6 9 4 2" xfId="4822"/>
    <cellStyle name="40% - 强调文字颜色 6 9 4 3" xfId="6857"/>
    <cellStyle name="40% - 强调文字颜色 6 9 4 4" xfId="13001"/>
    <cellStyle name="40% - 强调文字颜色 6 9 4 5" xfId="16506"/>
    <cellStyle name="40% - 强调文字颜色 6 9 4 6" xfId="7687"/>
    <cellStyle name="40% - 强调文字颜色 6 9 4 7" xfId="19169"/>
    <cellStyle name="40% - 强调文字颜色 6 9 4 8" xfId="23050"/>
    <cellStyle name="40% - 强调文字颜色 6 9 4 9" xfId="20815"/>
    <cellStyle name="40% - 强调文字颜色 6 9 5" xfId="1315"/>
    <cellStyle name="40% - 强调文字颜色 6 9 5 2" xfId="6858"/>
    <cellStyle name="40% - 强调文字颜色 6 9 5 3" xfId="13002"/>
    <cellStyle name="40% - 强调文字颜色 6 9 5 4" xfId="7686"/>
    <cellStyle name="40% - 强调文字颜色 6 9 5 5" xfId="19170"/>
    <cellStyle name="40% - 强调文字颜色 6 9 5 6" xfId="22814"/>
    <cellStyle name="40% - 强调文字颜色 6 9 5 7" xfId="20174"/>
    <cellStyle name="40% - 强调文字颜色 6 9 5 8" xfId="31633"/>
    <cellStyle name="40% - 强调文字颜色 6 9 5 9" xfId="32099"/>
    <cellStyle name="40% - 强调文字颜色 6 9 6" xfId="4819"/>
    <cellStyle name="40% - 强调文字颜色 6 9 7" xfId="6854"/>
    <cellStyle name="40% - 强调文字颜色 6 9 8" xfId="11199"/>
    <cellStyle name="40% - 强调文字颜色 6 9 9" xfId="12998"/>
    <cellStyle name="60% - 强调文字颜色 1" xfId="1316" builtinId="32" customBuiltin="1"/>
    <cellStyle name="60% - 强调文字颜色 1 10" xfId="17451"/>
    <cellStyle name="60% - 强调文字颜色 1 11" xfId="17537"/>
    <cellStyle name="60% - 强调文字颜色 1 11 2" xfId="29534"/>
    <cellStyle name="60% - 强调文字颜色 1 12" xfId="17623"/>
    <cellStyle name="60% - 强调文字颜色 1 13" xfId="17709"/>
    <cellStyle name="60% - 强调文字颜色 1 14" xfId="17795"/>
    <cellStyle name="60% - 强调文字颜色 1 15" xfId="19171"/>
    <cellStyle name="60% - 强调文字颜色 1 15 2" xfId="21382"/>
    <cellStyle name="60% - 强调文字颜色 1 15 3" xfId="23465"/>
    <cellStyle name="60% - 强调文字颜色 1 16" xfId="22596"/>
    <cellStyle name="60% - 强调文字颜色 1 17" xfId="19786"/>
    <cellStyle name="60% - 强调文字颜色 1 2" xfId="1317"/>
    <cellStyle name="60% - 强调文字颜色 1 2 10" xfId="17538"/>
    <cellStyle name="60% - 强调文字颜色 1 2 11" xfId="17624"/>
    <cellStyle name="60% - 强调文字颜色 1 2 12" xfId="17710"/>
    <cellStyle name="60% - 强调文字颜色 1 2 13" xfId="17796"/>
    <cellStyle name="60% - 强调文字颜色 1 2 14" xfId="19172"/>
    <cellStyle name="60% - 强调文字颜色 1 2 15" xfId="22067"/>
    <cellStyle name="60% - 强调文字颜色 1 2 16" xfId="21464"/>
    <cellStyle name="60% - 强调文字颜色 1 2 2" xfId="1318"/>
    <cellStyle name="60% - 强调文字颜色 1 2 2 10" xfId="30887"/>
    <cellStyle name="60% - 强调文字颜色 1 2 2 11" xfId="31718"/>
    <cellStyle name="60% - 强调文字颜色 1 2 2 2" xfId="4825"/>
    <cellStyle name="60% - 强调文字颜色 1 2 2 3" xfId="6861"/>
    <cellStyle name="60% - 强调文字颜色 1 2 2 4" xfId="13005"/>
    <cellStyle name="60% - 强调文字颜色 1 2 2 5" xfId="16509"/>
    <cellStyle name="60% - 强调文字颜色 1 2 2 6" xfId="7683"/>
    <cellStyle name="60% - 强调文字颜色 1 2 2 7" xfId="19173"/>
    <cellStyle name="60% - 强调文字颜色 1 2 2 8" xfId="23048"/>
    <cellStyle name="60% - 强调文字颜色 1 2 2 9" xfId="20324"/>
    <cellStyle name="60% - 强调文字颜色 1 2 3" xfId="1319"/>
    <cellStyle name="60% - 强调文字颜色 1 2 3 10" xfId="30888"/>
    <cellStyle name="60% - 强调文字颜色 1 2 3 11" xfId="33314"/>
    <cellStyle name="60% - 强调文字颜色 1 2 3 2" xfId="4826"/>
    <cellStyle name="60% - 强调文字颜色 1 2 3 3" xfId="6862"/>
    <cellStyle name="60% - 强调文字颜色 1 2 3 4" xfId="13006"/>
    <cellStyle name="60% - 强调文字颜色 1 2 3 5" xfId="16510"/>
    <cellStyle name="60% - 强调文字颜色 1 2 3 6" xfId="7682"/>
    <cellStyle name="60% - 强调文字颜色 1 2 3 7" xfId="19174"/>
    <cellStyle name="60% - 强调文字颜色 1 2 3 8" xfId="22065"/>
    <cellStyle name="60% - 强调文字颜色 1 2 3 9" xfId="20988"/>
    <cellStyle name="60% - 强调文字颜色 1 2 4" xfId="4824"/>
    <cellStyle name="60% - 强调文字颜色 1 2 5" xfId="6860"/>
    <cellStyle name="60% - 强调文字颜色 1 2 6" xfId="13004"/>
    <cellStyle name="60% - 强调文字颜色 1 2 7" xfId="16508"/>
    <cellStyle name="60% - 强调文字颜色 1 2 8" xfId="7684"/>
    <cellStyle name="60% - 强调文字颜色 1 2 9" xfId="17452"/>
    <cellStyle name="60% - 强调文字颜色 1 3" xfId="1320"/>
    <cellStyle name="60% - 强调文字颜色 1 3 10" xfId="21577"/>
    <cellStyle name="60% - 强调文字颜色 1 3 11" xfId="20813"/>
    <cellStyle name="60% - 强调文字颜色 1 3 12" xfId="30889"/>
    <cellStyle name="60% - 强调文字颜色 1 3 13" xfId="33066"/>
    <cellStyle name="60% - 强调文字颜色 1 3 2" xfId="1321"/>
    <cellStyle name="60% - 强调文字颜色 1 3 2 10" xfId="30890"/>
    <cellStyle name="60% - 强调文字颜色 1 3 2 11" xfId="32664"/>
    <cellStyle name="60% - 强调文字颜色 1 3 2 2" xfId="4828"/>
    <cellStyle name="60% - 强调文字颜色 1 3 2 3" xfId="6864"/>
    <cellStyle name="60% - 强调文字颜色 1 3 2 4" xfId="13008"/>
    <cellStyle name="60% - 强调文字颜色 1 3 2 5" xfId="16512"/>
    <cellStyle name="60% - 强调文字颜色 1 3 2 6" xfId="7680"/>
    <cellStyle name="60% - 强调文字颜色 1 3 2 7" xfId="19176"/>
    <cellStyle name="60% - 强调文字颜色 1 3 2 8" xfId="23047"/>
    <cellStyle name="60% - 强调文字颜色 1 3 2 9" xfId="20744"/>
    <cellStyle name="60% - 强调文字颜色 1 3 3" xfId="1322"/>
    <cellStyle name="60% - 强调文字颜色 1 3 3 10" xfId="30891"/>
    <cellStyle name="60% - 强调文字颜色 1 3 3 11" xfId="32421"/>
    <cellStyle name="60% - 强调文字颜色 1 3 3 2" xfId="4829"/>
    <cellStyle name="60% - 强调文字颜色 1 3 3 3" xfId="6865"/>
    <cellStyle name="60% - 强调文字颜色 1 3 3 4" xfId="13009"/>
    <cellStyle name="60% - 强调文字颜色 1 3 3 5" xfId="16513"/>
    <cellStyle name="60% - 强调文字颜色 1 3 3 6" xfId="7679"/>
    <cellStyle name="60% - 强调文字颜色 1 3 3 7" xfId="19177"/>
    <cellStyle name="60% - 强调文字颜色 1 3 3 8" xfId="22064"/>
    <cellStyle name="60% - 强调文字颜色 1 3 3 9" xfId="21352"/>
    <cellStyle name="60% - 强调文字颜色 1 3 4" xfId="4827"/>
    <cellStyle name="60% - 强调文字颜色 1 3 5" xfId="6863"/>
    <cellStyle name="60% - 强调文字颜色 1 3 6" xfId="13007"/>
    <cellStyle name="60% - 强调文字颜色 1 3 7" xfId="16511"/>
    <cellStyle name="60% - 强调文字颜色 1 3 8" xfId="7681"/>
    <cellStyle name="60% - 强调文字颜色 1 3 9" xfId="19175"/>
    <cellStyle name="60% - 强调文字颜色 1 4" xfId="1323"/>
    <cellStyle name="60% - 强调文字颜色 1 4 10" xfId="21576"/>
    <cellStyle name="60% - 强调文字颜色 1 4 11" xfId="20432"/>
    <cellStyle name="60% - 强调文字颜色 1 4 12" xfId="30892"/>
    <cellStyle name="60% - 强调文字颜色 1 4 13" xfId="32185"/>
    <cellStyle name="60% - 强调文字颜色 1 4 2" xfId="1324"/>
    <cellStyle name="60% - 强调文字颜色 1 4 2 10" xfId="30893"/>
    <cellStyle name="60% - 强调文字颜色 1 4 2 11" xfId="31717"/>
    <cellStyle name="60% - 强调文字颜色 1 4 2 2" xfId="4831"/>
    <cellStyle name="60% - 强调文字颜色 1 4 2 3" xfId="6867"/>
    <cellStyle name="60% - 强调文字颜色 1 4 2 4" xfId="13011"/>
    <cellStyle name="60% - 强调文字颜色 1 4 2 5" xfId="16515"/>
    <cellStyle name="60% - 强调文字颜色 1 4 2 6" xfId="11170"/>
    <cellStyle name="60% - 强调文字颜色 1 4 2 7" xfId="19179"/>
    <cellStyle name="60% - 强调文字颜色 1 4 2 8" xfId="23046"/>
    <cellStyle name="60% - 强调文字颜色 1 4 2 9" xfId="20172"/>
    <cellStyle name="60% - 强调文字颜色 1 4 3" xfId="1325"/>
    <cellStyle name="60% - 强调文字颜色 1 4 3 10" xfId="30894"/>
    <cellStyle name="60% - 强调文字颜色 1 4 3 11" xfId="33056"/>
    <cellStyle name="60% - 强调文字颜色 1 4 3 2" xfId="4832"/>
    <cellStyle name="60% - 强调文字颜色 1 4 3 3" xfId="6868"/>
    <cellStyle name="60% - 强调文字颜色 1 4 3 4" xfId="13012"/>
    <cellStyle name="60% - 强调文字颜色 1 4 3 5" xfId="16516"/>
    <cellStyle name="60% - 强调文字颜色 1 4 3 6" xfId="10025"/>
    <cellStyle name="60% - 强调文字颜色 1 4 3 7" xfId="19180"/>
    <cellStyle name="60% - 强调文字颜色 1 4 3 8" xfId="22063"/>
    <cellStyle name="60% - 强调文字颜色 1 4 3 9" xfId="21001"/>
    <cellStyle name="60% - 强调文字颜色 1 4 4" xfId="4830"/>
    <cellStyle name="60% - 强调文字颜色 1 4 5" xfId="6866"/>
    <cellStyle name="60% - 强调文字颜色 1 4 6" xfId="13010"/>
    <cellStyle name="60% - 强调文字颜色 1 4 7" xfId="16514"/>
    <cellStyle name="60% - 强调文字颜色 1 4 8" xfId="7678"/>
    <cellStyle name="60% - 强调文字颜色 1 4 9" xfId="19178"/>
    <cellStyle name="60% - 强调文字颜色 1 5" xfId="4823"/>
    <cellStyle name="60% - 强调文字颜色 1 5 2" xfId="10073"/>
    <cellStyle name="60% - 强调文字颜色 1 5 3" xfId="17345"/>
    <cellStyle name="60% - 强调文字颜色 1 6" xfId="6859"/>
    <cellStyle name="60% - 强调文字颜色 1 6 2" xfId="11204"/>
    <cellStyle name="60% - 强调文字颜色 1 6 3" xfId="17398"/>
    <cellStyle name="60% - 强调文字颜色 1 7" xfId="13003"/>
    <cellStyle name="60% - 强调文字颜色 1 8" xfId="16507"/>
    <cellStyle name="60% - 强调文字颜色 1 9" xfId="7685"/>
    <cellStyle name="60% - 强调文字颜色 1 9 2" xfId="26593"/>
    <cellStyle name="60% - 强调文字颜色 2" xfId="1326" builtinId="36" customBuiltin="1"/>
    <cellStyle name="60% - 强调文字颜色 2 10" xfId="17453"/>
    <cellStyle name="60% - 强调文字颜色 2 11" xfId="17539"/>
    <cellStyle name="60% - 强调文字颜色 2 11 2" xfId="29535"/>
    <cellStyle name="60% - 强调文字颜色 2 12" xfId="17625"/>
    <cellStyle name="60% - 强调文字颜色 2 13" xfId="17711"/>
    <cellStyle name="60% - 强调文字颜色 2 14" xfId="17797"/>
    <cellStyle name="60% - 强调文字颜色 2 15" xfId="19181"/>
    <cellStyle name="60% - 强调文字颜色 2 15 2" xfId="21383"/>
    <cellStyle name="60% - 强调文字颜色 2 15 3" xfId="23466"/>
    <cellStyle name="60% - 强调文字颜色 2 16" xfId="21575"/>
    <cellStyle name="60% - 强调文字颜色 2 17" xfId="20444"/>
    <cellStyle name="60% - 强调文字颜色 2 2" xfId="1327"/>
    <cellStyle name="60% - 强调文字颜色 2 2 10" xfId="17540"/>
    <cellStyle name="60% - 强调文字颜色 2 2 11" xfId="17626"/>
    <cellStyle name="60% - 强调文字颜色 2 2 12" xfId="17712"/>
    <cellStyle name="60% - 强调文字颜色 2 2 13" xfId="17798"/>
    <cellStyle name="60% - 强调文字颜色 2 2 14" xfId="19182"/>
    <cellStyle name="60% - 强调文字颜色 2 2 15" xfId="23045"/>
    <cellStyle name="60% - 强调文字颜色 2 2 16" xfId="19785"/>
    <cellStyle name="60% - 强调文字颜色 2 2 2" xfId="1328"/>
    <cellStyle name="60% - 强调文字颜色 2 2 2 10" xfId="30895"/>
    <cellStyle name="60% - 强调文字颜色 2 2 2 11" xfId="32174"/>
    <cellStyle name="60% - 强调文字颜色 2 2 2 2" xfId="4835"/>
    <cellStyle name="60% - 强调文字颜色 2 2 2 3" xfId="6871"/>
    <cellStyle name="60% - 强调文字颜色 2 2 2 4" xfId="13015"/>
    <cellStyle name="60% - 强调文字颜色 2 2 2 5" xfId="16519"/>
    <cellStyle name="60% - 强调文字颜色 2 2 2 6" xfId="11168"/>
    <cellStyle name="60% - 强调文字颜色 2 2 2 7" xfId="19183"/>
    <cellStyle name="60% - 强调文字颜色 2 2 2 8" xfId="22062"/>
    <cellStyle name="60% - 强调文字颜色 2 2 2 9" xfId="21000"/>
    <cellStyle name="60% - 强调文字颜色 2 2 3" xfId="1329"/>
    <cellStyle name="60% - 强调文字颜色 2 2 3 10" xfId="30896"/>
    <cellStyle name="60% - 强调文字颜色 2 2 3 11" xfId="32068"/>
    <cellStyle name="60% - 强调文字颜色 2 2 3 2" xfId="4836"/>
    <cellStyle name="60% - 强调文字颜色 2 2 3 3" xfId="6872"/>
    <cellStyle name="60% - 强调文字颜色 2 2 3 4" xfId="13016"/>
    <cellStyle name="60% - 强调文字颜色 2 2 3 5" xfId="16520"/>
    <cellStyle name="60% - 强调文字颜色 2 2 3 6" xfId="10023"/>
    <cellStyle name="60% - 强调文字颜色 2 2 3 7" xfId="19184"/>
    <cellStyle name="60% - 强调文字颜色 2 2 3 8" xfId="21574"/>
    <cellStyle name="60% - 强调文字颜色 2 2 3 9" xfId="20443"/>
    <cellStyle name="60% - 强调文字颜色 2 2 4" xfId="4834"/>
    <cellStyle name="60% - 强调文字颜色 2 2 5" xfId="6870"/>
    <cellStyle name="60% - 强调文字颜色 2 2 6" xfId="13014"/>
    <cellStyle name="60% - 强调文字颜色 2 2 7" xfId="16518"/>
    <cellStyle name="60% - 强调文字颜色 2 2 8" xfId="10024"/>
    <cellStyle name="60% - 强调文字颜色 2 2 9" xfId="17454"/>
    <cellStyle name="60% - 强调文字颜色 2 3" xfId="1330"/>
    <cellStyle name="60% - 强调文字颜色 2 3 10" xfId="23044"/>
    <cellStyle name="60% - 强调文字颜色 2 3 11" xfId="19784"/>
    <cellStyle name="60% - 强调文字颜色 2 3 12" xfId="30897"/>
    <cellStyle name="60% - 强调文字颜色 2 3 13" xfId="31707"/>
    <cellStyle name="60% - 强调文字颜色 2 3 2" xfId="1331"/>
    <cellStyle name="60% - 强调文字颜色 2 3 2 10" xfId="30898"/>
    <cellStyle name="60% - 强调文字颜色 2 3 2 11" xfId="33311"/>
    <cellStyle name="60% - 强调文字颜色 2 3 2 2" xfId="4838"/>
    <cellStyle name="60% - 强调文字颜色 2 3 2 3" xfId="6874"/>
    <cellStyle name="60% - 强调文字颜色 2 3 2 4" xfId="13018"/>
    <cellStyle name="60% - 强调文字颜色 2 3 2 5" xfId="16522"/>
    <cellStyle name="60% - 强调文字颜色 2 3 2 6" xfId="10022"/>
    <cellStyle name="60% - 强调文字颜色 2 3 2 7" xfId="19186"/>
    <cellStyle name="60% - 强调文字颜色 2 3 2 8" xfId="22061"/>
    <cellStyle name="60% - 强调文字颜色 2 3 2 9" xfId="21465"/>
    <cellStyle name="60% - 强调文字颜色 2 3 3" xfId="1332"/>
    <cellStyle name="60% - 强调文字颜色 2 3 3 10" xfId="30899"/>
    <cellStyle name="60% - 强调文字颜色 2 3 3 11" xfId="33062"/>
    <cellStyle name="60% - 强调文字颜色 2 3 3 2" xfId="4839"/>
    <cellStyle name="60% - 强调文字颜色 2 3 3 3" xfId="6875"/>
    <cellStyle name="60% - 强调文字颜色 2 3 3 4" xfId="13019"/>
    <cellStyle name="60% - 强调文字颜色 2 3 3 5" xfId="16523"/>
    <cellStyle name="60% - 强调文字颜色 2 3 3 6" xfId="11166"/>
    <cellStyle name="60% - 强调文字颜色 2 3 3 7" xfId="19187"/>
    <cellStyle name="60% - 强调文字颜色 2 3 3 8" xfId="21573"/>
    <cellStyle name="60% - 强调文字颜色 2 3 3 9" xfId="20323"/>
    <cellStyle name="60% - 强调文字颜色 2 3 4" xfId="4837"/>
    <cellStyle name="60% - 强调文字颜色 2 3 5" xfId="6873"/>
    <cellStyle name="60% - 强调文字颜色 2 3 6" xfId="13017"/>
    <cellStyle name="60% - 强调文字颜色 2 3 7" xfId="16521"/>
    <cellStyle name="60% - 强调文字颜色 2 3 8" xfId="11167"/>
    <cellStyle name="60% - 强调文字颜色 2 3 9" xfId="19185"/>
    <cellStyle name="60% - 强调文字颜色 2 4" xfId="1333"/>
    <cellStyle name="60% - 强调文字颜色 2 4 10" xfId="23043"/>
    <cellStyle name="60% - 强调文字颜色 2 4 11" xfId="20999"/>
    <cellStyle name="60% - 强调文字颜色 2 4 12" xfId="30900"/>
    <cellStyle name="60% - 强调文字颜色 2 4 13" xfId="32660"/>
    <cellStyle name="60% - 强调文字颜色 2 4 2" xfId="1334"/>
    <cellStyle name="60% - 强调文字颜色 2 4 2 10" xfId="30901"/>
    <cellStyle name="60% - 强调文字颜色 2 4 2 11" xfId="32417"/>
    <cellStyle name="60% - 强调文字颜色 2 4 2 2" xfId="4841"/>
    <cellStyle name="60% - 强调文字颜色 2 4 2 3" xfId="6877"/>
    <cellStyle name="60% - 强调文字颜色 2 4 2 4" xfId="13021"/>
    <cellStyle name="60% - 强调文字颜色 2 4 2 5" xfId="16525"/>
    <cellStyle name="60% - 强调文字颜色 2 4 2 6" xfId="9985"/>
    <cellStyle name="60% - 强调文字颜色 2 4 2 7" xfId="19189"/>
    <cellStyle name="60% - 强调文字颜色 2 4 2 8" xfId="22060"/>
    <cellStyle name="60% - 强调文字颜色 2 4 2 9" xfId="20814"/>
    <cellStyle name="60% - 强调文字颜色 2 4 3" xfId="1335"/>
    <cellStyle name="60% - 强调文字颜色 2 4 3 10" xfId="30902"/>
    <cellStyle name="60% - 强调文字颜色 2 4 3 11" xfId="32181"/>
    <cellStyle name="60% - 强调文字颜色 2 4 3 2" xfId="4842"/>
    <cellStyle name="60% - 强调文字颜色 2 4 3 3" xfId="6878"/>
    <cellStyle name="60% - 强调文字颜色 2 4 3 4" xfId="13022"/>
    <cellStyle name="60% - 强调文字颜色 2 4 3 5" xfId="16526"/>
    <cellStyle name="60% - 强调文字颜色 2 4 3 6" xfId="7677"/>
    <cellStyle name="60% - 强调文字颜色 2 4 3 7" xfId="19190"/>
    <cellStyle name="60% - 强调文字颜色 2 4 3 8" xfId="21572"/>
    <cellStyle name="60% - 强调文字颜色 2 4 3 9" xfId="20173"/>
    <cellStyle name="60% - 强调文字颜色 2 4 4" xfId="4840"/>
    <cellStyle name="60% - 强调文字颜色 2 4 5" xfId="6876"/>
    <cellStyle name="60% - 强调文字颜色 2 4 6" xfId="13020"/>
    <cellStyle name="60% - 强调文字颜色 2 4 7" xfId="16524"/>
    <cellStyle name="60% - 强调文字颜色 2 4 8" xfId="10021"/>
    <cellStyle name="60% - 强调文字颜色 2 4 9" xfId="19188"/>
    <cellStyle name="60% - 强调文字颜色 2 5" xfId="4833"/>
    <cellStyle name="60% - 强调文字颜色 2 5 2" xfId="10083"/>
    <cellStyle name="60% - 强调文字颜色 2 5 3" xfId="17346"/>
    <cellStyle name="60% - 强调文字颜色 2 6" xfId="6869"/>
    <cellStyle name="60% - 强调文字颜色 2 6 2" xfId="11214"/>
    <cellStyle name="60% - 强调文字颜色 2 6 3" xfId="17399"/>
    <cellStyle name="60% - 强调文字颜色 2 7" xfId="13013"/>
    <cellStyle name="60% - 强调文字颜色 2 8" xfId="16517"/>
    <cellStyle name="60% - 强调文字颜色 2 9" xfId="11169"/>
    <cellStyle name="60% - 强调文字颜色 2 9 2" xfId="26594"/>
    <cellStyle name="60% - 强调文字颜色 3" xfId="1336" builtinId="40" customBuiltin="1"/>
    <cellStyle name="60% - 强调文字颜色 3 10" xfId="17455"/>
    <cellStyle name="60% - 强调文字颜色 3 11" xfId="17541"/>
    <cellStyle name="60% - 强调文字颜色 3 11 2" xfId="29536"/>
    <cellStyle name="60% - 强调文字颜色 3 12" xfId="17627"/>
    <cellStyle name="60% - 强调文字颜色 3 13" xfId="17713"/>
    <cellStyle name="60% - 强调文字颜色 3 14" xfId="17799"/>
    <cellStyle name="60% - 强调文字颜色 3 15" xfId="19191"/>
    <cellStyle name="60% - 强调文字颜色 3 15 2" xfId="21384"/>
    <cellStyle name="60% - 强调文字颜色 3 15 3" xfId="23467"/>
    <cellStyle name="60% - 强调文字颜色 3 16" xfId="23042"/>
    <cellStyle name="60% - 强调文字颜色 3 17" xfId="19783"/>
    <cellStyle name="60% - 强调文字颜色 3 2" xfId="1337"/>
    <cellStyle name="60% - 强调文字颜色 3 2 10" xfId="1338"/>
    <cellStyle name="60% - 强调文字颜色 3 2 10 10" xfId="30903"/>
    <cellStyle name="60% - 强调文字颜色 3 2 10 11" xfId="33064"/>
    <cellStyle name="60% - 强调文字颜色 3 2 10 2" xfId="4845"/>
    <cellStyle name="60% - 强调文字颜色 3 2 10 3" xfId="6881"/>
    <cellStyle name="60% - 强调文字颜色 3 2 10 4" xfId="13025"/>
    <cellStyle name="60% - 强调文字颜色 3 2 10 5" xfId="16529"/>
    <cellStyle name="60% - 强调文字颜色 3 2 10 6" xfId="10018"/>
    <cellStyle name="60% - 强调文字颜色 3 2 10 7" xfId="19193"/>
    <cellStyle name="60% - 强调文字颜色 3 2 10 8" xfId="21557"/>
    <cellStyle name="60% - 强调文字颜色 3 2 10 9" xfId="20442"/>
    <cellStyle name="60% - 强调文字颜色 3 2 11" xfId="1339"/>
    <cellStyle name="60% - 强调文字颜色 3 2 11 10" xfId="30904"/>
    <cellStyle name="60% - 强调文字颜色 3 2 11 11" xfId="32662"/>
    <cellStyle name="60% - 强调文字颜色 3 2 11 2" xfId="4846"/>
    <cellStyle name="60% - 强调文字颜色 3 2 11 3" xfId="6882"/>
    <cellStyle name="60% - 强调文字颜色 3 2 11 4" xfId="13026"/>
    <cellStyle name="60% - 强调文字颜色 3 2 11 5" xfId="16530"/>
    <cellStyle name="60% - 强调文字颜色 3 2 11 6" xfId="7675"/>
    <cellStyle name="60% - 强调文字颜色 3 2 11 7" xfId="19194"/>
    <cellStyle name="60% - 强调文字颜色 3 2 11 8" xfId="23026"/>
    <cellStyle name="60% - 强调文字颜色 3 2 11 9" xfId="19782"/>
    <cellStyle name="60% - 强调文字颜色 3 2 12" xfId="1340"/>
    <cellStyle name="60% - 强调文字颜色 3 2 12 10" xfId="30905"/>
    <cellStyle name="60% - 强调文字颜色 3 2 12 11" xfId="32419"/>
    <cellStyle name="60% - 强调文字颜色 3 2 12 2" xfId="4847"/>
    <cellStyle name="60% - 强调文字颜色 3 2 12 3" xfId="6883"/>
    <cellStyle name="60% - 强调文字颜色 3 2 12 4" xfId="13027"/>
    <cellStyle name="60% - 强调文字颜色 3 2 12 5" xfId="16531"/>
    <cellStyle name="60% - 强调文字颜色 3 2 12 6" xfId="7674"/>
    <cellStyle name="60% - 强调文字颜色 3 2 12 7" xfId="19195"/>
    <cellStyle name="60% - 强调文字颜色 3 2 12 8" xfId="22811"/>
    <cellStyle name="60% - 强调文字颜色 3 2 12 9" xfId="20997"/>
    <cellStyle name="60% - 强调文字颜色 3 2 13" xfId="1341"/>
    <cellStyle name="60% - 强调文字颜色 3 2 13 10" xfId="30906"/>
    <cellStyle name="60% - 强调文字颜色 3 2 13 11" xfId="32183"/>
    <cellStyle name="60% - 强调文字颜色 3 2 13 2" xfId="4848"/>
    <cellStyle name="60% - 强调文字颜色 3 2 13 3" xfId="6884"/>
    <cellStyle name="60% - 强调文字颜色 3 2 13 4" xfId="13028"/>
    <cellStyle name="60% - 强调文字颜色 3 2 13 5" xfId="16532"/>
    <cellStyle name="60% - 强调文字颜色 3 2 13 6" xfId="7673"/>
    <cellStyle name="60% - 强调文字颜色 3 2 13 7" xfId="19196"/>
    <cellStyle name="60% - 强调文字颜色 3 2 13 8" xfId="22593"/>
    <cellStyle name="60% - 强调文字颜色 3 2 13 9" xfId="20441"/>
    <cellStyle name="60% - 强调文字颜色 3 2 14" xfId="1342"/>
    <cellStyle name="60% - 强调文字颜色 3 2 14 10" xfId="22043"/>
    <cellStyle name="60% - 强调文字颜色 3 2 14 10 2" xfId="29538"/>
    <cellStyle name="60% - 强调文字颜色 3 2 14 11" xfId="19781"/>
    <cellStyle name="60% - 强调文字颜色 3 2 14 11 2" xfId="29714"/>
    <cellStyle name="60% - 强调文字颜色 3 2 14 12" xfId="30907"/>
    <cellStyle name="60% - 强调文字颜色 3 2 14 13" xfId="31715"/>
    <cellStyle name="60% - 强调文字颜色 3 2 14 2" xfId="1343"/>
    <cellStyle name="60% - 强调文字颜色 3 2 14 2 2" xfId="6886"/>
    <cellStyle name="60% - 强调文字颜色 3 2 14 2 2 2" xfId="23582"/>
    <cellStyle name="60% - 强调文字颜色 3 2 14 2 2 3" xfId="26167"/>
    <cellStyle name="60% - 强调文字颜色 3 2 14 2 2 4" xfId="23581"/>
    <cellStyle name="60% - 强调文字颜色 3 2 14 2 3" xfId="13030"/>
    <cellStyle name="60% - 强调文字颜色 3 2 14 2 4" xfId="7671"/>
    <cellStyle name="60% - 强调文字颜色 3 2 14 2 4 2" xfId="26597"/>
    <cellStyle name="60% - 强调文字颜色 3 2 14 2 4 2 2" xfId="27050"/>
    <cellStyle name="60% - 强调文字颜色 3 2 14 2 4 3" xfId="26166"/>
    <cellStyle name="60% - 强调文字颜色 3 2 14 2 5" xfId="19198"/>
    <cellStyle name="60% - 强调文字颜色 3 2 14 2 6" xfId="23041"/>
    <cellStyle name="60% - 强调文字颜色 3 2 14 2 6 2" xfId="29615"/>
    <cellStyle name="60% - 强调文字颜色 3 2 14 2 7" xfId="20996"/>
    <cellStyle name="60% - 强调文字颜色 3 2 14 2 7 2" xfId="29609"/>
    <cellStyle name="60% - 强调文字颜色 3 2 14 2 8" xfId="31637"/>
    <cellStyle name="60% - 强调文字颜色 3 2 14 2 9" xfId="32320"/>
    <cellStyle name="60% - 强调文字颜色 3 2 14 3" xfId="4849"/>
    <cellStyle name="60% - 强调文字颜色 3 2 14 4" xfId="6885"/>
    <cellStyle name="60% - 强调文字颜色 3 2 14 4 2" xfId="10099"/>
    <cellStyle name="60% - 强调文字颜色 3 2 14 4 2 2" xfId="29439"/>
    <cellStyle name="60% - 强调文字颜色 3 2 14 4 2 3" xfId="29370"/>
    <cellStyle name="60% - 强调文字颜色 3 2 14 4 3" xfId="17349"/>
    <cellStyle name="60% - 强调文字颜色 3 2 14 4 4" xfId="21929"/>
    <cellStyle name="60% - 强调文字颜色 3 2 14 4 5" xfId="22912"/>
    <cellStyle name="60% - 强调文字颜色 3 2 14 4 6" xfId="29695"/>
    <cellStyle name="60% - 强调文字颜色 3 2 14 4 7" xfId="32055"/>
    <cellStyle name="60% - 强调文字颜色 3 2 14 4 8" xfId="31575"/>
    <cellStyle name="60% - 强调文字颜色 3 2 14 5" xfId="11230"/>
    <cellStyle name="60% - 强调文字颜色 3 2 14 6" xfId="13029"/>
    <cellStyle name="60% - 强调文字颜色 3 2 14 7" xfId="16533"/>
    <cellStyle name="60% - 强调文字颜色 3 2 14 8" xfId="7672"/>
    <cellStyle name="60% - 强调文字颜色 3 2 14 8 2" xfId="26596"/>
    <cellStyle name="60% - 强调文字颜色 3 2 14 8 3" xfId="25774"/>
    <cellStyle name="60% - 强调文字颜色 3 2 14 9" xfId="19197"/>
    <cellStyle name="60% - 强调文字颜色 3 2 14 9 2" xfId="29479"/>
    <cellStyle name="60% - 强调文字颜色 3 2 14 9 2 2" xfId="33240"/>
    <cellStyle name="60% - 强调文字颜色 3 2 14 9 3" xfId="33550"/>
    <cellStyle name="60% - 强调文字颜色 3 2 14 9 4" xfId="26868"/>
    <cellStyle name="60% - 强调文字颜色 3 2 15" xfId="1344"/>
    <cellStyle name="60% - 强调文字颜色 3 2 15 10" xfId="30908"/>
    <cellStyle name="60% - 强调文字颜色 3 2 15 11" xfId="33312"/>
    <cellStyle name="60% - 强调文字颜色 3 2 15 2" xfId="4850"/>
    <cellStyle name="60% - 强调文字颜色 3 2 15 3" xfId="6887"/>
    <cellStyle name="60% - 强调文字颜色 3 2 15 4" xfId="13031"/>
    <cellStyle name="60% - 强调文字颜色 3 2 15 5" xfId="16534"/>
    <cellStyle name="60% - 强调文字颜色 3 2 15 6" xfId="7670"/>
    <cellStyle name="60% - 强调文字颜色 3 2 15 7" xfId="19199"/>
    <cellStyle name="60% - 强调文字颜色 3 2 15 8" xfId="22058"/>
    <cellStyle name="60% - 强调文字颜色 3 2 15 9" xfId="20440"/>
    <cellStyle name="60% - 强调文字颜色 3 2 16" xfId="1345"/>
    <cellStyle name="60% - 强调文字颜色 3 2 16 10" xfId="30909"/>
    <cellStyle name="60% - 强调文字颜色 3 2 16 11" xfId="33063"/>
    <cellStyle name="60% - 强调文字颜色 3 2 16 2" xfId="4851"/>
    <cellStyle name="60% - 强调文字颜色 3 2 16 3" xfId="6888"/>
    <cellStyle name="60% - 强调文字颜色 3 2 16 4" xfId="13032"/>
    <cellStyle name="60% - 强调文字颜色 3 2 16 5" xfId="16535"/>
    <cellStyle name="60% - 强调文字颜色 3 2 16 6" xfId="7669"/>
    <cellStyle name="60% - 强调文字颜色 3 2 16 7" xfId="19200"/>
    <cellStyle name="60% - 强调文字颜色 3 2 16 8" xfId="21571"/>
    <cellStyle name="60% - 强调文字颜色 3 2 16 9" xfId="19780"/>
    <cellStyle name="60% - 强调文字颜色 3 2 17" xfId="1346"/>
    <cellStyle name="60% - 强调文字颜色 3 2 17 10" xfId="30910"/>
    <cellStyle name="60% - 强调文字颜色 3 2 17 11" xfId="32661"/>
    <cellStyle name="60% - 强调文字颜色 3 2 17 2" xfId="4852"/>
    <cellStyle name="60% - 强调文字颜色 3 2 17 3" xfId="6889"/>
    <cellStyle name="60% - 强调文字颜色 3 2 17 4" xfId="13033"/>
    <cellStyle name="60% - 强调文字颜色 3 2 17 5" xfId="16536"/>
    <cellStyle name="60% - 强调文字颜色 3 2 17 6" xfId="7668"/>
    <cellStyle name="60% - 强调文字颜色 3 2 17 7" xfId="19201"/>
    <cellStyle name="60% - 强调文字颜色 3 2 17 8" xfId="23040"/>
    <cellStyle name="60% - 强调文字颜色 3 2 17 9" xfId="20995"/>
    <cellStyle name="60% - 强调文字颜色 3 2 18" xfId="1347"/>
    <cellStyle name="60% - 强调文字颜色 3 2 18 10" xfId="30911"/>
    <cellStyle name="60% - 强调文字颜色 3 2 18 11" xfId="32418"/>
    <cellStyle name="60% - 强调文字颜色 3 2 18 2" xfId="4853"/>
    <cellStyle name="60% - 强调文字颜色 3 2 18 3" xfId="6890"/>
    <cellStyle name="60% - 强调文字颜色 3 2 18 4" xfId="13034"/>
    <cellStyle name="60% - 强调文字颜色 3 2 18 5" xfId="16537"/>
    <cellStyle name="60% - 强调文字颜色 3 2 18 6" xfId="7667"/>
    <cellStyle name="60% - 强调文字颜色 3 2 18 7" xfId="19202"/>
    <cellStyle name="60% - 强调文字颜色 3 2 18 8" xfId="22057"/>
    <cellStyle name="60% - 强调文字颜色 3 2 18 9" xfId="20439"/>
    <cellStyle name="60% - 强调文字颜色 3 2 19" xfId="4844"/>
    <cellStyle name="60% - 强调文字颜色 3 2 19 2" xfId="23580"/>
    <cellStyle name="60% - 强调文字颜色 3 2 19 2 2" xfId="23647"/>
    <cellStyle name="60% - 强调文字颜色 3 2 19 2 2 2" xfId="29614"/>
    <cellStyle name="60% - 强调文字颜色 3 2 19 2 2 2 2" xfId="29658"/>
    <cellStyle name="60% - 强调文字颜色 3 2 19 2 3" xfId="26232"/>
    <cellStyle name="60% - 强调文字颜色 3 2 19 2 4" xfId="31888"/>
    <cellStyle name="60% - 强调文字颜色 3 2 19 2 5" xfId="31868"/>
    <cellStyle name="60% - 强调文字颜色 3 2 19 3" xfId="26165"/>
    <cellStyle name="60% - 强调文字颜色 3 2 19 3 2" xfId="26982"/>
    <cellStyle name="60% - 强调文字颜色 3 2 19 3 2 2" xfId="27049"/>
    <cellStyle name="60% - 强调文字颜色 3 2 19 3 2 2 2" xfId="33456"/>
    <cellStyle name="60% - 强调文字颜色 3 2 19 3 2 2 2 2" xfId="33477"/>
    <cellStyle name="60% - 强调文字颜色 3 2 19 3 2 3" xfId="33594"/>
    <cellStyle name="60% - 强调文字颜色 3 2 19 3 3" xfId="29670"/>
    <cellStyle name="60% - 强调文字颜色 3 2 19 3 3 2" xfId="33577"/>
    <cellStyle name="60% - 强调文字颜色 3 2 19 4" xfId="29013"/>
    <cellStyle name="60% - 强调文字颜色 3 2 19 4 2" xfId="31636"/>
    <cellStyle name="60% - 强调文字颜色 3 2 19 5" xfId="32554"/>
    <cellStyle name="60% - 强调文字颜色 3 2 2" xfId="1348"/>
    <cellStyle name="60% - 强调文字颜色 3 2 2 10" xfId="11236"/>
    <cellStyle name="60% - 强调文字颜色 3 2 2 10 2" xfId="23809"/>
    <cellStyle name="60% - 强调文字颜色 3 2 2 10 2 2" xfId="26988"/>
    <cellStyle name="60% - 强调文字颜色 3 2 2 10 2 2 2" xfId="27120"/>
    <cellStyle name="60% - 强调文字颜色 3 2 2 10 3" xfId="26394"/>
    <cellStyle name="60% - 强调文字颜色 3 2 2 10 4" xfId="23515"/>
    <cellStyle name="60% - 强调文字颜色 3 2 2 11" xfId="13035"/>
    <cellStyle name="60% - 强调文字颜色 3 2 2 12" xfId="16538"/>
    <cellStyle name="60% - 强调文字颜色 3 2 2 13" xfId="7666"/>
    <cellStyle name="60% - 强调文字颜色 3 2 2 13 2" xfId="29402"/>
    <cellStyle name="60% - 强调文字颜色 3 2 2 13 2 2" xfId="32979"/>
    <cellStyle name="60% - 强调文字颜色 3 2 2 13 3" xfId="33510"/>
    <cellStyle name="60% - 强调文字颜色 3 2 2 13 4" xfId="25775"/>
    <cellStyle name="60% - 强调文字颜色 3 2 2 14" xfId="19203"/>
    <cellStyle name="60% - 强调文字颜色 3 2 2 15" xfId="21570"/>
    <cellStyle name="60% - 强调文字颜色 3 2 2 15 2" xfId="29539"/>
    <cellStyle name="60% - 强调文字颜色 3 2 2 16" xfId="19779"/>
    <cellStyle name="60% - 强调文字颜色 3 2 2 16 2" xfId="29679"/>
    <cellStyle name="60% - 强调文字颜色 3 2 2 17" xfId="30912"/>
    <cellStyle name="60% - 强调文字颜色 3 2 2 18" xfId="32182"/>
    <cellStyle name="60% - 强调文字颜色 3 2 2 2" xfId="1349"/>
    <cellStyle name="60% - 强调文字颜色 3 2 2 2 10" xfId="23039"/>
    <cellStyle name="60% - 强调文字颜色 3 2 2 2 10 2" xfId="29540"/>
    <cellStyle name="60% - 强调文字颜色 3 2 2 2 11" xfId="20994"/>
    <cellStyle name="60% - 强调文字颜色 3 2 2 2 11 2" xfId="29666"/>
    <cellStyle name="60% - 强调文字颜色 3 2 2 2 12" xfId="30913"/>
    <cellStyle name="60% - 强调文字颜色 3 2 2 2 13" xfId="31714"/>
    <cellStyle name="60% - 强调文字颜色 3 2 2 2 2" xfId="1350"/>
    <cellStyle name="60% - 强调文字颜色 3 2 2 2 2 2" xfId="6893"/>
    <cellStyle name="60% - 强调文字颜色 3 2 2 2 2 3" xfId="13037"/>
    <cellStyle name="60% - 强调文字颜色 3 2 2 2 2 3 2" xfId="23886"/>
    <cellStyle name="60% - 强调文字颜色 3 2 2 2 2 3 3" xfId="26471"/>
    <cellStyle name="60% - 强调文字颜色 3 2 2 2 2 3 4" xfId="23584"/>
    <cellStyle name="60% - 强调文字颜色 3 2 2 2 2 4" xfId="10007"/>
    <cellStyle name="60% - 强调文字颜色 3 2 2 2 2 4 2" xfId="26598"/>
    <cellStyle name="60% - 强调文字颜色 3 2 2 2 2 4 2 2" xfId="27052"/>
    <cellStyle name="60% - 强调文字颜色 3 2 2 2 2 4 3" xfId="26169"/>
    <cellStyle name="60% - 强调文字颜色 3 2 2 2 2 5" xfId="19205"/>
    <cellStyle name="60% - 强调文字颜色 3 2 2 2 2 6" xfId="22056"/>
    <cellStyle name="60% - 强调文字颜色 3 2 2 2 2 6 2" xfId="29617"/>
    <cellStyle name="60% - 强调文字颜色 3 2 2 2 2 6 2 2" xfId="33242"/>
    <cellStyle name="60% - 强调文字颜色 3 2 2 2 2 6 3" xfId="33551"/>
    <cellStyle name="60% - 强调文字颜色 3 2 2 2 2 7" xfId="20438"/>
    <cellStyle name="60% - 强调文字颜色 3 2 2 2 2 7 2" xfId="29703"/>
    <cellStyle name="60% - 强调文字颜色 3 2 2 2 2 8" xfId="31642"/>
    <cellStyle name="60% - 强调文字颜色 3 2 2 2 2 9" xfId="31612"/>
    <cellStyle name="60% - 强调文字颜色 3 2 2 2 3" xfId="4855"/>
    <cellStyle name="60% - 强调文字颜色 3 2 2 2 3 2" xfId="23649"/>
    <cellStyle name="60% - 强调文字颜色 3 2 2 2 3 2 2" xfId="26599"/>
    <cellStyle name="60% - 强调文字颜色 3 2 2 2 3 2 2 2" xfId="27077"/>
    <cellStyle name="60% - 强调文字颜色 3 2 2 2 3 3" xfId="26234"/>
    <cellStyle name="60% - 强调文字颜色 3 2 2 2 4" xfId="6892"/>
    <cellStyle name="60% - 强调文字颜色 3 2 2 2 4 2" xfId="10105"/>
    <cellStyle name="60% - 强调文字颜色 3 2 2 2 4 2 2" xfId="26600"/>
    <cellStyle name="60% - 强调文字颜色 3 2 2 2 4 2 2 2" xfId="27097"/>
    <cellStyle name="60% - 强调文字颜色 3 2 2 2 4 2 2 2 2" xfId="32983"/>
    <cellStyle name="60% - 强调文字颜色 3 2 2 2 4 2 2 2 2 2" xfId="33502"/>
    <cellStyle name="60% - 强调文字颜色 3 2 2 2 4 2 2 3" xfId="33618"/>
    <cellStyle name="60% - 强调文字颜色 3 2 2 2 4 2 3" xfId="29441"/>
    <cellStyle name="60% - 强调文字颜色 3 2 2 2 4 2 3 2" xfId="33512"/>
    <cellStyle name="60% - 强调文字颜色 3 2 2 2 4 3" xfId="17351"/>
    <cellStyle name="60% - 强调文字颜色 3 2 2 2 4 3 2" xfId="29372"/>
    <cellStyle name="60% - 强调文字颜色 3 2 2 2 4 3 2 2" xfId="29467"/>
    <cellStyle name="60% - 强调文字颜色 3 2 2 2 4 4" xfId="21931"/>
    <cellStyle name="60% - 强调文字颜色 3 2 2 2 4 5" xfId="22911"/>
    <cellStyle name="60% - 强调文字颜色 3 2 2 2 4 6" xfId="29669"/>
    <cellStyle name="60% - 强调文字颜色 3 2 2 2 4 7" xfId="32057"/>
    <cellStyle name="60% - 强调文字颜色 3 2 2 2 4 8" xfId="32948"/>
    <cellStyle name="60% - 强调文字颜色 3 2 2 2 5" xfId="11237"/>
    <cellStyle name="60% - 强调文字颜色 3 2 2 2 5 2" xfId="23810"/>
    <cellStyle name="60% - 强调文字颜色 3 2 2 2 5 2 2" xfId="26989"/>
    <cellStyle name="60% - 强调文字颜色 3 2 2 2 5 2 2 2" xfId="27121"/>
    <cellStyle name="60% - 强调文字颜色 3 2 2 2 5 3" xfId="26395"/>
    <cellStyle name="60% - 强调文字颜色 3 2 2 2 5 4" xfId="23516"/>
    <cellStyle name="60% - 强调文字颜色 3 2 2 2 6" xfId="13036"/>
    <cellStyle name="60% - 强调文字颜色 3 2 2 2 7" xfId="16539"/>
    <cellStyle name="60% - 强调文字颜色 3 2 2 2 8" xfId="11164"/>
    <cellStyle name="60% - 强调文字颜色 3 2 2 2 8 2" xfId="29458"/>
    <cellStyle name="60% - 强调文字颜色 3 2 2 2 8 2 2" xfId="32980"/>
    <cellStyle name="60% - 强调文字颜色 3 2 2 2 8 3" xfId="33511"/>
    <cellStyle name="60% - 强调文字颜色 3 2 2 2 8 4" xfId="25776"/>
    <cellStyle name="60% - 强调文字颜色 3 2 2 2 9" xfId="19204"/>
    <cellStyle name="60% - 强调文字颜色 3 2 2 3" xfId="1351"/>
    <cellStyle name="60% - 强调文字颜色 3 2 2 3 10" xfId="30914"/>
    <cellStyle name="60% - 强调文字颜色 3 2 2 3 11" xfId="33308"/>
    <cellStyle name="60% - 强调文字颜色 3 2 2 3 2" xfId="4856"/>
    <cellStyle name="60% - 强调文字颜色 3 2 2 3 3" xfId="6894"/>
    <cellStyle name="60% - 强调文字颜色 3 2 2 3 4" xfId="13038"/>
    <cellStyle name="60% - 强调文字颜色 3 2 2 3 5" xfId="16540"/>
    <cellStyle name="60% - 强调文字颜色 3 2 2 3 6" xfId="7665"/>
    <cellStyle name="60% - 强调文字颜色 3 2 2 3 7" xfId="19206"/>
    <cellStyle name="60% - 强调文字颜色 3 2 2 3 8" xfId="21569"/>
    <cellStyle name="60% - 强调文字颜色 3 2 2 3 9" xfId="19778"/>
    <cellStyle name="60% - 强调文字颜色 3 2 2 4" xfId="1352"/>
    <cellStyle name="60% - 强调文字颜色 3 2 2 4 10" xfId="30915"/>
    <cellStyle name="60% - 强调文字颜色 3 2 2 4 11" xfId="33059"/>
    <cellStyle name="60% - 强调文字颜色 3 2 2 4 2" xfId="4857"/>
    <cellStyle name="60% - 强调文字颜色 3 2 2 4 3" xfId="6895"/>
    <cellStyle name="60% - 强调文字颜色 3 2 2 4 4" xfId="13039"/>
    <cellStyle name="60% - 强调文字颜色 3 2 2 4 5" xfId="16541"/>
    <cellStyle name="60% - 强调文字颜色 3 2 2 4 6" xfId="7664"/>
    <cellStyle name="60% - 强调文字颜色 3 2 2 4 7" xfId="19207"/>
    <cellStyle name="60% - 强调文字颜色 3 2 2 4 8" xfId="23038"/>
    <cellStyle name="60% - 强调文字颜色 3 2 2 4 9" xfId="20993"/>
    <cellStyle name="60% - 强调文字颜色 3 2 2 5" xfId="1353"/>
    <cellStyle name="60% - 强调文字颜色 3 2 2 5 10" xfId="30916"/>
    <cellStyle name="60% - 强调文字颜色 3 2 2 5 11" xfId="32657"/>
    <cellStyle name="60% - 强调文字颜色 3 2 2 5 2" xfId="4858"/>
    <cellStyle name="60% - 强调文字颜色 3 2 2 5 3" xfId="6896"/>
    <cellStyle name="60% - 强调文字颜色 3 2 2 5 4" xfId="13040"/>
    <cellStyle name="60% - 强调文字颜色 3 2 2 5 5" xfId="16542"/>
    <cellStyle name="60% - 强调文字颜色 3 2 2 5 6" xfId="7663"/>
    <cellStyle name="60% - 强调文字颜色 3 2 2 5 7" xfId="19208"/>
    <cellStyle name="60% - 强调文字颜色 3 2 2 5 8" xfId="22055"/>
    <cellStyle name="60% - 强调文字颜色 3 2 2 5 9" xfId="20437"/>
    <cellStyle name="60% - 强调文字颜色 3 2 2 6" xfId="1354"/>
    <cellStyle name="60% - 强调文字颜色 3 2 2 6 10" xfId="30917"/>
    <cellStyle name="60% - 强调文字颜色 3 2 2 6 11" xfId="32414"/>
    <cellStyle name="60% - 强调文字颜色 3 2 2 6 2" xfId="4859"/>
    <cellStyle name="60% - 强调文字颜色 3 2 2 6 3" xfId="6897"/>
    <cellStyle name="60% - 强调文字颜色 3 2 2 6 4" xfId="13041"/>
    <cellStyle name="60% - 强调文字颜色 3 2 2 6 5" xfId="16543"/>
    <cellStyle name="60% - 强调文字颜色 3 2 2 6 6" xfId="7662"/>
    <cellStyle name="60% - 强调文字颜色 3 2 2 6 7" xfId="19209"/>
    <cellStyle name="60% - 强调文字颜色 3 2 2 6 8" xfId="21568"/>
    <cellStyle name="60% - 强调文字颜色 3 2 2 6 9" xfId="19777"/>
    <cellStyle name="60% - 强调文字颜色 3 2 2 7" xfId="1355"/>
    <cellStyle name="60% - 强调文字颜色 3 2 2 7 10" xfId="30918"/>
    <cellStyle name="60% - 强调文字颜色 3 2 2 7 11" xfId="32178"/>
    <cellStyle name="60% - 强调文字颜色 3 2 2 7 2" xfId="4860"/>
    <cellStyle name="60% - 强调文字颜色 3 2 2 7 3" xfId="6898"/>
    <cellStyle name="60% - 强调文字颜色 3 2 2 7 4" xfId="13042"/>
    <cellStyle name="60% - 强调文字颜色 3 2 2 7 5" xfId="16544"/>
    <cellStyle name="60% - 强调文字颜色 3 2 2 7 6" xfId="7661"/>
    <cellStyle name="60% - 强调文字颜色 3 2 2 7 7" xfId="19210"/>
    <cellStyle name="60% - 强调文字颜色 3 2 2 7 8" xfId="23037"/>
    <cellStyle name="60% - 强调文字颜色 3 2 2 7 9" xfId="20992"/>
    <cellStyle name="60% - 强调文字颜色 3 2 2 8" xfId="4854"/>
    <cellStyle name="60% - 强调文字颜色 3 2 2 8 2" xfId="23583"/>
    <cellStyle name="60% - 强调文字颜色 3 2 2 8 2 2" xfId="23648"/>
    <cellStyle name="60% - 强调文字颜色 3 2 2 8 2 2 2" xfId="29616"/>
    <cellStyle name="60% - 强调文字颜色 3 2 2 8 2 2 2 2" xfId="29659"/>
    <cellStyle name="60% - 强调文字颜色 3 2 2 8 2 3" xfId="26233"/>
    <cellStyle name="60% - 强调文字颜色 3 2 2 8 2 4" xfId="31890"/>
    <cellStyle name="60% - 强调文字颜色 3 2 2 8 2 5" xfId="32546"/>
    <cellStyle name="60% - 强调文字颜色 3 2 2 8 3" xfId="26168"/>
    <cellStyle name="60% - 强调文字颜色 3 2 2 8 3 2" xfId="26983"/>
    <cellStyle name="60% - 强调文字颜色 3 2 2 8 3 2 2" xfId="27051"/>
    <cellStyle name="60% - 强调文字颜色 3 2 2 8 3 2 2 2" xfId="33457"/>
    <cellStyle name="60% - 强调文字颜色 3 2 2 8 3 2 2 2 2" xfId="33478"/>
    <cellStyle name="60% - 强调文字颜色 3 2 2 8 3 2 3" xfId="33595"/>
    <cellStyle name="60% - 强调文字颜色 3 2 2 8 3 3" xfId="29527"/>
    <cellStyle name="60% - 强调文字颜色 3 2 2 8 3 3 2" xfId="33578"/>
    <cellStyle name="60% - 强调文字颜色 3 2 2 8 4" xfId="29014"/>
    <cellStyle name="60% - 强调文字颜色 3 2 2 8 4 2" xfId="31641"/>
    <cellStyle name="60% - 强调文字颜色 3 2 2 8 5" xfId="32098"/>
    <cellStyle name="60% - 强调文字颜色 3 2 2 9" xfId="6891"/>
    <cellStyle name="60% - 强调文字颜色 3 2 2 9 2" xfId="10104"/>
    <cellStyle name="60% - 强调文字颜色 3 2 2 9 2 2" xfId="26601"/>
    <cellStyle name="60% - 强调文字颜色 3 2 2 9 2 2 2" xfId="27096"/>
    <cellStyle name="60% - 强调文字颜色 3 2 2 9 2 2 2 2" xfId="32987"/>
    <cellStyle name="60% - 强调文字颜色 3 2 2 9 2 2 2 2 2" xfId="33501"/>
    <cellStyle name="60% - 强调文字颜色 3 2 2 9 2 2 3" xfId="33617"/>
    <cellStyle name="60% - 强调文字颜色 3 2 2 9 2 3" xfId="29440"/>
    <cellStyle name="60% - 强调文字颜色 3 2 2 9 2 3 2" xfId="33513"/>
    <cellStyle name="60% - 强调文字颜色 3 2 2 9 3" xfId="17350"/>
    <cellStyle name="60% - 强调文字颜色 3 2 2 9 3 2" xfId="29371"/>
    <cellStyle name="60% - 强调文字颜色 3 2 2 9 3 2 2" xfId="29466"/>
    <cellStyle name="60% - 强调文字颜色 3 2 2 9 4" xfId="21930"/>
    <cellStyle name="60% - 强调文字颜色 3 2 2 9 5" xfId="21546"/>
    <cellStyle name="60% - 强调文字颜色 3 2 2 9 6" xfId="29685"/>
    <cellStyle name="60% - 强调文字颜色 3 2 2 9 7" xfId="32056"/>
    <cellStyle name="60% - 强调文字颜色 3 2 2 9 8" xfId="33214"/>
    <cellStyle name="60% - 强调文字颜色 3 2 20" xfId="6880"/>
    <cellStyle name="60% - 强调文字颜色 3 2 20 2" xfId="10094"/>
    <cellStyle name="60% - 强调文字颜色 3 2 20 2 2" xfId="26602"/>
    <cellStyle name="60% - 强调文字颜色 3 2 20 2 2 2" xfId="27095"/>
    <cellStyle name="60% - 强调文字颜色 3 2 20 2 2 2 2" xfId="32988"/>
    <cellStyle name="60% - 强调文字颜色 3 2 20 2 2 2 2 2" xfId="33500"/>
    <cellStyle name="60% - 强调文字颜色 3 2 20 2 2 3" xfId="33616"/>
    <cellStyle name="60% - 强调文字颜色 3 2 20 2 3" xfId="29438"/>
    <cellStyle name="60% - 强调文字颜色 3 2 20 2 3 2" xfId="33514"/>
    <cellStyle name="60% - 强调文字颜色 3 2 20 3" xfId="17348"/>
    <cellStyle name="60% - 强调文字颜色 3 2 20 3 2" xfId="29369"/>
    <cellStyle name="60% - 强调文字颜色 3 2 20 3 2 2" xfId="29465"/>
    <cellStyle name="60% - 强调文字颜色 3 2 20 4" xfId="21928"/>
    <cellStyle name="60% - 强调文字颜色 3 2 20 5" xfId="21914"/>
    <cellStyle name="60% - 强调文字颜色 3 2 20 6" xfId="29603"/>
    <cellStyle name="60% - 强调文字颜色 3 2 20 7" xfId="32054"/>
    <cellStyle name="60% - 强调文字颜色 3 2 20 8" xfId="32090"/>
    <cellStyle name="60% - 强调文字颜色 3 2 21" xfId="11225"/>
    <cellStyle name="60% - 强调文字颜色 3 2 21 2" xfId="23808"/>
    <cellStyle name="60% - 强调文字颜色 3 2 21 2 2" xfId="26986"/>
    <cellStyle name="60% - 强调文字颜色 3 2 21 2 2 2" xfId="27119"/>
    <cellStyle name="60% - 强调文字颜色 3 2 21 3" xfId="26393"/>
    <cellStyle name="60% - 强调文字颜色 3 2 21 4" xfId="23514"/>
    <cellStyle name="60% - 强调文字颜色 3 2 22" xfId="13024"/>
    <cellStyle name="60% - 强调文字颜色 3 2 23" xfId="16528"/>
    <cellStyle name="60% - 强调文字颜色 3 2 24" xfId="11165"/>
    <cellStyle name="60% - 强调文字颜色 3 2 24 2" xfId="29459"/>
    <cellStyle name="60% - 强调文字颜色 3 2 24 2 2" xfId="32974"/>
    <cellStyle name="60% - 强调文字颜色 3 2 24 3" xfId="33509"/>
    <cellStyle name="60% - 强调文字颜色 3 2 24 4" xfId="25773"/>
    <cellStyle name="60% - 强调文字颜色 3 2 25" xfId="17456"/>
    <cellStyle name="60% - 强调文字颜色 3 2 25 2" xfId="26867"/>
    <cellStyle name="60% - 强调文字颜色 3 2 26" xfId="17542"/>
    <cellStyle name="60% - 强调文字颜色 3 2 26 2" xfId="29537"/>
    <cellStyle name="60% - 强调文字颜色 3 2 26 3" xfId="27153"/>
    <cellStyle name="60% - 强调文字颜色 3 2 27" xfId="17628"/>
    <cellStyle name="60% - 强调文字颜色 3 2 28" xfId="17714"/>
    <cellStyle name="60% - 强调文字颜色 3 2 29" xfId="17800"/>
    <cellStyle name="60% - 强调文字颜色 3 2 3" xfId="1356"/>
    <cellStyle name="60% - 强调文字颜色 3 2 3 10" xfId="30919"/>
    <cellStyle name="60% - 强调文字颜色 3 2 3 11" xfId="31711"/>
    <cellStyle name="60% - 强调文字颜色 3 2 3 2" xfId="4861"/>
    <cellStyle name="60% - 强调文字颜色 3 2 3 3" xfId="6899"/>
    <cellStyle name="60% - 强调文字颜色 3 2 3 4" xfId="13043"/>
    <cellStyle name="60% - 强调文字颜色 3 2 3 5" xfId="16545"/>
    <cellStyle name="60% - 强调文字颜色 3 2 3 6" xfId="7660"/>
    <cellStyle name="60% - 强调文字颜色 3 2 3 7" xfId="19211"/>
    <cellStyle name="60% - 强调文字颜色 3 2 3 8" xfId="22812"/>
    <cellStyle name="60% - 强调文字颜色 3 2 3 9" xfId="20436"/>
    <cellStyle name="60% - 强调文字颜色 3 2 30" xfId="19192"/>
    <cellStyle name="60% - 强调文字颜色 3 2 31" xfId="22059"/>
    <cellStyle name="60% - 强调文字颜色 3 2 32" xfId="20998"/>
    <cellStyle name="60% - 强调文字颜色 3 2 4" xfId="1357"/>
    <cellStyle name="60% - 强调文字颜色 3 2 4 10" xfId="30920"/>
    <cellStyle name="60% - 强调文字颜色 3 2 4 11" xfId="33310"/>
    <cellStyle name="60% - 强调文字颜色 3 2 4 2" xfId="4862"/>
    <cellStyle name="60% - 强调文字颜色 3 2 4 3" xfId="6900"/>
    <cellStyle name="60% - 强调文字颜色 3 2 4 4" xfId="13044"/>
    <cellStyle name="60% - 强调文字颜色 3 2 4 5" xfId="16546"/>
    <cellStyle name="60% - 强调文字颜色 3 2 4 6" xfId="7659"/>
    <cellStyle name="60% - 强调文字颜色 3 2 4 7" xfId="19212"/>
    <cellStyle name="60% - 强调文字颜色 3 2 4 8" xfId="22594"/>
    <cellStyle name="60% - 强调文字颜色 3 2 4 9" xfId="19776"/>
    <cellStyle name="60% - 强调文字颜色 3 2 5" xfId="1358"/>
    <cellStyle name="60% - 强调文字颜色 3 2 5 10" xfId="30921"/>
    <cellStyle name="60% - 强调文字颜色 3 2 5 11" xfId="33061"/>
    <cellStyle name="60% - 强调文字颜色 3 2 5 2" xfId="4863"/>
    <cellStyle name="60% - 强调文字颜色 3 2 5 3" xfId="6901"/>
    <cellStyle name="60% - 强调文字颜色 3 2 5 4" xfId="13045"/>
    <cellStyle name="60% - 强调文字颜色 3 2 5 5" xfId="16547"/>
    <cellStyle name="60% - 强调文字颜色 3 2 5 6" xfId="7658"/>
    <cellStyle name="60% - 强调文字颜色 3 2 5 7" xfId="19213"/>
    <cellStyle name="60% - 强调文字颜色 3 2 5 8" xfId="22054"/>
    <cellStyle name="60% - 强调文字颜色 3 2 5 9" xfId="20991"/>
    <cellStyle name="60% - 强调文字颜色 3 2 6" xfId="1359"/>
    <cellStyle name="60% - 强调文字颜色 3 2 6 10" xfId="30922"/>
    <cellStyle name="60% - 强调文字颜色 3 2 6 11" xfId="32659"/>
    <cellStyle name="60% - 强调文字颜色 3 2 6 2" xfId="4864"/>
    <cellStyle name="60% - 强调文字颜色 3 2 6 3" xfId="6902"/>
    <cellStyle name="60% - 强调文字颜色 3 2 6 4" xfId="13046"/>
    <cellStyle name="60% - 强调文字颜色 3 2 6 5" xfId="16548"/>
    <cellStyle name="60% - 强调文字颜色 3 2 6 6" xfId="7657"/>
    <cellStyle name="60% - 强调文字颜色 3 2 6 7" xfId="19214"/>
    <cellStyle name="60% - 强调文字颜色 3 2 6 8" xfId="23036"/>
    <cellStyle name="60% - 强调文字颜色 3 2 6 9" xfId="20435"/>
    <cellStyle name="60% - 强调文字颜色 3 2 7" xfId="1360"/>
    <cellStyle name="60% - 强调文字颜色 3 2 7 10" xfId="30923"/>
    <cellStyle name="60% - 强调文字颜色 3 2 7 11" xfId="32416"/>
    <cellStyle name="60% - 强调文字颜色 3 2 7 2" xfId="4865"/>
    <cellStyle name="60% - 强调文字颜色 3 2 7 3" xfId="6903"/>
    <cellStyle name="60% - 强调文字颜色 3 2 7 4" xfId="13047"/>
    <cellStyle name="60% - 强调文字颜色 3 2 7 5" xfId="16549"/>
    <cellStyle name="60% - 强调文字颜色 3 2 7 6" xfId="7656"/>
    <cellStyle name="60% - 强调文字颜色 3 2 7 7" xfId="19215"/>
    <cellStyle name="60% - 强调文字颜色 3 2 7 8" xfId="22053"/>
    <cellStyle name="60% - 强调文字颜色 3 2 7 9" xfId="19775"/>
    <cellStyle name="60% - 强调文字颜色 3 2 8" xfId="1361"/>
    <cellStyle name="60% - 强调文字颜色 3 2 8 10" xfId="30924"/>
    <cellStyle name="60% - 强调文字颜色 3 2 8 11" xfId="32180"/>
    <cellStyle name="60% - 强调文字颜色 3 2 8 2" xfId="4866"/>
    <cellStyle name="60% - 强调文字颜色 3 2 8 3" xfId="6904"/>
    <cellStyle name="60% - 强调文字颜色 3 2 8 4" xfId="13048"/>
    <cellStyle name="60% - 强调文字颜色 3 2 8 5" xfId="16550"/>
    <cellStyle name="60% - 强调文字颜色 3 2 8 6" xfId="11163"/>
    <cellStyle name="60% - 强调文字颜色 3 2 8 7" xfId="19216"/>
    <cellStyle name="60% - 强调文字颜色 3 2 8 8" xfId="21567"/>
    <cellStyle name="60% - 强调文字颜色 3 2 8 9" xfId="20990"/>
    <cellStyle name="60% - 强调文字颜色 3 2 9" xfId="1362"/>
    <cellStyle name="60% - 强调文字颜色 3 2 9 10" xfId="30925"/>
    <cellStyle name="60% - 强调文字颜色 3 2 9 11" xfId="31713"/>
    <cellStyle name="60% - 强调文字颜色 3 2 9 2" xfId="4867"/>
    <cellStyle name="60% - 强调文字颜色 3 2 9 3" xfId="6905"/>
    <cellStyle name="60% - 强调文字颜色 3 2 9 4" xfId="13049"/>
    <cellStyle name="60% - 强调文字颜色 3 2 9 5" xfId="16551"/>
    <cellStyle name="60% - 强调文字颜色 3 2 9 6" xfId="9996"/>
    <cellStyle name="60% - 强调文字颜色 3 2 9 7" xfId="19217"/>
    <cellStyle name="60% - 强调文字颜色 3 2 9 8" xfId="23035"/>
    <cellStyle name="60% - 强调文字颜色 3 2 9 9" xfId="20434"/>
    <cellStyle name="60% - 强调文字颜色 3 3" xfId="1363"/>
    <cellStyle name="60% - 强调文字颜色 3 3 10" xfId="22052"/>
    <cellStyle name="60% - 强调文字颜色 3 3 11" xfId="19774"/>
    <cellStyle name="60% - 强调文字颜色 3 3 12" xfId="30926"/>
    <cellStyle name="60% - 强调文字颜色 3 3 13" xfId="33309"/>
    <cellStyle name="60% - 强调文字颜色 3 3 2" xfId="1364"/>
    <cellStyle name="60% - 强调文字颜色 3 3 2 10" xfId="30927"/>
    <cellStyle name="60% - 强调文字颜色 3 3 2 11" xfId="33060"/>
    <cellStyle name="60% - 强调文字颜色 3 3 2 2" xfId="4869"/>
    <cellStyle name="60% - 强调文字颜色 3 3 2 3" xfId="6907"/>
    <cellStyle name="60% - 强调文字颜色 3 3 2 4" xfId="13051"/>
    <cellStyle name="60% - 强调文字颜色 3 3 2 5" xfId="16553"/>
    <cellStyle name="60% - 强调文字颜色 3 3 2 6" xfId="9995"/>
    <cellStyle name="60% - 强调文字颜色 3 3 2 7" xfId="19219"/>
    <cellStyle name="60% - 强调文字颜色 3 3 2 8" xfId="21566"/>
    <cellStyle name="60% - 强调文字颜色 3 3 2 9" xfId="20989"/>
    <cellStyle name="60% - 强调文字颜色 3 3 3" xfId="1365"/>
    <cellStyle name="60% - 强调文字颜色 3 3 3 10" xfId="30928"/>
    <cellStyle name="60% - 强调文字颜色 3 3 3 11" xfId="32658"/>
    <cellStyle name="60% - 强调文字颜色 3 3 3 2" xfId="4870"/>
    <cellStyle name="60% - 强调文字颜色 3 3 3 3" xfId="6908"/>
    <cellStyle name="60% - 强调文字颜色 3 3 3 4" xfId="13052"/>
    <cellStyle name="60% - 强调文字颜色 3 3 3 5" xfId="16554"/>
    <cellStyle name="60% - 强调文字颜色 3 3 3 6" xfId="11161"/>
    <cellStyle name="60% - 强调文字颜色 3 3 3 7" xfId="19220"/>
    <cellStyle name="60% - 强调文字颜色 3 3 3 8" xfId="23034"/>
    <cellStyle name="60% - 强调文字颜色 3 3 3 9" xfId="20433"/>
    <cellStyle name="60% - 强调文字颜色 3 3 4" xfId="4868"/>
    <cellStyle name="60% - 强调文字颜色 3 3 5" xfId="6906"/>
    <cellStyle name="60% - 强调文字颜色 3 3 6" xfId="13050"/>
    <cellStyle name="60% - 强调文字颜色 3 3 7" xfId="16552"/>
    <cellStyle name="60% - 强调文字颜色 3 3 8" xfId="11162"/>
    <cellStyle name="60% - 强调文字颜色 3 3 9" xfId="19218"/>
    <cellStyle name="60% - 强调文字颜色 3 4" xfId="1366"/>
    <cellStyle name="60% - 强调文字颜色 3 4 10" xfId="22051"/>
    <cellStyle name="60% - 强调文字颜色 3 4 11" xfId="19773"/>
    <cellStyle name="60% - 强调文字颜色 3 4 12" xfId="30929"/>
    <cellStyle name="60% - 强调文字颜色 3 4 13" xfId="32415"/>
    <cellStyle name="60% - 强调文字颜色 3 4 2" xfId="1367"/>
    <cellStyle name="60% - 强调文字颜色 3 4 2 10" xfId="30930"/>
    <cellStyle name="60% - 强调文字颜色 3 4 2 11" xfId="32179"/>
    <cellStyle name="60% - 强调文字颜色 3 4 2 2" xfId="4872"/>
    <cellStyle name="60% - 强调文字颜色 3 4 2 3" xfId="6910"/>
    <cellStyle name="60% - 强调文字颜色 3 4 2 4" xfId="13054"/>
    <cellStyle name="60% - 强调文字颜色 3 4 2 5" xfId="16556"/>
    <cellStyle name="60% - 强调文字颜色 3 4 2 6" xfId="11160"/>
    <cellStyle name="60% - 强调文字颜色 3 4 2 7" xfId="19222"/>
    <cellStyle name="60% - 强调文字颜色 3 4 2 8" xfId="21565"/>
    <cellStyle name="60% - 强调文字颜色 3 4 2 9" xfId="21463"/>
    <cellStyle name="60% - 强调文字颜色 3 4 3" xfId="1368"/>
    <cellStyle name="60% - 强调文字颜色 3 4 3 10" xfId="30931"/>
    <cellStyle name="60% - 强调文字颜色 3 4 3 11" xfId="31712"/>
    <cellStyle name="60% - 强调文字颜色 3 4 3 2" xfId="4873"/>
    <cellStyle name="60% - 强调文字颜色 3 4 3 3" xfId="6911"/>
    <cellStyle name="60% - 强调文字颜色 3 4 3 4" xfId="13055"/>
    <cellStyle name="60% - 强调文字颜色 3 4 3 5" xfId="16557"/>
    <cellStyle name="60% - 强调文字颜色 3 4 3 6" xfId="9993"/>
    <cellStyle name="60% - 强调文字颜色 3 4 3 7" xfId="19223"/>
    <cellStyle name="60% - 强调文字颜色 3 4 3 8" xfId="23033"/>
    <cellStyle name="60% - 强调文字颜色 3 4 3 9" xfId="20325"/>
    <cellStyle name="60% - 强调文字颜色 3 4 4" xfId="4871"/>
    <cellStyle name="60% - 强调文字颜色 3 4 5" xfId="6909"/>
    <cellStyle name="60% - 强调文字颜色 3 4 6" xfId="13053"/>
    <cellStyle name="60% - 强调文字颜色 3 4 7" xfId="16555"/>
    <cellStyle name="60% - 强调文字颜色 3 4 8" xfId="9994"/>
    <cellStyle name="60% - 强调文字颜色 3 4 9" xfId="19221"/>
    <cellStyle name="60% - 强调文字颜色 3 5" xfId="4843"/>
    <cellStyle name="60% - 强调文字颜色 3 5 2" xfId="10093"/>
    <cellStyle name="60% - 强调文字颜色 3 5 3" xfId="17347"/>
    <cellStyle name="60% - 强调文字颜色 3 6" xfId="6879"/>
    <cellStyle name="60% - 强调文字颜色 3 6 2" xfId="11224"/>
    <cellStyle name="60% - 强调文字颜色 3 6 3" xfId="17400"/>
    <cellStyle name="60% - 强调文字颜色 3 7" xfId="13023"/>
    <cellStyle name="60% - 强调文字颜色 3 8" xfId="16527"/>
    <cellStyle name="60% - 强调文字颜色 3 9" xfId="7676"/>
    <cellStyle name="60% - 强调文字颜色 3 9 2" xfId="26595"/>
    <cellStyle name="60% - 强调文字颜色 4" xfId="1369" builtinId="44" customBuiltin="1"/>
    <cellStyle name="60% - 强调文字颜色 4 10" xfId="17457"/>
    <cellStyle name="60% - 强调文字颜色 4 11" xfId="17543"/>
    <cellStyle name="60% - 强调文字颜色 4 11 2" xfId="29541"/>
    <cellStyle name="60% - 强调文字颜色 4 12" xfId="17629"/>
    <cellStyle name="60% - 强调文字颜色 4 13" xfId="17715"/>
    <cellStyle name="60% - 强调文字颜色 4 14" xfId="17801"/>
    <cellStyle name="60% - 强调文字颜色 4 15" xfId="19224"/>
    <cellStyle name="60% - 强调文字颜色 4 15 2" xfId="21385"/>
    <cellStyle name="60% - 强调文字颜色 4 15 3" xfId="23468"/>
    <cellStyle name="60% - 强调文字颜色 4 16" xfId="22050"/>
    <cellStyle name="60% - 强调文字颜色 4 17" xfId="20987"/>
    <cellStyle name="60% - 强调文字颜色 4 2" xfId="1370"/>
    <cellStyle name="60% - 强调文字颜色 4 2 10" xfId="1371"/>
    <cellStyle name="60% - 强调文字颜色 4 2 10 10" xfId="30932"/>
    <cellStyle name="60% - 强调文字颜色 4 2 10 11" xfId="32654"/>
    <cellStyle name="60% - 强调文字颜色 4 2 10 2" xfId="4876"/>
    <cellStyle name="60% - 强调文字颜色 4 2 10 3" xfId="6914"/>
    <cellStyle name="60% - 强调文字颜色 4 2 10 4" xfId="13058"/>
    <cellStyle name="60% - 强调文字颜色 4 2 10 5" xfId="16560"/>
    <cellStyle name="60% - 强调文字颜色 4 2 10 6" xfId="11158"/>
    <cellStyle name="60% - 强调文字颜色 4 2 10 7" xfId="19226"/>
    <cellStyle name="60% - 强调文字颜色 4 2 10 8" xfId="23032"/>
    <cellStyle name="60% - 强调文字颜色 4 2 10 9" xfId="21462"/>
    <cellStyle name="60% - 强调文字颜色 4 2 11" xfId="1372"/>
    <cellStyle name="60% - 强调文字颜色 4 2 11 10" xfId="30933"/>
    <cellStyle name="60% - 强调文字颜色 4 2 11 11" xfId="32411"/>
    <cellStyle name="60% - 强调文字颜色 4 2 11 2" xfId="4877"/>
    <cellStyle name="60% - 强调文字颜色 4 2 11 3" xfId="6915"/>
    <cellStyle name="60% - 强调文字颜色 4 2 11 4" xfId="13059"/>
    <cellStyle name="60% - 强调文字颜色 4 2 11 5" xfId="16561"/>
    <cellStyle name="60% - 强调文字颜色 4 2 11 6" xfId="9991"/>
    <cellStyle name="60% - 强调文字颜色 4 2 11 7" xfId="19227"/>
    <cellStyle name="60% - 强调文字颜色 4 2 11 8" xfId="22049"/>
    <cellStyle name="60% - 强调文字颜色 4 2 11 9" xfId="20326"/>
    <cellStyle name="60% - 强调文字颜色 4 2 12" xfId="1373"/>
    <cellStyle name="60% - 强调文字颜色 4 2 12 10" xfId="30934"/>
    <cellStyle name="60% - 强调文字颜色 4 2 12 11" xfId="32175"/>
    <cellStyle name="60% - 强调文字颜色 4 2 12 2" xfId="4878"/>
    <cellStyle name="60% - 强调文字颜色 4 2 12 3" xfId="6916"/>
    <cellStyle name="60% - 强调文字颜色 4 2 12 4" xfId="13060"/>
    <cellStyle name="60% - 强调文字颜色 4 2 12 5" xfId="16562"/>
    <cellStyle name="60% - 强调文字颜色 4 2 12 6" xfId="11157"/>
    <cellStyle name="60% - 强调文字颜色 4 2 12 7" xfId="19228"/>
    <cellStyle name="60% - 强调文字颜色 4 2 12 8" xfId="21563"/>
    <cellStyle name="60% - 强调文字颜色 4 2 12 9" xfId="20986"/>
    <cellStyle name="60% - 强调文字颜色 4 2 13" xfId="1374"/>
    <cellStyle name="60% - 强调文字颜色 4 2 13 10" xfId="30935"/>
    <cellStyle name="60% - 强调文字颜色 4 2 13 11" xfId="31708"/>
    <cellStyle name="60% - 强调文字颜色 4 2 13 2" xfId="4879"/>
    <cellStyle name="60% - 强调文字颜色 4 2 13 3" xfId="6917"/>
    <cellStyle name="60% - 强调文字颜色 4 2 13 4" xfId="13061"/>
    <cellStyle name="60% - 强调文字颜色 4 2 13 5" xfId="16563"/>
    <cellStyle name="60% - 强调文字颜色 4 2 13 6" xfId="9990"/>
    <cellStyle name="60% - 强调文字颜色 4 2 13 7" xfId="19229"/>
    <cellStyle name="60% - 强调文字颜色 4 2 13 8" xfId="23031"/>
    <cellStyle name="60% - 强调文字颜色 4 2 13 9" xfId="20811"/>
    <cellStyle name="60% - 强调文字颜色 4 2 14" xfId="1375"/>
    <cellStyle name="60% - 强调文字颜色 4 2 14 10" xfId="22048"/>
    <cellStyle name="60% - 强调文字颜色 4 2 14 10 2" xfId="29543"/>
    <cellStyle name="60% - 强调文字颜色 4 2 14 11" xfId="20170"/>
    <cellStyle name="60% - 强调文字颜色 4 2 14 11 2" xfId="29678"/>
    <cellStyle name="60% - 强调文字颜色 4 2 14 12" xfId="30936"/>
    <cellStyle name="60% - 强调文字颜色 4 2 14 13" xfId="33307"/>
    <cellStyle name="60% - 强调文字颜色 4 2 14 2" xfId="1376"/>
    <cellStyle name="60% - 强调文字颜色 4 2 14 2 2" xfId="6919"/>
    <cellStyle name="60% - 强调文字颜色 4 2 14 2 2 2" xfId="23587"/>
    <cellStyle name="60% - 强调文字颜色 4 2 14 2 2 3" xfId="26172"/>
    <cellStyle name="60% - 强调文字颜色 4 2 14 2 2 4" xfId="23586"/>
    <cellStyle name="60% - 强调文字颜色 4 2 14 2 3" xfId="13063"/>
    <cellStyle name="60% - 强调文字颜色 4 2 14 2 4" xfId="9989"/>
    <cellStyle name="60% - 强调文字颜色 4 2 14 2 4 2" xfId="26605"/>
    <cellStyle name="60% - 强调文字颜色 4 2 14 2 4 2 2" xfId="27054"/>
    <cellStyle name="60% - 强调文字颜色 4 2 14 2 4 3" xfId="26171"/>
    <cellStyle name="60% - 强调文字颜色 4 2 14 2 5" xfId="19231"/>
    <cellStyle name="60% - 强调文字颜色 4 2 14 2 6" xfId="21562"/>
    <cellStyle name="60% - 强调文字颜色 4 2 14 2 6 2" xfId="29619"/>
    <cellStyle name="60% - 强调文字颜色 4 2 14 2 7" xfId="19770"/>
    <cellStyle name="60% - 强调文字颜色 4 2 14 2 7 2" xfId="29651"/>
    <cellStyle name="60% - 强调文字颜色 4 2 14 2 8" xfId="31652"/>
    <cellStyle name="60% - 强调文字颜色 4 2 14 2 9" xfId="32096"/>
    <cellStyle name="60% - 强调文字颜色 4 2 14 3" xfId="4880"/>
    <cellStyle name="60% - 强调文字颜色 4 2 14 4" xfId="6918"/>
    <cellStyle name="60% - 强调文字颜色 4 2 14 4 2" xfId="10130"/>
    <cellStyle name="60% - 强调文字颜色 4 2 14 4 2 2" xfId="29443"/>
    <cellStyle name="60% - 强调文字颜色 4 2 14 4 2 3" xfId="29374"/>
    <cellStyle name="60% - 强调文字颜色 4 2 14 4 3" xfId="17354"/>
    <cellStyle name="60% - 强调文字颜色 4 2 14 4 4" xfId="21933"/>
    <cellStyle name="60% - 强调文字颜色 4 2 14 4 5" xfId="22472"/>
    <cellStyle name="60% - 强调文字颜色 4 2 14 4 6" xfId="29684"/>
    <cellStyle name="60% - 强调文字颜色 4 2 14 4 7" xfId="32059"/>
    <cellStyle name="60% - 强调文字颜色 4 2 14 4 8" xfId="32089"/>
    <cellStyle name="60% - 强调文字颜色 4 2 14 5" xfId="11263"/>
    <cellStyle name="60% - 强调文字颜色 4 2 14 6" xfId="13062"/>
    <cellStyle name="60% - 强调文字颜色 4 2 14 7" xfId="16564"/>
    <cellStyle name="60% - 强调文字颜色 4 2 14 8" xfId="11156"/>
    <cellStyle name="60% - 强调文字颜色 4 2 14 8 2" xfId="26604"/>
    <cellStyle name="60% - 强调文字颜色 4 2 14 8 3" xfId="25778"/>
    <cellStyle name="60% - 强调文字颜色 4 2 14 9" xfId="19230"/>
    <cellStyle name="60% - 强调文字颜色 4 2 14 9 2" xfId="29480"/>
    <cellStyle name="60% - 强调文字颜色 4 2 14 9 2 2" xfId="33251"/>
    <cellStyle name="60% - 强调文字颜色 4 2 14 9 3" xfId="33552"/>
    <cellStyle name="60% - 强调文字颜色 4 2 14 9 4" xfId="26870"/>
    <cellStyle name="60% - 强调文字颜色 4 2 15" xfId="1377"/>
    <cellStyle name="60% - 强调文字颜色 4 2 15 10" xfId="30937"/>
    <cellStyle name="60% - 强调文字颜色 4 2 15 11" xfId="33058"/>
    <cellStyle name="60% - 强调文字颜色 4 2 15 2" xfId="4881"/>
    <cellStyle name="60% - 强调文字颜色 4 2 15 3" xfId="6920"/>
    <cellStyle name="60% - 强调文字颜色 4 2 15 4" xfId="13064"/>
    <cellStyle name="60% - 强调文字颜色 4 2 15 5" xfId="16565"/>
    <cellStyle name="60% - 强调文字颜色 4 2 15 6" xfId="11155"/>
    <cellStyle name="60% - 强调文字颜色 4 2 15 7" xfId="19232"/>
    <cellStyle name="60% - 强调文字颜色 4 2 15 8" xfId="23030"/>
    <cellStyle name="60% - 强调文字颜色 4 2 15 9" xfId="21461"/>
    <cellStyle name="60% - 强调文字颜色 4 2 16" xfId="1378"/>
    <cellStyle name="60% - 强调文字颜色 4 2 16 10" xfId="30938"/>
    <cellStyle name="60% - 强调文字颜色 4 2 16 11" xfId="32656"/>
    <cellStyle name="60% - 强调文字颜色 4 2 16 2" xfId="4882"/>
    <cellStyle name="60% - 强调文字颜色 4 2 16 3" xfId="6921"/>
    <cellStyle name="60% - 强调文字颜色 4 2 16 4" xfId="13065"/>
    <cellStyle name="60% - 强调文字颜色 4 2 16 5" xfId="16566"/>
    <cellStyle name="60% - 强调文字颜色 4 2 16 6" xfId="9988"/>
    <cellStyle name="60% - 强调文字颜色 4 2 16 7" xfId="19233"/>
    <cellStyle name="60% - 强调文字颜色 4 2 16 8" xfId="22047"/>
    <cellStyle name="60% - 强调文字颜色 4 2 16 9" xfId="20327"/>
    <cellStyle name="60% - 强调文字颜色 4 2 17" xfId="1379"/>
    <cellStyle name="60% - 强调文字颜色 4 2 17 10" xfId="30939"/>
    <cellStyle name="60% - 强调文字颜色 4 2 17 11" xfId="32413"/>
    <cellStyle name="60% - 强调文字颜色 4 2 17 2" xfId="4883"/>
    <cellStyle name="60% - 强调文字颜色 4 2 17 3" xfId="6922"/>
    <cellStyle name="60% - 强调文字颜色 4 2 17 4" xfId="13066"/>
    <cellStyle name="60% - 强调文字颜色 4 2 17 5" xfId="16567"/>
    <cellStyle name="60% - 强调文字颜色 4 2 17 6" xfId="11154"/>
    <cellStyle name="60% - 强调文字颜色 4 2 17 7" xfId="19234"/>
    <cellStyle name="60% - 强调文字颜色 4 2 17 8" xfId="21561"/>
    <cellStyle name="60% - 强调文字颜色 4 2 17 9" xfId="20985"/>
    <cellStyle name="60% - 强调文字颜色 4 2 18" xfId="1380"/>
    <cellStyle name="60% - 强调文字颜色 4 2 18 10" xfId="30940"/>
    <cellStyle name="60% - 强调文字颜色 4 2 18 11" xfId="32177"/>
    <cellStyle name="60% - 强调文字颜色 4 2 18 2" xfId="4884"/>
    <cellStyle name="60% - 强调文字颜色 4 2 18 3" xfId="6923"/>
    <cellStyle name="60% - 强调文字颜色 4 2 18 4" xfId="13067"/>
    <cellStyle name="60% - 强调文字颜色 4 2 18 5" xfId="16568"/>
    <cellStyle name="60% - 强调文字颜色 4 2 18 6" xfId="9987"/>
    <cellStyle name="60% - 强调文字颜色 4 2 18 7" xfId="19235"/>
    <cellStyle name="60% - 强调文字颜色 4 2 18 8" xfId="23029"/>
    <cellStyle name="60% - 强调文字颜色 4 2 18 9" xfId="20810"/>
    <cellStyle name="60% - 强调文字颜色 4 2 19" xfId="4875"/>
    <cellStyle name="60% - 强调文字颜色 4 2 19 2" xfId="23585"/>
    <cellStyle name="60% - 强调文字颜色 4 2 19 2 2" xfId="23650"/>
    <cellStyle name="60% - 强调文字颜色 4 2 19 2 2 2" xfId="29618"/>
    <cellStyle name="60% - 强调文字颜色 4 2 19 2 2 2 2" xfId="29660"/>
    <cellStyle name="60% - 强调文字颜色 4 2 19 2 3" xfId="26235"/>
    <cellStyle name="60% - 强调文字颜色 4 2 19 2 4" xfId="31892"/>
    <cellStyle name="60% - 强调文字颜色 4 2 19 2 5" xfId="30567"/>
    <cellStyle name="60% - 强调文字颜色 4 2 19 3" xfId="26170"/>
    <cellStyle name="60% - 强调文字颜色 4 2 19 3 2" xfId="26984"/>
    <cellStyle name="60% - 强调文字颜色 4 2 19 3 2 2" xfId="27053"/>
    <cellStyle name="60% - 强调文字颜色 4 2 19 3 2 2 2" xfId="33458"/>
    <cellStyle name="60% - 强调文字颜色 4 2 19 3 2 2 2 2" xfId="33479"/>
    <cellStyle name="60% - 强调文字颜色 4 2 19 3 2 3" xfId="33596"/>
    <cellStyle name="60% - 强调文字颜色 4 2 19 3 3" xfId="29526"/>
    <cellStyle name="60% - 强调文字颜色 4 2 19 3 3 2" xfId="33579"/>
    <cellStyle name="60% - 强调文字颜色 4 2 19 4" xfId="29015"/>
    <cellStyle name="60% - 强调文字颜色 4 2 19 4 2" xfId="31651"/>
    <cellStyle name="60% - 强调文字颜色 4 2 19 5" xfId="32097"/>
    <cellStyle name="60% - 强调文字颜色 4 2 2" xfId="1381"/>
    <cellStyle name="60% - 强调文字颜色 4 2 2 10" xfId="11269"/>
    <cellStyle name="60% - 强调文字颜色 4 2 2 10 2" xfId="23812"/>
    <cellStyle name="60% - 强调文字颜色 4 2 2 10 2 2" xfId="26992"/>
    <cellStyle name="60% - 强调文字颜色 4 2 2 10 2 2 2" xfId="27123"/>
    <cellStyle name="60% - 强调文字颜色 4 2 2 10 3" xfId="26397"/>
    <cellStyle name="60% - 强调文字颜色 4 2 2 10 4" xfId="23518"/>
    <cellStyle name="60% - 强调文字颜色 4 2 2 11" xfId="13068"/>
    <cellStyle name="60% - 强调文字颜色 4 2 2 12" xfId="16569"/>
    <cellStyle name="60% - 强调文字颜色 4 2 2 13" xfId="11153"/>
    <cellStyle name="60% - 强调文字颜色 4 2 2 13 2" xfId="29457"/>
    <cellStyle name="60% - 强调文字颜色 4 2 2 13 2 2" xfId="32994"/>
    <cellStyle name="60% - 强调文字颜色 4 2 2 13 3" xfId="33516"/>
    <cellStyle name="60% - 强调文字颜色 4 2 2 13 4" xfId="25779"/>
    <cellStyle name="60% - 强调文字颜色 4 2 2 14" xfId="19236"/>
    <cellStyle name="60% - 强调文字颜色 4 2 2 15" xfId="22046"/>
    <cellStyle name="60% - 强调文字颜色 4 2 2 15 2" xfId="29544"/>
    <cellStyle name="60% - 强调文字颜色 4 2 2 16" xfId="20169"/>
    <cellStyle name="60% - 强调文字颜色 4 2 2 16 2" xfId="29613"/>
    <cellStyle name="60% - 强调文字颜色 4 2 2 17" xfId="30941"/>
    <cellStyle name="60% - 强调文字颜色 4 2 2 18" xfId="31710"/>
    <cellStyle name="60% - 强调文字颜色 4 2 2 2" xfId="1382"/>
    <cellStyle name="60% - 强调文字颜色 4 2 2 2 10" xfId="21560"/>
    <cellStyle name="60% - 强调文字颜色 4 2 2 2 10 2" xfId="29545"/>
    <cellStyle name="60% - 强调文字颜色 4 2 2 2 11" xfId="19769"/>
    <cellStyle name="60% - 强调文字颜色 4 2 2 2 11 2" xfId="29713"/>
    <cellStyle name="60% - 强调文字颜色 4 2 2 2 12" xfId="30942"/>
    <cellStyle name="60% - 强调文字颜色 4 2 2 2 13" xfId="33306"/>
    <cellStyle name="60% - 强调文字颜色 4 2 2 2 2" xfId="1383"/>
    <cellStyle name="60% - 强调文字颜色 4 2 2 2 2 2" xfId="6926"/>
    <cellStyle name="60% - 强调文字颜色 4 2 2 2 2 3" xfId="13070"/>
    <cellStyle name="60% - 强调文字颜色 4 2 2 2 2 3 2" xfId="23887"/>
    <cellStyle name="60% - 强调文字颜色 4 2 2 2 2 3 3" xfId="26472"/>
    <cellStyle name="60% - 强调文字颜色 4 2 2 2 2 3 4" xfId="23589"/>
    <cellStyle name="60% - 强调文字颜色 4 2 2 2 2 4" xfId="7655"/>
    <cellStyle name="60% - 强调文字颜色 4 2 2 2 2 4 2" xfId="26606"/>
    <cellStyle name="60% - 强调文字颜色 4 2 2 2 2 4 2 2" xfId="27056"/>
    <cellStyle name="60% - 强调文字颜色 4 2 2 2 2 4 3" xfId="26174"/>
    <cellStyle name="60% - 强调文字颜色 4 2 2 2 2 5" xfId="19238"/>
    <cellStyle name="60% - 强调文字颜色 4 2 2 2 2 6" xfId="23028"/>
    <cellStyle name="60% - 强调文字颜色 4 2 2 2 2 6 2" xfId="29621"/>
    <cellStyle name="60% - 强调文字颜色 4 2 2 2 2 6 2 2" xfId="33252"/>
    <cellStyle name="60% - 强调文字颜色 4 2 2 2 2 6 3" xfId="33553"/>
    <cellStyle name="60% - 强调文字颜色 4 2 2 2 2 7" xfId="20984"/>
    <cellStyle name="60% - 强调文字颜色 4 2 2 2 2 7 2" xfId="29525"/>
    <cellStyle name="60% - 强调文字颜色 4 2 2 2 2 8" xfId="31654"/>
    <cellStyle name="60% - 强调文字颜色 4 2 2 2 2 9" xfId="31610"/>
    <cellStyle name="60% - 强调文字颜色 4 2 2 2 3" xfId="4886"/>
    <cellStyle name="60% - 强调文字颜色 4 2 2 2 3 2" xfId="23652"/>
    <cellStyle name="60% - 强调文字颜色 4 2 2 2 3 2 2" xfId="26607"/>
    <cellStyle name="60% - 强调文字颜色 4 2 2 2 3 2 2 2" xfId="27078"/>
    <cellStyle name="60% - 强调文字颜色 4 2 2 2 3 3" xfId="26237"/>
    <cellStyle name="60% - 强调文字颜色 4 2 2 2 4" xfId="6925"/>
    <cellStyle name="60% - 强调文字颜色 4 2 2 2 4 2" xfId="10136"/>
    <cellStyle name="60% - 强调文字颜色 4 2 2 2 4 2 2" xfId="26608"/>
    <cellStyle name="60% - 强调文字颜色 4 2 2 2 4 2 2 2" xfId="27100"/>
    <cellStyle name="60% - 强调文字颜色 4 2 2 2 4 2 2 2 2" xfId="32996"/>
    <cellStyle name="60% - 强调文字颜色 4 2 2 2 4 2 2 2 2 2" xfId="33505"/>
    <cellStyle name="60% - 强调文字颜色 4 2 2 2 4 2 2 3" xfId="33621"/>
    <cellStyle name="60% - 强调文字颜色 4 2 2 2 4 2 3" xfId="29445"/>
    <cellStyle name="60% - 强调文字颜色 4 2 2 2 4 2 3 2" xfId="33518"/>
    <cellStyle name="60% - 强调文字颜色 4 2 2 2 4 3" xfId="17356"/>
    <cellStyle name="60% - 强调文字颜色 4 2 2 2 4 3 2" xfId="29376"/>
    <cellStyle name="60% - 强调文字颜色 4 2 2 2 4 3 2 2" xfId="29470"/>
    <cellStyle name="60% - 强调文字颜色 4 2 2 2 4 4" xfId="21935"/>
    <cellStyle name="60% - 强调文字颜色 4 2 2 2 4 5" xfId="22473"/>
    <cellStyle name="60% - 强调文字颜色 4 2 2 2 4 6" xfId="29604"/>
    <cellStyle name="60% - 强调文字颜色 4 2 2 2 4 7" xfId="32061"/>
    <cellStyle name="60% - 强调文字颜色 4 2 2 2 4 8" xfId="33213"/>
    <cellStyle name="60% - 强调文字颜色 4 2 2 2 5" xfId="11270"/>
    <cellStyle name="60% - 强调文字颜色 4 2 2 2 5 2" xfId="23813"/>
    <cellStyle name="60% - 强调文字颜色 4 2 2 2 5 2 2" xfId="26993"/>
    <cellStyle name="60% - 强调文字颜色 4 2 2 2 5 2 2 2" xfId="27124"/>
    <cellStyle name="60% - 强调文字颜色 4 2 2 2 5 3" xfId="26398"/>
    <cellStyle name="60% - 强调文字颜色 4 2 2 2 5 4" xfId="23519"/>
    <cellStyle name="60% - 强调文字颜色 4 2 2 2 6" xfId="13069"/>
    <cellStyle name="60% - 强调文字颜色 4 2 2 2 7" xfId="16570"/>
    <cellStyle name="60% - 强调文字颜色 4 2 2 2 8" xfId="9986"/>
    <cellStyle name="60% - 强调文字颜色 4 2 2 2 8 2" xfId="29436"/>
    <cellStyle name="60% - 强调文字颜色 4 2 2 2 8 2 2" xfId="32995"/>
    <cellStyle name="60% - 强调文字颜色 4 2 2 2 8 3" xfId="33517"/>
    <cellStyle name="60% - 强调文字颜色 4 2 2 2 8 4" xfId="25780"/>
    <cellStyle name="60% - 强调文字颜色 4 2 2 2 9" xfId="19237"/>
    <cellStyle name="60% - 强调文字颜色 4 2 2 3" xfId="1384"/>
    <cellStyle name="60% - 强调文字颜色 4 2 2 3 10" xfId="30943"/>
    <cellStyle name="60% - 强调文字颜色 4 2 2 3 11" xfId="33057"/>
    <cellStyle name="60% - 强调文字颜色 4 2 2 3 2" xfId="4887"/>
    <cellStyle name="60% - 强调文字颜色 4 2 2 3 3" xfId="6927"/>
    <cellStyle name="60% - 强调文字颜色 4 2 2 3 4" xfId="13071"/>
    <cellStyle name="60% - 强调文字颜色 4 2 2 3 5" xfId="16571"/>
    <cellStyle name="60% - 强调文字颜色 4 2 2 3 6" xfId="7654"/>
    <cellStyle name="60% - 强调文字颜色 4 2 2 3 7" xfId="19239"/>
    <cellStyle name="60% - 强调文字颜色 4 2 2 3 8" xfId="22045"/>
    <cellStyle name="60% - 强调文字颜色 4 2 2 3 9" xfId="20431"/>
    <cellStyle name="60% - 强调文字颜色 4 2 2 4" xfId="1385"/>
    <cellStyle name="60% - 强调文字颜色 4 2 2 4 10" xfId="30944"/>
    <cellStyle name="60% - 强调文字颜色 4 2 2 4 11" xfId="32655"/>
    <cellStyle name="60% - 强调文字颜色 4 2 2 4 2" xfId="4888"/>
    <cellStyle name="60% - 强调文字颜色 4 2 2 4 3" xfId="6928"/>
    <cellStyle name="60% - 强调文字颜色 4 2 2 4 4" xfId="13072"/>
    <cellStyle name="60% - 强调文字颜色 4 2 2 4 5" xfId="16572"/>
    <cellStyle name="60% - 强调文字颜色 4 2 2 4 6" xfId="7653"/>
    <cellStyle name="60% - 强调文字颜色 4 2 2 4 7" xfId="19240"/>
    <cellStyle name="60% - 强调文字颜色 4 2 2 4 8" xfId="21559"/>
    <cellStyle name="60% - 强调文字颜色 4 2 2 4 9" xfId="19768"/>
    <cellStyle name="60% - 强调文字颜色 4 2 2 5" xfId="1386"/>
    <cellStyle name="60% - 强调文字颜色 4 2 2 5 10" xfId="30945"/>
    <cellStyle name="60% - 强调文字颜色 4 2 2 5 11" xfId="32412"/>
    <cellStyle name="60% - 强调文字颜色 4 2 2 5 2" xfId="4889"/>
    <cellStyle name="60% - 强调文字颜色 4 2 2 5 3" xfId="6929"/>
    <cellStyle name="60% - 强调文字颜色 4 2 2 5 4" xfId="13073"/>
    <cellStyle name="60% - 强调文字颜色 4 2 2 5 5" xfId="16573"/>
    <cellStyle name="60% - 强调文字颜色 4 2 2 5 6" xfId="7652"/>
    <cellStyle name="60% - 强调文字颜色 4 2 2 5 7" xfId="19241"/>
    <cellStyle name="60% - 强调文字颜色 4 2 2 5 8" xfId="23027"/>
    <cellStyle name="60% - 强调文字颜色 4 2 2 5 9" xfId="20983"/>
    <cellStyle name="60% - 强调文字颜色 4 2 2 6" xfId="1387"/>
    <cellStyle name="60% - 强调文字颜色 4 2 2 6 10" xfId="30946"/>
    <cellStyle name="60% - 强调文字颜色 4 2 2 6 11" xfId="32176"/>
    <cellStyle name="60% - 强调文字颜色 4 2 2 6 2" xfId="4890"/>
    <cellStyle name="60% - 强调文字颜色 4 2 2 6 3" xfId="6930"/>
    <cellStyle name="60% - 强调文字颜色 4 2 2 6 4" xfId="13074"/>
    <cellStyle name="60% - 强调文字颜色 4 2 2 6 5" xfId="16574"/>
    <cellStyle name="60% - 强调文字颜色 4 2 2 6 6" xfId="7651"/>
    <cellStyle name="60% - 强调文字颜色 4 2 2 6 7" xfId="19242"/>
    <cellStyle name="60% - 强调文字颜色 4 2 2 6 8" xfId="22044"/>
    <cellStyle name="60% - 强调文字颜色 4 2 2 6 9" xfId="20430"/>
    <cellStyle name="60% - 强调文字颜色 4 2 2 7" xfId="1388"/>
    <cellStyle name="60% - 强调文字颜色 4 2 2 7 10" xfId="30947"/>
    <cellStyle name="60% - 强调文字颜色 4 2 2 7 11" xfId="31709"/>
    <cellStyle name="60% - 强调文字颜色 4 2 2 7 2" xfId="4891"/>
    <cellStyle name="60% - 强调文字颜色 4 2 2 7 3" xfId="6931"/>
    <cellStyle name="60% - 强调文字颜色 4 2 2 7 4" xfId="13075"/>
    <cellStyle name="60% - 强调文字颜色 4 2 2 7 5" xfId="16575"/>
    <cellStyle name="60% - 强调文字颜色 4 2 2 7 6" xfId="9979"/>
    <cellStyle name="60% - 强调文字颜色 4 2 2 7 7" xfId="19243"/>
    <cellStyle name="60% - 强调文字颜色 4 2 2 7 8" xfId="21558"/>
    <cellStyle name="60% - 强调文字颜色 4 2 2 7 9" xfId="19767"/>
    <cellStyle name="60% - 强调文字颜色 4 2 2 8" xfId="4885"/>
    <cellStyle name="60% - 强调文字颜色 4 2 2 8 2" xfId="23588"/>
    <cellStyle name="60% - 强调文字颜色 4 2 2 8 2 2" xfId="23651"/>
    <cellStyle name="60% - 强调文字颜色 4 2 2 8 2 2 2" xfId="29620"/>
    <cellStyle name="60% - 强调文字颜色 4 2 2 8 2 2 2 2" xfId="29661"/>
    <cellStyle name="60% - 强调文字颜色 4 2 2 8 2 3" xfId="26236"/>
    <cellStyle name="60% - 强调文字颜色 4 2 2 8 2 4" xfId="31893"/>
    <cellStyle name="60% - 强调文字颜色 4 2 2 8 2 5" xfId="31867"/>
    <cellStyle name="60% - 强调文字颜色 4 2 2 8 3" xfId="26173"/>
    <cellStyle name="60% - 强调文字颜色 4 2 2 8 3 2" xfId="26985"/>
    <cellStyle name="60% - 强调文字颜色 4 2 2 8 3 2 2" xfId="27055"/>
    <cellStyle name="60% - 强调文字颜色 4 2 2 8 3 2 2 2" xfId="33459"/>
    <cellStyle name="60% - 强调文字颜色 4 2 2 8 3 2 2 2 2" xfId="33480"/>
    <cellStyle name="60% - 强调文字颜色 4 2 2 8 3 2 3" xfId="33597"/>
    <cellStyle name="60% - 强调文字颜色 4 2 2 8 3 3" xfId="29650"/>
    <cellStyle name="60% - 强调文字颜色 4 2 2 8 3 3 2" xfId="33580"/>
    <cellStyle name="60% - 强调文字颜色 4 2 2 8 4" xfId="29016"/>
    <cellStyle name="60% - 强调文字颜色 4 2 2 8 4 2" xfId="31653"/>
    <cellStyle name="60% - 强调文字颜色 4 2 2 8 5" xfId="32095"/>
    <cellStyle name="60% - 强调文字颜色 4 2 2 9" xfId="6924"/>
    <cellStyle name="60% - 强调文字颜色 4 2 2 9 2" xfId="10135"/>
    <cellStyle name="60% - 强调文字颜色 4 2 2 9 2 2" xfId="26609"/>
    <cellStyle name="60% - 强调文字颜色 4 2 2 9 2 2 2" xfId="27099"/>
    <cellStyle name="60% - 强调文字颜色 4 2 2 9 2 2 2 2" xfId="32998"/>
    <cellStyle name="60% - 强调文字颜色 4 2 2 9 2 2 2 2 2" xfId="33504"/>
    <cellStyle name="60% - 强调文字颜色 4 2 2 9 2 2 3" xfId="33620"/>
    <cellStyle name="60% - 强调文字颜色 4 2 2 9 2 3" xfId="29444"/>
    <cellStyle name="60% - 强调文字颜色 4 2 2 9 2 3 2" xfId="33519"/>
    <cellStyle name="60% - 强调文字颜色 4 2 2 9 3" xfId="17355"/>
    <cellStyle name="60% - 强调文字颜色 4 2 2 9 3 2" xfId="29375"/>
    <cellStyle name="60% - 强调文字颜色 4 2 2 9 3 2 2" xfId="29469"/>
    <cellStyle name="60% - 强调文字颜色 4 2 2 9 4" xfId="21934"/>
    <cellStyle name="60% - 强调文字颜色 4 2 2 9 5" xfId="22691"/>
    <cellStyle name="60% - 强调文字颜色 4 2 2 9 6" xfId="29668"/>
    <cellStyle name="60% - 强调文字颜色 4 2 2 9 7" xfId="32060"/>
    <cellStyle name="60% - 强调文字颜色 4 2 2 9 8" xfId="31574"/>
    <cellStyle name="60% - 强调文字颜色 4 2 20" xfId="6913"/>
    <cellStyle name="60% - 强调文字颜色 4 2 20 2" xfId="10125"/>
    <cellStyle name="60% - 强调文字颜色 4 2 20 2 2" xfId="26610"/>
    <cellStyle name="60% - 强调文字颜色 4 2 20 2 2 2" xfId="27098"/>
    <cellStyle name="60% - 强调文字颜色 4 2 20 2 2 2 2" xfId="32999"/>
    <cellStyle name="60% - 强调文字颜色 4 2 20 2 2 2 2 2" xfId="33503"/>
    <cellStyle name="60% - 强调文字颜色 4 2 20 2 2 3" xfId="33619"/>
    <cellStyle name="60% - 强调文字颜色 4 2 20 2 3" xfId="29442"/>
    <cellStyle name="60% - 强调文字颜色 4 2 20 2 3 2" xfId="33520"/>
    <cellStyle name="60% - 强调文字颜色 4 2 20 3" xfId="17353"/>
    <cellStyle name="60% - 强调文字颜色 4 2 20 3 2" xfId="29373"/>
    <cellStyle name="60% - 强调文字颜色 4 2 20 3 2 2" xfId="29468"/>
    <cellStyle name="60% - 强调文字颜色 4 2 20 4" xfId="21932"/>
    <cellStyle name="60% - 强调文字颜色 4 2 20 5" xfId="22474"/>
    <cellStyle name="60% - 强调文字颜色 4 2 20 6" xfId="29694"/>
    <cellStyle name="60% - 强调文字颜色 4 2 20 7" xfId="32058"/>
    <cellStyle name="60% - 强调文字颜色 4 2 20 8" xfId="32314"/>
    <cellStyle name="60% - 强调文字颜色 4 2 21" xfId="11258"/>
    <cellStyle name="60% - 强调文字颜色 4 2 21 2" xfId="23811"/>
    <cellStyle name="60% - 强调文字颜色 4 2 21 2 2" xfId="26991"/>
    <cellStyle name="60% - 强调文字颜色 4 2 21 2 2 2" xfId="27122"/>
    <cellStyle name="60% - 强调文字颜色 4 2 21 3" xfId="26396"/>
    <cellStyle name="60% - 强调文字颜色 4 2 21 4" xfId="23517"/>
    <cellStyle name="60% - 强调文字颜色 4 2 22" xfId="13057"/>
    <cellStyle name="60% - 强调文字颜色 4 2 23" xfId="16559"/>
    <cellStyle name="60% - 强调文字颜色 4 2 24" xfId="9992"/>
    <cellStyle name="60% - 强调文字颜色 4 2 24 2" xfId="29437"/>
    <cellStyle name="60% - 强调文字颜色 4 2 24 2 2" xfId="32993"/>
    <cellStyle name="60% - 强调文字颜色 4 2 24 3" xfId="33515"/>
    <cellStyle name="60% - 强调文字颜色 4 2 24 4" xfId="25777"/>
    <cellStyle name="60% - 强调文字颜色 4 2 25" xfId="17458"/>
    <cellStyle name="60% - 强调文字颜色 4 2 25 2" xfId="26869"/>
    <cellStyle name="60% - 强调文字颜色 4 2 26" xfId="17544"/>
    <cellStyle name="60% - 强调文字颜色 4 2 26 2" xfId="29542"/>
    <cellStyle name="60% - 强调文字颜色 4 2 26 3" xfId="27154"/>
    <cellStyle name="60% - 强调文字颜色 4 2 27" xfId="17630"/>
    <cellStyle name="60% - 强调文字颜色 4 2 28" xfId="17716"/>
    <cellStyle name="60% - 强调文字颜色 4 2 29" xfId="17802"/>
    <cellStyle name="60% - 强调文字颜色 4 2 3" xfId="1389"/>
    <cellStyle name="60% - 强调文字颜色 4 2 3 10" xfId="30948"/>
    <cellStyle name="60% - 强调文字颜色 4 2 3 11" xfId="33305"/>
    <cellStyle name="60% - 强调文字颜色 4 2 3 2" xfId="4892"/>
    <cellStyle name="60% - 强调文字颜色 4 2 3 3" xfId="6932"/>
    <cellStyle name="60% - 强调文字颜色 4 2 3 4" xfId="13076"/>
    <cellStyle name="60% - 强调文字颜色 4 2 3 5" xfId="16576"/>
    <cellStyle name="60% - 强调文字颜色 4 2 3 6" xfId="7650"/>
    <cellStyle name="60% - 强调文字颜色 4 2 3 7" xfId="19244"/>
    <cellStyle name="60% - 强调文字颜色 4 2 3 8" xfId="23025"/>
    <cellStyle name="60% - 强调文字颜色 4 2 3 9" xfId="20982"/>
    <cellStyle name="60% - 强调文字颜色 4 2 30" xfId="19225"/>
    <cellStyle name="60% - 强调文字颜色 4 2 31" xfId="21564"/>
    <cellStyle name="60% - 强调文字颜色 4 2 32" xfId="20812"/>
    <cellStyle name="60% - 强调文字颜色 4 2 4" xfId="1390"/>
    <cellStyle name="60% - 强调文字颜色 4 2 4 10" xfId="30949"/>
    <cellStyle name="60% - 强调文字颜色 4 2 4 11" xfId="33048"/>
    <cellStyle name="60% - 强调文字颜色 4 2 4 2" xfId="4893"/>
    <cellStyle name="60% - 强调文字颜色 4 2 4 3" xfId="6933"/>
    <cellStyle name="60% - 强调文字颜色 4 2 4 4" xfId="13077"/>
    <cellStyle name="60% - 强调文字颜色 4 2 4 5" xfId="16577"/>
    <cellStyle name="60% - 强调文字颜色 4 2 4 6" xfId="7649"/>
    <cellStyle name="60% - 强调文字颜色 4 2 4 7" xfId="19245"/>
    <cellStyle name="60% - 强调文字颜色 4 2 4 8" xfId="22810"/>
    <cellStyle name="60% - 强调文字颜色 4 2 4 9" xfId="20429"/>
    <cellStyle name="60% - 强调文字颜色 4 2 5" xfId="1391"/>
    <cellStyle name="60% - 强调文字颜色 4 2 5 10" xfId="30950"/>
    <cellStyle name="60% - 强调文字颜色 4 2 5 11" xfId="32644"/>
    <cellStyle name="60% - 强调文字颜色 4 2 5 2" xfId="4894"/>
    <cellStyle name="60% - 强调文字颜色 4 2 5 3" xfId="6934"/>
    <cellStyle name="60% - 强调文字颜色 4 2 5 4" xfId="13078"/>
    <cellStyle name="60% - 强调文字颜色 4 2 5 5" xfId="16578"/>
    <cellStyle name="60% - 强调文字颜色 4 2 5 6" xfId="7648"/>
    <cellStyle name="60% - 强调文字颜色 4 2 5 7" xfId="19246"/>
    <cellStyle name="60% - 强调文字颜色 4 2 5 8" xfId="22592"/>
    <cellStyle name="60% - 强调文字颜色 4 2 5 9" xfId="19766"/>
    <cellStyle name="60% - 强调文字颜色 4 2 6" xfId="1392"/>
    <cellStyle name="60% - 强调文字颜色 4 2 6 10" xfId="30951"/>
    <cellStyle name="60% - 强调文字颜色 4 2 6 11" xfId="32401"/>
    <cellStyle name="60% - 强调文字颜色 4 2 6 2" xfId="4895"/>
    <cellStyle name="60% - 强调文字颜色 4 2 6 3" xfId="6935"/>
    <cellStyle name="60% - 强调文字颜色 4 2 6 4" xfId="13079"/>
    <cellStyle name="60% - 强调文字颜色 4 2 6 5" xfId="16579"/>
    <cellStyle name="60% - 强调文字颜色 4 2 6 6" xfId="7647"/>
    <cellStyle name="60% - 强调文字颜色 4 2 6 7" xfId="19247"/>
    <cellStyle name="60% - 强调文字颜色 4 2 6 8" xfId="23024"/>
    <cellStyle name="60% - 强调文字颜色 4 2 6 9" xfId="20981"/>
    <cellStyle name="60% - 强调文字颜色 4 2 7" xfId="1393"/>
    <cellStyle name="60% - 强调文字颜色 4 2 7 10" xfId="30952"/>
    <cellStyle name="60% - 强调文字颜色 4 2 7 11" xfId="32165"/>
    <cellStyle name="60% - 强调文字颜色 4 2 7 2" xfId="4896"/>
    <cellStyle name="60% - 强调文字颜色 4 2 7 3" xfId="6936"/>
    <cellStyle name="60% - 强调文字颜色 4 2 7 4" xfId="13080"/>
    <cellStyle name="60% - 强调文字颜色 4 2 7 5" xfId="16580"/>
    <cellStyle name="60% - 强调文字颜色 4 2 7 6" xfId="7646"/>
    <cellStyle name="60% - 强调文字颜色 4 2 7 7" xfId="19248"/>
    <cellStyle name="60% - 强调文字颜色 4 2 7 8" xfId="22807"/>
    <cellStyle name="60% - 强调文字颜色 4 2 7 9" xfId="20428"/>
    <cellStyle name="60% - 强调文字颜色 4 2 8" xfId="1394"/>
    <cellStyle name="60% - 强调文字颜色 4 2 8 10" xfId="30953"/>
    <cellStyle name="60% - 强调文字颜色 4 2 8 11" xfId="32067"/>
    <cellStyle name="60% - 强调文字颜色 4 2 8 2" xfId="4897"/>
    <cellStyle name="60% - 强调文字颜色 4 2 8 3" xfId="6937"/>
    <cellStyle name="60% - 强调文字颜色 4 2 8 4" xfId="13081"/>
    <cellStyle name="60% - 强调文字颜色 4 2 8 5" xfId="16581"/>
    <cellStyle name="60% - 强调文字颜色 4 2 8 6" xfId="7645"/>
    <cellStyle name="60% - 强调文字颜色 4 2 8 7" xfId="19249"/>
    <cellStyle name="60% - 强调文字颜色 4 2 8 8" xfId="22589"/>
    <cellStyle name="60% - 强调文字颜色 4 2 8 9" xfId="19765"/>
    <cellStyle name="60% - 强调文字颜色 4 2 9" xfId="1395"/>
    <cellStyle name="60% - 强调文字颜色 4 2 9 10" xfId="30954"/>
    <cellStyle name="60% - 强调文字颜色 4 2 9 11" xfId="31699"/>
    <cellStyle name="60% - 强调文字颜色 4 2 9 2" xfId="4898"/>
    <cellStyle name="60% - 强调文字颜色 4 2 9 3" xfId="6938"/>
    <cellStyle name="60% - 强调文字颜色 4 2 9 4" xfId="13082"/>
    <cellStyle name="60% - 强调文字颜色 4 2 9 5" xfId="16582"/>
    <cellStyle name="60% - 强调文字颜色 4 2 9 6" xfId="7644"/>
    <cellStyle name="60% - 强调文字颜色 4 2 9 7" xfId="19250"/>
    <cellStyle name="60% - 强调文字颜色 4 2 9 8" xfId="22041"/>
    <cellStyle name="60% - 强调文字颜色 4 2 9 9" xfId="20980"/>
    <cellStyle name="60% - 强调文字颜色 4 3" xfId="1396"/>
    <cellStyle name="60% - 强调文字颜色 4 3 10" xfId="22809"/>
    <cellStyle name="60% - 强调文字颜色 4 3 11" xfId="20427"/>
    <cellStyle name="60% - 强调文字颜色 4 3 12" xfId="30955"/>
    <cellStyle name="60% - 强调文字颜色 4 3 13" xfId="33303"/>
    <cellStyle name="60% - 强调文字颜色 4 3 2" xfId="1397"/>
    <cellStyle name="60% - 强调文字颜色 4 3 2 10" xfId="30956"/>
    <cellStyle name="60% - 强调文字颜色 4 3 2 11" xfId="33054"/>
    <cellStyle name="60% - 强调文字颜色 4 3 2 2" xfId="4900"/>
    <cellStyle name="60% - 强调文字颜色 4 3 2 3" xfId="6940"/>
    <cellStyle name="60% - 强调文字颜色 4 3 2 4" xfId="13084"/>
    <cellStyle name="60% - 强调文字颜色 4 3 2 5" xfId="16584"/>
    <cellStyle name="60% - 强调文字颜色 4 3 2 6" xfId="9956"/>
    <cellStyle name="60% - 强调文字颜色 4 3 2 7" xfId="19252"/>
    <cellStyle name="60% - 强调文字颜色 4 3 2 8" xfId="22591"/>
    <cellStyle name="60% - 强调文字颜色 4 3 2 9" xfId="19764"/>
    <cellStyle name="60% - 强调文字颜色 4 3 3" xfId="1398"/>
    <cellStyle name="60% - 强调文字颜色 4 3 3 10" xfId="30957"/>
    <cellStyle name="60% - 强调文字颜色 4 3 3 11" xfId="32651"/>
    <cellStyle name="60% - 强调文字颜色 4 3 3 2" xfId="4901"/>
    <cellStyle name="60% - 强调文字颜色 4 3 3 3" xfId="6941"/>
    <cellStyle name="60% - 强调文字颜色 4 3 3 4" xfId="13085"/>
    <cellStyle name="60% - 强调文字颜色 4 3 3 5" xfId="16585"/>
    <cellStyle name="60% - 强调文字颜色 4 3 3 6" xfId="7642"/>
    <cellStyle name="60% - 强调文字颜色 4 3 3 7" xfId="19253"/>
    <cellStyle name="60% - 强调文字颜色 4 3 3 8" xfId="22808"/>
    <cellStyle name="60% - 强调文字颜色 4 3 3 9" xfId="20979"/>
    <cellStyle name="60% - 强调文字颜色 4 3 4" xfId="4899"/>
    <cellStyle name="60% - 强调文字颜色 4 3 5" xfId="6939"/>
    <cellStyle name="60% - 强调文字颜色 4 3 6" xfId="13083"/>
    <cellStyle name="60% - 强调文字颜色 4 3 7" xfId="16583"/>
    <cellStyle name="60% - 强调文字颜色 4 3 8" xfId="7643"/>
    <cellStyle name="60% - 强调文字颜色 4 3 9" xfId="19251"/>
    <cellStyle name="60% - 强调文字颜色 4 4" xfId="1399"/>
    <cellStyle name="60% - 强调文字颜色 4 4 10" xfId="22590"/>
    <cellStyle name="60% - 强调文字颜色 4 4 11" xfId="20426"/>
    <cellStyle name="60% - 强调文字颜色 4 4 12" xfId="30958"/>
    <cellStyle name="60% - 强调文字颜色 4 4 13" xfId="32408"/>
    <cellStyle name="60% - 强调文字颜色 4 4 2" xfId="1400"/>
    <cellStyle name="60% - 强调文字颜色 4 4 2 10" xfId="30959"/>
    <cellStyle name="60% - 强调文字颜色 4 4 2 11" xfId="32172"/>
    <cellStyle name="60% - 强调文字颜色 4 4 2 2" xfId="4903"/>
    <cellStyle name="60% - 强调文字颜色 4 4 2 3" xfId="6943"/>
    <cellStyle name="60% - 强调文字颜色 4 4 2 4" xfId="13087"/>
    <cellStyle name="60% - 强调文字颜色 4 4 2 5" xfId="16587"/>
    <cellStyle name="60% - 强调文字颜色 4 4 2 6" xfId="7640"/>
    <cellStyle name="60% - 强调文字颜色 4 4 2 7" xfId="19255"/>
    <cellStyle name="60% - 强调文字颜色 4 4 2 8" xfId="23021"/>
    <cellStyle name="60% - 强调文字颜色 4 4 2 9" xfId="19763"/>
    <cellStyle name="60% - 强调文字颜色 4 4 3" xfId="1401"/>
    <cellStyle name="60% - 强调文字颜色 4 4 3 10" xfId="30960"/>
    <cellStyle name="60% - 强调文字颜色 4 4 3 11" xfId="31705"/>
    <cellStyle name="60% - 强调文字颜色 4 4 3 2" xfId="4904"/>
    <cellStyle name="60% - 强调文字颜色 4 4 3 3" xfId="6944"/>
    <cellStyle name="60% - 强调文字颜色 4 4 3 4" xfId="13088"/>
    <cellStyle name="60% - 强调文字颜色 4 4 3 5" xfId="16588"/>
    <cellStyle name="60% - 强调文字颜色 4 4 3 6" xfId="7639"/>
    <cellStyle name="60% - 强调文字颜色 4 4 3 7" xfId="19256"/>
    <cellStyle name="60% - 强调文字颜色 4 4 3 8" xfId="22803"/>
    <cellStyle name="60% - 强调文字颜色 4 4 3 9" xfId="20978"/>
    <cellStyle name="60% - 强调文字颜色 4 4 4" xfId="4902"/>
    <cellStyle name="60% - 强调文字颜色 4 4 5" xfId="6942"/>
    <cellStyle name="60% - 强调文字颜色 4 4 6" xfId="13086"/>
    <cellStyle name="60% - 强调文字颜色 4 4 7" xfId="16586"/>
    <cellStyle name="60% - 强调文字颜色 4 4 8" xfId="7641"/>
    <cellStyle name="60% - 强调文字颜色 4 4 9" xfId="19254"/>
    <cellStyle name="60% - 强调文字颜色 4 5" xfId="4874"/>
    <cellStyle name="60% - 强调文字颜色 4 5 2" xfId="10124"/>
    <cellStyle name="60% - 强调文字颜色 4 5 3" xfId="17352"/>
    <cellStyle name="60% - 强调文字颜色 4 6" xfId="6912"/>
    <cellStyle name="60% - 强调文字颜色 4 6 2" xfId="11257"/>
    <cellStyle name="60% - 强调文字颜色 4 6 3" xfId="17401"/>
    <cellStyle name="60% - 强调文字颜色 4 7" xfId="13056"/>
    <cellStyle name="60% - 强调文字颜色 4 8" xfId="16558"/>
    <cellStyle name="60% - 强调文字颜色 4 9" xfId="11159"/>
    <cellStyle name="60% - 强调文字颜色 4 9 2" xfId="26603"/>
    <cellStyle name="60% - 强调文字颜色 5" xfId="1402" builtinId="48" customBuiltin="1"/>
    <cellStyle name="60% - 强调文字颜色 5 10" xfId="17459"/>
    <cellStyle name="60% - 强调文字颜色 5 11" xfId="17545"/>
    <cellStyle name="60% - 强调文字颜色 5 11 2" xfId="29546"/>
    <cellStyle name="60% - 强调文字颜色 5 12" xfId="17631"/>
    <cellStyle name="60% - 强调文字颜色 5 13" xfId="17717"/>
    <cellStyle name="60% - 强调文字颜色 5 14" xfId="17803"/>
    <cellStyle name="60% - 强调文字颜色 5 15" xfId="19257"/>
    <cellStyle name="60% - 强调文字颜色 5 15 2" xfId="21386"/>
    <cellStyle name="60% - 强调文字颜色 5 15 3" xfId="23469"/>
    <cellStyle name="60% - 强调文字颜色 5 16" xfId="22585"/>
    <cellStyle name="60% - 强调文字颜色 5 17" xfId="20425"/>
    <cellStyle name="60% - 强调文字颜色 5 2" xfId="1403"/>
    <cellStyle name="60% - 强调文字颜色 5 2 10" xfId="17546"/>
    <cellStyle name="60% - 强调文字颜色 5 2 11" xfId="17632"/>
    <cellStyle name="60% - 强调文字颜色 5 2 12" xfId="17718"/>
    <cellStyle name="60% - 强调文字颜色 5 2 13" xfId="17804"/>
    <cellStyle name="60% - 强调文字颜色 5 2 14" xfId="19258"/>
    <cellStyle name="60% - 强调文字颜色 5 2 15" xfId="22038"/>
    <cellStyle name="60% - 强调文字颜色 5 2 16" xfId="19762"/>
    <cellStyle name="60% - 强调文字颜色 5 2 2" xfId="1404"/>
    <cellStyle name="60% - 强调文字颜色 5 2 2 10" xfId="30961"/>
    <cellStyle name="60% - 强调文字颜色 5 2 2 11" xfId="32653"/>
    <cellStyle name="60% - 强调文字颜色 5 2 2 2" xfId="4907"/>
    <cellStyle name="60% - 强调文字颜色 5 2 2 3" xfId="6947"/>
    <cellStyle name="60% - 强调文字颜色 5 2 2 4" xfId="13091"/>
    <cellStyle name="60% - 强调文字颜色 5 2 2 5" xfId="16591"/>
    <cellStyle name="60% - 强调文字颜色 5 2 2 6" xfId="7636"/>
    <cellStyle name="60% - 强调文字颜色 5 2 2 7" xfId="19259"/>
    <cellStyle name="60% - 强调文字颜色 5 2 2 8" xfId="22806"/>
    <cellStyle name="60% - 强调文字颜色 5 2 2 9" xfId="21460"/>
    <cellStyle name="60% - 强调文字颜色 5 2 3" xfId="1405"/>
    <cellStyle name="60% - 强调文字颜色 5 2 3 10" xfId="30962"/>
    <cellStyle name="60% - 强调文字颜色 5 2 3 11" xfId="32410"/>
    <cellStyle name="60% - 强调文字颜色 5 2 3 2" xfId="4908"/>
    <cellStyle name="60% - 强调文字颜色 5 2 3 3" xfId="6948"/>
    <cellStyle name="60% - 强调文字颜色 5 2 3 4" xfId="13092"/>
    <cellStyle name="60% - 强调文字颜色 5 2 3 5" xfId="16592"/>
    <cellStyle name="60% - 强调文字颜色 5 2 3 6" xfId="7635"/>
    <cellStyle name="60% - 强调文字颜色 5 2 3 7" xfId="19260"/>
    <cellStyle name="60% - 强调文字颜色 5 2 3 8" xfId="22588"/>
    <cellStyle name="60% - 强调文字颜色 5 2 3 9" xfId="20328"/>
    <cellStyle name="60% - 强调文字颜色 5 2 4" xfId="4906"/>
    <cellStyle name="60% - 强调文字颜色 5 2 5" xfId="6946"/>
    <cellStyle name="60% - 强调文字颜色 5 2 6" xfId="13090"/>
    <cellStyle name="60% - 强调文字颜色 5 2 7" xfId="16590"/>
    <cellStyle name="60% - 强调文字颜色 5 2 8" xfId="7637"/>
    <cellStyle name="60% - 强调文字颜色 5 2 9" xfId="17460"/>
    <cellStyle name="60% - 强调文字颜色 5 3" xfId="1406"/>
    <cellStyle name="60% - 强调文字颜色 5 3 10" xfId="23023"/>
    <cellStyle name="60% - 强调文字颜色 5 3 11" xfId="20968"/>
    <cellStyle name="60% - 强调文字颜色 5 3 12" xfId="30963"/>
    <cellStyle name="60% - 强调文字颜色 5 3 13" xfId="32173"/>
    <cellStyle name="60% - 强调文字颜色 5 3 2" xfId="1407"/>
    <cellStyle name="60% - 强调文字颜色 5 3 2 10" xfId="30964"/>
    <cellStyle name="60% - 强调文字颜色 5 3 2 11" xfId="31706"/>
    <cellStyle name="60% - 强调文字颜色 5 3 2 2" xfId="4910"/>
    <cellStyle name="60% - 强调文字颜色 5 3 2 3" xfId="6950"/>
    <cellStyle name="60% - 强调文字颜色 5 3 2 4" xfId="13094"/>
    <cellStyle name="60% - 强调文字颜色 5 3 2 5" xfId="16594"/>
    <cellStyle name="60% - 强调文字颜色 5 3 2 6" xfId="7633"/>
    <cellStyle name="60% - 强调文字颜色 5 3 2 7" xfId="19262"/>
    <cellStyle name="60% - 强调文字颜色 5 3 2 8" xfId="22805"/>
    <cellStyle name="60% - 强调文字颜色 5 3 2 9" xfId="20809"/>
    <cellStyle name="60% - 强调文字颜色 5 3 3" xfId="1408"/>
    <cellStyle name="60% - 强调文字颜色 5 3 3 10" xfId="30965"/>
    <cellStyle name="60% - 强调文字颜色 5 3 3 11" xfId="33304"/>
    <cellStyle name="60% - 强调文字颜色 5 3 3 2" xfId="4911"/>
    <cellStyle name="60% - 强调文字颜色 5 3 3 3" xfId="6951"/>
    <cellStyle name="60% - 强调文字颜色 5 3 3 4" xfId="13095"/>
    <cellStyle name="60% - 强调文字颜色 5 3 3 5" xfId="16595"/>
    <cellStyle name="60% - 强调文字颜色 5 3 3 6" xfId="7632"/>
    <cellStyle name="60% - 强调文字颜色 5 3 3 7" xfId="19263"/>
    <cellStyle name="60% - 强调文字颜色 5 3 3 8" xfId="22587"/>
    <cellStyle name="60% - 强调文字颜色 5 3 3 9" xfId="20977"/>
    <cellStyle name="60% - 强调文字颜色 5 3 4" xfId="4909"/>
    <cellStyle name="60% - 强调文字颜色 5 3 5" xfId="6949"/>
    <cellStyle name="60% - 强调文字颜色 5 3 6" xfId="13093"/>
    <cellStyle name="60% - 强调文字颜色 5 3 7" xfId="16593"/>
    <cellStyle name="60% - 强调文字颜色 5 3 8" xfId="7634"/>
    <cellStyle name="60% - 强调文字颜色 5 3 9" xfId="19261"/>
    <cellStyle name="60% - 强调文字颜色 5 4" xfId="1409"/>
    <cellStyle name="60% - 强调文字颜色 5 4 10" xfId="22040"/>
    <cellStyle name="60% - 强调文字颜色 5 4 11" xfId="20424"/>
    <cellStyle name="60% - 强调文字颜色 5 4 12" xfId="30966"/>
    <cellStyle name="60% - 强调文字颜色 5 4 13" xfId="33055"/>
    <cellStyle name="60% - 强调文字颜色 5 4 2" xfId="1410"/>
    <cellStyle name="60% - 强调文字颜色 5 4 2 10" xfId="30967"/>
    <cellStyle name="60% - 强调文字颜色 5 4 2 11" xfId="32652"/>
    <cellStyle name="60% - 强调文字颜色 5 4 2 2" xfId="4913"/>
    <cellStyle name="60% - 强调文字颜色 5 4 2 3" xfId="6953"/>
    <cellStyle name="60% - 强调文字颜色 5 4 2 4" xfId="13097"/>
    <cellStyle name="60% - 强调文字颜色 5 4 2 5" xfId="16597"/>
    <cellStyle name="60% - 强调文字颜色 5 4 2 6" xfId="7630"/>
    <cellStyle name="60% - 强调文字颜色 5 4 2 7" xfId="19265"/>
    <cellStyle name="60% - 强调文字颜色 5 4 2 8" xfId="23022"/>
    <cellStyle name="60% - 强调文字颜色 5 4 2 9" xfId="19753"/>
    <cellStyle name="60% - 强调文字颜色 5 4 3" xfId="1411"/>
    <cellStyle name="60% - 强调文字颜色 5 4 3 10" xfId="30968"/>
    <cellStyle name="60% - 强调文字颜色 5 4 3 11" xfId="32409"/>
    <cellStyle name="60% - 强调文字颜色 5 4 3 2" xfId="4914"/>
    <cellStyle name="60% - 强调文字颜色 5 4 3 3" xfId="6954"/>
    <cellStyle name="60% - 强调文字颜色 5 4 3 4" xfId="13098"/>
    <cellStyle name="60% - 强调文字颜色 5 4 3 5" xfId="16598"/>
    <cellStyle name="60% - 强调文字颜色 5 4 3 6" xfId="7629"/>
    <cellStyle name="60% - 强调文字颜色 5 4 3 7" xfId="19266"/>
    <cellStyle name="60% - 强调文字颜色 5 4 3 8" xfId="22804"/>
    <cellStyle name="60% - 强调文字颜色 5 4 3 9" xfId="20743"/>
    <cellStyle name="60% - 强调文字颜色 5 4 4" xfId="4912"/>
    <cellStyle name="60% - 强调文字颜色 5 4 5" xfId="6952"/>
    <cellStyle name="60% - 强调文字颜色 5 4 6" xfId="13096"/>
    <cellStyle name="60% - 强调文字颜色 5 4 7" xfId="16596"/>
    <cellStyle name="60% - 强调文字颜色 5 4 8" xfId="7631"/>
    <cellStyle name="60% - 强调文字颜色 5 4 9" xfId="19264"/>
    <cellStyle name="60% - 强调文字颜色 5 5" xfId="4905"/>
    <cellStyle name="60% - 强调文字颜色 5 5 2" xfId="10155"/>
    <cellStyle name="60% - 强调文字颜色 5 5 3" xfId="17357"/>
    <cellStyle name="60% - 强调文字颜色 5 6" xfId="6945"/>
    <cellStyle name="60% - 强调文字颜色 5 6 2" xfId="11290"/>
    <cellStyle name="60% - 强调文字颜色 5 6 3" xfId="17402"/>
    <cellStyle name="60% - 强调文字颜色 5 7" xfId="13089"/>
    <cellStyle name="60% - 强调文字颜色 5 8" xfId="16589"/>
    <cellStyle name="60% - 强调文字颜色 5 9" xfId="7638"/>
    <cellStyle name="60% - 强调文字颜色 5 9 2" xfId="26611"/>
    <cellStyle name="60% - 强调文字颜色 6" xfId="1412" builtinId="52" customBuiltin="1"/>
    <cellStyle name="60% - 强调文字颜色 6 10" xfId="17461"/>
    <cellStyle name="60% - 强调文字颜色 6 11" xfId="17547"/>
    <cellStyle name="60% - 强调文字颜色 6 11 2" xfId="29547"/>
    <cellStyle name="60% - 强调文字颜色 6 12" xfId="17633"/>
    <cellStyle name="60% - 强调文字颜色 6 13" xfId="17719"/>
    <cellStyle name="60% - 强调文字颜色 6 14" xfId="17805"/>
    <cellStyle name="60% - 强调文字颜色 6 15" xfId="19267"/>
    <cellStyle name="60% - 强调文字颜色 6 15 2" xfId="21387"/>
    <cellStyle name="60% - 强调文字颜色 6 15 3" xfId="23470"/>
    <cellStyle name="60% - 强调文字颜色 6 16" xfId="22586"/>
    <cellStyle name="60% - 强调文字颜色 6 17" xfId="21351"/>
    <cellStyle name="60% - 强调文字颜色 6 2" xfId="1413"/>
    <cellStyle name="60% - 强调文字颜色 6 2 10" xfId="1414"/>
    <cellStyle name="60% - 强调文字颜色 6 2 10 10" xfId="30969"/>
    <cellStyle name="60% - 强调文字颜色 6 2 10 11" xfId="33300"/>
    <cellStyle name="60% - 强调文字颜色 6 2 10 2" xfId="4917"/>
    <cellStyle name="60% - 强调文字颜色 6 2 10 3" xfId="6957"/>
    <cellStyle name="60% - 强调文字颜色 6 2 10 4" xfId="13101"/>
    <cellStyle name="60% - 强调文字颜色 6 2 10 5" xfId="16601"/>
    <cellStyle name="60% - 强调文字颜色 6 2 10 6" xfId="7626"/>
    <cellStyle name="60% - 强调文字颜色 6 2 10 7" xfId="19269"/>
    <cellStyle name="60% - 强调文字颜色 6 2 10 8" xfId="23018"/>
    <cellStyle name="60% - 强调文字颜色 6 2 10 9" xfId="20168"/>
    <cellStyle name="60% - 强调文字颜色 6 2 11" xfId="1415"/>
    <cellStyle name="60% - 强调文字颜色 6 2 11 10" xfId="30970"/>
    <cellStyle name="60% - 强调文字颜色 6 2 11 11" xfId="33051"/>
    <cellStyle name="60% - 强调文字颜色 6 2 11 2" xfId="4918"/>
    <cellStyle name="60% - 强调文字颜色 6 2 11 3" xfId="6958"/>
    <cellStyle name="60% - 强调文字颜色 6 2 11 4" xfId="13102"/>
    <cellStyle name="60% - 强调文字颜色 6 2 11 5" xfId="16602"/>
    <cellStyle name="60% - 强调文字颜色 6 2 11 6" xfId="7625"/>
    <cellStyle name="60% - 强调文字颜色 6 2 11 7" xfId="19270"/>
    <cellStyle name="60% - 强调文字颜色 6 2 11 8" xfId="22799"/>
    <cellStyle name="60% - 强调文字颜色 6 2 11 9" xfId="20976"/>
    <cellStyle name="60% - 强调文字颜色 6 2 12" xfId="1416"/>
    <cellStyle name="60% - 强调文字颜色 6 2 12 10" xfId="30971"/>
    <cellStyle name="60% - 强调文字颜色 6 2 12 11" xfId="32648"/>
    <cellStyle name="60% - 强调文字颜色 6 2 12 2" xfId="4919"/>
    <cellStyle name="60% - 强调文字颜色 6 2 12 3" xfId="6959"/>
    <cellStyle name="60% - 强调文字颜色 6 2 12 4" xfId="13103"/>
    <cellStyle name="60% - 强调文字颜色 6 2 12 5" xfId="16603"/>
    <cellStyle name="60% - 强调文字颜色 6 2 12 6" xfId="7624"/>
    <cellStyle name="60% - 强调文字颜色 6 2 12 7" xfId="19271"/>
    <cellStyle name="60% - 强调文字颜色 6 2 12 8" xfId="22581"/>
    <cellStyle name="60% - 强调文字颜色 6 2 12 9" xfId="20423"/>
    <cellStyle name="60% - 强调文字颜色 6 2 13" xfId="1417"/>
    <cellStyle name="60% - 强调文字颜色 6 2 13 10" xfId="30972"/>
    <cellStyle name="60% - 强调文字颜色 6 2 13 11" xfId="32405"/>
    <cellStyle name="60% - 强调文字颜色 6 2 13 2" xfId="4920"/>
    <cellStyle name="60% - 强调文字颜色 6 2 13 3" xfId="6960"/>
    <cellStyle name="60% - 强调文字颜色 6 2 13 4" xfId="13104"/>
    <cellStyle name="60% - 强调文字颜色 6 2 13 5" xfId="16604"/>
    <cellStyle name="60% - 强调文字颜色 6 2 13 6" xfId="7623"/>
    <cellStyle name="60% - 强调文字颜色 6 2 13 7" xfId="19272"/>
    <cellStyle name="60% - 强调文字颜色 6 2 13 8" xfId="22035"/>
    <cellStyle name="60% - 强调文字颜色 6 2 13 9" xfId="19761"/>
    <cellStyle name="60% - 强调文字颜色 6 2 14" xfId="1418"/>
    <cellStyle name="60% - 强调文字颜色 6 2 14 10" xfId="22802"/>
    <cellStyle name="60% - 强调文字颜色 6 2 14 10 2" xfId="29549"/>
    <cellStyle name="60% - 强调文字颜色 6 2 14 11" xfId="20975"/>
    <cellStyle name="60% - 强调文字颜色 6 2 14 11 2" xfId="29612"/>
    <cellStyle name="60% - 强调文字颜色 6 2 14 12" xfId="30973"/>
    <cellStyle name="60% - 强调文字颜色 6 2 14 13" xfId="32169"/>
    <cellStyle name="60% - 强调文字颜色 6 2 14 2" xfId="1419"/>
    <cellStyle name="60% - 强调文字颜色 6 2 14 2 2" xfId="6962"/>
    <cellStyle name="60% - 强调文字颜色 6 2 14 2 2 2" xfId="23592"/>
    <cellStyle name="60% - 强调文字颜色 6 2 14 2 2 3" xfId="26177"/>
    <cellStyle name="60% - 强调文字颜色 6 2 14 2 2 4" xfId="23591"/>
    <cellStyle name="60% - 强调文字颜色 6 2 14 2 3" xfId="13106"/>
    <cellStyle name="60% - 强调文字颜色 6 2 14 2 4" xfId="7621"/>
    <cellStyle name="60% - 强调文字颜色 6 2 14 2 4 2" xfId="26614"/>
    <cellStyle name="60% - 强调文字颜色 6 2 14 2 4 2 2" xfId="27058"/>
    <cellStyle name="60% - 强调文字颜色 6 2 14 2 4 3" xfId="26176"/>
    <cellStyle name="60% - 强调文字颜色 6 2 14 2 5" xfId="19274"/>
    <cellStyle name="60% - 强调文字颜色 6 2 14 2 6" xfId="22584"/>
    <cellStyle name="60% - 强调文字颜色 6 2 14 2 6 2" xfId="29623"/>
    <cellStyle name="60% - 强调文字颜色 6 2 14 2 7" xfId="20422"/>
    <cellStyle name="60% - 强调文字颜色 6 2 14 2 7 2" xfId="29649"/>
    <cellStyle name="60% - 强调文字颜色 6 2 14 2 8" xfId="31661"/>
    <cellStyle name="60% - 强调文字颜色 6 2 14 2 9" xfId="31608"/>
    <cellStyle name="60% - 强调文字颜色 6 2 14 3" xfId="4921"/>
    <cellStyle name="60% - 强调文字颜色 6 2 14 4" xfId="6961"/>
    <cellStyle name="60% - 强调文字颜色 6 2 14 4 2" xfId="10171"/>
    <cellStyle name="60% - 强调文字颜色 6 2 14 4 2 2" xfId="29447"/>
    <cellStyle name="60% - 强调文字颜色 6 2 14 4 2 3" xfId="29378"/>
    <cellStyle name="60% - 强调文字颜色 6 2 14 4 3" xfId="17360"/>
    <cellStyle name="60% - 强调文字颜色 6 2 14 4 4" xfId="21937"/>
    <cellStyle name="60% - 强调文字颜色 6 2 14 4 5" xfId="22690"/>
    <cellStyle name="60% - 强调文字颜色 6 2 14 4 6" xfId="29693"/>
    <cellStyle name="60% - 强调文字颜色 6 2 14 4 7" xfId="32064"/>
    <cellStyle name="60% - 强调文字颜色 6 2 14 4 8" xfId="32088"/>
    <cellStyle name="60% - 强调文字颜色 6 2 14 5" xfId="11306"/>
    <cellStyle name="60% - 强调文字颜色 6 2 14 6" xfId="13105"/>
    <cellStyle name="60% - 强调文字颜色 6 2 14 7" xfId="16605"/>
    <cellStyle name="60% - 强调文字颜色 6 2 14 8" xfId="7622"/>
    <cellStyle name="60% - 强调文字颜色 6 2 14 8 2" xfId="26613"/>
    <cellStyle name="60% - 强调文字颜色 6 2 14 8 3" xfId="25782"/>
    <cellStyle name="60% - 强调文字颜色 6 2 14 9" xfId="19273"/>
    <cellStyle name="60% - 强调文字颜色 6 2 14 9 2" xfId="29481"/>
    <cellStyle name="60% - 强调文字颜色 6 2 14 9 2 2" xfId="33259"/>
    <cellStyle name="60% - 强调文字颜色 6 2 14 9 3" xfId="33554"/>
    <cellStyle name="60% - 强调文字颜色 6 2 14 9 4" xfId="26872"/>
    <cellStyle name="60% - 强调文字颜色 6 2 15" xfId="1420"/>
    <cellStyle name="60% - 强调文字颜色 6 2 15 10" xfId="30974"/>
    <cellStyle name="60% - 强调文字颜色 6 2 15 11" xfId="31702"/>
    <cellStyle name="60% - 强调文字颜色 6 2 15 2" xfId="4922"/>
    <cellStyle name="60% - 强调文字颜色 6 2 15 3" xfId="6963"/>
    <cellStyle name="60% - 强调文字颜色 6 2 15 4" xfId="13107"/>
    <cellStyle name="60% - 强调文字颜色 6 2 15 5" xfId="16606"/>
    <cellStyle name="60% - 强调文字颜色 6 2 15 6" xfId="9933"/>
    <cellStyle name="60% - 强调文字颜色 6 2 15 7" xfId="19275"/>
    <cellStyle name="60% - 强调文字颜色 6 2 15 8" xfId="23020"/>
    <cellStyle name="60% - 强调文字颜色 6 2 15 9" xfId="19760"/>
    <cellStyle name="60% - 强调文字颜色 6 2 16" xfId="1421"/>
    <cellStyle name="60% - 强调文字颜色 6 2 16 10" xfId="30975"/>
    <cellStyle name="60% - 强调文字颜色 6 2 16 11" xfId="33302"/>
    <cellStyle name="60% - 强调文字颜色 6 2 16 2" xfId="4923"/>
    <cellStyle name="60% - 强调文字颜色 6 2 16 3" xfId="6964"/>
    <cellStyle name="60% - 强调文字颜色 6 2 16 4" xfId="13108"/>
    <cellStyle name="60% - 强调文字颜色 6 2 16 5" xfId="16607"/>
    <cellStyle name="60% - 强调文字颜色 6 2 16 6" xfId="7620"/>
    <cellStyle name="60% - 强调文字颜色 6 2 16 7" xfId="19276"/>
    <cellStyle name="60% - 强调文字颜色 6 2 16 8" xfId="22801"/>
    <cellStyle name="60% - 强调文字颜色 6 2 16 9" xfId="20974"/>
    <cellStyle name="60% - 强调文字颜色 6 2 17" xfId="1422"/>
    <cellStyle name="60% - 强调文字颜色 6 2 17 10" xfId="30976"/>
    <cellStyle name="60% - 强调文字颜色 6 2 17 11" xfId="33053"/>
    <cellStyle name="60% - 强调文字颜色 6 2 17 2" xfId="4924"/>
    <cellStyle name="60% - 强调文字颜色 6 2 17 3" xfId="6965"/>
    <cellStyle name="60% - 强调文字颜色 6 2 17 4" xfId="13109"/>
    <cellStyle name="60% - 强调文字颜色 6 2 17 5" xfId="16608"/>
    <cellStyle name="60% - 强调文字颜色 6 2 17 6" xfId="7619"/>
    <cellStyle name="60% - 强调文字颜色 6 2 17 7" xfId="19277"/>
    <cellStyle name="60% - 强调文字颜色 6 2 17 8" xfId="22583"/>
    <cellStyle name="60% - 强调文字颜色 6 2 17 9" xfId="20421"/>
    <cellStyle name="60% - 强调文字颜色 6 2 18" xfId="1423"/>
    <cellStyle name="60% - 强调文字颜色 6 2 18 10" xfId="30977"/>
    <cellStyle name="60% - 强调文字颜色 6 2 18 11" xfId="32650"/>
    <cellStyle name="60% - 强调文字颜色 6 2 18 2" xfId="4925"/>
    <cellStyle name="60% - 强调文字颜色 6 2 18 3" xfId="6966"/>
    <cellStyle name="60% - 强调文字颜色 6 2 18 4" xfId="13110"/>
    <cellStyle name="60% - 强调文字颜色 6 2 18 5" xfId="16609"/>
    <cellStyle name="60% - 强调文字颜色 6 2 18 6" xfId="7618"/>
    <cellStyle name="60% - 强调文字颜色 6 2 18 7" xfId="19278"/>
    <cellStyle name="60% - 强调文字颜色 6 2 18 8" xfId="22037"/>
    <cellStyle name="60% - 强调文字颜色 6 2 18 9" xfId="19759"/>
    <cellStyle name="60% - 强调文字颜色 6 2 19" xfId="4916"/>
    <cellStyle name="60% - 强调文字颜色 6 2 19 2" xfId="23590"/>
    <cellStyle name="60% - 强调文字颜色 6 2 19 2 2" xfId="23653"/>
    <cellStyle name="60% - 强调文字颜色 6 2 19 2 2 2" xfId="29622"/>
    <cellStyle name="60% - 强调文字颜色 6 2 19 2 2 2 2" xfId="29662"/>
    <cellStyle name="60% - 强调文字颜色 6 2 19 2 3" xfId="26238"/>
    <cellStyle name="60% - 强调文字颜色 6 2 19 2 4" xfId="31894"/>
    <cellStyle name="60% - 强调文字颜色 6 2 19 2 5" xfId="32545"/>
    <cellStyle name="60% - 强调文字颜色 6 2 19 3" xfId="26175"/>
    <cellStyle name="60% - 强调文字颜色 6 2 19 3 2" xfId="26987"/>
    <cellStyle name="60% - 强调文字颜色 6 2 19 3 2 2" xfId="27057"/>
    <cellStyle name="60% - 强调文字颜色 6 2 19 3 2 2 2" xfId="33460"/>
    <cellStyle name="60% - 强调文字颜色 6 2 19 3 2 2 2 2" xfId="33481"/>
    <cellStyle name="60% - 强调文字颜色 6 2 19 3 2 3" xfId="33598"/>
    <cellStyle name="60% - 强调文字颜色 6 2 19 3 3" xfId="29524"/>
    <cellStyle name="60% - 强调文字颜色 6 2 19 3 3 2" xfId="33581"/>
    <cellStyle name="60% - 强调文字颜色 6 2 19 4" xfId="29017"/>
    <cellStyle name="60% - 强调文字颜色 6 2 19 4 2" xfId="31659"/>
    <cellStyle name="60% - 强调文字颜色 6 2 19 5" xfId="33223"/>
    <cellStyle name="60% - 强调文字颜色 6 2 2" xfId="1424"/>
    <cellStyle name="60% - 强调文字颜色 6 2 2 10" xfId="11312"/>
    <cellStyle name="60% - 强调文字颜色 6 2 2 10 2" xfId="23815"/>
    <cellStyle name="60% - 强调文字颜色 6 2 2 10 2 2" xfId="26995"/>
    <cellStyle name="60% - 强调文字颜色 6 2 2 10 2 2 2" xfId="27126"/>
    <cellStyle name="60% - 强调文字颜色 6 2 2 10 3" xfId="26400"/>
    <cellStyle name="60% - 强调文字颜色 6 2 2 10 4" xfId="23521"/>
    <cellStyle name="60% - 强调文字颜色 6 2 2 11" xfId="13111"/>
    <cellStyle name="60% - 强调文字颜色 6 2 2 12" xfId="16610"/>
    <cellStyle name="60% - 强调文字颜色 6 2 2 13" xfId="7617"/>
    <cellStyle name="60% - 强调文字颜色 6 2 2 13 2" xfId="29400"/>
    <cellStyle name="60% - 强调文字颜色 6 2 2 13 2 2" xfId="33008"/>
    <cellStyle name="60% - 强调文字颜色 6 2 2 13 3" xfId="33522"/>
    <cellStyle name="60% - 强调文字颜色 6 2 2 13 4" xfId="25783"/>
    <cellStyle name="60% - 强调文字颜色 6 2 2 14" xfId="19279"/>
    <cellStyle name="60% - 强调文字颜色 6 2 2 15" xfId="23019"/>
    <cellStyle name="60% - 强调文字颜色 6 2 2 15 2" xfId="29550"/>
    <cellStyle name="60% - 强调文字颜色 6 2 2 16" xfId="20973"/>
    <cellStyle name="60% - 强调文字颜色 6 2 2 16 2" xfId="29712"/>
    <cellStyle name="60% - 强调文字颜色 6 2 2 17" xfId="30978"/>
    <cellStyle name="60% - 强调文字颜色 6 2 2 18" xfId="32407"/>
    <cellStyle name="60% - 强调文字颜色 6 2 2 2" xfId="1425"/>
    <cellStyle name="60% - 强调文字颜色 6 2 2 2 10" xfId="22800"/>
    <cellStyle name="60% - 强调文字颜色 6 2 2 2 10 2" xfId="29551"/>
    <cellStyle name="60% - 强调文字颜色 6 2 2 2 11" xfId="20420"/>
    <cellStyle name="60% - 强调文字颜色 6 2 2 2 11 2" xfId="29677"/>
    <cellStyle name="60% - 强调文字颜色 6 2 2 2 12" xfId="30979"/>
    <cellStyle name="60% - 强调文字颜色 6 2 2 2 13" xfId="32171"/>
    <cellStyle name="60% - 强调文字颜色 6 2 2 2 2" xfId="1426"/>
    <cellStyle name="60% - 强调文字颜色 6 2 2 2 2 2" xfId="6969"/>
    <cellStyle name="60% - 强调文字颜色 6 2 2 2 2 3" xfId="13113"/>
    <cellStyle name="60% - 强调文字颜色 6 2 2 2 2 3 2" xfId="23888"/>
    <cellStyle name="60% - 强调文字颜色 6 2 2 2 2 3 3" xfId="26473"/>
    <cellStyle name="60% - 强调文字颜色 6 2 2 2 2 3 4" xfId="23594"/>
    <cellStyle name="60% - 强调文字颜色 6 2 2 2 2 4" xfId="7615"/>
    <cellStyle name="60% - 强调文字颜色 6 2 2 2 2 4 2" xfId="26615"/>
    <cellStyle name="60% - 强调文字颜色 6 2 2 2 2 4 2 2" xfId="27060"/>
    <cellStyle name="60% - 强调文字颜色 6 2 2 2 2 4 3" xfId="26179"/>
    <cellStyle name="60% - 强调文字颜色 6 2 2 2 2 5" xfId="19281"/>
    <cellStyle name="60% - 强调文字颜色 6 2 2 2 2 6" xfId="22582"/>
    <cellStyle name="60% - 强调文字颜色 6 2 2 2 2 6 2" xfId="29625"/>
    <cellStyle name="60% - 强调文字颜色 6 2 2 2 2 6 2 2" xfId="33264"/>
    <cellStyle name="60% - 强调文字颜色 6 2 2 2 2 6 3" xfId="33555"/>
    <cellStyle name="60% - 强调文字颜色 6 2 2 2 2 7" xfId="19758"/>
    <cellStyle name="60% - 强调文字颜色 6 2 2 2 2 7 2" xfId="29523"/>
    <cellStyle name="60% - 强调文字颜色 6 2 2 2 2 8" xfId="31665"/>
    <cellStyle name="60% - 强调文字颜色 6 2 2 2 2 9" xfId="33222"/>
    <cellStyle name="60% - 强调文字颜色 6 2 2 2 3" xfId="4927"/>
    <cellStyle name="60% - 强调文字颜色 6 2 2 2 3 2" xfId="23655"/>
    <cellStyle name="60% - 强调文字颜色 6 2 2 2 3 2 2" xfId="26616"/>
    <cellStyle name="60% - 强调文字颜色 6 2 2 2 3 2 2 2" xfId="27079"/>
    <cellStyle name="60% - 强调文字颜色 6 2 2 2 3 3" xfId="26240"/>
    <cellStyle name="60% - 强调文字颜色 6 2 2 2 4" xfId="6968"/>
    <cellStyle name="60% - 强调文字颜色 6 2 2 2 4 2" xfId="10177"/>
    <cellStyle name="60% - 强调文字颜色 6 2 2 2 4 2 2" xfId="26617"/>
    <cellStyle name="60% - 强调文字颜色 6 2 2 2 4 2 2 2" xfId="27103"/>
    <cellStyle name="60% - 强调文字颜色 6 2 2 2 4 2 2 2 2" xfId="33013"/>
    <cellStyle name="60% - 强调文字颜色 6 2 2 2 4 2 2 2 2 2" xfId="33508"/>
    <cellStyle name="60% - 强调文字颜色 6 2 2 2 4 2 2 3" xfId="33624"/>
    <cellStyle name="60% - 强调文字颜色 6 2 2 2 4 2 3" xfId="29449"/>
    <cellStyle name="60% - 强调文字颜色 6 2 2 2 4 2 3 2" xfId="33525"/>
    <cellStyle name="60% - 强调文字颜色 6 2 2 2 4 3" xfId="17362"/>
    <cellStyle name="60% - 强调文字颜色 6 2 2 2 4 3 2" xfId="29380"/>
    <cellStyle name="60% - 强调文字颜色 6 2 2 2 4 3 2 2" xfId="29473"/>
    <cellStyle name="60% - 强调文字颜色 6 2 2 2 4 4" xfId="21939"/>
    <cellStyle name="60% - 强调文字颜色 6 2 2 2 4 5" xfId="21913"/>
    <cellStyle name="60% - 强调文字颜色 6 2 2 2 4 6" xfId="29509"/>
    <cellStyle name="60% - 强调文字颜色 6 2 2 2 4 7" xfId="32066"/>
    <cellStyle name="60% - 强调文字颜色 6 2 2 2 4 8" xfId="32540"/>
    <cellStyle name="60% - 强调文字颜色 6 2 2 2 5" xfId="11313"/>
    <cellStyle name="60% - 强调文字颜色 6 2 2 2 5 2" xfId="23816"/>
    <cellStyle name="60% - 强调文字颜色 6 2 2 2 5 2 2" xfId="26996"/>
    <cellStyle name="60% - 强调文字颜色 6 2 2 2 5 2 2 2" xfId="27127"/>
    <cellStyle name="60% - 强调文字颜色 6 2 2 2 5 3" xfId="26401"/>
    <cellStyle name="60% - 强调文字颜色 6 2 2 2 5 4" xfId="23522"/>
    <cellStyle name="60% - 强调文字颜色 6 2 2 2 6" xfId="13112"/>
    <cellStyle name="60% - 强调文字颜色 6 2 2 2 7" xfId="16611"/>
    <cellStyle name="60% - 强调文字颜色 6 2 2 2 8" xfId="7616"/>
    <cellStyle name="60% - 强调文字颜色 6 2 2 2 8 2" xfId="29399"/>
    <cellStyle name="60% - 强调文字颜色 6 2 2 2 8 2 2" xfId="33009"/>
    <cellStyle name="60% - 强调文字颜色 6 2 2 2 8 3" xfId="33523"/>
    <cellStyle name="60% - 强调文字颜色 6 2 2 2 8 4" xfId="25784"/>
    <cellStyle name="60% - 强调文字颜色 6 2 2 2 9" xfId="19280"/>
    <cellStyle name="60% - 强调文字颜色 6 2 2 3" xfId="1427"/>
    <cellStyle name="60% - 强调文字颜色 6 2 2 3 10" xfId="30980"/>
    <cellStyle name="60% - 强调文字颜色 6 2 2 3 11" xfId="31704"/>
    <cellStyle name="60% - 强调文字颜色 6 2 2 3 2" xfId="4928"/>
    <cellStyle name="60% - 强调文字颜色 6 2 2 3 3" xfId="6970"/>
    <cellStyle name="60% - 强调文字颜色 6 2 2 3 4" xfId="13114"/>
    <cellStyle name="60% - 强调文字颜色 6 2 2 3 5" xfId="16612"/>
    <cellStyle name="60% - 强调文字颜色 6 2 2 3 6" xfId="7614"/>
    <cellStyle name="60% - 强调文字颜色 6 2 2 3 7" xfId="19282"/>
    <cellStyle name="60% - 强调文字颜色 6 2 2 3 8" xfId="22036"/>
    <cellStyle name="60% - 强调文字颜色 6 2 2 3 9" xfId="20972"/>
    <cellStyle name="60% - 强调文字颜色 6 2 2 4" xfId="1428"/>
    <cellStyle name="60% - 强调文字颜色 6 2 2 4 10" xfId="30981"/>
    <cellStyle name="60% - 强调文字颜色 6 2 2 4 11" xfId="33301"/>
    <cellStyle name="60% - 强调文字颜色 6 2 2 4 2" xfId="4929"/>
    <cellStyle name="60% - 强调文字颜色 6 2 2 4 3" xfId="6971"/>
    <cellStyle name="60% - 强调文字颜色 6 2 2 4 4" xfId="13115"/>
    <cellStyle name="60% - 强调文字颜色 6 2 2 4 5" xfId="16613"/>
    <cellStyle name="60% - 强调文字颜色 6 2 2 4 6" xfId="7613"/>
    <cellStyle name="60% - 强调文字颜色 6 2 2 4 7" xfId="19283"/>
    <cellStyle name="60% - 强调文字颜色 6 2 2 4 8" xfId="23014"/>
    <cellStyle name="60% - 强调文字颜色 6 2 2 4 9" xfId="20419"/>
    <cellStyle name="60% - 强调文字颜色 6 2 2 5" xfId="1429"/>
    <cellStyle name="60% - 强调文字颜色 6 2 2 5 10" xfId="30982"/>
    <cellStyle name="60% - 强调文字颜色 6 2 2 5 11" xfId="33052"/>
    <cellStyle name="60% - 强调文字颜色 6 2 2 5 2" xfId="4930"/>
    <cellStyle name="60% - 强调文字颜色 6 2 2 5 3" xfId="6972"/>
    <cellStyle name="60% - 强调文字颜色 6 2 2 5 4" xfId="13116"/>
    <cellStyle name="60% - 强调文字颜色 6 2 2 5 5" xfId="16614"/>
    <cellStyle name="60% - 强调文字颜色 6 2 2 5 6" xfId="7612"/>
    <cellStyle name="60% - 强调文字颜色 6 2 2 5 7" xfId="19284"/>
    <cellStyle name="60% - 强调文字颜色 6 2 2 5 8" xfId="22794"/>
    <cellStyle name="60% - 强调文字颜色 6 2 2 5 9" xfId="19757"/>
    <cellStyle name="60% - 强调文字颜色 6 2 2 6" xfId="1430"/>
    <cellStyle name="60% - 强调文字颜色 6 2 2 6 10" xfId="30983"/>
    <cellStyle name="60% - 强调文字颜色 6 2 2 6 11" xfId="32649"/>
    <cellStyle name="60% - 强调文字颜色 6 2 2 6 2" xfId="4931"/>
    <cellStyle name="60% - 强调文字颜色 6 2 2 6 3" xfId="6973"/>
    <cellStyle name="60% - 强调文字颜色 6 2 2 6 4" xfId="13117"/>
    <cellStyle name="60% - 强调文字颜色 6 2 2 6 5" xfId="16615"/>
    <cellStyle name="60% - 强调文字颜色 6 2 2 6 6" xfId="7611"/>
    <cellStyle name="60% - 强调文字颜色 6 2 2 6 7" xfId="19285"/>
    <cellStyle name="60% - 强调文字颜色 6 2 2 6 8" xfId="22576"/>
    <cellStyle name="60% - 强调文字颜色 6 2 2 6 9" xfId="20971"/>
    <cellStyle name="60% - 强调文字颜色 6 2 2 7" xfId="1431"/>
    <cellStyle name="60% - 强调文字颜色 6 2 2 7 10" xfId="30984"/>
    <cellStyle name="60% - 强调文字颜色 6 2 2 7 11" xfId="32406"/>
    <cellStyle name="60% - 强调文字颜色 6 2 2 7 2" xfId="4932"/>
    <cellStyle name="60% - 强调文字颜色 6 2 2 7 3" xfId="6974"/>
    <cellStyle name="60% - 强调文字颜色 6 2 2 7 4" xfId="13118"/>
    <cellStyle name="60% - 强调文字颜色 6 2 2 7 5" xfId="16616"/>
    <cellStyle name="60% - 强调文字颜色 6 2 2 7 6" xfId="7610"/>
    <cellStyle name="60% - 强调文字颜色 6 2 2 7 7" xfId="19286"/>
    <cellStyle name="60% - 强调文字颜色 6 2 2 7 8" xfId="22031"/>
    <cellStyle name="60% - 强调文字颜色 6 2 2 7 9" xfId="20418"/>
    <cellStyle name="60% - 强调文字颜色 6 2 2 8" xfId="4926"/>
    <cellStyle name="60% - 强调文字颜色 6 2 2 8 2" xfId="23593"/>
    <cellStyle name="60% - 强调文字颜色 6 2 2 8 2 2" xfId="23654"/>
    <cellStyle name="60% - 强调文字颜色 6 2 2 8 2 2 2" xfId="29624"/>
    <cellStyle name="60% - 强调文字颜色 6 2 2 8 2 2 2 2" xfId="29663"/>
    <cellStyle name="60% - 强调文字颜色 6 2 2 8 2 3" xfId="26239"/>
    <cellStyle name="60% - 强调文字颜色 6 2 2 8 2 4" xfId="31895"/>
    <cellStyle name="60% - 强调文字颜色 6 2 2 8 2 5" xfId="30566"/>
    <cellStyle name="60% - 强调文字颜色 6 2 2 8 3" xfId="26178"/>
    <cellStyle name="60% - 强调文字颜色 6 2 2 8 3 2" xfId="26990"/>
    <cellStyle name="60% - 强调文字颜色 6 2 2 8 3 2 2" xfId="27059"/>
    <cellStyle name="60% - 强调文字颜色 6 2 2 8 3 2 2 2" xfId="33461"/>
    <cellStyle name="60% - 强调文字颜色 6 2 2 8 3 2 2 2 2" xfId="33482"/>
    <cellStyle name="60% - 强调文字颜色 6 2 2 8 3 2 3" xfId="33599"/>
    <cellStyle name="60% - 强调文字颜色 6 2 2 8 3 3" xfId="29648"/>
    <cellStyle name="60% - 强调文字颜色 6 2 2 8 3 3 2" xfId="33582"/>
    <cellStyle name="60% - 强调文字颜色 6 2 2 8 4" xfId="29018"/>
    <cellStyle name="60% - 强调文字颜色 6 2 2 8 4 2" xfId="31664"/>
    <cellStyle name="60% - 强调文字颜色 6 2 2 8 5" xfId="31607"/>
    <cellStyle name="60% - 强调文字颜色 6 2 2 9" xfId="6967"/>
    <cellStyle name="60% - 强调文字颜色 6 2 2 9 2" xfId="10176"/>
    <cellStyle name="60% - 强调文字颜色 6 2 2 9 2 2" xfId="26618"/>
    <cellStyle name="60% - 强调文字颜色 6 2 2 9 2 2 2" xfId="27102"/>
    <cellStyle name="60% - 强调文字颜色 6 2 2 9 2 2 2 2" xfId="33018"/>
    <cellStyle name="60% - 强调文字颜色 6 2 2 9 2 2 2 2 2" xfId="33507"/>
    <cellStyle name="60% - 强调文字颜色 6 2 2 9 2 2 3" xfId="33623"/>
    <cellStyle name="60% - 强调文字颜色 6 2 2 9 2 3" xfId="29448"/>
    <cellStyle name="60% - 强调文字颜色 6 2 2 9 2 3 2" xfId="33526"/>
    <cellStyle name="60% - 强调文字颜色 6 2 2 9 3" xfId="17361"/>
    <cellStyle name="60% - 强调文字颜色 6 2 2 9 3 2" xfId="29379"/>
    <cellStyle name="60% - 强调文字颜色 6 2 2 9 3 2 2" xfId="29472"/>
    <cellStyle name="60% - 强调文字颜色 6 2 2 9 4" xfId="21938"/>
    <cellStyle name="60% - 强调文字颜色 6 2 2 9 5" xfId="22471"/>
    <cellStyle name="60% - 强调文字颜色 6 2 2 9 6" xfId="29639"/>
    <cellStyle name="60% - 强调文字颜色 6 2 2 9 7" xfId="32065"/>
    <cellStyle name="60% - 强调文字颜色 6 2 2 9 8" xfId="31573"/>
    <cellStyle name="60% - 强调文字颜色 6 2 20" xfId="6956"/>
    <cellStyle name="60% - 强调文字颜色 6 2 20 2" xfId="10166"/>
    <cellStyle name="60% - 强调文字颜色 6 2 20 2 2" xfId="26619"/>
    <cellStyle name="60% - 强调文字颜色 6 2 20 2 2 2" xfId="27101"/>
    <cellStyle name="60% - 强调文字颜色 6 2 20 2 2 2 2" xfId="33019"/>
    <cellStyle name="60% - 强调文字颜色 6 2 20 2 2 2 2 2" xfId="33506"/>
    <cellStyle name="60% - 强调文字颜色 6 2 20 2 2 3" xfId="33622"/>
    <cellStyle name="60% - 强调文字颜色 6 2 20 2 3" xfId="29446"/>
    <cellStyle name="60% - 强调文字颜色 6 2 20 2 3 2" xfId="33527"/>
    <cellStyle name="60% - 强调文字颜色 6 2 20 3" xfId="17359"/>
    <cellStyle name="60% - 强调文字颜色 6 2 20 3 2" xfId="29377"/>
    <cellStyle name="60% - 强调文字颜色 6 2 20 3 2 2" xfId="29471"/>
    <cellStyle name="60% - 强调文字颜色 6 2 20 4" xfId="21936"/>
    <cellStyle name="60% - 强调文字颜色 6 2 20 5" xfId="22910"/>
    <cellStyle name="60% - 强调文字颜色 6 2 20 6" xfId="29510"/>
    <cellStyle name="60% - 强调文字颜色 6 2 20 7" xfId="32063"/>
    <cellStyle name="60% - 强调文字颜色 6 2 20 8" xfId="32313"/>
    <cellStyle name="60% - 强调文字颜色 6 2 21" xfId="11301"/>
    <cellStyle name="60% - 强调文字颜色 6 2 21 2" xfId="23814"/>
    <cellStyle name="60% - 强调文字颜色 6 2 21 2 2" xfId="26994"/>
    <cellStyle name="60% - 强调文字颜色 6 2 21 2 2 2" xfId="27125"/>
    <cellStyle name="60% - 强调文字颜色 6 2 21 3" xfId="26399"/>
    <cellStyle name="60% - 强调文字颜色 6 2 21 4" xfId="23520"/>
    <cellStyle name="60% - 强调文字颜色 6 2 22" xfId="13100"/>
    <cellStyle name="60% - 强调文字颜色 6 2 23" xfId="16600"/>
    <cellStyle name="60% - 强调文字颜色 6 2 24" xfId="7627"/>
    <cellStyle name="60% - 强调文字颜色 6 2 24 2" xfId="29401"/>
    <cellStyle name="60% - 强调文字颜色 6 2 24 2 2" xfId="33003"/>
    <cellStyle name="60% - 强调文字颜色 6 2 24 3" xfId="33521"/>
    <cellStyle name="60% - 强调文字颜色 6 2 24 4" xfId="25781"/>
    <cellStyle name="60% - 强调文字颜色 6 2 25" xfId="17462"/>
    <cellStyle name="60% - 强调文字颜色 6 2 25 2" xfId="26871"/>
    <cellStyle name="60% - 强调文字颜色 6 2 26" xfId="17548"/>
    <cellStyle name="60% - 强调文字颜色 6 2 26 2" xfId="29548"/>
    <cellStyle name="60% - 强调文字颜色 6 2 26 3" xfId="27155"/>
    <cellStyle name="60% - 强调文字颜色 6 2 27" xfId="17634"/>
    <cellStyle name="60% - 强调文字颜色 6 2 28" xfId="17720"/>
    <cellStyle name="60% - 强调文字颜色 6 2 29" xfId="17806"/>
    <cellStyle name="60% - 强调文字颜色 6 2 3" xfId="1432"/>
    <cellStyle name="60% - 强调文字颜色 6 2 3 10" xfId="30985"/>
    <cellStyle name="60% - 强调文字颜色 6 2 3 11" xfId="32170"/>
    <cellStyle name="60% - 强调文字颜色 6 2 3 2" xfId="4933"/>
    <cellStyle name="60% - 强调文字颜色 6 2 3 3" xfId="6975"/>
    <cellStyle name="60% - 强调文字颜色 6 2 3 4" xfId="13119"/>
    <cellStyle name="60% - 强调文字颜色 6 2 3 5" xfId="16617"/>
    <cellStyle name="60% - 强调文字颜色 6 2 3 6" xfId="7609"/>
    <cellStyle name="60% - 强调文字颜色 6 2 3 7" xfId="19287"/>
    <cellStyle name="60% - 强调文字颜色 6 2 3 8" xfId="22798"/>
    <cellStyle name="60% - 强调文字颜色 6 2 3 9" xfId="19756"/>
    <cellStyle name="60% - 强调文字颜色 6 2 30" xfId="19268"/>
    <cellStyle name="60% - 强调文字颜色 6 2 31" xfId="22039"/>
    <cellStyle name="60% - 强调文字颜色 6 2 32" xfId="20415"/>
    <cellStyle name="60% - 强调文字颜色 6 2 4" xfId="1433"/>
    <cellStyle name="60% - 强调文字颜色 6 2 4 10" xfId="30986"/>
    <cellStyle name="60% - 强调文字颜色 6 2 4 11" xfId="31703"/>
    <cellStyle name="60% - 强调文字颜色 6 2 4 2" xfId="4934"/>
    <cellStyle name="60% - 强调文字颜色 6 2 4 3" xfId="6976"/>
    <cellStyle name="60% - 强调文字颜色 6 2 4 4" xfId="13120"/>
    <cellStyle name="60% - 强调文字颜色 6 2 4 5" xfId="16618"/>
    <cellStyle name="60% - 强调文字颜色 6 2 4 6" xfId="7608"/>
    <cellStyle name="60% - 强调文字颜色 6 2 4 7" xfId="19288"/>
    <cellStyle name="60% - 强调文字颜色 6 2 4 8" xfId="22580"/>
    <cellStyle name="60% - 强调文字颜色 6 2 4 9" xfId="20970"/>
    <cellStyle name="60% - 强调文字颜色 6 2 5" xfId="1434"/>
    <cellStyle name="60% - 强调文字颜色 6 2 5 10" xfId="30987"/>
    <cellStyle name="60% - 强调文字颜色 6 2 5 11" xfId="33298"/>
    <cellStyle name="60% - 强调文字颜色 6 2 5 2" xfId="4935"/>
    <cellStyle name="60% - 强调文字颜色 6 2 5 3" xfId="6977"/>
    <cellStyle name="60% - 强调文字颜色 6 2 5 4" xfId="13121"/>
    <cellStyle name="60% - 强调文字颜色 6 2 5 5" xfId="16619"/>
    <cellStyle name="60% - 强调文字颜色 6 2 5 6" xfId="7607"/>
    <cellStyle name="60% - 强调文字颜色 6 2 5 7" xfId="19289"/>
    <cellStyle name="60% - 强调文字颜色 6 2 5 8" xfId="23017"/>
    <cellStyle name="60% - 强调文字颜色 6 2 5 9" xfId="20417"/>
    <cellStyle name="60% - 强调文字颜色 6 2 6" xfId="1435"/>
    <cellStyle name="60% - 强调文字颜色 6 2 6 10" xfId="30988"/>
    <cellStyle name="60% - 强调文字颜色 6 2 6 11" xfId="33049"/>
    <cellStyle name="60% - 强调文字颜色 6 2 6 2" xfId="4936"/>
    <cellStyle name="60% - 强调文字颜色 6 2 6 3" xfId="6978"/>
    <cellStyle name="60% - 强调文字颜色 6 2 6 4" xfId="13122"/>
    <cellStyle name="60% - 强调文字颜色 6 2 6 5" xfId="16620"/>
    <cellStyle name="60% - 强调文字颜色 6 2 6 6" xfId="7606"/>
    <cellStyle name="60% - 强调文字颜色 6 2 6 7" xfId="19290"/>
    <cellStyle name="60% - 强调文字颜色 6 2 6 8" xfId="22797"/>
    <cellStyle name="60% - 强调文字颜色 6 2 6 9" xfId="19755"/>
    <cellStyle name="60% - 强调文字颜色 6 2 7" xfId="1436"/>
    <cellStyle name="60% - 强调文字颜色 6 2 7 10" xfId="30989"/>
    <cellStyle name="60% - 强调文字颜色 6 2 7 11" xfId="32645"/>
    <cellStyle name="60% - 强调文字颜色 6 2 7 2" xfId="4937"/>
    <cellStyle name="60% - 强调文字颜色 6 2 7 3" xfId="6979"/>
    <cellStyle name="60% - 强调文字颜色 6 2 7 4" xfId="13123"/>
    <cellStyle name="60% - 强调文字颜色 6 2 7 5" xfId="16621"/>
    <cellStyle name="60% - 强调文字颜色 6 2 7 6" xfId="7605"/>
    <cellStyle name="60% - 强调文字颜色 6 2 7 7" xfId="19291"/>
    <cellStyle name="60% - 强调文字颜色 6 2 7 8" xfId="22579"/>
    <cellStyle name="60% - 强调文字颜色 6 2 7 9" xfId="20969"/>
    <cellStyle name="60% - 强调文字颜色 6 2 8" xfId="1437"/>
    <cellStyle name="60% - 强调文字颜色 6 2 8 10" xfId="30990"/>
    <cellStyle name="60% - 强调文字颜色 6 2 8 11" xfId="32402"/>
    <cellStyle name="60% - 强调文字颜色 6 2 8 2" xfId="4938"/>
    <cellStyle name="60% - 强调文字颜色 6 2 8 3" xfId="6980"/>
    <cellStyle name="60% - 强调文字颜色 6 2 8 4" xfId="13124"/>
    <cellStyle name="60% - 强调文字颜色 6 2 8 5" xfId="16622"/>
    <cellStyle name="60% - 强调文字颜色 6 2 8 6" xfId="7604"/>
    <cellStyle name="60% - 强调文字颜色 6 2 8 7" xfId="19292"/>
    <cellStyle name="60% - 强调文字颜色 6 2 8 8" xfId="22034"/>
    <cellStyle name="60% - 强调文字颜色 6 2 8 9" xfId="20416"/>
    <cellStyle name="60% - 强调文字颜色 6 2 9" xfId="1438"/>
    <cellStyle name="60% - 强调文字颜色 6 2 9 10" xfId="30991"/>
    <cellStyle name="60% - 强调文字颜色 6 2 9 11" xfId="32166"/>
    <cellStyle name="60% - 强调文字颜色 6 2 9 2" xfId="4939"/>
    <cellStyle name="60% - 强调文字颜色 6 2 9 3" xfId="6981"/>
    <cellStyle name="60% - 强调文字颜色 6 2 9 4" xfId="13125"/>
    <cellStyle name="60% - 强调文字颜色 6 2 9 5" xfId="16623"/>
    <cellStyle name="60% - 强调文字颜色 6 2 9 6" xfId="7603"/>
    <cellStyle name="60% - 强调文字颜色 6 2 9 7" xfId="19293"/>
    <cellStyle name="60% - 强调文字颜色 6 2 9 8" xfId="23016"/>
    <cellStyle name="60% - 强调文字颜色 6 2 9 9" xfId="19754"/>
    <cellStyle name="60% - 强调文字颜色 6 3" xfId="1439"/>
    <cellStyle name="60% - 强调文字颜色 6 3 10" xfId="22796"/>
    <cellStyle name="60% - 强调文字颜色 6 3 11" xfId="20967"/>
    <cellStyle name="60% - 强调文字颜色 6 3 12" xfId="30992"/>
    <cellStyle name="60% - 强调文字颜色 6 3 13" xfId="31700"/>
    <cellStyle name="60% - 强调文字颜色 6 3 2" xfId="1440"/>
    <cellStyle name="60% - 强调文字颜色 6 3 2 10" xfId="30993"/>
    <cellStyle name="60% - 强调文字颜色 6 3 2 11" xfId="33299"/>
    <cellStyle name="60% - 强调文字颜色 6 3 2 2" xfId="4941"/>
    <cellStyle name="60% - 强调文字颜色 6 3 2 3" xfId="6983"/>
    <cellStyle name="60% - 强调文字颜色 6 3 2 4" xfId="13127"/>
    <cellStyle name="60% - 强调文字颜色 6 3 2 5" xfId="16625"/>
    <cellStyle name="60% - 强调文字颜色 6 3 2 6" xfId="7601"/>
    <cellStyle name="60% - 强调文字颜色 6 3 2 7" xfId="19295"/>
    <cellStyle name="60% - 强调文字颜色 6 3 2 8" xfId="22578"/>
    <cellStyle name="60% - 强调文字颜色 6 3 2 9" xfId="20414"/>
    <cellStyle name="60% - 强调文字颜色 6 3 3" xfId="1441"/>
    <cellStyle name="60% - 强调文字颜色 6 3 3 10" xfId="30994"/>
    <cellStyle name="60% - 强调文字颜色 6 3 3 11" xfId="33050"/>
    <cellStyle name="60% - 强调文字颜色 6 3 3 2" xfId="4942"/>
    <cellStyle name="60% - 强调文字颜色 6 3 3 3" xfId="6984"/>
    <cellStyle name="60% - 强调文字颜色 6 3 3 4" xfId="13128"/>
    <cellStyle name="60% - 强调文字颜色 6 3 3 5" xfId="16626"/>
    <cellStyle name="60% - 强调文字颜色 6 3 3 6" xfId="7600"/>
    <cellStyle name="60% - 强调文字颜色 6 3 3 7" xfId="19296"/>
    <cellStyle name="60% - 强调文字颜色 6 3 3 8" xfId="22033"/>
    <cellStyle name="60% - 强调文字颜色 6 3 3 9" xfId="19752"/>
    <cellStyle name="60% - 强调文字颜色 6 3 4" xfId="4940"/>
    <cellStyle name="60% - 强调文字颜色 6 3 5" xfId="6982"/>
    <cellStyle name="60% - 强调文字颜色 6 3 6" xfId="13126"/>
    <cellStyle name="60% - 强调文字颜色 6 3 7" xfId="16624"/>
    <cellStyle name="60% - 强调文字颜色 6 3 8" xfId="7602"/>
    <cellStyle name="60% - 强调文字颜色 6 3 9" xfId="19294"/>
    <cellStyle name="60% - 强调文字颜色 6 4" xfId="1442"/>
    <cellStyle name="60% - 强调文字颜色 6 4 10" xfId="23015"/>
    <cellStyle name="60% - 强调文字颜色 6 4 11" xfId="20966"/>
    <cellStyle name="60% - 强调文字颜色 6 4 12" xfId="30995"/>
    <cellStyle name="60% - 强调文字颜色 6 4 13" xfId="32647"/>
    <cellStyle name="60% - 强调文字颜色 6 4 2" xfId="1443"/>
    <cellStyle name="60% - 强调文字颜色 6 4 2 10" xfId="30996"/>
    <cellStyle name="60% - 强调文字颜色 6 4 2 11" xfId="32404"/>
    <cellStyle name="60% - 强调文字颜色 6 4 2 2" xfId="4944"/>
    <cellStyle name="60% - 强调文字颜色 6 4 2 3" xfId="6986"/>
    <cellStyle name="60% - 强调文字颜色 6 4 2 4" xfId="13130"/>
    <cellStyle name="60% - 强调文字颜色 6 4 2 5" xfId="16628"/>
    <cellStyle name="60% - 强调文字颜色 6 4 2 6" xfId="9910"/>
    <cellStyle name="60% - 强调文字颜色 6 4 2 7" xfId="19298"/>
    <cellStyle name="60% - 强调文字颜色 6 4 2 8" xfId="22795"/>
    <cellStyle name="60% - 强调文字颜色 6 4 2 9" xfId="20413"/>
    <cellStyle name="60% - 强调文字颜色 6 4 3" xfId="1444"/>
    <cellStyle name="60% - 强调文字颜色 6 4 3 10" xfId="30997"/>
    <cellStyle name="60% - 强调文字颜色 6 4 3 11" xfId="32168"/>
    <cellStyle name="60% - 强调文字颜色 6 4 3 2" xfId="4945"/>
    <cellStyle name="60% - 强调文字颜色 6 4 3 3" xfId="6987"/>
    <cellStyle name="60% - 强调文字颜色 6 4 3 4" xfId="13131"/>
    <cellStyle name="60% - 强调文字颜色 6 4 3 5" xfId="16629"/>
    <cellStyle name="60% - 强调文字颜色 6 4 3 6" xfId="7598"/>
    <cellStyle name="60% - 强调文字颜色 6 4 3 7" xfId="19299"/>
    <cellStyle name="60% - 强调文字颜色 6 4 3 8" xfId="22577"/>
    <cellStyle name="60% - 强调文字颜色 6 4 3 9" xfId="19751"/>
    <cellStyle name="60% - 强调文字颜色 6 4 4" xfId="4943"/>
    <cellStyle name="60% - 强调文字颜色 6 4 5" xfId="6985"/>
    <cellStyle name="60% - 强调文字颜色 6 4 6" xfId="13129"/>
    <cellStyle name="60% - 强调文字颜色 6 4 7" xfId="16627"/>
    <cellStyle name="60% - 强调文字颜色 6 4 8" xfId="7599"/>
    <cellStyle name="60% - 强调文字颜色 6 4 9" xfId="19297"/>
    <cellStyle name="60% - 强调文字颜色 6 5" xfId="4915"/>
    <cellStyle name="60% - 强调文字颜色 6 5 2" xfId="10165"/>
    <cellStyle name="60% - 强调文字颜色 6 5 3" xfId="17358"/>
    <cellStyle name="60% - 强调文字颜色 6 6" xfId="6955"/>
    <cellStyle name="60% - 强调文字颜色 6 6 2" xfId="11300"/>
    <cellStyle name="60% - 强调文字颜色 6 6 3" xfId="17403"/>
    <cellStyle name="60% - 强调文字颜色 6 7" xfId="13099"/>
    <cellStyle name="60% - 强调文字颜色 6 8" xfId="16599"/>
    <cellStyle name="60% - 强调文字颜色 6 9" xfId="7628"/>
    <cellStyle name="60% - 强调文字颜色 6 9 2" xfId="26612"/>
    <cellStyle name="标题" xfId="1445" builtinId="15" customBuiltin="1"/>
    <cellStyle name="标题 1" xfId="1446" builtinId="16" customBuiltin="1"/>
    <cellStyle name="标题 1 10" xfId="17464"/>
    <cellStyle name="标题 1 11" xfId="17550"/>
    <cellStyle name="标题 1 11 2" xfId="29553"/>
    <cellStyle name="标题 1 12" xfId="17636"/>
    <cellStyle name="标题 1 13" xfId="17722"/>
    <cellStyle name="标题 1 14" xfId="17808"/>
    <cellStyle name="标题 1 15" xfId="19301"/>
    <cellStyle name="标题 1 15 2" xfId="21389"/>
    <cellStyle name="标题 1 15 3" xfId="23472"/>
    <cellStyle name="标题 1 16" xfId="23010"/>
    <cellStyle name="标题 1 17" xfId="20412"/>
    <cellStyle name="标题 1 2" xfId="1447"/>
    <cellStyle name="标题 1 2 10" xfId="17551"/>
    <cellStyle name="标题 1 2 11" xfId="17637"/>
    <cellStyle name="标题 1 2 12" xfId="17723"/>
    <cellStyle name="标题 1 2 13" xfId="17809"/>
    <cellStyle name="标题 1 2 14" xfId="19302"/>
    <cellStyle name="标题 1 2 15" xfId="22789"/>
    <cellStyle name="标题 1 2 16" xfId="19750"/>
    <cellStyle name="标题 1 2 2" xfId="1448"/>
    <cellStyle name="标题 1 2 2 10" xfId="30998"/>
    <cellStyle name="标题 1 2 2 11" xfId="32646"/>
    <cellStyle name="标题 1 2 2 2" xfId="4949"/>
    <cellStyle name="标题 1 2 2 3" xfId="6991"/>
    <cellStyle name="标题 1 2 2 4" xfId="13135"/>
    <cellStyle name="标题 1 2 2 5" xfId="16633"/>
    <cellStyle name="标题 1 2 2 6" xfId="7594"/>
    <cellStyle name="标题 1 2 2 7" xfId="19303"/>
    <cellStyle name="标题 1 2 2 8" xfId="22571"/>
    <cellStyle name="标题 1 2 2 9" xfId="20964"/>
    <cellStyle name="标题 1 2 3" xfId="1449"/>
    <cellStyle name="标题 1 2 3 10" xfId="30999"/>
    <cellStyle name="标题 1 2 3 11" xfId="32403"/>
    <cellStyle name="标题 1 2 3 2" xfId="4950"/>
    <cellStyle name="标题 1 2 3 3" xfId="6992"/>
    <cellStyle name="标题 1 2 3 4" xfId="13136"/>
    <cellStyle name="标题 1 2 3 5" xfId="16634"/>
    <cellStyle name="标题 1 2 3 6" xfId="7593"/>
    <cellStyle name="标题 1 2 3 7" xfId="19304"/>
    <cellStyle name="标题 1 2 3 8" xfId="22027"/>
    <cellStyle name="标题 1 2 3 9" xfId="20411"/>
    <cellStyle name="标题 1 2 4" xfId="4948"/>
    <cellStyle name="标题 1 2 5" xfId="6990"/>
    <cellStyle name="标题 1 2 6" xfId="13134"/>
    <cellStyle name="标题 1 2 7" xfId="16632"/>
    <cellStyle name="标题 1 2 8" xfId="7595"/>
    <cellStyle name="标题 1 2 9" xfId="17465"/>
    <cellStyle name="标题 1 3" xfId="1450"/>
    <cellStyle name="标题 1 3 10" xfId="22793"/>
    <cellStyle name="标题 1 3 11" xfId="19749"/>
    <cellStyle name="标题 1 3 12" xfId="31000"/>
    <cellStyle name="标题 1 3 13" xfId="32167"/>
    <cellStyle name="标题 1 3 2" xfId="1451"/>
    <cellStyle name="标题 1 3 2 10" xfId="31001"/>
    <cellStyle name="标题 1 3 2 11" xfId="31701"/>
    <cellStyle name="标题 1 3 2 2" xfId="4952"/>
    <cellStyle name="标题 1 3 2 3" xfId="6994"/>
    <cellStyle name="标题 1 3 2 4" xfId="13138"/>
    <cellStyle name="标题 1 3 2 5" xfId="16636"/>
    <cellStyle name="标题 1 3 2 6" xfId="7591"/>
    <cellStyle name="标题 1 3 2 7" xfId="19306"/>
    <cellStyle name="标题 1 3 2 8" xfId="22575"/>
    <cellStyle name="标题 1 3 2 9" xfId="20963"/>
    <cellStyle name="标题 1 3 3" xfId="1452"/>
    <cellStyle name="标题 1 3 3 10" xfId="31002"/>
    <cellStyle name="标题 1 3 3 11" xfId="33297"/>
    <cellStyle name="标题 1 3 3 2" xfId="4953"/>
    <cellStyle name="标题 1 3 3 3" xfId="6995"/>
    <cellStyle name="标题 1 3 3 4" xfId="13139"/>
    <cellStyle name="标题 1 3 3 5" xfId="16637"/>
    <cellStyle name="标题 1 3 3 6" xfId="7590"/>
    <cellStyle name="标题 1 3 3 7" xfId="19307"/>
    <cellStyle name="标题 1 3 3 8" xfId="23013"/>
    <cellStyle name="标题 1 3 3 9" xfId="20410"/>
    <cellStyle name="标题 1 3 4" xfId="4951"/>
    <cellStyle name="标题 1 3 5" xfId="6993"/>
    <cellStyle name="标题 1 3 6" xfId="13137"/>
    <cellStyle name="标题 1 3 7" xfId="16635"/>
    <cellStyle name="标题 1 3 8" xfId="7592"/>
    <cellStyle name="标题 1 3 9" xfId="19305"/>
    <cellStyle name="标题 1 4" xfId="1453"/>
    <cellStyle name="标题 1 4 10" xfId="22792"/>
    <cellStyle name="标题 1 4 11" xfId="19748"/>
    <cellStyle name="标题 1 4 12" xfId="31003"/>
    <cellStyle name="标题 1 4 13" xfId="33040"/>
    <cellStyle name="标题 1 4 2" xfId="1454"/>
    <cellStyle name="标题 1 4 2 10" xfId="31004"/>
    <cellStyle name="标题 1 4 2 11" xfId="32635"/>
    <cellStyle name="标题 1 4 2 2" xfId="4955"/>
    <cellStyle name="标题 1 4 2 3" xfId="6997"/>
    <cellStyle name="标题 1 4 2 4" xfId="13141"/>
    <cellStyle name="标题 1 4 2 5" xfId="16639"/>
    <cellStyle name="标题 1 4 2 6" xfId="7588"/>
    <cellStyle name="标题 1 4 2 7" xfId="19309"/>
    <cellStyle name="标题 1 4 2 8" xfId="22574"/>
    <cellStyle name="标题 1 4 2 9" xfId="20962"/>
    <cellStyle name="标题 1 4 3" xfId="1455"/>
    <cellStyle name="标题 1 4 3 10" xfId="31005"/>
    <cellStyle name="标题 1 4 3 11" xfId="32392"/>
    <cellStyle name="标题 1 4 3 2" xfId="4956"/>
    <cellStyle name="标题 1 4 3 3" xfId="6998"/>
    <cellStyle name="标题 1 4 3 4" xfId="13142"/>
    <cellStyle name="标题 1 4 3 5" xfId="16640"/>
    <cellStyle name="标题 1 4 3 6" xfId="7587"/>
    <cellStyle name="标题 1 4 3 7" xfId="19310"/>
    <cellStyle name="标题 1 4 3 8" xfId="22030"/>
    <cellStyle name="标题 1 4 3 9" xfId="20409"/>
    <cellStyle name="标题 1 4 4" xfId="4954"/>
    <cellStyle name="标题 1 4 5" xfId="6996"/>
    <cellStyle name="标题 1 4 6" xfId="13140"/>
    <cellStyle name="标题 1 4 7" xfId="16638"/>
    <cellStyle name="标题 1 4 8" xfId="7589"/>
    <cellStyle name="标题 1 4 9" xfId="19308"/>
    <cellStyle name="标题 1 5" xfId="4947"/>
    <cellStyle name="标题 1 5 2" xfId="10197"/>
    <cellStyle name="标题 1 5 3" xfId="17364"/>
    <cellStyle name="标题 1 6" xfId="6989"/>
    <cellStyle name="标题 1 6 2" xfId="11334"/>
    <cellStyle name="标题 1 6 3" xfId="17405"/>
    <cellStyle name="标题 1 7" xfId="13133"/>
    <cellStyle name="标题 1 8" xfId="16631"/>
    <cellStyle name="标题 1 9" xfId="7596"/>
    <cellStyle name="标题 1 9 2" xfId="26621"/>
    <cellStyle name="标题 10" xfId="13132"/>
    <cellStyle name="标题 11" xfId="16630"/>
    <cellStyle name="标题 12" xfId="7597"/>
    <cellStyle name="标题 12 2" xfId="26620"/>
    <cellStyle name="标题 13" xfId="17463"/>
    <cellStyle name="标题 14" xfId="17549"/>
    <cellStyle name="标题 14 2" xfId="29552"/>
    <cellStyle name="标题 15" xfId="17635"/>
    <cellStyle name="标题 16" xfId="17721"/>
    <cellStyle name="标题 17" xfId="17807"/>
    <cellStyle name="标题 18" xfId="19300"/>
    <cellStyle name="标题 18 2" xfId="21388"/>
    <cellStyle name="标题 18 3" xfId="23471"/>
    <cellStyle name="标题 19" xfId="22032"/>
    <cellStyle name="标题 2" xfId="1456" builtinId="17" customBuiltin="1"/>
    <cellStyle name="标题 2 10" xfId="17466"/>
    <cellStyle name="标题 2 11" xfId="17552"/>
    <cellStyle name="标题 2 11 2" xfId="29554"/>
    <cellStyle name="标题 2 12" xfId="17638"/>
    <cellStyle name="标题 2 13" xfId="17724"/>
    <cellStyle name="标题 2 14" xfId="17810"/>
    <cellStyle name="标题 2 15" xfId="19311"/>
    <cellStyle name="标题 2 15 2" xfId="21390"/>
    <cellStyle name="标题 2 15 3" xfId="23473"/>
    <cellStyle name="标题 2 16" xfId="23012"/>
    <cellStyle name="标题 2 17" xfId="19737"/>
    <cellStyle name="标题 2 2" xfId="1457"/>
    <cellStyle name="标题 2 2 10" xfId="17553"/>
    <cellStyle name="标题 2 2 11" xfId="17639"/>
    <cellStyle name="标题 2 2 12" xfId="17725"/>
    <cellStyle name="标题 2 2 13" xfId="17811"/>
    <cellStyle name="标题 2 2 14" xfId="19312"/>
    <cellStyle name="标题 2 2 15" xfId="22791"/>
    <cellStyle name="标题 2 2 16" xfId="21459"/>
    <cellStyle name="标题 2 2 2" xfId="1458"/>
    <cellStyle name="标题 2 2 2 10" xfId="31006"/>
    <cellStyle name="标题 2 2 2 11" xfId="31690"/>
    <cellStyle name="标题 2 2 2 2" xfId="4959"/>
    <cellStyle name="标题 2 2 2 3" xfId="7001"/>
    <cellStyle name="标题 2 2 2 4" xfId="13145"/>
    <cellStyle name="标题 2 2 2 5" xfId="16643"/>
    <cellStyle name="标题 2 2 2 6" xfId="7584"/>
    <cellStyle name="标题 2 2 2 7" xfId="19313"/>
    <cellStyle name="标题 2 2 2 8" xfId="22573"/>
    <cellStyle name="标题 2 2 2 9" xfId="20329"/>
    <cellStyle name="标题 2 2 3" xfId="1459"/>
    <cellStyle name="标题 2 2 3 10" xfId="31007"/>
    <cellStyle name="标题 2 2 3 11" xfId="33294"/>
    <cellStyle name="标题 2 2 3 2" xfId="4960"/>
    <cellStyle name="标题 2 2 3 3" xfId="7002"/>
    <cellStyle name="标题 2 2 3 4" xfId="13146"/>
    <cellStyle name="标题 2 2 3 5" xfId="16644"/>
    <cellStyle name="标题 2 2 3 6" xfId="7583"/>
    <cellStyle name="标题 2 2 3 7" xfId="19314"/>
    <cellStyle name="标题 2 2 3 8" xfId="22029"/>
    <cellStyle name="标题 2 2 3 9" xfId="20961"/>
    <cellStyle name="标题 2 2 4" xfId="4958"/>
    <cellStyle name="标题 2 2 5" xfId="7000"/>
    <cellStyle name="标题 2 2 6" xfId="13144"/>
    <cellStyle name="标题 2 2 7" xfId="16642"/>
    <cellStyle name="标题 2 2 8" xfId="7585"/>
    <cellStyle name="标题 2 2 9" xfId="17467"/>
    <cellStyle name="标题 2 3" xfId="1460"/>
    <cellStyle name="标题 2 3 10" xfId="23011"/>
    <cellStyle name="标题 2 3 11" xfId="20808"/>
    <cellStyle name="标题 2 3 12" xfId="31008"/>
    <cellStyle name="标题 2 3 13" xfId="33046"/>
    <cellStyle name="标题 2 3 2" xfId="1461"/>
    <cellStyle name="标题 2 3 2 10" xfId="31009"/>
    <cellStyle name="标题 2 3 2 11" xfId="32642"/>
    <cellStyle name="标题 2 3 2 2" xfId="4962"/>
    <cellStyle name="标题 2 3 2 3" xfId="7004"/>
    <cellStyle name="标题 2 3 2 4" xfId="13148"/>
    <cellStyle name="标题 2 3 2 5" xfId="16646"/>
    <cellStyle name="标题 2 3 2 6" xfId="7581"/>
    <cellStyle name="标题 2 3 2 7" xfId="19316"/>
    <cellStyle name="标题 2 3 2 8" xfId="22790"/>
    <cellStyle name="标题 2 3 2 9" xfId="20742"/>
    <cellStyle name="标题 2 3 3" xfId="1462"/>
    <cellStyle name="标题 2 3 3 10" xfId="31010"/>
    <cellStyle name="标题 2 3 3 11" xfId="32398"/>
    <cellStyle name="标题 2 3 3 2" xfId="4963"/>
    <cellStyle name="标题 2 3 3 3" xfId="7005"/>
    <cellStyle name="标题 2 3 3 4" xfId="13149"/>
    <cellStyle name="标题 2 3 3 5" xfId="16647"/>
    <cellStyle name="标题 2 3 3 6" xfId="7580"/>
    <cellStyle name="标题 2 3 3 7" xfId="19317"/>
    <cellStyle name="标题 2 3 3 8" xfId="22572"/>
    <cellStyle name="标题 2 3 3 9" xfId="21350"/>
    <cellStyle name="标题 2 3 4" xfId="4961"/>
    <cellStyle name="标题 2 3 5" xfId="7003"/>
    <cellStyle name="标题 2 3 6" xfId="13147"/>
    <cellStyle name="标题 2 3 7" xfId="16645"/>
    <cellStyle name="标题 2 3 8" xfId="7582"/>
    <cellStyle name="标题 2 3 9" xfId="19315"/>
    <cellStyle name="标题 2 4" xfId="1463"/>
    <cellStyle name="标题 2 4 10" xfId="22028"/>
    <cellStyle name="标题 2 4 11" xfId="20408"/>
    <cellStyle name="标题 2 4 12" xfId="31011"/>
    <cellStyle name="标题 2 4 13" xfId="32162"/>
    <cellStyle name="标题 2 4 2" xfId="1464"/>
    <cellStyle name="标题 2 4 2 10" xfId="31012"/>
    <cellStyle name="标题 2 4 2 11" xfId="31697"/>
    <cellStyle name="标题 2 4 2 2" xfId="4965"/>
    <cellStyle name="标题 2 4 2 3" xfId="7007"/>
    <cellStyle name="标题 2 4 2 4" xfId="13151"/>
    <cellStyle name="标题 2 4 2 5" xfId="16649"/>
    <cellStyle name="标题 2 4 2 6" xfId="7578"/>
    <cellStyle name="标题 2 4 2 7" xfId="19319"/>
    <cellStyle name="标题 2 4 2 8" xfId="22784"/>
    <cellStyle name="标题 2 4 2 9" xfId="20167"/>
    <cellStyle name="标题 2 4 3" xfId="1465"/>
    <cellStyle name="标题 2 4 3 10" xfId="31013"/>
    <cellStyle name="标题 2 4 3 11" xfId="33296"/>
    <cellStyle name="标题 2 4 3 2" xfId="4966"/>
    <cellStyle name="标题 2 4 3 3" xfId="7008"/>
    <cellStyle name="标题 2 4 3 4" xfId="13152"/>
    <cellStyle name="标题 2 4 3 5" xfId="16650"/>
    <cellStyle name="标题 2 4 3 6" xfId="7577"/>
    <cellStyle name="标题 2 4 3 7" xfId="19320"/>
    <cellStyle name="标题 2 4 3 8" xfId="22566"/>
    <cellStyle name="标题 2 4 3 9" xfId="19747"/>
    <cellStyle name="标题 2 4 4" xfId="4964"/>
    <cellStyle name="标题 2 4 5" xfId="7006"/>
    <cellStyle name="标题 2 4 6" xfId="13150"/>
    <cellStyle name="标题 2 4 7" xfId="16648"/>
    <cellStyle name="标题 2 4 8" xfId="7579"/>
    <cellStyle name="标题 2 4 9" xfId="19318"/>
    <cellStyle name="标题 2 5" xfId="4957"/>
    <cellStyle name="标题 2 5 2" xfId="10207"/>
    <cellStyle name="标题 2 5 3" xfId="17365"/>
    <cellStyle name="标题 2 6" xfId="6999"/>
    <cellStyle name="标题 2 6 2" xfId="11344"/>
    <cellStyle name="标题 2 6 3" xfId="17406"/>
    <cellStyle name="标题 2 7" xfId="13143"/>
    <cellStyle name="标题 2 8" xfId="16641"/>
    <cellStyle name="标题 2 9" xfId="7586"/>
    <cellStyle name="标题 2 9 2" xfId="26622"/>
    <cellStyle name="标题 20" xfId="20965"/>
    <cellStyle name="标题 3" xfId="1466" builtinId="18" customBuiltin="1"/>
    <cellStyle name="标题 3 10" xfId="17468"/>
    <cellStyle name="标题 3 11" xfId="17554"/>
    <cellStyle name="标题 3 11 2" xfId="29555"/>
    <cellStyle name="标题 3 12" xfId="17640"/>
    <cellStyle name="标题 3 13" xfId="17726"/>
    <cellStyle name="标题 3 14" xfId="17812"/>
    <cellStyle name="标题 3 15" xfId="19321"/>
    <cellStyle name="标题 3 15 2" xfId="21391"/>
    <cellStyle name="标题 3 15 3" xfId="23474"/>
    <cellStyle name="标题 3 16" xfId="22023"/>
    <cellStyle name="标题 3 17" xfId="20331"/>
    <cellStyle name="标题 3 2" xfId="1467"/>
    <cellStyle name="标题 3 2 10" xfId="17555"/>
    <cellStyle name="标题 3 2 11" xfId="17641"/>
    <cellStyle name="标题 3 2 12" xfId="17727"/>
    <cellStyle name="标题 3 2 13" xfId="17813"/>
    <cellStyle name="标题 3 2 14" xfId="19322"/>
    <cellStyle name="标题 3 2 15" xfId="21556"/>
    <cellStyle name="标题 3 2 16" xfId="20951"/>
    <cellStyle name="标题 3 2 2" xfId="1468"/>
    <cellStyle name="标题 3 2 2 10" xfId="31014"/>
    <cellStyle name="标题 3 2 2 11" xfId="32400"/>
    <cellStyle name="标题 3 2 2 2" xfId="4969"/>
    <cellStyle name="标题 3 2 2 3" xfId="7011"/>
    <cellStyle name="标题 3 2 2 4" xfId="13155"/>
    <cellStyle name="标题 3 2 2 5" xfId="16653"/>
    <cellStyle name="标题 3 2 2 6" xfId="7575"/>
    <cellStyle name="标题 3 2 2 7" xfId="19323"/>
    <cellStyle name="标题 3 2 2 8" xfId="22788"/>
    <cellStyle name="标题 3 2 2 9" xfId="20806"/>
    <cellStyle name="标题 3 2 3" xfId="1469"/>
    <cellStyle name="标题 3 2 3 10" xfId="31015"/>
    <cellStyle name="标题 3 2 3 11" xfId="32164"/>
    <cellStyle name="标题 3 2 3 2" xfId="4970"/>
    <cellStyle name="标题 3 2 3 3" xfId="7012"/>
    <cellStyle name="标题 3 2 3 4" xfId="13156"/>
    <cellStyle name="标题 3 2 3 5" xfId="16654"/>
    <cellStyle name="标题 3 2 3 6" xfId="7574"/>
    <cellStyle name="标题 3 2 3 7" xfId="19324"/>
    <cellStyle name="标题 3 2 3 8" xfId="22570"/>
    <cellStyle name="标题 3 2 3 9" xfId="20330"/>
    <cellStyle name="标题 3 2 4" xfId="4968"/>
    <cellStyle name="标题 3 2 5" xfId="7010"/>
    <cellStyle name="标题 3 2 6" xfId="13154"/>
    <cellStyle name="标题 3 2 7" xfId="16652"/>
    <cellStyle name="标题 3 2 8" xfId="7576"/>
    <cellStyle name="标题 3 2 9" xfId="17469"/>
    <cellStyle name="标题 3 3" xfId="1470"/>
    <cellStyle name="标题 3 3 10" xfId="23009"/>
    <cellStyle name="标题 3 3 11" xfId="20960"/>
    <cellStyle name="标题 3 3 12" xfId="31016"/>
    <cellStyle name="标题 3 3 13" xfId="31698"/>
    <cellStyle name="标题 3 3 2" xfId="1471"/>
    <cellStyle name="标题 3 3 2 10" xfId="31017"/>
    <cellStyle name="标题 3 3 2 11" xfId="33295"/>
    <cellStyle name="标题 3 3 2 2" xfId="4972"/>
    <cellStyle name="标题 3 3 2 3" xfId="7014"/>
    <cellStyle name="标题 3 3 2 4" xfId="13158"/>
    <cellStyle name="标题 3 3 2 5" xfId="16656"/>
    <cellStyle name="标题 3 3 2 6" xfId="7572"/>
    <cellStyle name="标题 3 3 2 7" xfId="19326"/>
    <cellStyle name="标题 3 3 2 8" xfId="22787"/>
    <cellStyle name="标题 3 3 2 9" xfId="20807"/>
    <cellStyle name="标题 3 3 3" xfId="1472"/>
    <cellStyle name="标题 3 3 3 10" xfId="31018"/>
    <cellStyle name="标题 3 3 3 11" xfId="33047"/>
    <cellStyle name="标题 3 3 3 2" xfId="4973"/>
    <cellStyle name="标题 3 3 3 3" xfId="7015"/>
    <cellStyle name="标题 3 3 3 4" xfId="13159"/>
    <cellStyle name="标题 3 3 3 5" xfId="16657"/>
    <cellStyle name="标题 3 3 3 6" xfId="7571"/>
    <cellStyle name="标题 3 3 3 7" xfId="19327"/>
    <cellStyle name="标题 3 3 3 8" xfId="22569"/>
    <cellStyle name="标题 3 3 3 9" xfId="20166"/>
    <cellStyle name="标题 3 3 4" xfId="4971"/>
    <cellStyle name="标题 3 3 5" xfId="7013"/>
    <cellStyle name="标题 3 3 6" xfId="13157"/>
    <cellStyle name="标题 3 3 7" xfId="16655"/>
    <cellStyle name="标题 3 3 8" xfId="7573"/>
    <cellStyle name="标题 3 3 9" xfId="19325"/>
    <cellStyle name="标题 3 4" xfId="1473"/>
    <cellStyle name="标题 3 4 10" xfId="22026"/>
    <cellStyle name="标题 3 4 11" xfId="19746"/>
    <cellStyle name="标题 3 4 12" xfId="31019"/>
    <cellStyle name="标题 3 4 13" xfId="32643"/>
    <cellStyle name="标题 3 4 2" xfId="1474"/>
    <cellStyle name="标题 3 4 2 10" xfId="31020"/>
    <cellStyle name="标题 3 4 2 11" xfId="32399"/>
    <cellStyle name="标题 3 4 2 2" xfId="4975"/>
    <cellStyle name="标题 3 4 2 3" xfId="7017"/>
    <cellStyle name="标题 3 4 2 4" xfId="13161"/>
    <cellStyle name="标题 3 4 2 5" xfId="16659"/>
    <cellStyle name="标题 3 4 2 6" xfId="7569"/>
    <cellStyle name="标题 3 4 2 7" xfId="19329"/>
    <cellStyle name="标题 3 4 2 8" xfId="23008"/>
    <cellStyle name="标题 3 4 2 9" xfId="20252"/>
    <cellStyle name="标题 3 4 3" xfId="1475"/>
    <cellStyle name="标题 3 4 3 10" xfId="31021"/>
    <cellStyle name="标题 3 4 3 11" xfId="32163"/>
    <cellStyle name="标题 3 4 3 2" xfId="4976"/>
    <cellStyle name="标题 3 4 3 3" xfId="7018"/>
    <cellStyle name="标题 3 4 3 4" xfId="13162"/>
    <cellStyle name="标题 3 4 3 5" xfId="16660"/>
    <cellStyle name="标题 3 4 3 6" xfId="7568"/>
    <cellStyle name="标题 3 4 3 7" xfId="19330"/>
    <cellStyle name="标题 3 4 3 8" xfId="22786"/>
    <cellStyle name="标题 3 4 3 9" xfId="20357"/>
    <cellStyle name="标题 3 4 4" xfId="4974"/>
    <cellStyle name="标题 3 4 5" xfId="7016"/>
    <cellStyle name="标题 3 4 6" xfId="13160"/>
    <cellStyle name="标题 3 4 7" xfId="16658"/>
    <cellStyle name="标题 3 4 8" xfId="7570"/>
    <cellStyle name="标题 3 4 9" xfId="19328"/>
    <cellStyle name="标题 3 5" xfId="4967"/>
    <cellStyle name="标题 3 5 2" xfId="10217"/>
    <cellStyle name="标题 3 5 3" xfId="17366"/>
    <cellStyle name="标题 3 6" xfId="7009"/>
    <cellStyle name="标题 3 6 2" xfId="11354"/>
    <cellStyle name="标题 3 6 3" xfId="17407"/>
    <cellStyle name="标题 3 7" xfId="13153"/>
    <cellStyle name="标题 3 8" xfId="16651"/>
    <cellStyle name="标题 3 9" xfId="9887"/>
    <cellStyle name="标题 3 9 2" xfId="26623"/>
    <cellStyle name="标题 4" xfId="1476" builtinId="19" customBuiltin="1"/>
    <cellStyle name="标题 4 10" xfId="17470"/>
    <cellStyle name="标题 4 11" xfId="17556"/>
    <cellStyle name="标题 4 11 2" xfId="29556"/>
    <cellStyle name="标题 4 12" xfId="17642"/>
    <cellStyle name="标题 4 13" xfId="17728"/>
    <cellStyle name="标题 4 14" xfId="17814"/>
    <cellStyle name="标题 4 15" xfId="19331"/>
    <cellStyle name="标题 4 15 2" xfId="21392"/>
    <cellStyle name="标题 4 15 3" xfId="23475"/>
    <cellStyle name="标题 4 16" xfId="22568"/>
    <cellStyle name="标题 4 17" xfId="20741"/>
    <cellStyle name="标题 4 2" xfId="1477"/>
    <cellStyle name="标题 4 2 10" xfId="17557"/>
    <cellStyle name="标题 4 2 11" xfId="17643"/>
    <cellStyle name="标题 4 2 12" xfId="17729"/>
    <cellStyle name="标题 4 2 13" xfId="17815"/>
    <cellStyle name="标题 4 2 14" xfId="19332"/>
    <cellStyle name="标题 4 2 15" xfId="22025"/>
    <cellStyle name="标题 4 2 16" xfId="20165"/>
    <cellStyle name="标题 4 2 2" xfId="1478"/>
    <cellStyle name="标题 4 2 2 10" xfId="31022"/>
    <cellStyle name="标题 4 2 2 11" xfId="33043"/>
    <cellStyle name="标题 4 2 2 2" xfId="4979"/>
    <cellStyle name="标题 4 2 2 3" xfId="7021"/>
    <cellStyle name="标题 4 2 2 4" xfId="13165"/>
    <cellStyle name="标题 4 2 2 5" xfId="16663"/>
    <cellStyle name="标题 4 2 2 6" xfId="7565"/>
    <cellStyle name="标题 4 2 2 7" xfId="19333"/>
    <cellStyle name="标题 4 2 2 8" xfId="23007"/>
    <cellStyle name="标题 4 2 2 9" xfId="20959"/>
    <cellStyle name="标题 4 2 3" xfId="1479"/>
    <cellStyle name="标题 4 2 3 10" xfId="31023"/>
    <cellStyle name="标题 4 2 3 11" xfId="32639"/>
    <cellStyle name="标题 4 2 3 2" xfId="4980"/>
    <cellStyle name="标题 4 2 3 3" xfId="7022"/>
    <cellStyle name="标题 4 2 3 4" xfId="13166"/>
    <cellStyle name="标题 4 2 3 5" xfId="16664"/>
    <cellStyle name="标题 4 2 3 6" xfId="7564"/>
    <cellStyle name="标题 4 2 3 7" xfId="19334"/>
    <cellStyle name="标题 4 2 3 8" xfId="22785"/>
    <cellStyle name="标题 4 2 3 9" xfId="20407"/>
    <cellStyle name="标题 4 2 4" xfId="4978"/>
    <cellStyle name="标题 4 2 5" xfId="7020"/>
    <cellStyle name="标题 4 2 6" xfId="13164"/>
    <cellStyle name="标题 4 2 7" xfId="16662"/>
    <cellStyle name="标题 4 2 8" xfId="7566"/>
    <cellStyle name="标题 4 2 9" xfId="17471"/>
    <cellStyle name="标题 4 3" xfId="1480"/>
    <cellStyle name="标题 4 3 10" xfId="22567"/>
    <cellStyle name="标题 4 3 11" xfId="19745"/>
    <cellStyle name="标题 4 3 12" xfId="31024"/>
    <cellStyle name="标题 4 3 13" xfId="32396"/>
    <cellStyle name="标题 4 3 2" xfId="1481"/>
    <cellStyle name="标题 4 3 2 10" xfId="31025"/>
    <cellStyle name="标题 4 3 2 11" xfId="32159"/>
    <cellStyle name="标题 4 3 2 2" xfId="4982"/>
    <cellStyle name="标题 4 3 2 3" xfId="7024"/>
    <cellStyle name="标题 4 3 2 4" xfId="13168"/>
    <cellStyle name="标题 4 3 2 5" xfId="16666"/>
    <cellStyle name="标题 4 3 2 6" xfId="7562"/>
    <cellStyle name="标题 4 3 2 7" xfId="19336"/>
    <cellStyle name="标题 4 3 2 8" xfId="22024"/>
    <cellStyle name="标题 4 3 2 9" xfId="20958"/>
    <cellStyle name="标题 4 3 3" xfId="1482"/>
    <cellStyle name="标题 4 3 3 10" xfId="31026"/>
    <cellStyle name="标题 4 3 3 11" xfId="31694"/>
    <cellStyle name="标题 4 3 3 2" xfId="4983"/>
    <cellStyle name="标题 4 3 3 3" xfId="7025"/>
    <cellStyle name="标题 4 3 3 4" xfId="13169"/>
    <cellStyle name="标题 4 3 3 5" xfId="16667"/>
    <cellStyle name="标题 4 3 3 6" xfId="11145"/>
    <cellStyle name="标题 4 3 3 7" xfId="19337"/>
    <cellStyle name="标题 4 3 3 8" xfId="23006"/>
    <cellStyle name="标题 4 3 3 9" xfId="20406"/>
    <cellStyle name="标题 4 3 4" xfId="4981"/>
    <cellStyle name="标题 4 3 5" xfId="7023"/>
    <cellStyle name="标题 4 3 6" xfId="13167"/>
    <cellStyle name="标题 4 3 7" xfId="16665"/>
    <cellStyle name="标题 4 3 8" xfId="7563"/>
    <cellStyle name="标题 4 3 9" xfId="19335"/>
    <cellStyle name="标题 4 4" xfId="1483"/>
    <cellStyle name="标题 4 4 10" xfId="22779"/>
    <cellStyle name="标题 4 4 11" xfId="19744"/>
    <cellStyle name="标题 4 4 12" xfId="31027"/>
    <cellStyle name="标题 4 4 13" xfId="33293"/>
    <cellStyle name="标题 4 4 2" xfId="1484"/>
    <cellStyle name="标题 4 4 2 10" xfId="31028"/>
    <cellStyle name="标题 4 4 2 11" xfId="33045"/>
    <cellStyle name="标题 4 4 2 2" xfId="4985"/>
    <cellStyle name="标题 4 4 2 3" xfId="7027"/>
    <cellStyle name="标题 4 4 2 4" xfId="13171"/>
    <cellStyle name="标题 4 4 2 5" xfId="16669"/>
    <cellStyle name="标题 4 4 2 6" xfId="11147"/>
    <cellStyle name="标题 4 4 2 7" xfId="19339"/>
    <cellStyle name="标题 4 4 2 8" xfId="22561"/>
    <cellStyle name="标题 4 4 2 9" xfId="20957"/>
    <cellStyle name="标题 4 4 3" xfId="1485"/>
    <cellStyle name="标题 4 4 3 10" xfId="31029"/>
    <cellStyle name="标题 4 4 3 11" xfId="32641"/>
    <cellStyle name="标题 4 4 3 2" xfId="4986"/>
    <cellStyle name="标题 4 4 3 3" xfId="7028"/>
    <cellStyle name="标题 4 4 3 4" xfId="13172"/>
    <cellStyle name="标题 4 4 3 5" xfId="16670"/>
    <cellStyle name="标题 4 4 3 6" xfId="9886"/>
    <cellStyle name="标题 4 4 3 7" xfId="19340"/>
    <cellStyle name="标题 4 4 3 8" xfId="22019"/>
    <cellStyle name="标题 4 4 3 9" xfId="20405"/>
    <cellStyle name="标题 4 4 4" xfId="4984"/>
    <cellStyle name="标题 4 4 5" xfId="7026"/>
    <cellStyle name="标题 4 4 6" xfId="13170"/>
    <cellStyle name="标题 4 4 7" xfId="16668"/>
    <cellStyle name="标题 4 4 8" xfId="9884"/>
    <cellStyle name="标题 4 4 9" xfId="19338"/>
    <cellStyle name="标题 4 5" xfId="4977"/>
    <cellStyle name="标题 4 5 2" xfId="10227"/>
    <cellStyle name="标题 4 5 3" xfId="17367"/>
    <cellStyle name="标题 4 6" xfId="7019"/>
    <cellStyle name="标题 4 6 2" xfId="11364"/>
    <cellStyle name="标题 4 6 3" xfId="17408"/>
    <cellStyle name="标题 4 7" xfId="13163"/>
    <cellStyle name="标题 4 8" xfId="16661"/>
    <cellStyle name="标题 4 9" xfId="7567"/>
    <cellStyle name="标题 4 9 2" xfId="26624"/>
    <cellStyle name="标题 5" xfId="1486"/>
    <cellStyle name="标题 5 10" xfId="17558"/>
    <cellStyle name="标题 5 11" xfId="17644"/>
    <cellStyle name="标题 5 12" xfId="17730"/>
    <cellStyle name="标题 5 13" xfId="17816"/>
    <cellStyle name="标题 5 14" xfId="19341"/>
    <cellStyle name="标题 5 15" xfId="21555"/>
    <cellStyle name="标题 5 16" xfId="19743"/>
    <cellStyle name="标题 5 2" xfId="1487"/>
    <cellStyle name="标题 5 2 10" xfId="31030"/>
    <cellStyle name="标题 5 2 11" xfId="32161"/>
    <cellStyle name="标题 5 2 2" xfId="4988"/>
    <cellStyle name="标题 5 2 3" xfId="7030"/>
    <cellStyle name="标题 5 2 4" xfId="13174"/>
    <cellStyle name="标题 5 2 5" xfId="16672"/>
    <cellStyle name="标题 5 2 6" xfId="9885"/>
    <cellStyle name="标题 5 2 7" xfId="19342"/>
    <cellStyle name="标题 5 2 8" xfId="22783"/>
    <cellStyle name="标题 5 2 9" xfId="20956"/>
    <cellStyle name="标题 5 3" xfId="1488"/>
    <cellStyle name="标题 5 3 10" xfId="31031"/>
    <cellStyle name="标题 5 3 11" xfId="31696"/>
    <cellStyle name="标题 5 3 2" xfId="4989"/>
    <cellStyle name="标题 5 3 3" xfId="7031"/>
    <cellStyle name="标题 5 3 4" xfId="13175"/>
    <cellStyle name="标题 5 3 5" xfId="16673"/>
    <cellStyle name="标题 5 3 6" xfId="7561"/>
    <cellStyle name="标题 5 3 7" xfId="19343"/>
    <cellStyle name="标题 5 3 8" xfId="22565"/>
    <cellStyle name="标题 5 3 9" xfId="20404"/>
    <cellStyle name="标题 5 4" xfId="4987"/>
    <cellStyle name="标题 5 5" xfId="7029"/>
    <cellStyle name="标题 5 6" xfId="13173"/>
    <cellStyle name="标题 5 7" xfId="16671"/>
    <cellStyle name="标题 5 8" xfId="11146"/>
    <cellStyle name="标题 5 9" xfId="17472"/>
    <cellStyle name="标题 6" xfId="1489"/>
    <cellStyle name="标题 6 10" xfId="23005"/>
    <cellStyle name="标题 6 11" xfId="19742"/>
    <cellStyle name="标题 6 12" xfId="31032"/>
    <cellStyle name="标题 6 13" xfId="33292"/>
    <cellStyle name="标题 6 2" xfId="1490"/>
    <cellStyle name="标题 6 2 10" xfId="31033"/>
    <cellStyle name="标题 6 2 11" xfId="33044"/>
    <cellStyle name="标题 6 2 2" xfId="4991"/>
    <cellStyle name="标题 6 2 3" xfId="7033"/>
    <cellStyle name="标题 6 2 4" xfId="13177"/>
    <cellStyle name="标题 6 2 5" xfId="16675"/>
    <cellStyle name="标题 6 2 6" xfId="7559"/>
    <cellStyle name="标题 6 2 7" xfId="19345"/>
    <cellStyle name="标题 6 2 8" xfId="22782"/>
    <cellStyle name="标题 6 2 9" xfId="20955"/>
    <cellStyle name="标题 6 3" xfId="1491"/>
    <cellStyle name="标题 6 3 10" xfId="31034"/>
    <cellStyle name="标题 6 3 11" xfId="32640"/>
    <cellStyle name="标题 6 3 2" xfId="4992"/>
    <cellStyle name="标题 6 3 3" xfId="7034"/>
    <cellStyle name="标题 6 3 4" xfId="13178"/>
    <cellStyle name="标题 6 3 5" xfId="16676"/>
    <cellStyle name="标题 6 3 6" xfId="7558"/>
    <cellStyle name="标题 6 3 7" xfId="19346"/>
    <cellStyle name="标题 6 3 8" xfId="22564"/>
    <cellStyle name="标题 6 3 9" xfId="20403"/>
    <cellStyle name="标题 6 4" xfId="4990"/>
    <cellStyle name="标题 6 5" xfId="7032"/>
    <cellStyle name="标题 6 6" xfId="13176"/>
    <cellStyle name="标题 6 7" xfId="16674"/>
    <cellStyle name="标题 6 8" xfId="7560"/>
    <cellStyle name="标题 6 9" xfId="19344"/>
    <cellStyle name="标题 7" xfId="1492"/>
    <cellStyle name="标题 7 10" xfId="22022"/>
    <cellStyle name="标题 7 11" xfId="19741"/>
    <cellStyle name="标题 7 12" xfId="31035"/>
    <cellStyle name="标题 7 13" xfId="32397"/>
    <cellStyle name="标题 7 2" xfId="1493"/>
    <cellStyle name="标题 7 2 10" xfId="31036"/>
    <cellStyle name="标题 7 2 11" xfId="32160"/>
    <cellStyle name="标题 7 2 2" xfId="4994"/>
    <cellStyle name="标题 7 2 3" xfId="7036"/>
    <cellStyle name="标题 7 2 4" xfId="13180"/>
    <cellStyle name="标题 7 2 5" xfId="16678"/>
    <cellStyle name="标题 7 2 6" xfId="7556"/>
    <cellStyle name="标题 7 2 7" xfId="19348"/>
    <cellStyle name="标题 7 2 8" xfId="23004"/>
    <cellStyle name="标题 7 2 9" xfId="20954"/>
    <cellStyle name="标题 7 3" xfId="1494"/>
    <cellStyle name="标题 7 3 10" xfId="31037"/>
    <cellStyle name="标题 7 3 11" xfId="31695"/>
    <cellStyle name="标题 7 3 2" xfId="4995"/>
    <cellStyle name="标题 7 3 3" xfId="7037"/>
    <cellStyle name="标题 7 3 4" xfId="13181"/>
    <cellStyle name="标题 7 3 5" xfId="16679"/>
    <cellStyle name="标题 7 3 6" xfId="7541"/>
    <cellStyle name="标题 7 3 7" xfId="19349"/>
    <cellStyle name="标题 7 3 8" xfId="22781"/>
    <cellStyle name="标题 7 3 9" xfId="20402"/>
    <cellStyle name="标题 7 4" xfId="4993"/>
    <cellStyle name="标题 7 5" xfId="7035"/>
    <cellStyle name="标题 7 6" xfId="13179"/>
    <cellStyle name="标题 7 7" xfId="16677"/>
    <cellStyle name="标题 7 8" xfId="7557"/>
    <cellStyle name="标题 7 9" xfId="19347"/>
    <cellStyle name="标题 8" xfId="4946"/>
    <cellStyle name="标题 8 2" xfId="10196"/>
    <cellStyle name="标题 8 3" xfId="17363"/>
    <cellStyle name="标题 9" xfId="6988"/>
    <cellStyle name="标题 9 2" xfId="11333"/>
    <cellStyle name="标题 9 3" xfId="17404"/>
    <cellStyle name="差" xfId="1495" builtinId="27" customBuiltin="1"/>
    <cellStyle name="差 10" xfId="17473"/>
    <cellStyle name="差 11" xfId="17559"/>
    <cellStyle name="差 11 2" xfId="29557"/>
    <cellStyle name="差 12" xfId="17645"/>
    <cellStyle name="差 13" xfId="17731"/>
    <cellStyle name="差 14" xfId="17817"/>
    <cellStyle name="差 15" xfId="19350"/>
    <cellStyle name="差 15 2" xfId="21393"/>
    <cellStyle name="差 15 3" xfId="23476"/>
    <cellStyle name="差 16" xfId="22563"/>
    <cellStyle name="差 17" xfId="19740"/>
    <cellStyle name="差 2" xfId="1496"/>
    <cellStyle name="差 2 10" xfId="17560"/>
    <cellStyle name="差 2 11" xfId="17646"/>
    <cellStyle name="差 2 12" xfId="17732"/>
    <cellStyle name="差 2 13" xfId="17818"/>
    <cellStyle name="差 2 14" xfId="19351"/>
    <cellStyle name="差 2 15" xfId="22021"/>
    <cellStyle name="差 2 16" xfId="20953"/>
    <cellStyle name="差 2 2" xfId="1497"/>
    <cellStyle name="差 2 2 10" xfId="31038"/>
    <cellStyle name="差 2 2 11" xfId="32636"/>
    <cellStyle name="差 2 2 2" xfId="4998"/>
    <cellStyle name="差 2 2 3" xfId="7040"/>
    <cellStyle name="差 2 2 4" xfId="13184"/>
    <cellStyle name="差 2 2 5" xfId="16682"/>
    <cellStyle name="差 2 2 6" xfId="7554"/>
    <cellStyle name="差 2 2 7" xfId="19352"/>
    <cellStyle name="差 2 2 8" xfId="23003"/>
    <cellStyle name="差 2 2 9" xfId="20401"/>
    <cellStyle name="差 2 3" xfId="1498"/>
    <cellStyle name="差 2 3 10" xfId="31039"/>
    <cellStyle name="差 2 3 11" xfId="32393"/>
    <cellStyle name="差 2 3 2" xfId="4999"/>
    <cellStyle name="差 2 3 3" xfId="7041"/>
    <cellStyle name="差 2 3 4" xfId="13185"/>
    <cellStyle name="差 2 3 5" xfId="16683"/>
    <cellStyle name="差 2 3 6" xfId="7553"/>
    <cellStyle name="差 2 3 7" xfId="19353"/>
    <cellStyle name="差 2 3 8" xfId="22780"/>
    <cellStyle name="差 2 3 9" xfId="19739"/>
    <cellStyle name="差 2 4" xfId="4997"/>
    <cellStyle name="差 2 5" xfId="7039"/>
    <cellStyle name="差 2 6" xfId="13183"/>
    <cellStyle name="差 2 7" xfId="16681"/>
    <cellStyle name="差 2 8" xfId="7555"/>
    <cellStyle name="差 2 9" xfId="17474"/>
    <cellStyle name="差 3" xfId="1499"/>
    <cellStyle name="差 3 10" xfId="22562"/>
    <cellStyle name="差 3 11" xfId="20952"/>
    <cellStyle name="差 3 12" xfId="31040"/>
    <cellStyle name="差 3 13" xfId="32157"/>
    <cellStyle name="差 3 2" xfId="1500"/>
    <cellStyle name="差 3 2 10" xfId="31041"/>
    <cellStyle name="差 3 2 11" xfId="31691"/>
    <cellStyle name="差 3 2 2" xfId="5001"/>
    <cellStyle name="差 3 2 3" xfId="7043"/>
    <cellStyle name="差 3 2 4" xfId="13187"/>
    <cellStyle name="差 3 2 5" xfId="16685"/>
    <cellStyle name="差 3 2 6" xfId="11144"/>
    <cellStyle name="差 3 2 7" xfId="19355"/>
    <cellStyle name="差 3 2 8" xfId="22020"/>
    <cellStyle name="差 3 2 9" xfId="20400"/>
    <cellStyle name="差 3 3" xfId="1501"/>
    <cellStyle name="差 3 3 10" xfId="31042"/>
    <cellStyle name="差 3 3 11" xfId="33291"/>
    <cellStyle name="差 3 3 2" xfId="5002"/>
    <cellStyle name="差 3 3 3" xfId="7044"/>
    <cellStyle name="差 3 3 4" xfId="13188"/>
    <cellStyle name="差 3 3 5" xfId="16686"/>
    <cellStyle name="差 3 3 6" xfId="9872"/>
    <cellStyle name="差 3 3 7" xfId="19356"/>
    <cellStyle name="差 3 3 8" xfId="23002"/>
    <cellStyle name="差 3 3 9" xfId="19738"/>
    <cellStyle name="差 3 4" xfId="5000"/>
    <cellStyle name="差 3 5" xfId="7042"/>
    <cellStyle name="差 3 6" xfId="13186"/>
    <cellStyle name="差 3 7" xfId="16684"/>
    <cellStyle name="差 3 8" xfId="7552"/>
    <cellStyle name="差 3 9" xfId="19354"/>
    <cellStyle name="差 4" xfId="1502"/>
    <cellStyle name="差 4 10" xfId="22774"/>
    <cellStyle name="差 4 11" xfId="21456"/>
    <cellStyle name="差 4 12" xfId="31043"/>
    <cellStyle name="差 4 13" xfId="33042"/>
    <cellStyle name="差 4 2" xfId="1503"/>
    <cellStyle name="差 4 2 10" xfId="31044"/>
    <cellStyle name="差 4 2 11" xfId="32638"/>
    <cellStyle name="差 4 2 2" xfId="5004"/>
    <cellStyle name="差 4 2 3" xfId="7046"/>
    <cellStyle name="差 4 2 4" xfId="13190"/>
    <cellStyle name="差 4 2 5" xfId="16688"/>
    <cellStyle name="差 4 2 6" xfId="7550"/>
    <cellStyle name="差 4 2 7" xfId="19358"/>
    <cellStyle name="差 4 2 8" xfId="22556"/>
    <cellStyle name="差 4 2 9" xfId="20332"/>
    <cellStyle name="差 4 3" xfId="1504"/>
    <cellStyle name="差 4 3 10" xfId="31045"/>
    <cellStyle name="差 4 3 11" xfId="32395"/>
    <cellStyle name="差 4 3 2" xfId="5005"/>
    <cellStyle name="差 4 3 3" xfId="7047"/>
    <cellStyle name="差 4 3 4" xfId="13191"/>
    <cellStyle name="差 4 3 5" xfId="16689"/>
    <cellStyle name="差 4 3 6" xfId="7549"/>
    <cellStyle name="差 4 3 7" xfId="19359"/>
    <cellStyle name="差 4 3 8" xfId="22015"/>
    <cellStyle name="差 4 3 9" xfId="20950"/>
    <cellStyle name="差 4 4" xfId="5003"/>
    <cellStyle name="差 4 5" xfId="7045"/>
    <cellStyle name="差 4 6" xfId="13189"/>
    <cellStyle name="差 4 7" xfId="16687"/>
    <cellStyle name="差 4 8" xfId="7551"/>
    <cellStyle name="差 4 9" xfId="19357"/>
    <cellStyle name="差 5" xfId="4996"/>
    <cellStyle name="差 5 2" xfId="10246"/>
    <cellStyle name="差 5 3" xfId="17368"/>
    <cellStyle name="差 6" xfId="7038"/>
    <cellStyle name="差 6 2" xfId="11383"/>
    <cellStyle name="差 6 3" xfId="17409"/>
    <cellStyle name="差 7" xfId="13182"/>
    <cellStyle name="差 8" xfId="16680"/>
    <cellStyle name="差 9" xfId="9861"/>
    <cellStyle name="差 9 2" xfId="26625"/>
    <cellStyle name="常规" xfId="0" builtinId="0"/>
    <cellStyle name="常规 10" xfId="17512"/>
    <cellStyle name="常规 11" xfId="17598"/>
    <cellStyle name="常规 12" xfId="17684"/>
    <cellStyle name="常规 13" xfId="17770"/>
    <cellStyle name="常规 2" xfId="1505"/>
    <cellStyle name="常规 2 10" xfId="17561"/>
    <cellStyle name="常规 2 11" xfId="17647"/>
    <cellStyle name="常规 2 12" xfId="17733"/>
    <cellStyle name="常规 2 13" xfId="17819"/>
    <cellStyle name="常规 2 14" xfId="19360"/>
    <cellStyle name="常规 2 15" xfId="21554"/>
    <cellStyle name="常规 2 16" xfId="20805"/>
    <cellStyle name="常规 2 2" xfId="1506"/>
    <cellStyle name="常规 2 2 10" xfId="22778"/>
    <cellStyle name="常规 2 2 11" xfId="20164"/>
    <cellStyle name="常规 2 2 12" xfId="31046"/>
    <cellStyle name="常规 2 2 13" xfId="31693"/>
    <cellStyle name="常规 2 2 2" xfId="1507"/>
    <cellStyle name="常规 2 2 2 10" xfId="31047"/>
    <cellStyle name="常规 2 2 2 11" xfId="33290"/>
    <cellStyle name="常规 2 2 2 2" xfId="5008"/>
    <cellStyle name="常规 2 2 2 3" xfId="7050"/>
    <cellStyle name="常规 2 2 2 4" xfId="13194"/>
    <cellStyle name="常规 2 2 2 5" xfId="16692"/>
    <cellStyle name="常规 2 2 2 6" xfId="7546"/>
    <cellStyle name="常规 2 2 2 7" xfId="19362"/>
    <cellStyle name="常规 2 2 2 8" xfId="22560"/>
    <cellStyle name="常规 2 2 2 9" xfId="19736"/>
    <cellStyle name="常规 2 2 3" xfId="1508"/>
    <cellStyle name="常规 2 2 3 10" xfId="31048"/>
    <cellStyle name="常规 2 2 3 11" xfId="33041"/>
    <cellStyle name="常规 2 2 3 2" xfId="5009"/>
    <cellStyle name="常规 2 2 3 3" xfId="7051"/>
    <cellStyle name="常规 2 2 3 4" xfId="13195"/>
    <cellStyle name="常规 2 2 3 5" xfId="16693"/>
    <cellStyle name="常规 2 2 3 6" xfId="7545"/>
    <cellStyle name="常规 2 2 3 7" xfId="19363"/>
    <cellStyle name="常规 2 2 3 8" xfId="23001"/>
    <cellStyle name="常规 2 2 3 9" xfId="21455"/>
    <cellStyle name="常规 2 2 4" xfId="5007"/>
    <cellStyle name="常规 2 2 5" xfId="7049"/>
    <cellStyle name="常规 2 2 6" xfId="13193"/>
    <cellStyle name="常规 2 2 7" xfId="16691"/>
    <cellStyle name="常规 2 2 8" xfId="7547"/>
    <cellStyle name="常规 2 2 9" xfId="19361"/>
    <cellStyle name="常规 2 3" xfId="1509"/>
    <cellStyle name="常规 2 3 10" xfId="22777"/>
    <cellStyle name="常规 2 3 11" xfId="20333"/>
    <cellStyle name="常规 2 3 12" xfId="31049"/>
    <cellStyle name="常规 2 3 13" xfId="32637"/>
    <cellStyle name="常规 2 3 2" xfId="1510"/>
    <cellStyle name="常规 2 3 2 10" xfId="31050"/>
    <cellStyle name="常规 2 3 2 11" xfId="32394"/>
    <cellStyle name="常规 2 3 2 2" xfId="5011"/>
    <cellStyle name="常规 2 3 2 3" xfId="7053"/>
    <cellStyle name="常规 2 3 2 4" xfId="13197"/>
    <cellStyle name="常规 2 3 2 5" xfId="16695"/>
    <cellStyle name="常规 2 3 2 6" xfId="7543"/>
    <cellStyle name="常规 2 3 2 7" xfId="19365"/>
    <cellStyle name="常规 2 3 2 8" xfId="22559"/>
    <cellStyle name="常规 2 3 2 9" xfId="20949"/>
    <cellStyle name="常规 2 3 3" xfId="1511"/>
    <cellStyle name="常规 2 3 3 10" xfId="31051"/>
    <cellStyle name="常规 2 3 3 11" xfId="32158"/>
    <cellStyle name="常规 2 3 3 2" xfId="5012"/>
    <cellStyle name="常规 2 3 3 3" xfId="7054"/>
    <cellStyle name="常规 2 3 3 4" xfId="13198"/>
    <cellStyle name="常规 2 3 3 5" xfId="16696"/>
    <cellStyle name="常规 2 3 3 6" xfId="7542"/>
    <cellStyle name="常规 2 3 3 7" xfId="19366"/>
    <cellStyle name="常规 2 3 3 8" xfId="22018"/>
    <cellStyle name="常规 2 3 3 9" xfId="20804"/>
    <cellStyle name="常规 2 3 4" xfId="5010"/>
    <cellStyle name="常规 2 3 5" xfId="7052"/>
    <cellStyle name="常规 2 3 6" xfId="13196"/>
    <cellStyle name="常规 2 3 7" xfId="16694"/>
    <cellStyle name="常规 2 3 8" xfId="7544"/>
    <cellStyle name="常规 2 3 9" xfId="19364"/>
    <cellStyle name="常规 2 4" xfId="5006"/>
    <cellStyle name="常规 2 5" xfId="7048"/>
    <cellStyle name="常规 2 6" xfId="13192"/>
    <cellStyle name="常规 2 7" xfId="16690"/>
    <cellStyle name="常规 2 8" xfId="7548"/>
    <cellStyle name="常规 2 9" xfId="17475"/>
    <cellStyle name="常规 3" xfId="1512"/>
    <cellStyle name="常规 3 10" xfId="23000"/>
    <cellStyle name="常规 3 11" xfId="20163"/>
    <cellStyle name="常规 3 12" xfId="31052"/>
    <cellStyle name="常规 3 13" xfId="31692"/>
    <cellStyle name="常规 3 2" xfId="1513"/>
    <cellStyle name="常规 3 2 10" xfId="31053"/>
    <cellStyle name="常规 3 2 11" xfId="33289"/>
    <cellStyle name="常规 3 2 2" xfId="5014"/>
    <cellStyle name="常规 3 2 3" xfId="7056"/>
    <cellStyle name="常规 3 2 4" xfId="13200"/>
    <cellStyle name="常规 3 2 5" xfId="16698"/>
    <cellStyle name="常规 3 2 6" xfId="11142"/>
    <cellStyle name="常规 3 2 7" xfId="19368"/>
    <cellStyle name="常规 3 2 8" xfId="22776"/>
    <cellStyle name="常规 3 2 9" xfId="19735"/>
    <cellStyle name="常规 3 3" xfId="1514"/>
    <cellStyle name="常规 3 3 10" xfId="31054"/>
    <cellStyle name="常规 3 3 11" xfId="33280"/>
    <cellStyle name="常规 3 3 2" xfId="5015"/>
    <cellStyle name="常规 3 3 3" xfId="7057"/>
    <cellStyle name="常规 3 3 4" xfId="13201"/>
    <cellStyle name="常规 3 3 5" xfId="16699"/>
    <cellStyle name="常规 3 3 6" xfId="11139"/>
    <cellStyle name="常规 3 3 7" xfId="19369"/>
    <cellStyle name="常规 3 3 8" xfId="22558"/>
    <cellStyle name="常规 3 3 9" xfId="21454"/>
    <cellStyle name="常规 3 4" xfId="5013"/>
    <cellStyle name="常规 3 5" xfId="7055"/>
    <cellStyle name="常规 3 6" xfId="13199"/>
    <cellStyle name="常规 3 7" xfId="16697"/>
    <cellStyle name="常规 3 8" xfId="12941"/>
    <cellStyle name="常规 3 9" xfId="19367"/>
    <cellStyle name="常规 4" xfId="1515"/>
    <cellStyle name="常规 4 10" xfId="17562"/>
    <cellStyle name="常规 4 11" xfId="17648"/>
    <cellStyle name="常规 4 12" xfId="17734"/>
    <cellStyle name="常规 4 13" xfId="17820"/>
    <cellStyle name="常规 4 14" xfId="19370"/>
    <cellStyle name="常规 4 15" xfId="22017"/>
    <cellStyle name="常规 4 16" xfId="20334"/>
    <cellStyle name="常规 4 2" xfId="1516"/>
    <cellStyle name="常规 4 2 10" xfId="22999"/>
    <cellStyle name="常规 4 2 11" xfId="20948"/>
    <cellStyle name="常规 4 2 12" xfId="31055"/>
    <cellStyle name="常规 4 2 13" xfId="32625"/>
    <cellStyle name="常规 4 2 2" xfId="1517"/>
    <cellStyle name="常规 4 2 2 10" xfId="31056"/>
    <cellStyle name="常规 4 2 2 11" xfId="32383"/>
    <cellStyle name="常规 4 2 2 2" xfId="5018"/>
    <cellStyle name="常规 4 2 2 3" xfId="7060"/>
    <cellStyle name="常规 4 2 2 4" xfId="13204"/>
    <cellStyle name="常规 4 2 2 5" xfId="16702"/>
    <cellStyle name="常规 4 2 2 6" xfId="11140"/>
    <cellStyle name="常规 4 2 2 7" xfId="19372"/>
    <cellStyle name="常规 4 2 2 8" xfId="22775"/>
    <cellStyle name="常规 4 2 2 9" xfId="20803"/>
    <cellStyle name="常规 4 2 3" xfId="1518"/>
    <cellStyle name="常规 4 2 3 10" xfId="31057"/>
    <cellStyle name="常规 4 2 3 11" xfId="33031"/>
    <cellStyle name="常规 4 2 3 2" xfId="5019"/>
    <cellStyle name="常规 4 2 3 3" xfId="7061"/>
    <cellStyle name="常规 4 2 3 4" xfId="13205"/>
    <cellStyle name="常规 4 2 3 5" xfId="16703"/>
    <cellStyle name="常规 4 2 3 6" xfId="11135"/>
    <cellStyle name="常规 4 2 3 7" xfId="19373"/>
    <cellStyle name="常规 4 2 3 8" xfId="22557"/>
    <cellStyle name="常规 4 2 3 9" xfId="20162"/>
    <cellStyle name="常规 4 2 4" xfId="5017"/>
    <cellStyle name="常规 4 2 5" xfId="7059"/>
    <cellStyle name="常规 4 2 6" xfId="13203"/>
    <cellStyle name="常规 4 2 7" xfId="16701"/>
    <cellStyle name="常规 4 2 8" xfId="11141"/>
    <cellStyle name="常规 4 2 9" xfId="19371"/>
    <cellStyle name="常规 4 3" xfId="1519"/>
    <cellStyle name="常规 4 3 10" xfId="22016"/>
    <cellStyle name="常规 4 3 11" xfId="19734"/>
    <cellStyle name="常规 4 3 12" xfId="31058"/>
    <cellStyle name="常规 4 3 13" xfId="32626"/>
    <cellStyle name="常规 4 3 2" xfId="1520"/>
    <cellStyle name="常规 4 3 2 10" xfId="31059"/>
    <cellStyle name="常规 4 3 2 11" xfId="32384"/>
    <cellStyle name="常规 4 3 2 2" xfId="5021"/>
    <cellStyle name="常规 4 3 2 3" xfId="7063"/>
    <cellStyle name="常规 4 3 2 4" xfId="13207"/>
    <cellStyle name="常规 4 3 2 5" xfId="16705"/>
    <cellStyle name="常规 4 3 2 6" xfId="11138"/>
    <cellStyle name="常规 4 3 2 7" xfId="19375"/>
    <cellStyle name="常规 4 3 2 8" xfId="22998"/>
    <cellStyle name="常规 4 3 2 9" xfId="21453"/>
    <cellStyle name="常规 4 3 3" xfId="1521"/>
    <cellStyle name="常规 4 3 3 10" xfId="31060"/>
    <cellStyle name="常规 4 3 3 11" xfId="32150"/>
    <cellStyle name="常规 4 3 3 2" xfId="5022"/>
    <cellStyle name="常规 4 3 3 3" xfId="7064"/>
    <cellStyle name="常规 4 3 3 4" xfId="13208"/>
    <cellStyle name="常规 4 3 3 5" xfId="16706"/>
    <cellStyle name="常规 4 3 3 6" xfId="11137"/>
    <cellStyle name="常规 4 3 3 7" xfId="19376"/>
    <cellStyle name="常规 4 3 3 8" xfId="22987"/>
    <cellStyle name="常规 4 3 3 9" xfId="20335"/>
    <cellStyle name="常规 4 3 4" xfId="5020"/>
    <cellStyle name="常规 4 3 5" xfId="7062"/>
    <cellStyle name="常规 4 3 6" xfId="13206"/>
    <cellStyle name="常规 4 3 7" xfId="16704"/>
    <cellStyle name="常规 4 3 8" xfId="9856"/>
    <cellStyle name="常规 4 3 9" xfId="19374"/>
    <cellStyle name="常规 4 4" xfId="5016"/>
    <cellStyle name="常规 4 5" xfId="7058"/>
    <cellStyle name="常规 4 6" xfId="13202"/>
    <cellStyle name="常规 4 7" xfId="16700"/>
    <cellStyle name="常规 4 8" xfId="9859"/>
    <cellStyle name="常规 4 9" xfId="17476"/>
    <cellStyle name="常规 5" xfId="1522"/>
    <cellStyle name="常规 5 10" xfId="17563"/>
    <cellStyle name="常规 5 11" xfId="17649"/>
    <cellStyle name="常规 5 12" xfId="17735"/>
    <cellStyle name="常规 5 13" xfId="17821"/>
    <cellStyle name="常规 5 14" xfId="19377"/>
    <cellStyle name="常规 5 15" xfId="22763"/>
    <cellStyle name="常规 5 16" xfId="20947"/>
    <cellStyle name="常规 5 2" xfId="1523"/>
    <cellStyle name="常规 5 2 10" xfId="31061"/>
    <cellStyle name="常规 5 2 11" xfId="31682"/>
    <cellStyle name="常规 5 2 2" xfId="5024"/>
    <cellStyle name="常规 5 2 3" xfId="7066"/>
    <cellStyle name="常规 5 2 4" xfId="13210"/>
    <cellStyle name="常规 5 2 5" xfId="16708"/>
    <cellStyle name="常规 5 2 6" xfId="11136"/>
    <cellStyle name="常规 5 2 7" xfId="19378"/>
    <cellStyle name="常规 5 2 8" xfId="22545"/>
    <cellStyle name="常规 5 2 9" xfId="20802"/>
    <cellStyle name="常规 5 3" xfId="1524"/>
    <cellStyle name="常规 5 3 10" xfId="31062"/>
    <cellStyle name="常规 5 3 11" xfId="33287"/>
    <cellStyle name="常规 5 3 2" xfId="5025"/>
    <cellStyle name="常规 5 3 3" xfId="7067"/>
    <cellStyle name="常规 5 3 4" xfId="13211"/>
    <cellStyle name="常规 5 3 5" xfId="16709"/>
    <cellStyle name="常规 5 3 6" xfId="9857"/>
    <cellStyle name="常规 5 3 7" xfId="19379"/>
    <cellStyle name="常规 5 3 8" xfId="22005"/>
    <cellStyle name="常规 5 3 9" xfId="20161"/>
    <cellStyle name="常规 5 4" xfId="5023"/>
    <cellStyle name="常规 5 5" xfId="7065"/>
    <cellStyle name="常规 5 6" xfId="13209"/>
    <cellStyle name="常规 5 7" xfId="16707"/>
    <cellStyle name="常规 5 8" xfId="9858"/>
    <cellStyle name="常规 5 9" xfId="17477"/>
    <cellStyle name="常规 6" xfId="1525"/>
    <cellStyle name="常规 6 10" xfId="22994"/>
    <cellStyle name="常规 6 11" xfId="19733"/>
    <cellStyle name="常规 6 12" xfId="31063"/>
    <cellStyle name="常规 6 13" xfId="33037"/>
    <cellStyle name="常规 6 2" xfId="1526"/>
    <cellStyle name="常规 6 2 10" xfId="31064"/>
    <cellStyle name="常规 6 2 11" xfId="32632"/>
    <cellStyle name="常规 6 2 2" xfId="5027"/>
    <cellStyle name="常规 6 2 3" xfId="7069"/>
    <cellStyle name="常规 6 2 4" xfId="13213"/>
    <cellStyle name="常规 6 2 5" xfId="16711"/>
    <cellStyle name="常规 6 2 6" xfId="9853"/>
    <cellStyle name="常规 6 2 7" xfId="19381"/>
    <cellStyle name="常规 6 2 8" xfId="22770"/>
    <cellStyle name="常规 6 2 9" xfId="21452"/>
    <cellStyle name="常规 6 3" xfId="1527"/>
    <cellStyle name="常规 6 3 10" xfId="31065"/>
    <cellStyle name="常规 6 3 11" xfId="32390"/>
    <cellStyle name="常规 6 3 2" xfId="5028"/>
    <cellStyle name="常规 6 3 3" xfId="7070"/>
    <cellStyle name="常规 6 3 4" xfId="13214"/>
    <cellStyle name="常规 6 3 5" xfId="16712"/>
    <cellStyle name="常规 6 3 6" xfId="11134"/>
    <cellStyle name="常规 6 3 7" xfId="19382"/>
    <cellStyle name="常规 6 3 8" xfId="22552"/>
    <cellStyle name="常规 6 3 9" xfId="20336"/>
    <cellStyle name="常规 6 4" xfId="5026"/>
    <cellStyle name="常规 6 5" xfId="7068"/>
    <cellStyle name="常规 6 6" xfId="13212"/>
    <cellStyle name="常规 6 7" xfId="16710"/>
    <cellStyle name="常规 6 8" xfId="11132"/>
    <cellStyle name="常规 6 9" xfId="19380"/>
    <cellStyle name="常规 7" xfId="1825"/>
    <cellStyle name="常规 7 2" xfId="8049"/>
    <cellStyle name="常规 7 3" xfId="7384"/>
    <cellStyle name="常规 8" xfId="17426"/>
    <cellStyle name="常规 8 2" xfId="10894"/>
    <cellStyle name="常规 8 3" xfId="17397"/>
    <cellStyle name="常规 8 4" xfId="29492"/>
    <cellStyle name="常规 8 5" xfId="29667"/>
    <cellStyle name="常规 8 6" xfId="29638"/>
    <cellStyle name="常规 9" xfId="13509"/>
    <cellStyle name="超链接" xfId="1528" builtinId="8"/>
    <cellStyle name="超链接 2" xfId="23497"/>
    <cellStyle name="超链接 2 2" xfId="27028"/>
    <cellStyle name="超链接 3" xfId="33625"/>
    <cellStyle name="好" xfId="1529" builtinId="26" customBuiltin="1"/>
    <cellStyle name="好 10" xfId="17478"/>
    <cellStyle name="好 11" xfId="17564"/>
    <cellStyle name="好 11 2" xfId="29558"/>
    <cellStyle name="好 12" xfId="17650"/>
    <cellStyle name="好 13" xfId="17736"/>
    <cellStyle name="好 14" xfId="17822"/>
    <cellStyle name="好 15" xfId="19383"/>
    <cellStyle name="好 15 2" xfId="21394"/>
    <cellStyle name="好 15 3" xfId="23477"/>
    <cellStyle name="好 16" xfId="22996"/>
    <cellStyle name="好 17" xfId="20801"/>
    <cellStyle name="好 2" xfId="1530"/>
    <cellStyle name="好 2 10" xfId="17565"/>
    <cellStyle name="好 2 11" xfId="17651"/>
    <cellStyle name="好 2 12" xfId="17737"/>
    <cellStyle name="好 2 13" xfId="17823"/>
    <cellStyle name="好 2 14" xfId="19384"/>
    <cellStyle name="好 2 15" xfId="22772"/>
    <cellStyle name="好 2 16" xfId="20160"/>
    <cellStyle name="好 2 2" xfId="1531"/>
    <cellStyle name="好 2 2 10" xfId="31066"/>
    <cellStyle name="好 2 2 11" xfId="33039"/>
    <cellStyle name="好 2 2 2" xfId="5031"/>
    <cellStyle name="好 2 2 3" xfId="7073"/>
    <cellStyle name="好 2 2 4" xfId="13217"/>
    <cellStyle name="好 2 2 5" xfId="16715"/>
    <cellStyle name="好 2 2 6" xfId="9854"/>
    <cellStyle name="好 2 2 7" xfId="19385"/>
    <cellStyle name="好 2 2 8" xfId="22554"/>
    <cellStyle name="好 2 2 9" xfId="19732"/>
    <cellStyle name="好 2 3" xfId="1532"/>
    <cellStyle name="好 2 3 10" xfId="31067"/>
    <cellStyle name="好 2 3 11" xfId="32634"/>
    <cellStyle name="好 2 3 2" xfId="5032"/>
    <cellStyle name="好 2 3 3" xfId="7074"/>
    <cellStyle name="好 2 3 4" xfId="13218"/>
    <cellStyle name="好 2 3 5" xfId="16716"/>
    <cellStyle name="好 2 3 6" xfId="11127"/>
    <cellStyle name="好 2 3 7" xfId="19386"/>
    <cellStyle name="好 2 3 8" xfId="22013"/>
    <cellStyle name="好 2 3 9" xfId="21451"/>
    <cellStyle name="好 2 4" xfId="5030"/>
    <cellStyle name="好 2 5" xfId="7072"/>
    <cellStyle name="好 2 6" xfId="13216"/>
    <cellStyle name="好 2 7" xfId="16714"/>
    <cellStyle name="好 2 8" xfId="11133"/>
    <cellStyle name="好 2 9" xfId="17479"/>
    <cellStyle name="好 3" xfId="1533"/>
    <cellStyle name="好 3 10" xfId="22995"/>
    <cellStyle name="好 3 11" xfId="20364"/>
    <cellStyle name="好 3 12" xfId="31068"/>
    <cellStyle name="好 3 13" xfId="32391"/>
    <cellStyle name="好 3 2" xfId="1534"/>
    <cellStyle name="好 3 2 10" xfId="31069"/>
    <cellStyle name="好 3 2 11" xfId="32156"/>
    <cellStyle name="好 3 2 2" xfId="5034"/>
    <cellStyle name="好 3 2 3" xfId="7076"/>
    <cellStyle name="好 3 2 4" xfId="13220"/>
    <cellStyle name="好 3 2 5" xfId="16718"/>
    <cellStyle name="好 3 2 6" xfId="11131"/>
    <cellStyle name="好 3 2 7" xfId="19388"/>
    <cellStyle name="好 3 2 8" xfId="22771"/>
    <cellStyle name="好 3 2 9" xfId="20946"/>
    <cellStyle name="好 3 3" xfId="1535"/>
    <cellStyle name="好 3 3 10" xfId="31070"/>
    <cellStyle name="好 3 3 11" xfId="31689"/>
    <cellStyle name="好 3 3 2" xfId="5035"/>
    <cellStyle name="好 3 3 3" xfId="7077"/>
    <cellStyle name="好 3 3 4" xfId="13221"/>
    <cellStyle name="好 3 3 5" xfId="16719"/>
    <cellStyle name="好 3 3 6" xfId="11130"/>
    <cellStyle name="好 3 3 7" xfId="19389"/>
    <cellStyle name="好 3 3 8" xfId="22553"/>
    <cellStyle name="好 3 3 9" xfId="20800"/>
    <cellStyle name="好 3 4" xfId="5033"/>
    <cellStyle name="好 3 5" xfId="7075"/>
    <cellStyle name="好 3 6" xfId="13219"/>
    <cellStyle name="好 3 7" xfId="16717"/>
    <cellStyle name="好 3 8" xfId="9849"/>
    <cellStyle name="好 3 9" xfId="19387"/>
    <cellStyle name="好 4" xfId="1536"/>
    <cellStyle name="好 4 10" xfId="22012"/>
    <cellStyle name="好 4 11" xfId="20159"/>
    <cellStyle name="好 4 12" xfId="31071"/>
    <cellStyle name="好 4 13" xfId="33288"/>
    <cellStyle name="好 4 2" xfId="1537"/>
    <cellStyle name="好 4 2 10" xfId="31072"/>
    <cellStyle name="好 4 2 11" xfId="33038"/>
    <cellStyle name="好 4 2 2" xfId="5037"/>
    <cellStyle name="好 4 2 3" xfId="7079"/>
    <cellStyle name="好 4 2 4" xfId="13223"/>
    <cellStyle name="好 4 2 5" xfId="16721"/>
    <cellStyle name="好 4 2 6" xfId="11129"/>
    <cellStyle name="好 4 2 7" xfId="19391"/>
    <cellStyle name="好 4 2 8" xfId="22991"/>
    <cellStyle name="好 4 2 9" xfId="19731"/>
    <cellStyle name="好 4 3" xfId="1538"/>
    <cellStyle name="好 4 3 10" xfId="31073"/>
    <cellStyle name="好 4 3 11" xfId="32633"/>
    <cellStyle name="好 4 3 2" xfId="5038"/>
    <cellStyle name="好 4 3 3" xfId="7080"/>
    <cellStyle name="好 4 3 4" xfId="13224"/>
    <cellStyle name="好 4 3 5" xfId="16722"/>
    <cellStyle name="好 4 3 6" xfId="9851"/>
    <cellStyle name="好 4 3 7" xfId="19392"/>
    <cellStyle name="好 4 3 8" xfId="22767"/>
    <cellStyle name="好 4 3 9" xfId="20944"/>
    <cellStyle name="好 4 4" xfId="5036"/>
    <cellStyle name="好 4 5" xfId="7078"/>
    <cellStyle name="好 4 6" xfId="13222"/>
    <cellStyle name="好 4 7" xfId="16720"/>
    <cellStyle name="好 4 8" xfId="9852"/>
    <cellStyle name="好 4 9" xfId="19390"/>
    <cellStyle name="好 5" xfId="5029"/>
    <cellStyle name="好 5 2" xfId="10279"/>
    <cellStyle name="好 5 3" xfId="17369"/>
    <cellStyle name="好 6" xfId="7071"/>
    <cellStyle name="好 6 2" xfId="11416"/>
    <cellStyle name="好 6 3" xfId="17410"/>
    <cellStyle name="好 7" xfId="13215"/>
    <cellStyle name="好 8" xfId="16713"/>
    <cellStyle name="好 9" xfId="9855"/>
    <cellStyle name="好 9 2" xfId="26626"/>
    <cellStyle name="汇总" xfId="1539" builtinId="25" customBuiltin="1"/>
    <cellStyle name="汇总 10" xfId="17480"/>
    <cellStyle name="汇总 11" xfId="17566"/>
    <cellStyle name="汇总 11 2" xfId="29559"/>
    <cellStyle name="汇总 12" xfId="17652"/>
    <cellStyle name="汇总 13" xfId="17738"/>
    <cellStyle name="汇总 14" xfId="17824"/>
    <cellStyle name="汇总 15" xfId="19393"/>
    <cellStyle name="汇总 15 2" xfId="21395"/>
    <cellStyle name="汇总 15 3" xfId="23478"/>
    <cellStyle name="汇总 16" xfId="22549"/>
    <cellStyle name="汇总 17" xfId="20399"/>
    <cellStyle name="汇总 2" xfId="1540"/>
    <cellStyle name="汇总 2 10" xfId="17567"/>
    <cellStyle name="汇总 2 11" xfId="17653"/>
    <cellStyle name="汇总 2 12" xfId="17739"/>
    <cellStyle name="汇总 2 13" xfId="17825"/>
    <cellStyle name="汇总 2 14" xfId="19394"/>
    <cellStyle name="汇总 2 15" xfId="22009"/>
    <cellStyle name="汇总 2 16" xfId="19729"/>
    <cellStyle name="汇总 2 2" xfId="1541"/>
    <cellStyle name="汇总 2 2 10" xfId="31074"/>
    <cellStyle name="汇总 2 2 11" xfId="31688"/>
    <cellStyle name="汇总 2 2 2" xfId="5041"/>
    <cellStyle name="汇总 2 2 3" xfId="7083"/>
    <cellStyle name="汇总 2 2 4" xfId="13227"/>
    <cellStyle name="汇总 2 2 5" xfId="16725"/>
    <cellStyle name="汇总 2 2 6" xfId="11122"/>
    <cellStyle name="汇总 2 2 7" xfId="19395"/>
    <cellStyle name="汇总 2 2 8" xfId="22993"/>
    <cellStyle name="汇总 2 2 9" xfId="20943"/>
    <cellStyle name="汇总 2 3" xfId="1542"/>
    <cellStyle name="汇总 2 3 10" xfId="31075"/>
    <cellStyle name="汇总 2 3 11" xfId="33284"/>
    <cellStyle name="汇总 2 3 2" xfId="5042"/>
    <cellStyle name="汇总 2 3 3" xfId="7084"/>
    <cellStyle name="汇总 2 3 4" xfId="13228"/>
    <cellStyle name="汇总 2 3 5" xfId="16726"/>
    <cellStyle name="汇总 2 3 6" xfId="9845"/>
    <cellStyle name="汇总 2 3 7" xfId="19396"/>
    <cellStyle name="汇总 2 3 8" xfId="22769"/>
    <cellStyle name="汇总 2 3 9" xfId="20398"/>
    <cellStyle name="汇总 2 4" xfId="5040"/>
    <cellStyle name="汇总 2 5" xfId="7082"/>
    <cellStyle name="汇总 2 6" xfId="13226"/>
    <cellStyle name="汇总 2 7" xfId="16724"/>
    <cellStyle name="汇总 2 8" xfId="9850"/>
    <cellStyle name="汇总 2 9" xfId="17481"/>
    <cellStyle name="汇总 3" xfId="1543"/>
    <cellStyle name="汇总 3 10" xfId="22551"/>
    <cellStyle name="汇总 3 11" xfId="19728"/>
    <cellStyle name="汇总 3 12" xfId="31076"/>
    <cellStyle name="汇总 3 13" xfId="33035"/>
    <cellStyle name="汇总 3 2" xfId="1544"/>
    <cellStyle name="汇总 3 2 10" xfId="31077"/>
    <cellStyle name="汇总 3 2 11" xfId="32630"/>
    <cellStyle name="汇总 3 2 2" xfId="5044"/>
    <cellStyle name="汇总 3 2 3" xfId="7086"/>
    <cellStyle name="汇总 3 2 4" xfId="13230"/>
    <cellStyle name="汇总 3 2 5" xfId="16728"/>
    <cellStyle name="汇总 3 2 6" xfId="11125"/>
    <cellStyle name="汇总 3 2 7" xfId="19398"/>
    <cellStyle name="汇总 3 2 8" xfId="22011"/>
    <cellStyle name="汇总 3 2 9" xfId="20942"/>
    <cellStyle name="汇总 3 3" xfId="1545"/>
    <cellStyle name="汇总 3 3 10" xfId="31078"/>
    <cellStyle name="汇总 3 3 11" xfId="32387"/>
    <cellStyle name="汇总 3 3 2" xfId="5045"/>
    <cellStyle name="汇总 3 3 3" xfId="7087"/>
    <cellStyle name="汇总 3 3 4" xfId="13231"/>
    <cellStyle name="汇总 3 3 5" xfId="16729"/>
    <cellStyle name="汇总 3 3 6" xfId="9848"/>
    <cellStyle name="汇总 3 3 7" xfId="19399"/>
    <cellStyle name="汇总 3 3 8" xfId="22992"/>
    <cellStyle name="汇总 3 3 9" xfId="20397"/>
    <cellStyle name="汇总 3 4" xfId="5043"/>
    <cellStyle name="汇总 3 5" xfId="7085"/>
    <cellStyle name="汇总 3 6" xfId="13229"/>
    <cellStyle name="汇总 3 7" xfId="16727"/>
    <cellStyle name="汇总 3 8" xfId="11126"/>
    <cellStyle name="汇总 3 9" xfId="19397"/>
    <cellStyle name="汇总 4" xfId="1546"/>
    <cellStyle name="汇总 4 10" xfId="22768"/>
    <cellStyle name="汇总 4 11" xfId="19727"/>
    <cellStyle name="汇总 4 12" xfId="31079"/>
    <cellStyle name="汇总 4 13" xfId="32153"/>
    <cellStyle name="汇总 4 2" xfId="1547"/>
    <cellStyle name="汇总 4 2 10" xfId="31080"/>
    <cellStyle name="汇总 4 2 11" xfId="31686"/>
    <cellStyle name="汇总 4 2 2" xfId="5047"/>
    <cellStyle name="汇总 4 2 3" xfId="7089"/>
    <cellStyle name="汇总 4 2 4" xfId="13233"/>
    <cellStyle name="汇总 4 2 5" xfId="16731"/>
    <cellStyle name="汇总 4 2 6" xfId="9847"/>
    <cellStyle name="汇总 4 2 7" xfId="19401"/>
    <cellStyle name="汇总 4 2 8" xfId="22550"/>
    <cellStyle name="汇总 4 2 9" xfId="20941"/>
    <cellStyle name="汇总 4 3" xfId="1548"/>
    <cellStyle name="汇总 4 3 10" xfId="31081"/>
    <cellStyle name="汇总 4 3 11" xfId="33286"/>
    <cellStyle name="汇总 4 3 2" xfId="5048"/>
    <cellStyle name="汇总 4 3 3" xfId="7090"/>
    <cellStyle name="汇总 4 3 4" xfId="13234"/>
    <cellStyle name="汇总 4 3 5" xfId="16732"/>
    <cellStyle name="汇总 4 3 6" xfId="11123"/>
    <cellStyle name="汇总 4 3 7" xfId="19402"/>
    <cellStyle name="汇总 4 3 8" xfId="22010"/>
    <cellStyle name="汇总 4 3 9" xfId="20396"/>
    <cellStyle name="汇总 4 4" xfId="5046"/>
    <cellStyle name="汇总 4 5" xfId="7088"/>
    <cellStyle name="汇总 4 6" xfId="13232"/>
    <cellStyle name="汇总 4 7" xfId="16730"/>
    <cellStyle name="汇总 4 8" xfId="11124"/>
    <cellStyle name="汇总 4 9" xfId="19400"/>
    <cellStyle name="汇总 5" xfId="5039"/>
    <cellStyle name="汇总 5 2" xfId="10289"/>
    <cellStyle name="汇总 5 3" xfId="17370"/>
    <cellStyle name="汇总 6" xfId="7081"/>
    <cellStyle name="汇总 6 2" xfId="11426"/>
    <cellStyle name="汇总 6 3" xfId="17411"/>
    <cellStyle name="汇总 7" xfId="13225"/>
    <cellStyle name="汇总 8" xfId="16723"/>
    <cellStyle name="汇总 9" xfId="11128"/>
    <cellStyle name="汇总 9 2" xfId="26627"/>
    <cellStyle name="计算" xfId="1549" builtinId="22" customBuiltin="1"/>
    <cellStyle name="计算 10" xfId="17482"/>
    <cellStyle name="计算 11" xfId="17568"/>
    <cellStyle name="计算 11 2" xfId="29560"/>
    <cellStyle name="计算 12" xfId="17654"/>
    <cellStyle name="计算 13" xfId="17740"/>
    <cellStyle name="计算 14" xfId="17826"/>
    <cellStyle name="计算 15" xfId="19403"/>
    <cellStyle name="计算 15 2" xfId="21396"/>
    <cellStyle name="计算 15 3" xfId="23479"/>
    <cellStyle name="计算 16" xfId="22988"/>
    <cellStyle name="计算 17" xfId="19726"/>
    <cellStyle name="计算 2" xfId="1550"/>
    <cellStyle name="计算 2 10" xfId="17569"/>
    <cellStyle name="计算 2 11" xfId="17655"/>
    <cellStyle name="计算 2 12" xfId="17741"/>
    <cellStyle name="计算 2 13" xfId="17827"/>
    <cellStyle name="计算 2 14" xfId="19404"/>
    <cellStyle name="计算 2 15" xfId="22764"/>
    <cellStyle name="计算 2 16" xfId="20940"/>
    <cellStyle name="计算 2 2" xfId="1551"/>
    <cellStyle name="计算 2 2 10" xfId="31082"/>
    <cellStyle name="计算 2 2 11" xfId="32389"/>
    <cellStyle name="计算 2 2 2" xfId="5051"/>
    <cellStyle name="计算 2 2 3" xfId="7093"/>
    <cellStyle name="计算 2 2 4" xfId="13237"/>
    <cellStyle name="计算 2 2 5" xfId="16735"/>
    <cellStyle name="计算 2 2 6" xfId="7540"/>
    <cellStyle name="计算 2 2 7" xfId="19405"/>
    <cellStyle name="计算 2 2 8" xfId="22546"/>
    <cellStyle name="计算 2 2 9" xfId="20395"/>
    <cellStyle name="计算 2 3" xfId="1552"/>
    <cellStyle name="计算 2 3 10" xfId="31083"/>
    <cellStyle name="计算 2 3 11" xfId="32155"/>
    <cellStyle name="计算 2 3 2" xfId="5052"/>
    <cellStyle name="计算 2 3 3" xfId="7094"/>
    <cellStyle name="计算 2 3 4" xfId="13238"/>
    <cellStyle name="计算 2 3 5" xfId="16736"/>
    <cellStyle name="计算 2 3 6" xfId="11121"/>
    <cellStyle name="计算 2 3 7" xfId="19406"/>
    <cellStyle name="计算 2 3 8" xfId="22006"/>
    <cellStyle name="计算 2 3 9" xfId="19725"/>
    <cellStyle name="计算 2 4" xfId="5050"/>
    <cellStyle name="计算 2 5" xfId="7092"/>
    <cellStyle name="计算 2 6" xfId="13236"/>
    <cellStyle name="计算 2 7" xfId="16734"/>
    <cellStyle name="计算 2 8" xfId="9841"/>
    <cellStyle name="计算 2 9" xfId="17483"/>
    <cellStyle name="计算 3" xfId="1553"/>
    <cellStyle name="计算 3 10" xfId="22990"/>
    <cellStyle name="计算 3 11" xfId="20939"/>
    <cellStyle name="计算 3 12" xfId="31084"/>
    <cellStyle name="计算 3 13" xfId="31687"/>
    <cellStyle name="计算 3 2" xfId="1554"/>
    <cellStyle name="计算 3 2 10" xfId="31085"/>
    <cellStyle name="计算 3 2 11" xfId="33285"/>
    <cellStyle name="计算 3 2 2" xfId="5054"/>
    <cellStyle name="计算 3 2 3" xfId="7096"/>
    <cellStyle name="计算 3 2 4" xfId="13240"/>
    <cellStyle name="计算 3 2 5" xfId="16738"/>
    <cellStyle name="计算 3 2 6" xfId="9844"/>
    <cellStyle name="计算 3 2 7" xfId="19408"/>
    <cellStyle name="计算 3 2 8" xfId="22766"/>
    <cellStyle name="计算 3 2 9" xfId="20394"/>
    <cellStyle name="计算 3 3" xfId="1555"/>
    <cellStyle name="计算 3 3 10" xfId="31086"/>
    <cellStyle name="计算 3 3 11" xfId="33036"/>
    <cellStyle name="计算 3 3 2" xfId="5055"/>
    <cellStyle name="计算 3 3 3" xfId="7097"/>
    <cellStyle name="计算 3 3 4" xfId="13241"/>
    <cellStyle name="计算 3 3 5" xfId="16739"/>
    <cellStyle name="计算 3 3 6" xfId="11119"/>
    <cellStyle name="计算 3 3 7" xfId="19409"/>
    <cellStyle name="计算 3 3 8" xfId="22548"/>
    <cellStyle name="计算 3 3 9" xfId="19724"/>
    <cellStyle name="计算 3 4" xfId="5053"/>
    <cellStyle name="计算 3 5" xfId="7095"/>
    <cellStyle name="计算 3 6" xfId="13239"/>
    <cellStyle name="计算 3 7" xfId="16737"/>
    <cellStyle name="计算 3 8" xfId="11120"/>
    <cellStyle name="计算 3 9" xfId="19407"/>
    <cellStyle name="计算 4" xfId="1556"/>
    <cellStyle name="计算 4 10" xfId="22008"/>
    <cellStyle name="计算 4 11" xfId="20938"/>
    <cellStyle name="计算 4 12" xfId="31087"/>
    <cellStyle name="计算 4 13" xfId="32631"/>
    <cellStyle name="计算 4 2" xfId="1557"/>
    <cellStyle name="计算 4 2 10" xfId="31088"/>
    <cellStyle name="计算 4 2 11" xfId="32388"/>
    <cellStyle name="计算 4 2 2" xfId="5057"/>
    <cellStyle name="计算 4 2 3" xfId="7099"/>
    <cellStyle name="计算 4 2 4" xfId="13243"/>
    <cellStyle name="计算 4 2 5" xfId="16741"/>
    <cellStyle name="计算 4 2 6" xfId="11118"/>
    <cellStyle name="计算 4 2 7" xfId="19411"/>
    <cellStyle name="计算 4 2 8" xfId="22989"/>
    <cellStyle name="计算 4 2 9" xfId="20393"/>
    <cellStyle name="计算 4 3" xfId="1558"/>
    <cellStyle name="计算 4 3 10" xfId="31089"/>
    <cellStyle name="计算 4 3 11" xfId="32154"/>
    <cellStyle name="计算 4 3 2" xfId="5058"/>
    <cellStyle name="计算 4 3 3" xfId="7100"/>
    <cellStyle name="计算 4 3 4" xfId="13244"/>
    <cellStyle name="计算 4 3 5" xfId="16742"/>
    <cellStyle name="计算 4 3 6" xfId="9842"/>
    <cellStyle name="计算 4 3 7" xfId="19412"/>
    <cellStyle name="计算 4 3 8" xfId="22765"/>
    <cellStyle name="计算 4 3 9" xfId="19708"/>
    <cellStyle name="计算 4 4" xfId="5056"/>
    <cellStyle name="计算 4 5" xfId="7098"/>
    <cellStyle name="计算 4 6" xfId="13242"/>
    <cellStyle name="计算 4 7" xfId="16740"/>
    <cellStyle name="计算 4 8" xfId="9843"/>
    <cellStyle name="计算 4 9" xfId="19410"/>
    <cellStyle name="计算 5" xfId="5049"/>
    <cellStyle name="计算 5 2" xfId="10299"/>
    <cellStyle name="计算 5 3" xfId="17371"/>
    <cellStyle name="计算 6" xfId="7091"/>
    <cellStyle name="计算 6 2" xfId="11436"/>
    <cellStyle name="计算 6 3" xfId="17412"/>
    <cellStyle name="计算 7" xfId="13235"/>
    <cellStyle name="计算 8" xfId="16733"/>
    <cellStyle name="计算 9" xfId="9846"/>
    <cellStyle name="计算 9 2" xfId="26628"/>
    <cellStyle name="检查单元格" xfId="1559" builtinId="23" customBuiltin="1"/>
    <cellStyle name="检查单元格 10" xfId="17484"/>
    <cellStyle name="检查单元格 11" xfId="17570"/>
    <cellStyle name="检查单元格 11 2" xfId="29561"/>
    <cellStyle name="检查单元格 12" xfId="17656"/>
    <cellStyle name="检查单元格 13" xfId="17742"/>
    <cellStyle name="检查单元格 14" xfId="17828"/>
    <cellStyle name="检查单元格 15" xfId="19413"/>
    <cellStyle name="检查单元格 15 2" xfId="21397"/>
    <cellStyle name="检查单元格 15 3" xfId="23480"/>
    <cellStyle name="检查单元格 16" xfId="22547"/>
    <cellStyle name="检查单元格 17" xfId="21448"/>
    <cellStyle name="检查单元格 2" xfId="1560"/>
    <cellStyle name="检查单元格 2 10" xfId="17571"/>
    <cellStyle name="检查单元格 2 11" xfId="17657"/>
    <cellStyle name="检查单元格 2 12" xfId="17743"/>
    <cellStyle name="检查单元格 2 13" xfId="17829"/>
    <cellStyle name="检查单元格 2 14" xfId="19414"/>
    <cellStyle name="检查单元格 2 15" xfId="22007"/>
    <cellStyle name="检查单元格 2 16" xfId="20339"/>
    <cellStyle name="检查单元格 2 2" xfId="1561"/>
    <cellStyle name="检查单元格 2 2 10" xfId="31090"/>
    <cellStyle name="检查单元格 2 2 11" xfId="33032"/>
    <cellStyle name="检查单元格 2 2 2" xfId="5061"/>
    <cellStyle name="检查单元格 2 2 3" xfId="7103"/>
    <cellStyle name="检查单元格 2 2 4" xfId="13247"/>
    <cellStyle name="检查单元格 2 2 5" xfId="16745"/>
    <cellStyle name="检查单元格 2 2 6" xfId="11116"/>
    <cellStyle name="检查单元格 2 2 7" xfId="19415"/>
    <cellStyle name="检查单元格 2 2 8" xfId="22977"/>
    <cellStyle name="检查单元格 2 2 9" xfId="20922"/>
    <cellStyle name="检查单元格 2 3" xfId="1562"/>
    <cellStyle name="检查单元格 2 3 10" xfId="31091"/>
    <cellStyle name="检查单元格 2 3 11" xfId="32627"/>
    <cellStyle name="检查单元格 2 3 2" xfId="5062"/>
    <cellStyle name="检查单元格 2 3 3" xfId="7104"/>
    <cellStyle name="检查单元格 2 3 4" xfId="13248"/>
    <cellStyle name="检查单元格 2 3 5" xfId="16746"/>
    <cellStyle name="检查单元格 2 3 6" xfId="11115"/>
    <cellStyle name="检查单元格 2 3 7" xfId="19416"/>
    <cellStyle name="检查单元格 2 3 8" xfId="22753"/>
    <cellStyle name="检查单元格 2 3 9" xfId="20797"/>
    <cellStyle name="检查单元格 2 4" xfId="5060"/>
    <cellStyle name="检查单元格 2 5" xfId="7102"/>
    <cellStyle name="检查单元格 2 6" xfId="13246"/>
    <cellStyle name="检查单元格 2 7" xfId="16744"/>
    <cellStyle name="检查单元格 2 8" xfId="7539"/>
    <cellStyle name="检查单元格 2 9" xfId="17485"/>
    <cellStyle name="检查单元格 3" xfId="1563"/>
    <cellStyle name="检查单元格 3 10" xfId="22535"/>
    <cellStyle name="检查单元格 3 11" xfId="20739"/>
    <cellStyle name="检查单元格 3 12" xfId="31092"/>
    <cellStyle name="检查单元格 3 13" xfId="32385"/>
    <cellStyle name="检查单元格 3 2" xfId="1564"/>
    <cellStyle name="检查单元格 3 2 10" xfId="31093"/>
    <cellStyle name="检查单元格 3 2 11" xfId="32151"/>
    <cellStyle name="检查单元格 3 2 2" xfId="5064"/>
    <cellStyle name="检查单元格 3 2 3" xfId="7106"/>
    <cellStyle name="检查单元格 3 2 4" xfId="13250"/>
    <cellStyle name="检查单元格 3 2 5" xfId="16748"/>
    <cellStyle name="检查单元格 3 2 6" xfId="11114"/>
    <cellStyle name="检查单元格 3 2 7" xfId="19418"/>
    <cellStyle name="检查单元格 3 2 8" xfId="21995"/>
    <cellStyle name="检查单元格 3 2 9" xfId="20156"/>
    <cellStyle name="检查单元格 3 3" xfId="1565"/>
    <cellStyle name="检查单元格 3 3 10" xfId="31094"/>
    <cellStyle name="检查单元格 3 3 11" xfId="31683"/>
    <cellStyle name="检查单元格 3 3 2" xfId="5065"/>
    <cellStyle name="检查单元格 3 3 3" xfId="7107"/>
    <cellStyle name="检查单元格 3 3 4" xfId="13251"/>
    <cellStyle name="检查单元格 3 3 5" xfId="16749"/>
    <cellStyle name="检查单元格 3 3 6" xfId="9839"/>
    <cellStyle name="检查单元格 3 3 7" xfId="19419"/>
    <cellStyle name="检查单元格 3 3 8" xfId="22984"/>
    <cellStyle name="检查单元格 3 3 9" xfId="20937"/>
    <cellStyle name="检查单元格 3 4" xfId="5063"/>
    <cellStyle name="检查单元格 3 5" xfId="7105"/>
    <cellStyle name="检查单元格 3 6" xfId="13249"/>
    <cellStyle name="检查单元格 3 7" xfId="16747"/>
    <cellStyle name="检查单元格 3 8" xfId="9840"/>
    <cellStyle name="检查单元格 3 9" xfId="19417"/>
    <cellStyle name="检查单元格 4" xfId="1566"/>
    <cellStyle name="检查单元格 4 10" xfId="22760"/>
    <cellStyle name="检查单元格 4 11" xfId="20392"/>
    <cellStyle name="检查单元格 4 12" xfId="31095"/>
    <cellStyle name="检查单元格 4 13" xfId="33283"/>
    <cellStyle name="检查单元格 4 2" xfId="1567"/>
    <cellStyle name="检查单元格 4 2 10" xfId="31096"/>
    <cellStyle name="检查单元格 4 2 11" xfId="33034"/>
    <cellStyle name="检查单元格 4 2 2" xfId="5067"/>
    <cellStyle name="检查单元格 4 2 3" xfId="7109"/>
    <cellStyle name="检查单元格 4 2 4" xfId="13253"/>
    <cellStyle name="检查单元格 4 2 5" xfId="16751"/>
    <cellStyle name="检查单元格 4 2 6" xfId="9838"/>
    <cellStyle name="检查单元格 4 2 7" xfId="19421"/>
    <cellStyle name="检查单元格 4 2 8" xfId="22542"/>
    <cellStyle name="检查单元格 4 2 9" xfId="19723"/>
    <cellStyle name="检查单元格 4 3" xfId="1568"/>
    <cellStyle name="检查单元格 4 3 10" xfId="31097"/>
    <cellStyle name="检查单元格 4 3 11" xfId="32629"/>
    <cellStyle name="检查单元格 4 3 2" xfId="5068"/>
    <cellStyle name="检查单元格 4 3 3" xfId="7110"/>
    <cellStyle name="检查单元格 4 3 4" xfId="13254"/>
    <cellStyle name="检查单元格 4 3 5" xfId="16752"/>
    <cellStyle name="检查单元格 4 3 6" xfId="9833"/>
    <cellStyle name="检查单元格 4 3 7" xfId="19422"/>
    <cellStyle name="检查单元格 4 3 8" xfId="22002"/>
    <cellStyle name="检查单元格 4 3 9" xfId="20936"/>
    <cellStyle name="检查单元格 4 4" xfId="5066"/>
    <cellStyle name="检查单元格 4 5" xfId="7108"/>
    <cellStyle name="检查单元格 4 6" xfId="13252"/>
    <cellStyle name="检查单元格 4 7" xfId="16750"/>
    <cellStyle name="检查单元格 4 8" xfId="11113"/>
    <cellStyle name="检查单元格 4 9" xfId="19420"/>
    <cellStyle name="检查单元格 5" xfId="5059"/>
    <cellStyle name="检查单元格 5 2" xfId="10309"/>
    <cellStyle name="检查单元格 5 3" xfId="17372"/>
    <cellStyle name="检查单元格 6" xfId="7101"/>
    <cellStyle name="检查单元格 6 2" xfId="11446"/>
    <cellStyle name="检查单元格 6 3" xfId="17413"/>
    <cellStyle name="检查单元格 7" xfId="13245"/>
    <cellStyle name="检查单元格 8" xfId="16743"/>
    <cellStyle name="检查单元格 9" xfId="9837"/>
    <cellStyle name="检查单元格 9 2" xfId="26629"/>
    <cellStyle name="解释性文本" xfId="1569" builtinId="53" customBuiltin="1"/>
    <cellStyle name="解释性文本 10" xfId="17486"/>
    <cellStyle name="解释性文本 11" xfId="17572"/>
    <cellStyle name="解释性文本 11 2" xfId="29562"/>
    <cellStyle name="解释性文本 12" xfId="17658"/>
    <cellStyle name="解释性文本 13" xfId="17744"/>
    <cellStyle name="解释性文本 14" xfId="17830"/>
    <cellStyle name="解释性文本 15" xfId="19423"/>
    <cellStyle name="解释性文本 15 2" xfId="21398"/>
    <cellStyle name="解释性文本 15 3" xfId="23481"/>
    <cellStyle name="解释性文本 16" xfId="22986"/>
    <cellStyle name="解释性文本 17" xfId="20391"/>
    <cellStyle name="解释性文本 2" xfId="1570"/>
    <cellStyle name="解释性文本 2 10" xfId="17573"/>
    <cellStyle name="解释性文本 2 11" xfId="17659"/>
    <cellStyle name="解释性文本 2 12" xfId="17745"/>
    <cellStyle name="解释性文本 2 13" xfId="17831"/>
    <cellStyle name="解释性文本 2 14" xfId="19424"/>
    <cellStyle name="解释性文本 2 15" xfId="22762"/>
    <cellStyle name="解释性文本 2 16" xfId="19722"/>
    <cellStyle name="解释性文本 2 2" xfId="1571"/>
    <cellStyle name="解释性文本 2 2 10" xfId="31098"/>
    <cellStyle name="解释性文本 2 2 11" xfId="31685"/>
    <cellStyle name="解释性文本 2 2 2" xfId="5071"/>
    <cellStyle name="解释性文本 2 2 3" xfId="7113"/>
    <cellStyle name="解释性文本 2 2 4" xfId="13257"/>
    <cellStyle name="解释性文本 2 2 5" xfId="16755"/>
    <cellStyle name="解释性文本 2 2 6" xfId="11110"/>
    <cellStyle name="解释性文本 2 2 7" xfId="19425"/>
    <cellStyle name="解释性文本 2 2 8" xfId="22544"/>
    <cellStyle name="解释性文本 2 2 9" xfId="20935"/>
    <cellStyle name="解释性文本 2 3" xfId="1572"/>
    <cellStyle name="解释性文本 2 3 10" xfId="31099"/>
    <cellStyle name="解释性文本 2 3 11" xfId="33282"/>
    <cellStyle name="解释性文本 2 3 2" xfId="5072"/>
    <cellStyle name="解释性文本 2 3 3" xfId="7114"/>
    <cellStyle name="解释性文本 2 3 4" xfId="13258"/>
    <cellStyle name="解释性文本 2 3 5" xfId="16756"/>
    <cellStyle name="解释性文本 2 3 6" xfId="9836"/>
    <cellStyle name="解释性文本 2 3 7" xfId="19426"/>
    <cellStyle name="解释性文本 2 3 8" xfId="22004"/>
    <cellStyle name="解释性文本 2 3 9" xfId="20390"/>
    <cellStyle name="解释性文本 2 4" xfId="5070"/>
    <cellStyle name="解释性文本 2 5" xfId="7112"/>
    <cellStyle name="解释性文本 2 6" xfId="13256"/>
    <cellStyle name="解释性文本 2 7" xfId="16754"/>
    <cellStyle name="解释性文本 2 8" xfId="11111"/>
    <cellStyle name="解释性文本 2 9" xfId="17487"/>
    <cellStyle name="解释性文本 3" xfId="1573"/>
    <cellStyle name="解释性文本 3 10" xfId="22985"/>
    <cellStyle name="解释性文本 3 11" xfId="19721"/>
    <cellStyle name="解释性文本 3 12" xfId="31100"/>
    <cellStyle name="解释性文本 3 13" xfId="33033"/>
    <cellStyle name="解释性文本 3 2" xfId="1574"/>
    <cellStyle name="解释性文本 3 2 10" xfId="31101"/>
    <cellStyle name="解释性文本 3 2 11" xfId="32628"/>
    <cellStyle name="解释性文本 3 2 2" xfId="5074"/>
    <cellStyle name="解释性文本 3 2 3" xfId="7116"/>
    <cellStyle name="解释性文本 3 2 4" xfId="13260"/>
    <cellStyle name="解释性文本 3 2 5" xfId="16758"/>
    <cellStyle name="解释性文本 3 2 6" xfId="9835"/>
    <cellStyle name="解释性文本 3 2 7" xfId="19428"/>
    <cellStyle name="解释性文本 3 2 8" xfId="22761"/>
    <cellStyle name="解释性文本 3 2 9" xfId="20934"/>
    <cellStyle name="解释性文本 3 3" xfId="1575"/>
    <cellStyle name="解释性文本 3 3 10" xfId="31102"/>
    <cellStyle name="解释性文本 3 3 11" xfId="32386"/>
    <cellStyle name="解释性文本 3 3 2" xfId="5075"/>
    <cellStyle name="解释性文本 3 3 3" xfId="7117"/>
    <cellStyle name="解释性文本 3 3 4" xfId="13261"/>
    <cellStyle name="解释性文本 3 3 5" xfId="16759"/>
    <cellStyle name="解释性文本 3 3 6" xfId="11108"/>
    <cellStyle name="解释性文本 3 3 7" xfId="19429"/>
    <cellStyle name="解释性文本 3 3 8" xfId="22543"/>
    <cellStyle name="解释性文本 3 3 9" xfId="20389"/>
    <cellStyle name="解释性文本 3 4" xfId="5073"/>
    <cellStyle name="解释性文本 3 5" xfId="7115"/>
    <cellStyle name="解释性文本 3 6" xfId="13259"/>
    <cellStyle name="解释性文本 3 7" xfId="16757"/>
    <cellStyle name="解释性文本 3 8" xfId="11109"/>
    <cellStyle name="解释性文本 3 9" xfId="19427"/>
    <cellStyle name="解释性文本 4" xfId="1576"/>
    <cellStyle name="解释性文本 4 10" xfId="22003"/>
    <cellStyle name="解释性文本 4 11" xfId="19720"/>
    <cellStyle name="解释性文本 4 12" xfId="31103"/>
    <cellStyle name="解释性文本 4 13" xfId="32152"/>
    <cellStyle name="解释性文本 4 2" xfId="1577"/>
    <cellStyle name="解释性文本 4 2 10" xfId="31104"/>
    <cellStyle name="解释性文本 4 2 11" xfId="31684"/>
    <cellStyle name="解释性文本 4 2 2" xfId="5077"/>
    <cellStyle name="解释性文本 4 2 3" xfId="7119"/>
    <cellStyle name="解释性文本 4 2 4" xfId="13263"/>
    <cellStyle name="解释性文本 4 2 5" xfId="16761"/>
    <cellStyle name="解释性文本 4 2 6" xfId="9828"/>
    <cellStyle name="解释性文本 4 2 7" xfId="19431"/>
    <cellStyle name="解释性文本 4 2 8" xfId="22981"/>
    <cellStyle name="解释性文本 4 2 9" xfId="21449"/>
    <cellStyle name="解释性文本 4 3" xfId="1578"/>
    <cellStyle name="解释性文本 4 3 10" xfId="31105"/>
    <cellStyle name="解释性文本 4 3 11" xfId="33281"/>
    <cellStyle name="解释性文本 4 3 2" xfId="5078"/>
    <cellStyle name="解释性文本 4 3 3" xfId="7120"/>
    <cellStyle name="解释性文本 4 3 4" xfId="13264"/>
    <cellStyle name="解释性文本 4 3 5" xfId="16762"/>
    <cellStyle name="解释性文本 4 3 6" xfId="7536"/>
    <cellStyle name="解释性文本 4 3 7" xfId="19432"/>
    <cellStyle name="解释性文本 4 3 8" xfId="22757"/>
    <cellStyle name="解释性文本 4 3 9" xfId="20338"/>
    <cellStyle name="解释性文本 4 4" xfId="5076"/>
    <cellStyle name="解释性文本 4 5" xfId="7118"/>
    <cellStyle name="解释性文本 4 6" xfId="13262"/>
    <cellStyle name="解释性文本 4 7" xfId="16760"/>
    <cellStyle name="解释性文本 4 8" xfId="9834"/>
    <cellStyle name="解释性文本 4 9" xfId="19430"/>
    <cellStyle name="解释性文本 5" xfId="5069"/>
    <cellStyle name="解释性文本 5 2" xfId="10319"/>
    <cellStyle name="解释性文本 5 3" xfId="17373"/>
    <cellStyle name="解释性文本 6" xfId="7111"/>
    <cellStyle name="解释性文本 6 2" xfId="11456"/>
    <cellStyle name="解释性文本 6 3" xfId="17414"/>
    <cellStyle name="解释性文本 7" xfId="13255"/>
    <cellStyle name="解释性文本 8" xfId="16753"/>
    <cellStyle name="解释性文本 9" xfId="7538"/>
    <cellStyle name="解释性文本 9 2" xfId="26630"/>
    <cellStyle name="警告文本" xfId="1579" builtinId="11" customBuiltin="1"/>
    <cellStyle name="警告文本 10" xfId="17488"/>
    <cellStyle name="警告文本 11" xfId="17574"/>
    <cellStyle name="警告文本 11 2" xfId="29563"/>
    <cellStyle name="警告文本 12" xfId="17660"/>
    <cellStyle name="警告文本 13" xfId="17746"/>
    <cellStyle name="警告文本 14" xfId="17832"/>
    <cellStyle name="警告文本 15" xfId="19433"/>
    <cellStyle name="警告文本 15 2" xfId="21399"/>
    <cellStyle name="警告文本 15 3" xfId="23482"/>
    <cellStyle name="警告文本 16" xfId="22539"/>
    <cellStyle name="警告文本 17" xfId="20933"/>
    <cellStyle name="警告文本 2" xfId="1580"/>
    <cellStyle name="警告文本 2 10" xfId="17575"/>
    <cellStyle name="警告文本 2 11" xfId="17661"/>
    <cellStyle name="警告文本 2 12" xfId="17747"/>
    <cellStyle name="警告文本 2 13" xfId="17833"/>
    <cellStyle name="警告文本 2 14" xfId="19434"/>
    <cellStyle name="警告文本 2 15" xfId="21999"/>
    <cellStyle name="警告文本 2 16" xfId="20798"/>
    <cellStyle name="警告文本 2 2" xfId="1581"/>
    <cellStyle name="警告文本 2 2 10" xfId="31106"/>
    <cellStyle name="警告文本 2 2 11" xfId="32361"/>
    <cellStyle name="警告文本 2 2 2" xfId="5081"/>
    <cellStyle name="警告文本 2 2 3" xfId="7123"/>
    <cellStyle name="警告文本 2 2 4" xfId="13267"/>
    <cellStyle name="警告文本 2 2 5" xfId="16765"/>
    <cellStyle name="警告文本 2 2 6" xfId="9831"/>
    <cellStyle name="警告文本 2 2 7" xfId="19435"/>
    <cellStyle name="警告文本 2 2 8" xfId="22983"/>
    <cellStyle name="警告文本 2 2 9" xfId="20157"/>
    <cellStyle name="警告文本 2 3" xfId="1582"/>
    <cellStyle name="警告文本 2 3 10" xfId="31107"/>
    <cellStyle name="警告文本 2 3 11" xfId="32128"/>
    <cellStyle name="警告文本 2 3 2" xfId="5082"/>
    <cellStyle name="警告文本 2 3 3" xfId="7124"/>
    <cellStyle name="警告文本 2 3 4" xfId="13268"/>
    <cellStyle name="警告文本 2 3 5" xfId="16766"/>
    <cellStyle name="警告文本 2 3 6" xfId="11103"/>
    <cellStyle name="警告文本 2 3 7" xfId="19436"/>
    <cellStyle name="警告文本 2 3 8" xfId="22759"/>
    <cellStyle name="警告文本 2 3 9" xfId="19719"/>
    <cellStyle name="警告文本 2 4" xfId="5080"/>
    <cellStyle name="警告文本 2 5" xfId="7122"/>
    <cellStyle name="警告文本 2 6" xfId="13266"/>
    <cellStyle name="警告文本 2 7" xfId="16764"/>
    <cellStyle name="警告文本 2 8" xfId="11104"/>
    <cellStyle name="警告文本 2 9" xfId="17489"/>
    <cellStyle name="警告文本 3" xfId="1583"/>
    <cellStyle name="警告文本 3 10" xfId="22541"/>
    <cellStyle name="警告文本 3 11" xfId="20932"/>
    <cellStyle name="警告文本 3 12" xfId="31108"/>
    <cellStyle name="警告文本 3 13" xfId="32062"/>
    <cellStyle name="警告文本 3 2" xfId="1584"/>
    <cellStyle name="警告文本 3 2 10" xfId="31109"/>
    <cellStyle name="警告文本 3 2 11" xfId="31658"/>
    <cellStyle name="警告文本 3 2 2" xfId="5084"/>
    <cellStyle name="警告文本 3 2 3" xfId="7126"/>
    <cellStyle name="警告文本 3 2 4" xfId="13270"/>
    <cellStyle name="警告文本 3 2 5" xfId="16768"/>
    <cellStyle name="警告文本 3 2 6" xfId="11102"/>
    <cellStyle name="警告文本 3 2 7" xfId="19438"/>
    <cellStyle name="警告文本 3 2 8" xfId="22001"/>
    <cellStyle name="警告文本 3 2 9" xfId="20388"/>
    <cellStyle name="警告文本 3 3" xfId="1585"/>
    <cellStyle name="警告文本 3 3 10" xfId="31110"/>
    <cellStyle name="警告文本 3 3 11" xfId="33277"/>
    <cellStyle name="警告文本 3 3 2" xfId="5085"/>
    <cellStyle name="警告文本 3 3 3" xfId="7127"/>
    <cellStyle name="警告文本 3 3 4" xfId="13271"/>
    <cellStyle name="警告文本 3 3 5" xfId="16769"/>
    <cellStyle name="警告文本 3 3 6" xfId="9829"/>
    <cellStyle name="警告文本 3 3 7" xfId="19439"/>
    <cellStyle name="警告文本 3 3 8" xfId="22982"/>
    <cellStyle name="警告文本 3 3 9" xfId="19718"/>
    <cellStyle name="警告文本 3 4" xfId="5083"/>
    <cellStyle name="警告文本 3 5" xfId="7125"/>
    <cellStyle name="警告文本 3 6" xfId="13269"/>
    <cellStyle name="警告文本 3 7" xfId="16767"/>
    <cellStyle name="警告文本 3 8" xfId="9830"/>
    <cellStyle name="警告文本 3 9" xfId="19437"/>
    <cellStyle name="警告文本 4" xfId="1586"/>
    <cellStyle name="警告文本 4 10" xfId="22758"/>
    <cellStyle name="警告文本 4 11" xfId="20931"/>
    <cellStyle name="警告文本 4 12" xfId="31111"/>
    <cellStyle name="警告文本 4 13" xfId="33028"/>
    <cellStyle name="警告文本 4 2" xfId="1587"/>
    <cellStyle name="警告文本 4 2 10" xfId="31112"/>
    <cellStyle name="警告文本 4 2 11" xfId="32623"/>
    <cellStyle name="警告文本 4 2 2" xfId="5087"/>
    <cellStyle name="警告文本 4 2 3" xfId="7129"/>
    <cellStyle name="警告文本 4 2 4" xfId="13273"/>
    <cellStyle name="警告文本 4 2 5" xfId="16771"/>
    <cellStyle name="警告文本 4 2 6" xfId="7535"/>
    <cellStyle name="警告文本 4 2 7" xfId="19441"/>
    <cellStyle name="警告文本 4 2 8" xfId="22540"/>
    <cellStyle name="警告文本 4 2 9" xfId="20387"/>
    <cellStyle name="警告文本 4 3" xfId="1588"/>
    <cellStyle name="警告文本 4 3 10" xfId="31113"/>
    <cellStyle name="警告文本 4 3 11" xfId="32381"/>
    <cellStyle name="警告文本 4 3 2" xfId="5088"/>
    <cellStyle name="警告文本 4 3 3" xfId="7130"/>
    <cellStyle name="警告文本 4 3 4" xfId="13274"/>
    <cellStyle name="警告文本 4 3 5" xfId="16772"/>
    <cellStyle name="警告文本 4 3 6" xfId="11100"/>
    <cellStyle name="警告文本 4 3 7" xfId="19442"/>
    <cellStyle name="警告文本 4 3 8" xfId="22000"/>
    <cellStyle name="警告文本 4 3 9" xfId="19717"/>
    <cellStyle name="警告文本 4 4" xfId="5086"/>
    <cellStyle name="警告文本 4 5" xfId="7128"/>
    <cellStyle name="警告文本 4 6" xfId="13272"/>
    <cellStyle name="警告文本 4 7" xfId="16770"/>
    <cellStyle name="警告文本 4 8" xfId="9824"/>
    <cellStyle name="警告文本 4 9" xfId="19440"/>
    <cellStyle name="警告文本 5" xfId="5079"/>
    <cellStyle name="警告文本 5 2" xfId="10329"/>
    <cellStyle name="警告文本 5 3" xfId="17374"/>
    <cellStyle name="警告文本 6" xfId="7121"/>
    <cellStyle name="警告文本 6 2" xfId="11466"/>
    <cellStyle name="警告文本 6 3" xfId="17415"/>
    <cellStyle name="警告文本 7" xfId="13265"/>
    <cellStyle name="警告文本 8" xfId="16763"/>
    <cellStyle name="警告文本 9" xfId="11105"/>
    <cellStyle name="警告文本 9 2" xfId="26631"/>
    <cellStyle name="链接单元格" xfId="1589" builtinId="24" customBuiltin="1"/>
    <cellStyle name="链接单元格 10" xfId="17490"/>
    <cellStyle name="链接单元格 11" xfId="17576"/>
    <cellStyle name="链接单元格 11 2" xfId="29564"/>
    <cellStyle name="链接单元格 12" xfId="17662"/>
    <cellStyle name="链接单元格 13" xfId="17748"/>
    <cellStyle name="链接单元格 14" xfId="17834"/>
    <cellStyle name="链接单元格 15" xfId="19443"/>
    <cellStyle name="链接单元格 15 2" xfId="21400"/>
    <cellStyle name="链接单元格 15 3" xfId="23483"/>
    <cellStyle name="链接单元格 16" xfId="22978"/>
    <cellStyle name="链接单元格 17" xfId="20930"/>
    <cellStyle name="链接单元格 2" xfId="1590"/>
    <cellStyle name="链接单元格 2 10" xfId="17577"/>
    <cellStyle name="链接单元格 2 11" xfId="17663"/>
    <cellStyle name="链接单元格 2 12" xfId="17749"/>
    <cellStyle name="链接单元格 2 13" xfId="17835"/>
    <cellStyle name="链接单元格 2 14" xfId="19444"/>
    <cellStyle name="链接单元格 2 15" xfId="22754"/>
    <cellStyle name="链接单元格 2 16" xfId="20386"/>
    <cellStyle name="链接单元格 2 2" xfId="1591"/>
    <cellStyle name="链接单元格 2 2 10" xfId="31114"/>
    <cellStyle name="链接单元格 2 2 11" xfId="33279"/>
    <cellStyle name="链接单元格 2 2 2" xfId="5091"/>
    <cellStyle name="链接单元格 2 2 3" xfId="7133"/>
    <cellStyle name="链接单元格 2 2 4" xfId="13277"/>
    <cellStyle name="链接单元格 2 2 5" xfId="16775"/>
    <cellStyle name="链接单元格 2 2 6" xfId="11098"/>
    <cellStyle name="链接单元格 2 2 7" xfId="19445"/>
    <cellStyle name="链接单元格 2 2 8" xfId="22536"/>
    <cellStyle name="链接单元格 2 2 9" xfId="19716"/>
    <cellStyle name="链接单元格 2 3" xfId="1592"/>
    <cellStyle name="链接单元格 2 3 10" xfId="31115"/>
    <cellStyle name="链接单元格 2 3 11" xfId="33030"/>
    <cellStyle name="链接单元格 2 3 2" xfId="5092"/>
    <cellStyle name="链接单元格 2 3 3" xfId="7134"/>
    <cellStyle name="链接单元格 2 3 4" xfId="13278"/>
    <cellStyle name="链接单元格 2 3 5" xfId="16776"/>
    <cellStyle name="链接单元格 2 3 6" xfId="9826"/>
    <cellStyle name="链接单元格 2 3 7" xfId="19446"/>
    <cellStyle name="链接单元格 2 3 8" xfId="21996"/>
    <cellStyle name="链接单元格 2 3 9" xfId="20929"/>
    <cellStyle name="链接单元格 2 4" xfId="5090"/>
    <cellStyle name="链接单元格 2 5" xfId="7132"/>
    <cellStyle name="链接单元格 2 6" xfId="13276"/>
    <cellStyle name="链接单元格 2 7" xfId="16774"/>
    <cellStyle name="链接单元格 2 8" xfId="9827"/>
    <cellStyle name="链接单元格 2 9" xfId="17491"/>
    <cellStyle name="链接单元格 3" xfId="1593"/>
    <cellStyle name="链接单元格 3 10" xfId="22980"/>
    <cellStyle name="链接单元格 3 11" xfId="20385"/>
    <cellStyle name="链接单元格 3 12" xfId="31116"/>
    <cellStyle name="链接单元格 3 13" xfId="32624"/>
    <cellStyle name="链接单元格 3 2" xfId="1594"/>
    <cellStyle name="链接单元格 3 2 10" xfId="31117"/>
    <cellStyle name="链接单元格 3 2 11" xfId="32382"/>
    <cellStyle name="链接单元格 3 2 2" xfId="5094"/>
    <cellStyle name="链接单元格 3 2 3" xfId="7136"/>
    <cellStyle name="链接单元格 3 2 4" xfId="13280"/>
    <cellStyle name="链接单元格 3 2 5" xfId="16778"/>
    <cellStyle name="链接单元格 3 2 6" xfId="9825"/>
    <cellStyle name="链接单元格 3 2 7" xfId="19448"/>
    <cellStyle name="链接单元格 3 2 8" xfId="22756"/>
    <cellStyle name="链接单元格 3 2 9" xfId="19715"/>
    <cellStyle name="链接单元格 3 3" xfId="1595"/>
    <cellStyle name="链接单元格 3 3 10" xfId="31118"/>
    <cellStyle name="链接单元格 3 3 11" xfId="32148"/>
    <cellStyle name="链接单元格 3 3 2" xfId="5095"/>
    <cellStyle name="链接单元格 3 3 3" xfId="7137"/>
    <cellStyle name="链接单元格 3 3 4" xfId="13281"/>
    <cellStyle name="链接单元格 3 3 5" xfId="16779"/>
    <cellStyle name="链接单元格 3 3 6" xfId="11093"/>
    <cellStyle name="链接单元格 3 3 7" xfId="19449"/>
    <cellStyle name="链接单元格 3 3 8" xfId="22538"/>
    <cellStyle name="链接单元格 3 3 9" xfId="20928"/>
    <cellStyle name="链接单元格 3 4" xfId="5093"/>
    <cellStyle name="链接单元格 3 5" xfId="7135"/>
    <cellStyle name="链接单元格 3 6" xfId="13279"/>
    <cellStyle name="链接单元格 3 7" xfId="16777"/>
    <cellStyle name="链接单元格 3 8" xfId="11097"/>
    <cellStyle name="链接单元格 3 9" xfId="19447"/>
    <cellStyle name="链接单元格 4" xfId="1596"/>
    <cellStyle name="链接单元格 4 10" xfId="21998"/>
    <cellStyle name="链接单元格 4 11" xfId="20384"/>
    <cellStyle name="链接单元格 4 12" xfId="31119"/>
    <cellStyle name="链接单元格 4 13" xfId="31681"/>
    <cellStyle name="链接单元格 4 2" xfId="1597"/>
    <cellStyle name="链接单元格 4 2 10" xfId="31120"/>
    <cellStyle name="链接单元格 4 2 11" xfId="33278"/>
    <cellStyle name="链接单元格 4 2 2" xfId="5097"/>
    <cellStyle name="链接单元格 4 2 3" xfId="7139"/>
    <cellStyle name="链接单元格 4 2 4" xfId="13283"/>
    <cellStyle name="链接单元格 4 2 5" xfId="16781"/>
    <cellStyle name="链接单元格 4 2 6" xfId="11095"/>
    <cellStyle name="链接单元格 4 2 7" xfId="19451"/>
    <cellStyle name="链接单元格 4 2 8" xfId="22979"/>
    <cellStyle name="链接单元格 4 2 9" xfId="19714"/>
    <cellStyle name="链接单元格 4 3" xfId="1598"/>
    <cellStyle name="链接单元格 4 3 10" xfId="31121"/>
    <cellStyle name="链接单元格 4 3 11" xfId="33029"/>
    <cellStyle name="链接单元格 4 3 2" xfId="5098"/>
    <cellStyle name="链接单元格 4 3 3" xfId="7140"/>
    <cellStyle name="链接单元格 4 3 4" xfId="13284"/>
    <cellStyle name="链接单元格 4 3 5" xfId="16782"/>
    <cellStyle name="链接单元格 4 3 6" xfId="9823"/>
    <cellStyle name="链接单元格 4 3 7" xfId="19452"/>
    <cellStyle name="链接单元格 4 3 8" xfId="22755"/>
    <cellStyle name="链接单元格 4 3 9" xfId="20927"/>
    <cellStyle name="链接单元格 4 4" xfId="5096"/>
    <cellStyle name="链接单元格 4 5" xfId="7138"/>
    <cellStyle name="链接单元格 4 6" xfId="13282"/>
    <cellStyle name="链接单元格 4 7" xfId="16780"/>
    <cellStyle name="链接单元格 4 8" xfId="9821"/>
    <cellStyle name="链接单元格 4 9" xfId="19450"/>
    <cellStyle name="链接单元格 5" xfId="5089"/>
    <cellStyle name="链接单元格 5 2" xfId="10339"/>
    <cellStyle name="链接单元格 5 3" xfId="17375"/>
    <cellStyle name="链接单元格 6" xfId="7131"/>
    <cellStyle name="链接单元格 6 2" xfId="11476"/>
    <cellStyle name="链接单元格 6 3" xfId="17416"/>
    <cellStyle name="链接单元格 7" xfId="13275"/>
    <cellStyle name="链接单元格 8" xfId="16773"/>
    <cellStyle name="链接单元格 9" xfId="11099"/>
    <cellStyle name="链接单元格 9 2" xfId="26632"/>
    <cellStyle name="强调文字颜色 1" xfId="1599" builtinId="29" customBuiltin="1"/>
    <cellStyle name="强调文字颜色 1 10" xfId="17492"/>
    <cellStyle name="强调文字颜色 1 11" xfId="17578"/>
    <cellStyle name="强调文字颜色 1 11 2" xfId="29565"/>
    <cellStyle name="强调文字颜色 1 12" xfId="17664"/>
    <cellStyle name="强调文字颜色 1 13" xfId="17750"/>
    <cellStyle name="强调文字颜色 1 14" xfId="17836"/>
    <cellStyle name="强调文字颜色 1 15" xfId="19453"/>
    <cellStyle name="强调文字颜色 1 15 2" xfId="21401"/>
    <cellStyle name="强调文字颜色 1 15 3" xfId="23484"/>
    <cellStyle name="强调文字颜色 1 16" xfId="22537"/>
    <cellStyle name="强调文字颜色 1 17" xfId="20383"/>
    <cellStyle name="强调文字颜色 1 2" xfId="1600"/>
    <cellStyle name="强调文字颜色 1 2 10" xfId="17579"/>
    <cellStyle name="强调文字颜色 1 2 11" xfId="17665"/>
    <cellStyle name="强调文字颜色 1 2 12" xfId="17751"/>
    <cellStyle name="强调文字颜色 1 2 13" xfId="17837"/>
    <cellStyle name="强调文字颜色 1 2 14" xfId="19454"/>
    <cellStyle name="强调文字颜色 1 2 15" xfId="21997"/>
    <cellStyle name="强调文字颜色 1 2 16" xfId="19713"/>
    <cellStyle name="强调文字颜色 1 2 2" xfId="1601"/>
    <cellStyle name="强调文字颜色 1 2 2 10" xfId="31122"/>
    <cellStyle name="强调文字颜色 1 2 2 11" xfId="32147"/>
    <cellStyle name="强调文字颜色 1 2 2 2" xfId="5101"/>
    <cellStyle name="强调文字颜色 1 2 2 3" xfId="7143"/>
    <cellStyle name="强调文字颜色 1 2 2 4" xfId="13287"/>
    <cellStyle name="强调文字颜色 1 2 2 5" xfId="16785"/>
    <cellStyle name="强调文字颜色 1 2 2 6" xfId="11087"/>
    <cellStyle name="强调文字颜色 1 2 2 7" xfId="19455"/>
    <cellStyle name="强调文字颜色 1 2 2 8" xfId="22967"/>
    <cellStyle name="强调文字颜色 1 2 2 9" xfId="20926"/>
    <cellStyle name="强调文字颜色 1 2 3" xfId="1602"/>
    <cellStyle name="强调文字颜色 1 2 3 10" xfId="31123"/>
    <cellStyle name="强调文字颜色 1 2 3 11" xfId="31680"/>
    <cellStyle name="强调文字颜色 1 2 3 2" xfId="5102"/>
    <cellStyle name="强调文字颜色 1 2 3 3" xfId="7144"/>
    <cellStyle name="强调文字颜色 1 2 3 4" xfId="13288"/>
    <cellStyle name="强调文字颜色 1 2 3 5" xfId="16786"/>
    <cellStyle name="强调文字颜色 1 2 3 6" xfId="9815"/>
    <cellStyle name="强调文字颜色 1 2 3 7" xfId="19456"/>
    <cellStyle name="强调文字颜色 1 2 3 8" xfId="22743"/>
    <cellStyle name="强调文字颜色 1 2 3 9" xfId="20382"/>
    <cellStyle name="强调文字颜色 1 2 4" xfId="5100"/>
    <cellStyle name="强调文字颜色 1 2 5" xfId="7142"/>
    <cellStyle name="强调文字颜色 1 2 6" xfId="13286"/>
    <cellStyle name="强调文字颜色 1 2 7" xfId="16784"/>
    <cellStyle name="强调文字颜色 1 2 8" xfId="9822"/>
    <cellStyle name="强调文字颜色 1 2 9" xfId="17493"/>
    <cellStyle name="强调文字颜色 1 3" xfId="1603"/>
    <cellStyle name="强调文字颜色 1 3 10" xfId="22525"/>
    <cellStyle name="强调文字颜色 1 3 11" xfId="19712"/>
    <cellStyle name="强调文字颜色 1 3 12" xfId="31124"/>
    <cellStyle name="强调文字颜色 1 3 13" xfId="33275"/>
    <cellStyle name="强调文字颜色 1 3 2" xfId="1604"/>
    <cellStyle name="强调文字颜色 1 3 2 10" xfId="31125"/>
    <cellStyle name="强调文字颜色 1 3 2 11" xfId="33026"/>
    <cellStyle name="强调文字颜色 1 3 2 2" xfId="5104"/>
    <cellStyle name="强调文字颜色 1 3 2 3" xfId="7146"/>
    <cellStyle name="强调文字颜色 1 3 2 4" xfId="13290"/>
    <cellStyle name="强调文字颜色 1 3 2 5" xfId="16788"/>
    <cellStyle name="强调文字颜色 1 3 2 6" xfId="9820"/>
    <cellStyle name="强调文字颜色 1 3 2 7" xfId="19458"/>
    <cellStyle name="强调文字颜色 1 3 2 8" xfId="21985"/>
    <cellStyle name="强调文字颜色 1 3 2 9" xfId="20925"/>
    <cellStyle name="强调文字颜色 1 3 3" xfId="1605"/>
    <cellStyle name="强调文字颜色 1 3 3 10" xfId="31126"/>
    <cellStyle name="强调文字颜色 1 3 3 11" xfId="32620"/>
    <cellStyle name="强调文字颜色 1 3 3 2" xfId="5105"/>
    <cellStyle name="强调文字颜色 1 3 3 3" xfId="7147"/>
    <cellStyle name="强调文字颜色 1 3 3 4" xfId="13291"/>
    <cellStyle name="强调文字颜色 1 3 3 5" xfId="16789"/>
    <cellStyle name="强调文字颜色 1 3 3 6" xfId="11091"/>
    <cellStyle name="强调文字颜色 1 3 3 7" xfId="19459"/>
    <cellStyle name="强调文字颜色 1 3 3 8" xfId="22974"/>
    <cellStyle name="强调文字颜色 1 3 3 9" xfId="20381"/>
    <cellStyle name="强调文字颜色 1 3 4" xfId="5103"/>
    <cellStyle name="强调文字颜色 1 3 5" xfId="7145"/>
    <cellStyle name="强调文字颜色 1 3 6" xfId="13289"/>
    <cellStyle name="强调文字颜色 1 3 7" xfId="16787"/>
    <cellStyle name="强调文字颜色 1 3 8" xfId="11092"/>
    <cellStyle name="强调文字颜色 1 3 9" xfId="19457"/>
    <cellStyle name="强调文字颜色 1 4" xfId="1606"/>
    <cellStyle name="强调文字颜色 1 4 10" xfId="22750"/>
    <cellStyle name="强调文字颜色 1 4 11" xfId="19711"/>
    <cellStyle name="强调文字颜色 1 4 12" xfId="31127"/>
    <cellStyle name="强调文字颜色 1 4 13" xfId="32378"/>
    <cellStyle name="强调文字颜色 1 4 2" xfId="1607"/>
    <cellStyle name="强调文字颜色 1 4 2 10" xfId="31128"/>
    <cellStyle name="强调文字颜色 1 4 2 11" xfId="32145"/>
    <cellStyle name="强调文字颜色 1 4 2 2" xfId="5107"/>
    <cellStyle name="强调文字颜色 1 4 2 3" xfId="7149"/>
    <cellStyle name="强调文字颜色 1 4 2 4" xfId="13293"/>
    <cellStyle name="强调文字颜色 1 4 2 5" xfId="16791"/>
    <cellStyle name="强调文字颜色 1 4 2 6" xfId="11090"/>
    <cellStyle name="强调文字颜色 1 4 2 7" xfId="19461"/>
    <cellStyle name="强调文字颜色 1 4 2 8" xfId="22532"/>
    <cellStyle name="强调文字颜色 1 4 2 9" xfId="20924"/>
    <cellStyle name="强调文字颜色 1 4 3" xfId="1608"/>
    <cellStyle name="强调文字颜色 1 4 3 10" xfId="31129"/>
    <cellStyle name="强调文字颜色 1 4 3 11" xfId="31678"/>
    <cellStyle name="强调文字颜色 1 4 3 2" xfId="5108"/>
    <cellStyle name="强调文字颜色 1 4 3 3" xfId="7150"/>
    <cellStyle name="强调文字颜色 1 4 3 4" xfId="13294"/>
    <cellStyle name="强调文字颜色 1 4 3 5" xfId="16792"/>
    <cellStyle name="强调文字颜色 1 4 3 6" xfId="9818"/>
    <cellStyle name="强调文字颜色 1 4 3 7" xfId="19462"/>
    <cellStyle name="强调文字颜色 1 4 3 8" xfId="21992"/>
    <cellStyle name="强调文字颜色 1 4 3 9" xfId="20380"/>
    <cellStyle name="强调文字颜色 1 4 4" xfId="5106"/>
    <cellStyle name="强调文字颜色 1 4 5" xfId="7148"/>
    <cellStyle name="强调文字颜色 1 4 6" xfId="13292"/>
    <cellStyle name="强调文字颜色 1 4 7" xfId="16790"/>
    <cellStyle name="强调文字颜色 1 4 8" xfId="9819"/>
    <cellStyle name="强调文字颜色 1 4 9" xfId="19460"/>
    <cellStyle name="强调文字颜色 1 5" xfId="5099"/>
    <cellStyle name="强调文字颜色 1 5 2" xfId="10349"/>
    <cellStyle name="强调文字颜色 1 5 3" xfId="17376"/>
    <cellStyle name="强调文字颜色 1 6" xfId="7141"/>
    <cellStyle name="强调文字颜色 1 6 2" xfId="11486"/>
    <cellStyle name="强调文字颜色 1 6 3" xfId="17417"/>
    <cellStyle name="强调文字颜色 1 7" xfId="13285"/>
    <cellStyle name="强调文字颜色 1 8" xfId="16783"/>
    <cellStyle name="强调文字颜色 1 9" xfId="11094"/>
    <cellStyle name="强调文字颜色 1 9 2" xfId="26633"/>
    <cellStyle name="强调文字颜色 2" xfId="1609" builtinId="33" customBuiltin="1"/>
    <cellStyle name="强调文字颜色 2 10" xfId="17494"/>
    <cellStyle name="强调文字颜色 2 11" xfId="17580"/>
    <cellStyle name="强调文字颜色 2 11 2" xfId="29566"/>
    <cellStyle name="强调文字颜色 2 12" xfId="17666"/>
    <cellStyle name="强调文字颜色 2 13" xfId="17752"/>
    <cellStyle name="强调文字颜色 2 14" xfId="17838"/>
    <cellStyle name="强调文字颜色 2 15" xfId="19463"/>
    <cellStyle name="强调文字颜色 2 15 2" xfId="21402"/>
    <cellStyle name="强调文字颜色 2 15 3" xfId="23485"/>
    <cellStyle name="强调文字颜色 2 16" xfId="22976"/>
    <cellStyle name="强调文字颜色 2 17" xfId="19710"/>
    <cellStyle name="强调文字颜色 2 2" xfId="1610"/>
    <cellStyle name="强调文字颜色 2 2 10" xfId="17581"/>
    <cellStyle name="强调文字颜色 2 2 11" xfId="17667"/>
    <cellStyle name="强调文字颜色 2 2 12" xfId="17753"/>
    <cellStyle name="强调文字颜色 2 2 13" xfId="17839"/>
    <cellStyle name="强调文字颜色 2 2 14" xfId="19464"/>
    <cellStyle name="强调文字颜色 2 2 15" xfId="22752"/>
    <cellStyle name="强调文字颜色 2 2 16" xfId="20923"/>
    <cellStyle name="强调文字颜色 2 2 2" xfId="1611"/>
    <cellStyle name="强调文字颜色 2 2 2 10" xfId="31130"/>
    <cellStyle name="强调文字颜色 2 2 2 11" xfId="32622"/>
    <cellStyle name="强调文字颜色 2 2 2 2" xfId="5111"/>
    <cellStyle name="强调文字颜色 2 2 2 3" xfId="7153"/>
    <cellStyle name="强调文字颜色 2 2 2 4" xfId="13297"/>
    <cellStyle name="强调文字颜色 2 2 2 5" xfId="16795"/>
    <cellStyle name="强调文字颜色 2 2 2 6" xfId="11088"/>
    <cellStyle name="强调文字颜色 2 2 2 7" xfId="19465"/>
    <cellStyle name="强调文字颜色 2 2 2 8" xfId="22534"/>
    <cellStyle name="强调文字颜色 2 2 2 9" xfId="20379"/>
    <cellStyle name="强调文字颜色 2 2 3" xfId="1612"/>
    <cellStyle name="强调文字颜色 2 2 3 10" xfId="31131"/>
    <cellStyle name="强调文字颜色 2 2 3 11" xfId="32380"/>
    <cellStyle name="强调文字颜色 2 2 3 2" xfId="5112"/>
    <cellStyle name="强调文字颜色 2 2 3 3" xfId="7154"/>
    <cellStyle name="强调文字颜色 2 2 3 4" xfId="13298"/>
    <cellStyle name="强调文字颜色 2 2 3 5" xfId="16796"/>
    <cellStyle name="强调文字颜色 2 2 3 6" xfId="9816"/>
    <cellStyle name="强调文字颜色 2 2 3 7" xfId="19466"/>
    <cellStyle name="强调文字颜色 2 2 3 8" xfId="21994"/>
    <cellStyle name="强调文字颜色 2 2 3 9" xfId="19709"/>
    <cellStyle name="强调文字颜色 2 2 4" xfId="5110"/>
    <cellStyle name="强调文字颜色 2 2 5" xfId="7152"/>
    <cellStyle name="强调文字颜色 2 2 6" xfId="13296"/>
    <cellStyle name="强调文字颜色 2 2 7" xfId="16794"/>
    <cellStyle name="强调文字颜色 2 2 8" xfId="9817"/>
    <cellStyle name="强调文字颜色 2 2 9" xfId="17495"/>
    <cellStyle name="强调文字颜色 2 3" xfId="1613"/>
    <cellStyle name="强调文字颜色 2 3 10" xfId="22975"/>
    <cellStyle name="强调文字颜色 2 3 11" xfId="21447"/>
    <cellStyle name="强调文字颜色 2 3 12" xfId="31132"/>
    <cellStyle name="强调文字颜色 2 3 13" xfId="32146"/>
    <cellStyle name="强调文字颜色 2 3 2" xfId="1614"/>
    <cellStyle name="强调文字颜色 2 3 2 10" xfId="31133"/>
    <cellStyle name="强调文字颜色 2 3 2 11" xfId="31679"/>
    <cellStyle name="强调文字颜色 2 3 2 2" xfId="5114"/>
    <cellStyle name="强调文字颜色 2 3 2 3" xfId="7156"/>
    <cellStyle name="强调文字颜色 2 3 2 4" xfId="13300"/>
    <cellStyle name="强调文字颜色 2 3 2 5" xfId="16798"/>
    <cellStyle name="强调文字颜色 2 3 2 6" xfId="9808"/>
    <cellStyle name="强调文字颜色 2 3 2 7" xfId="19468"/>
    <cellStyle name="强调文字颜色 2 3 2 8" xfId="22751"/>
    <cellStyle name="强调文字颜色 2 3 2 9" xfId="20340"/>
    <cellStyle name="强调文字颜色 2 3 3" xfId="1615"/>
    <cellStyle name="强调文字颜色 2 3 3 10" xfId="31134"/>
    <cellStyle name="强调文字颜色 2 3 3 11" xfId="33276"/>
    <cellStyle name="强调文字颜色 2 3 3 2" xfId="5115"/>
    <cellStyle name="强调文字颜色 2 3 3 3" xfId="7157"/>
    <cellStyle name="强调文字颜色 2 3 3 4" xfId="13301"/>
    <cellStyle name="强调文字颜色 2 3 3 5" xfId="16799"/>
    <cellStyle name="强调文字颜色 2 3 3 6" xfId="11086"/>
    <cellStyle name="强调文字颜色 2 3 3 7" xfId="19469"/>
    <cellStyle name="强调文字颜色 2 3 3 8" xfId="22533"/>
    <cellStyle name="强调文字颜色 2 3 3 9" xfId="20921"/>
    <cellStyle name="强调文字颜色 2 3 4" xfId="5113"/>
    <cellStyle name="强调文字颜色 2 3 5" xfId="7155"/>
    <cellStyle name="强调文字颜色 2 3 6" xfId="13299"/>
    <cellStyle name="强调文字颜色 2 3 7" xfId="16797"/>
    <cellStyle name="强调文字颜色 2 3 8" xfId="11080"/>
    <cellStyle name="强调文字颜色 2 3 9" xfId="19467"/>
    <cellStyle name="强调文字颜色 2 4" xfId="1616"/>
    <cellStyle name="强调文字颜色 2 4 10" xfId="21993"/>
    <cellStyle name="强调文字颜色 2 4 11" xfId="20155"/>
    <cellStyle name="强调文字颜色 2 4 12" xfId="31135"/>
    <cellStyle name="强调文字颜色 2 4 13" xfId="33027"/>
    <cellStyle name="强调文字颜色 2 4 2" xfId="1617"/>
    <cellStyle name="强调文字颜色 2 4 2 10" xfId="31136"/>
    <cellStyle name="强调文字颜色 2 4 2 11" xfId="32621"/>
    <cellStyle name="强调文字颜色 2 4 2 2" xfId="5117"/>
    <cellStyle name="强调文字颜色 2 4 2 3" xfId="7159"/>
    <cellStyle name="强调文字颜色 2 4 2 4" xfId="13303"/>
    <cellStyle name="强调文字颜色 2 4 2 5" xfId="16801"/>
    <cellStyle name="强调文字颜色 2 4 2 6" xfId="11085"/>
    <cellStyle name="强调文字颜色 2 4 2 7" xfId="19471"/>
    <cellStyle name="强调文字颜色 2 4 2 8" xfId="22971"/>
    <cellStyle name="强调文字颜色 2 4 2 9" xfId="19707"/>
    <cellStyle name="强调文字颜色 2 4 3" xfId="1618"/>
    <cellStyle name="强调文字颜色 2 4 3 10" xfId="31137"/>
    <cellStyle name="强调文字颜色 2 4 3 11" xfId="32379"/>
    <cellStyle name="强调文字颜色 2 4 3 2" xfId="5118"/>
    <cellStyle name="强调文字颜色 2 4 3 3" xfId="7160"/>
    <cellStyle name="强调文字颜色 2 4 3 4" xfId="13304"/>
    <cellStyle name="强调文字颜色 2 4 3 5" xfId="16802"/>
    <cellStyle name="强调文字颜色 2 4 3 6" xfId="9813"/>
    <cellStyle name="强调文字颜色 2 4 3 7" xfId="19472"/>
    <cellStyle name="强调文字颜色 2 4 3 8" xfId="22747"/>
    <cellStyle name="强调文字颜色 2 4 3 9" xfId="22042"/>
    <cellStyle name="强调文字颜色 2 4 4" xfId="5116"/>
    <cellStyle name="强调文字颜色 2 4 5" xfId="7158"/>
    <cellStyle name="强调文字颜色 2 4 6" xfId="13302"/>
    <cellStyle name="强调文字颜色 2 4 7" xfId="16800"/>
    <cellStyle name="强调文字颜色 2 4 8" xfId="9814"/>
    <cellStyle name="强调文字颜色 2 4 9" xfId="19470"/>
    <cellStyle name="强调文字颜色 2 5" xfId="5109"/>
    <cellStyle name="强调文字颜色 2 5 2" xfId="10359"/>
    <cellStyle name="强调文字颜色 2 5 3" xfId="17377"/>
    <cellStyle name="强调文字颜色 2 6" xfId="7151"/>
    <cellStyle name="强调文字颜色 2 6 2" xfId="11496"/>
    <cellStyle name="强调文字颜色 2 6 3" xfId="17418"/>
    <cellStyle name="强调文字颜色 2 7" xfId="13295"/>
    <cellStyle name="强调文字颜色 2 8" xfId="16793"/>
    <cellStyle name="强调文字颜色 2 9" xfId="11089"/>
    <cellStyle name="强调文字颜色 2 9 2" xfId="26634"/>
    <cellStyle name="强调文字颜色 3" xfId="1619" builtinId="37" customBuiltin="1"/>
    <cellStyle name="强调文字颜色 3 10" xfId="17496"/>
    <cellStyle name="强调文字颜色 3 11" xfId="17582"/>
    <cellStyle name="强调文字颜色 3 11 2" xfId="29567"/>
    <cellStyle name="强调文字颜色 3 12" xfId="17668"/>
    <cellStyle name="强调文字颜色 3 13" xfId="17754"/>
    <cellStyle name="强调文字颜色 3 14" xfId="17840"/>
    <cellStyle name="强调文字颜色 3 15" xfId="19473"/>
    <cellStyle name="强调文字颜色 3 15 2" xfId="21403"/>
    <cellStyle name="强调文字颜色 3 15 3" xfId="23486"/>
    <cellStyle name="强调文字颜色 3 16" xfId="22529"/>
    <cellStyle name="强调文字颜色 3 17" xfId="21349"/>
    <cellStyle name="强调文字颜色 3 2" xfId="1620"/>
    <cellStyle name="强调文字颜色 3 2 10" xfId="17583"/>
    <cellStyle name="强调文字颜色 3 2 11" xfId="17669"/>
    <cellStyle name="强调文字颜色 3 2 12" xfId="17755"/>
    <cellStyle name="强调文字颜色 3 2 13" xfId="17841"/>
    <cellStyle name="强调文字颜色 3 2 14" xfId="19474"/>
    <cellStyle name="强调文字颜色 3 2 15" xfId="21989"/>
    <cellStyle name="强调文字颜色 3 2 16" xfId="20378"/>
    <cellStyle name="强调文字颜色 3 2 2" xfId="1621"/>
    <cellStyle name="强调文字颜色 3 2 2 10" xfId="31138"/>
    <cellStyle name="强调文字颜色 3 2 2 11" xfId="33274"/>
    <cellStyle name="强调文字颜色 3 2 2 2" xfId="5121"/>
    <cellStyle name="强调文字颜色 3 2 2 3" xfId="7163"/>
    <cellStyle name="强调文字颜色 3 2 2 4" xfId="13307"/>
    <cellStyle name="强调文字颜色 3 2 2 5" xfId="16805"/>
    <cellStyle name="强调文字颜色 3 2 2 6" xfId="11083"/>
    <cellStyle name="强调文字颜色 3 2 2 7" xfId="19475"/>
    <cellStyle name="强调文字颜色 3 2 2 8" xfId="22973"/>
    <cellStyle name="强调文字颜色 3 2 2 9" xfId="21444"/>
    <cellStyle name="强调文字颜色 3 2 3" xfId="1622"/>
    <cellStyle name="强调文字颜色 3 2 3 10" xfId="31139"/>
    <cellStyle name="强调文字颜色 3 2 3 11" xfId="33025"/>
    <cellStyle name="强调文字颜色 3 2 3 2" xfId="5122"/>
    <cellStyle name="强调文字颜色 3 2 3 3" xfId="7164"/>
    <cellStyle name="强调文字颜色 3 2 3 4" xfId="13308"/>
    <cellStyle name="强调文字颜色 3 2 3 5" xfId="16806"/>
    <cellStyle name="强调文字颜色 3 2 3 6" xfId="9811"/>
    <cellStyle name="强调文字颜色 3 2 3 7" xfId="19476"/>
    <cellStyle name="强调文字颜色 3 2 3 8" xfId="22749"/>
    <cellStyle name="强调文字颜色 3 2 3 9" xfId="20343"/>
    <cellStyle name="强调文字颜色 3 2 4" xfId="5120"/>
    <cellStyle name="强调文字颜色 3 2 5" xfId="7162"/>
    <cellStyle name="强调文字颜色 3 2 6" xfId="13306"/>
    <cellStyle name="强调文字颜色 3 2 7" xfId="16804"/>
    <cellStyle name="强调文字颜色 3 2 8" xfId="9812"/>
    <cellStyle name="强调文字颜色 3 2 9" xfId="17497"/>
    <cellStyle name="强调文字颜色 3 3" xfId="1623"/>
    <cellStyle name="强调文字颜色 3 3 10" xfId="22531"/>
    <cellStyle name="强调文字颜色 3 3 11" xfId="20920"/>
    <cellStyle name="强调文字颜色 3 3 12" xfId="31140"/>
    <cellStyle name="强调文字颜色 3 3 13" xfId="32619"/>
    <cellStyle name="强调文字颜色 3 3 2" xfId="1624"/>
    <cellStyle name="强调文字颜色 3 3 2 10" xfId="31141"/>
    <cellStyle name="强调文字颜色 3 3 2 11" xfId="32377"/>
    <cellStyle name="强调文字颜色 3 3 2 2" xfId="5124"/>
    <cellStyle name="强调文字颜色 3 3 2 3" xfId="7166"/>
    <cellStyle name="强调文字颜色 3 3 2 4" xfId="13310"/>
    <cellStyle name="强调文字颜色 3 3 2 5" xfId="16808"/>
    <cellStyle name="强调文字颜色 3 3 2 6" xfId="9810"/>
    <cellStyle name="强调文字颜色 3 3 2 7" xfId="19478"/>
    <cellStyle name="强调文字颜色 3 3 2 8" xfId="21991"/>
    <cellStyle name="强调文字颜色 3 3 2 9" xfId="20794"/>
    <cellStyle name="强调文字颜色 3 3 3" xfId="1625"/>
    <cellStyle name="强调文字颜色 3 3 3 10" xfId="31142"/>
    <cellStyle name="强调文字颜色 3 3 3 11" xfId="32144"/>
    <cellStyle name="强调文字颜色 3 3 3 2" xfId="5125"/>
    <cellStyle name="强调文字颜色 3 3 3 3" xfId="7167"/>
    <cellStyle name="强调文字颜色 3 3 3 4" xfId="13311"/>
    <cellStyle name="强调文字颜色 3 3 3 5" xfId="16809"/>
    <cellStyle name="强调文字颜色 3 3 3 6" xfId="11081"/>
    <cellStyle name="强调文字颜色 3 3 3 7" xfId="19479"/>
    <cellStyle name="强调文字颜色 3 3 3 8" xfId="22972"/>
    <cellStyle name="强调文字颜色 3 3 3 9" xfId="20152"/>
    <cellStyle name="强调文字颜色 3 3 4" xfId="5123"/>
    <cellStyle name="强调文字颜色 3 3 5" xfId="7165"/>
    <cellStyle name="强调文字颜色 3 3 6" xfId="13309"/>
    <cellStyle name="强调文字颜色 3 3 7" xfId="16807"/>
    <cellStyle name="强调文字颜色 3 3 8" xfId="11082"/>
    <cellStyle name="强调文字颜色 3 3 9" xfId="19477"/>
    <cellStyle name="强调文字颜色 3 4" xfId="1626"/>
    <cellStyle name="强调文字颜色 3 4 10" xfId="22748"/>
    <cellStyle name="强调文字颜色 3 4 11" xfId="19706"/>
    <cellStyle name="强调文字颜色 3 4 12" xfId="31143"/>
    <cellStyle name="强调文字颜色 3 4 13" xfId="31677"/>
    <cellStyle name="强调文字颜色 3 4 2" xfId="1627"/>
    <cellStyle name="强调文字颜色 3 4 2 10" xfId="31144"/>
    <cellStyle name="强调文字颜色 3 4 2 11" xfId="33273"/>
    <cellStyle name="强调文字颜色 3 4 2 2" xfId="5127"/>
    <cellStyle name="强调文字颜色 3 4 2 3" xfId="7169"/>
    <cellStyle name="强调文字颜色 3 4 2 4" xfId="13313"/>
    <cellStyle name="强调文字颜色 3 4 2 5" xfId="16811"/>
    <cellStyle name="强调文字颜色 3 4 2 6" xfId="7534"/>
    <cellStyle name="强调文字颜色 3 4 2 7" xfId="19481"/>
    <cellStyle name="强调文字颜色 3 4 2 8" xfId="22530"/>
    <cellStyle name="强调文字颜色 3 4 2 9" xfId="21446"/>
    <cellStyle name="强调文字颜色 3 4 3" xfId="1628"/>
    <cellStyle name="强调文字颜色 3 4 3 10" xfId="31145"/>
    <cellStyle name="强调文字颜色 3 4 3 11" xfId="33024"/>
    <cellStyle name="强调文字颜色 3 4 3 2" xfId="5128"/>
    <cellStyle name="强调文字颜色 3 4 3 3" xfId="7170"/>
    <cellStyle name="强调文字颜色 3 4 3 4" xfId="13314"/>
    <cellStyle name="强调文字颜色 3 4 3 5" xfId="16812"/>
    <cellStyle name="强调文字颜色 3 4 3 6" xfId="7533"/>
    <cellStyle name="强调文字颜色 3 4 3 7" xfId="19482"/>
    <cellStyle name="强调文字颜色 3 4 3 8" xfId="21990"/>
    <cellStyle name="强调文字颜色 3 4 3 9" xfId="20341"/>
    <cellStyle name="强调文字颜色 3 4 4" xfId="5126"/>
    <cellStyle name="强调文字颜色 3 4 5" xfId="7168"/>
    <cellStyle name="强调文字颜色 3 4 6" xfId="13312"/>
    <cellStyle name="强调文字颜色 3 4 7" xfId="16810"/>
    <cellStyle name="强调文字颜色 3 4 8" xfId="9809"/>
    <cellStyle name="强调文字颜色 3 4 9" xfId="19480"/>
    <cellStyle name="强调文字颜色 3 5" xfId="5119"/>
    <cellStyle name="强调文字颜色 3 5 2" xfId="10369"/>
    <cellStyle name="强调文字颜色 3 5 3" xfId="17378"/>
    <cellStyle name="强调文字颜色 3 6" xfId="7161"/>
    <cellStyle name="强调文字颜色 3 6 2" xfId="11506"/>
    <cellStyle name="强调文字颜色 3 6 3" xfId="17419"/>
    <cellStyle name="强调文字颜色 3 7" xfId="13305"/>
    <cellStyle name="强调文字颜色 3 8" xfId="16803"/>
    <cellStyle name="强调文字颜色 3 9" xfId="11084"/>
    <cellStyle name="强调文字颜色 3 9 2" xfId="26635"/>
    <cellStyle name="强调文字颜色 4" xfId="1629" builtinId="41" customBuiltin="1"/>
    <cellStyle name="强调文字颜色 4 10" xfId="17498"/>
    <cellStyle name="强调文字颜色 4 11" xfId="17584"/>
    <cellStyle name="强调文字颜色 4 11 2" xfId="29568"/>
    <cellStyle name="强调文字颜色 4 12" xfId="17670"/>
    <cellStyle name="强调文字颜色 4 13" xfId="17756"/>
    <cellStyle name="强调文字颜色 4 14" xfId="17842"/>
    <cellStyle name="强调文字颜色 4 15" xfId="19483"/>
    <cellStyle name="强调文字颜色 4 15 2" xfId="21404"/>
    <cellStyle name="强调文字颜色 4 15 3" xfId="23487"/>
    <cellStyle name="强调文字颜色 4 16" xfId="22968"/>
    <cellStyle name="强调文字颜色 4 17" xfId="20796"/>
    <cellStyle name="强调文字颜色 4 2" xfId="1630"/>
    <cellStyle name="强调文字颜色 4 2 10" xfId="17585"/>
    <cellStyle name="强调文字颜色 4 2 11" xfId="17671"/>
    <cellStyle name="强调文字颜色 4 2 12" xfId="17757"/>
    <cellStyle name="强调文字颜色 4 2 13" xfId="17843"/>
    <cellStyle name="强调文字颜色 4 2 14" xfId="19484"/>
    <cellStyle name="强调文字颜色 4 2 15" xfId="22744"/>
    <cellStyle name="强调文字颜色 4 2 16" xfId="20154"/>
    <cellStyle name="强调文字颜色 4 2 2" xfId="1631"/>
    <cellStyle name="强调文字颜色 4 2 2 10" xfId="31146"/>
    <cellStyle name="强调文字颜色 4 2 2 11" xfId="32143"/>
    <cellStyle name="强调文字颜色 4 2 2 2" xfId="5131"/>
    <cellStyle name="强调文字颜色 4 2 2 3" xfId="7173"/>
    <cellStyle name="强调文字颜色 4 2 2 4" xfId="13317"/>
    <cellStyle name="强调文字颜色 4 2 2 5" xfId="16815"/>
    <cellStyle name="强调文字颜色 4 2 2 6" xfId="7530"/>
    <cellStyle name="强调文字颜色 4 2 2 7" xfId="19485"/>
    <cellStyle name="强调文字颜色 4 2 2 8" xfId="22526"/>
    <cellStyle name="强调文字颜色 4 2 2 9" xfId="21445"/>
    <cellStyle name="强调文字颜色 4 2 3" xfId="1632"/>
    <cellStyle name="强调文字颜色 4 2 3 10" xfId="31147"/>
    <cellStyle name="强调文字颜色 4 2 3 11" xfId="31676"/>
    <cellStyle name="强调文字颜色 4 2 3 2" xfId="5132"/>
    <cellStyle name="强调文字颜色 4 2 3 3" xfId="7174"/>
    <cellStyle name="强调文字颜色 4 2 3 4" xfId="13318"/>
    <cellStyle name="强调文字颜色 4 2 3 5" xfId="16816"/>
    <cellStyle name="强调文字颜色 4 2 3 6" xfId="7529"/>
    <cellStyle name="强调文字颜色 4 2 3 7" xfId="19486"/>
    <cellStyle name="强调文字颜色 4 2 3 8" xfId="21986"/>
    <cellStyle name="强调文字颜色 4 2 3 9" xfId="20342"/>
    <cellStyle name="强调文字颜色 4 2 4" xfId="5130"/>
    <cellStyle name="强调文字颜色 4 2 5" xfId="7172"/>
    <cellStyle name="强调文字颜色 4 2 6" xfId="13316"/>
    <cellStyle name="强调文字颜色 4 2 7" xfId="16814"/>
    <cellStyle name="强调文字颜色 4 2 8" xfId="7531"/>
    <cellStyle name="强调文字颜色 4 2 9" xfId="17499"/>
    <cellStyle name="强调文字颜色 4 3" xfId="1633"/>
    <cellStyle name="强调文字颜色 4 3 10" xfId="22970"/>
    <cellStyle name="强调文字颜色 4 3 11" xfId="20795"/>
    <cellStyle name="强调文字颜色 4 3 12" xfId="31148"/>
    <cellStyle name="强调文字颜色 4 3 13" xfId="33272"/>
    <cellStyle name="强调文字颜色 4 3 2" xfId="1634"/>
    <cellStyle name="强调文字颜色 4 3 2 10" xfId="31149"/>
    <cellStyle name="强调文字颜色 4 3 2 11" xfId="33023"/>
    <cellStyle name="强调文字颜色 4 3 2 2" xfId="5134"/>
    <cellStyle name="强调文字颜色 4 3 2 3" xfId="7176"/>
    <cellStyle name="强调文字颜色 4 3 2 4" xfId="13320"/>
    <cellStyle name="强调文字颜色 4 3 2 5" xfId="16818"/>
    <cellStyle name="强调文字颜色 4 3 2 6" xfId="9795"/>
    <cellStyle name="强调文字颜色 4 3 2 7" xfId="19488"/>
    <cellStyle name="强调文字颜色 4 3 2 8" xfId="22746"/>
    <cellStyle name="强调文字颜色 4 3 2 9" xfId="20153"/>
    <cellStyle name="强调文字颜色 4 3 3" xfId="1635"/>
    <cellStyle name="强调文字颜色 4 3 3 10" xfId="31150"/>
    <cellStyle name="强调文字颜色 4 3 3 11" xfId="32618"/>
    <cellStyle name="强调文字颜色 4 3 3 2" xfId="5135"/>
    <cellStyle name="强调文字颜色 4 3 3 3" xfId="7177"/>
    <cellStyle name="强调文字颜色 4 3 3 4" xfId="13321"/>
    <cellStyle name="强调文字颜色 4 3 3 5" xfId="16819"/>
    <cellStyle name="强调文字颜色 4 3 3 6" xfId="11079"/>
    <cellStyle name="强调文字颜色 4 3 3 7" xfId="19489"/>
    <cellStyle name="强调文字颜色 4 3 3 8" xfId="22528"/>
    <cellStyle name="强调文字颜色 4 3 3 9" xfId="20346"/>
    <cellStyle name="强调文字颜色 4 3 4" xfId="5133"/>
    <cellStyle name="强调文字颜色 4 3 5" xfId="7175"/>
    <cellStyle name="强调文字颜色 4 3 6" xfId="13319"/>
    <cellStyle name="强调文字颜色 4 3 7" xfId="16817"/>
    <cellStyle name="强调文字颜色 4 3 8" xfId="11073"/>
    <cellStyle name="强调文字颜色 4 3 9" xfId="19487"/>
    <cellStyle name="强调文字颜色 4 4" xfId="1636"/>
    <cellStyle name="强调文字颜色 4 4 10" xfId="21988"/>
    <cellStyle name="强调文字颜色 4 4 11" xfId="20917"/>
    <cellStyle name="强调文字颜色 4 4 12" xfId="31151"/>
    <cellStyle name="强调文字颜色 4 4 13" xfId="32376"/>
    <cellStyle name="强调文字颜色 4 4 2" xfId="1637"/>
    <cellStyle name="强调文字颜色 4 4 2 10" xfId="31152"/>
    <cellStyle name="强调文字颜色 4 4 2 11" xfId="32142"/>
    <cellStyle name="强调文字颜色 4 4 2 2" xfId="5137"/>
    <cellStyle name="强调文字颜色 4 4 2 3" xfId="7179"/>
    <cellStyle name="强调文字颜色 4 4 2 4" xfId="13323"/>
    <cellStyle name="强调文字颜色 4 4 2 5" xfId="16821"/>
    <cellStyle name="强调文字颜色 4 4 2 6" xfId="11078"/>
    <cellStyle name="强调文字颜色 4 4 2 7" xfId="19491"/>
    <cellStyle name="强调文字颜色 4 4 2 8" xfId="22969"/>
    <cellStyle name="强调文字颜色 4 4 2 9" xfId="20790"/>
    <cellStyle name="强调文字颜色 4 4 3" xfId="1638"/>
    <cellStyle name="强调文字颜色 4 4 3 10" xfId="31153"/>
    <cellStyle name="强调文字颜色 4 4 3 11" xfId="31675"/>
    <cellStyle name="强调文字颜色 4 4 3 2" xfId="5138"/>
    <cellStyle name="强调文字颜色 4 4 3 3" xfId="7180"/>
    <cellStyle name="强调文字颜色 4 4 3 4" xfId="13324"/>
    <cellStyle name="强调文字颜色 4 4 3 5" xfId="16822"/>
    <cellStyle name="强调文字颜色 4 4 3 6" xfId="9800"/>
    <cellStyle name="强调文字颜色 4 4 3 7" xfId="19492"/>
    <cellStyle name="强调文字颜色 4 4 3 8" xfId="22745"/>
    <cellStyle name="强调文字颜色 4 4 3 9" xfId="20148"/>
    <cellStyle name="强调文字颜色 4 4 4" xfId="5136"/>
    <cellStyle name="强调文字颜色 4 4 5" xfId="7178"/>
    <cellStyle name="强调文字颜色 4 4 6" xfId="13322"/>
    <cellStyle name="强调文字颜色 4 4 7" xfId="16820"/>
    <cellStyle name="强调文字颜色 4 4 8" xfId="9801"/>
    <cellStyle name="强调文字颜色 4 4 9" xfId="19490"/>
    <cellStyle name="强调文字颜色 4 5" xfId="5129"/>
    <cellStyle name="强调文字颜色 4 5 2" xfId="10379"/>
    <cellStyle name="强调文字颜色 4 5 3" xfId="17379"/>
    <cellStyle name="强调文字颜色 4 6" xfId="7171"/>
    <cellStyle name="强调文字颜色 4 6 2" xfId="11516"/>
    <cellStyle name="强调文字颜色 4 6 3" xfId="17420"/>
    <cellStyle name="强调文字颜色 4 7" xfId="13315"/>
    <cellStyle name="强调文字颜色 4 8" xfId="16813"/>
    <cellStyle name="强调文字颜色 4 9" xfId="7532"/>
    <cellStyle name="强调文字颜色 4 9 2" xfId="26636"/>
    <cellStyle name="强调文字颜色 5" xfId="1639" builtinId="45" customBuiltin="1"/>
    <cellStyle name="强调文字颜色 5 10" xfId="17500"/>
    <cellStyle name="强调文字颜色 5 11" xfId="17586"/>
    <cellStyle name="强调文字颜色 5 11 2" xfId="29569"/>
    <cellStyle name="强调文字颜色 5 12" xfId="17672"/>
    <cellStyle name="强调文字颜色 5 13" xfId="17758"/>
    <cellStyle name="强调文字颜色 5 14" xfId="17844"/>
    <cellStyle name="强调文字颜色 5 15" xfId="19493"/>
    <cellStyle name="强调文字颜色 5 15 2" xfId="21405"/>
    <cellStyle name="强调文字颜色 5 15 3" xfId="23488"/>
    <cellStyle name="强调文字颜色 5 16" xfId="22527"/>
    <cellStyle name="强调文字颜色 5 17" xfId="19703"/>
    <cellStyle name="强调文字颜色 5 2" xfId="1640"/>
    <cellStyle name="强调文字颜色 5 2 10" xfId="17587"/>
    <cellStyle name="强调文字颜色 5 2 11" xfId="17673"/>
    <cellStyle name="强调文字颜色 5 2 12" xfId="17759"/>
    <cellStyle name="强调文字颜色 5 2 13" xfId="17845"/>
    <cellStyle name="强调文字颜色 5 2 14" xfId="19494"/>
    <cellStyle name="强调文字颜色 5 2 15" xfId="21987"/>
    <cellStyle name="强调文字颜色 5 2 16" xfId="21443"/>
    <cellStyle name="强调文字颜色 5 2 2" xfId="1641"/>
    <cellStyle name="强调文字颜色 5 2 2 10" xfId="31154"/>
    <cellStyle name="强调文字颜色 5 2 2 11" xfId="32617"/>
    <cellStyle name="强调文字颜色 5 2 2 2" xfId="5141"/>
    <cellStyle name="强调文字颜色 5 2 2 3" xfId="7183"/>
    <cellStyle name="强调文字颜色 5 2 2 4" xfId="13327"/>
    <cellStyle name="强调文字颜色 5 2 2 5" xfId="16825"/>
    <cellStyle name="强调文字颜色 5 2 2 6" xfId="11076"/>
    <cellStyle name="强调文字颜色 5 2 2 7" xfId="19495"/>
    <cellStyle name="强调文字颜色 5 2 2 8" xfId="22957"/>
    <cellStyle name="强调文字颜色 5 2 2 9" xfId="20344"/>
    <cellStyle name="强调文字颜色 5 2 3" xfId="1642"/>
    <cellStyle name="强调文字颜色 5 2 3 10" xfId="31155"/>
    <cellStyle name="强调文字颜色 5 2 3 11" xfId="32375"/>
    <cellStyle name="强调文字颜色 5 2 3 2" xfId="5142"/>
    <cellStyle name="强调文字颜色 5 2 3 3" xfId="7184"/>
    <cellStyle name="强调文字颜色 5 2 3 4" xfId="13328"/>
    <cellStyle name="强调文字颜色 5 2 3 5" xfId="16826"/>
    <cellStyle name="强调文字颜色 5 2 3 6" xfId="9798"/>
    <cellStyle name="强调文字颜色 5 2 3 7" xfId="19496"/>
    <cellStyle name="强调文字颜色 5 2 3 8" xfId="22733"/>
    <cellStyle name="强调文字颜色 5 2 3 9" xfId="20793"/>
    <cellStyle name="强调文字颜色 5 2 4" xfId="5140"/>
    <cellStyle name="强调文字颜色 5 2 5" xfId="7182"/>
    <cellStyle name="强调文字颜色 5 2 6" xfId="13326"/>
    <cellStyle name="强调文字颜色 5 2 7" xfId="16824"/>
    <cellStyle name="强调文字颜色 5 2 8" xfId="9799"/>
    <cellStyle name="强调文字颜色 5 2 9" xfId="17501"/>
    <cellStyle name="强调文字颜色 5 3" xfId="1643"/>
    <cellStyle name="强调文字颜色 5 3 10" xfId="22515"/>
    <cellStyle name="强调文字颜色 5 3 11" xfId="20151"/>
    <cellStyle name="强调文字颜色 5 3 12" xfId="31156"/>
    <cellStyle name="强调文字颜色 5 3 13" xfId="32141"/>
    <cellStyle name="强调文字颜色 5 3 2" xfId="1644"/>
    <cellStyle name="强调文字颜色 5 3 2 10" xfId="31157"/>
    <cellStyle name="强调文字颜色 5 3 2 11" xfId="31674"/>
    <cellStyle name="强调文字颜色 5 3 2 2" xfId="5144"/>
    <cellStyle name="强调文字颜色 5 3 2 3" xfId="7186"/>
    <cellStyle name="强调文字颜色 5 3 2 4" xfId="13330"/>
    <cellStyle name="强调文字颜色 5 3 2 5" xfId="16828"/>
    <cellStyle name="强调文字颜色 5 3 2 6" xfId="9797"/>
    <cellStyle name="强调文字颜色 5 3 2 7" xfId="19498"/>
    <cellStyle name="强调文字颜色 5 3 2 8" xfId="21975"/>
    <cellStyle name="强调文字颜色 5 3 2 9" xfId="21442"/>
    <cellStyle name="强调文字颜色 5 3 3" xfId="1645"/>
    <cellStyle name="强调文字颜色 5 3 3 10" xfId="31158"/>
    <cellStyle name="强调文字颜色 5 3 3 11" xfId="33271"/>
    <cellStyle name="强调文字颜色 5 3 3 2" xfId="5145"/>
    <cellStyle name="强调文字颜色 5 3 3 3" xfId="7187"/>
    <cellStyle name="强调文字颜色 5 3 3 4" xfId="13331"/>
    <cellStyle name="强调文字颜色 5 3 3 5" xfId="16829"/>
    <cellStyle name="强调文字颜色 5 3 3 6" xfId="11074"/>
    <cellStyle name="强调文字颜色 5 3 3 7" xfId="19499"/>
    <cellStyle name="强调文字颜色 5 3 3 8" xfId="22964"/>
    <cellStyle name="强调文字颜色 5 3 3 9" xfId="20365"/>
    <cellStyle name="强调文字颜色 5 3 4" xfId="5143"/>
    <cellStyle name="强调文字颜色 5 3 5" xfId="7185"/>
    <cellStyle name="强调文字颜色 5 3 6" xfId="13329"/>
    <cellStyle name="强调文字颜色 5 3 7" xfId="16827"/>
    <cellStyle name="强调文字颜色 5 3 8" xfId="11075"/>
    <cellStyle name="强调文字颜色 5 3 9" xfId="19497"/>
    <cellStyle name="强调文字颜色 5 4" xfId="1646"/>
    <cellStyle name="强调文字颜色 5 4 10" xfId="22740"/>
    <cellStyle name="强调文字颜色 5 4 11" xfId="20919"/>
    <cellStyle name="强调文字颜色 5 4 12" xfId="31159"/>
    <cellStyle name="强调文字颜色 5 4 13" xfId="33022"/>
    <cellStyle name="强调文字颜色 5 4 2" xfId="1647"/>
    <cellStyle name="强调文字颜色 5 4 2 10" xfId="31160"/>
    <cellStyle name="强调文字颜色 5 4 2 11" xfId="32616"/>
    <cellStyle name="强调文字颜色 5 4 2 2" xfId="5147"/>
    <cellStyle name="强调文字颜色 5 4 2 3" xfId="7189"/>
    <cellStyle name="强调文字颜色 5 4 2 4" xfId="13333"/>
    <cellStyle name="强调文字颜色 5 4 2 5" xfId="16831"/>
    <cellStyle name="强调文字颜色 5 4 2 6" xfId="7528"/>
    <cellStyle name="强调文字颜色 5 4 2 7" xfId="19501"/>
    <cellStyle name="强调文字颜色 5 4 2 8" xfId="22522"/>
    <cellStyle name="强调文字颜色 5 4 2 9" xfId="20792"/>
    <cellStyle name="强调文字颜色 5 4 3" xfId="1648"/>
    <cellStyle name="强调文字颜色 5 4 3 10" xfId="31161"/>
    <cellStyle name="强调文字颜色 5 4 3 11" xfId="32374"/>
    <cellStyle name="强调文字颜色 5 4 3 2" xfId="5148"/>
    <cellStyle name="强调文字颜色 5 4 3 3" xfId="7190"/>
    <cellStyle name="强调文字颜色 5 4 3 4" xfId="13334"/>
    <cellStyle name="强调文字颜色 5 4 3 5" xfId="16832"/>
    <cellStyle name="强调文字颜色 5 4 3 6" xfId="7527"/>
    <cellStyle name="强调文字颜色 5 4 3 7" xfId="19502"/>
    <cellStyle name="强调文字颜色 5 4 3 8" xfId="21982"/>
    <cellStyle name="强调文字颜色 5 4 3 9" xfId="20150"/>
    <cellStyle name="强调文字颜色 5 4 4" xfId="5146"/>
    <cellStyle name="强调文字颜色 5 4 5" xfId="7188"/>
    <cellStyle name="强调文字颜色 5 4 6" xfId="13332"/>
    <cellStyle name="强调文字颜色 5 4 7" xfId="16830"/>
    <cellStyle name="强调文字颜色 5 4 8" xfId="9796"/>
    <cellStyle name="强调文字颜色 5 4 9" xfId="19500"/>
    <cellStyle name="强调文字颜色 5 5" xfId="5139"/>
    <cellStyle name="强调文字颜色 5 5 2" xfId="10389"/>
    <cellStyle name="强调文字颜色 5 5 3" xfId="17380"/>
    <cellStyle name="强调文字颜色 5 6" xfId="7181"/>
    <cellStyle name="强调文字颜色 5 6 2" xfId="11526"/>
    <cellStyle name="强调文字颜色 5 6 3" xfId="17421"/>
    <cellStyle name="强调文字颜色 5 7" xfId="13325"/>
    <cellStyle name="强调文字颜色 5 8" xfId="16823"/>
    <cellStyle name="强调文字颜色 5 9" xfId="11077"/>
    <cellStyle name="强调文字颜色 5 9 2" xfId="26637"/>
    <cellStyle name="强调文字颜色 6" xfId="1649" builtinId="49" customBuiltin="1"/>
    <cellStyle name="强调文字颜色 6 10" xfId="17502"/>
    <cellStyle name="强调文字颜色 6 11" xfId="17588"/>
    <cellStyle name="强调文字颜色 6 11 2" xfId="29570"/>
    <cellStyle name="强调文字颜色 6 12" xfId="17674"/>
    <cellStyle name="强调文字颜色 6 13" xfId="17760"/>
    <cellStyle name="强调文字颜色 6 14" xfId="17846"/>
    <cellStyle name="强调文字颜色 6 15" xfId="19503"/>
    <cellStyle name="强调文字颜色 6 15 2" xfId="21406"/>
    <cellStyle name="强调文字颜色 6 15 3" xfId="23489"/>
    <cellStyle name="强调文字颜色 6 16" xfId="22966"/>
    <cellStyle name="强调文字颜色 6 17" xfId="19705"/>
    <cellStyle name="强调文字颜色 6 2" xfId="1650"/>
    <cellStyle name="强调文字颜色 6 2 10" xfId="17589"/>
    <cellStyle name="强调文字颜色 6 2 11" xfId="17675"/>
    <cellStyle name="强调文字颜色 6 2 12" xfId="17761"/>
    <cellStyle name="强调文字颜色 6 2 13" xfId="17847"/>
    <cellStyle name="强调文字颜色 6 2 14" xfId="19504"/>
    <cellStyle name="强调文字颜色 6 2 15" xfId="22742"/>
    <cellStyle name="强调文字颜色 6 2 16" xfId="21441"/>
    <cellStyle name="强调文字颜色 6 2 2" xfId="1651"/>
    <cellStyle name="强调文字颜色 6 2 2 10" xfId="31162"/>
    <cellStyle name="强调文字颜色 6 2 2 11" xfId="33270"/>
    <cellStyle name="强调文字颜色 6 2 2 2" xfId="5151"/>
    <cellStyle name="强调文字颜色 6 2 2 3" xfId="7193"/>
    <cellStyle name="强调文字颜色 6 2 2 4" xfId="13337"/>
    <cellStyle name="强调文字颜色 6 2 2 5" xfId="16835"/>
    <cellStyle name="强调文字颜色 6 2 2 6" xfId="7524"/>
    <cellStyle name="强调文字颜色 6 2 2 7" xfId="19505"/>
    <cellStyle name="强调文字颜色 6 2 2 8" xfId="22524"/>
    <cellStyle name="强调文字颜色 6 2 2 9" xfId="20345"/>
    <cellStyle name="强调文字颜色 6 2 3" xfId="1652"/>
    <cellStyle name="强调文字颜色 6 2 3 10" xfId="31163"/>
    <cellStyle name="强调文字颜色 6 2 3 11" xfId="33021"/>
    <cellStyle name="强调文字颜色 6 2 3 2" xfId="5152"/>
    <cellStyle name="强调文字颜色 6 2 3 3" xfId="7194"/>
    <cellStyle name="强调文字颜色 6 2 3 4" xfId="13338"/>
    <cellStyle name="强调文字颜色 6 2 3 5" xfId="16836"/>
    <cellStyle name="强调文字颜色 6 2 3 6" xfId="7523"/>
    <cellStyle name="强调文字颜色 6 2 3 7" xfId="19506"/>
    <cellStyle name="强调文字颜色 6 2 3 8" xfId="21984"/>
    <cellStyle name="强调文字颜色 6 2 3 9" xfId="20918"/>
    <cellStyle name="强调文字颜色 6 2 4" xfId="5150"/>
    <cellStyle name="强调文字颜色 6 2 5" xfId="7192"/>
    <cellStyle name="强调文字颜色 6 2 6" xfId="13336"/>
    <cellStyle name="强调文字颜色 6 2 7" xfId="16834"/>
    <cellStyle name="强调文字颜色 6 2 8" xfId="7525"/>
    <cellStyle name="强调文字颜色 6 2 9" xfId="17503"/>
    <cellStyle name="强调文字颜色 6 3" xfId="1653"/>
    <cellStyle name="强调文字颜色 6 3 10" xfId="22965"/>
    <cellStyle name="强调文字颜色 6 3 11" xfId="20791"/>
    <cellStyle name="强调文字颜色 6 3 12" xfId="31164"/>
    <cellStyle name="强调文字颜色 6 3 13" xfId="32615"/>
    <cellStyle name="强调文字颜色 6 3 2" xfId="1654"/>
    <cellStyle name="强调文字颜色 6 3 2 10" xfId="31165"/>
    <cellStyle name="强调文字颜色 6 3 2 11" xfId="32373"/>
    <cellStyle name="强调文字颜色 6 3 2 2" xfId="5154"/>
    <cellStyle name="强调文字颜色 6 3 2 3" xfId="7196"/>
    <cellStyle name="强调文字颜色 6 3 2 4" xfId="13340"/>
    <cellStyle name="强调文字颜色 6 3 2 5" xfId="16838"/>
    <cellStyle name="强调文字颜色 6 3 2 6" xfId="7521"/>
    <cellStyle name="强调文字颜色 6 3 2 7" xfId="19508"/>
    <cellStyle name="强调文字颜色 6 3 2 8" xfId="22741"/>
    <cellStyle name="强调文字颜色 6 3 2 9" xfId="20149"/>
    <cellStyle name="强调文字颜色 6 3 3" xfId="1655"/>
    <cellStyle name="强调文字颜色 6 3 3 10" xfId="31166"/>
    <cellStyle name="强调文字颜色 6 3 3 11" xfId="32140"/>
    <cellStyle name="强调文字颜色 6 3 3 2" xfId="5155"/>
    <cellStyle name="强调文字颜色 6 3 3 3" xfId="7197"/>
    <cellStyle name="强调文字颜色 6 3 3 4" xfId="13341"/>
    <cellStyle name="强调文字颜色 6 3 3 5" xfId="16839"/>
    <cellStyle name="强调文字颜色 6 3 3 6" xfId="7520"/>
    <cellStyle name="强调文字颜色 6 3 3 7" xfId="19509"/>
    <cellStyle name="强调文字颜色 6 3 3 8" xfId="22523"/>
    <cellStyle name="强调文字颜色 6 3 3 9" xfId="19704"/>
    <cellStyle name="强调文字颜色 6 3 4" xfId="5153"/>
    <cellStyle name="强调文字颜色 6 3 5" xfId="7195"/>
    <cellStyle name="强调文字颜色 6 3 6" xfId="13339"/>
    <cellStyle name="强调文字颜色 6 3 7" xfId="16837"/>
    <cellStyle name="强调文字颜色 6 3 8" xfId="7522"/>
    <cellStyle name="强调文字颜色 6 3 9" xfId="19507"/>
    <cellStyle name="强调文字颜色 6 4" xfId="1656"/>
    <cellStyle name="强调文字颜色 6 4 10" xfId="21983"/>
    <cellStyle name="强调文字颜色 6 4 11" xfId="21440"/>
    <cellStyle name="强调文字颜色 6 4 12" xfId="31167"/>
    <cellStyle name="强调文字颜色 6 4 13" xfId="31673"/>
    <cellStyle name="强调文字颜色 6 4 2" xfId="1657"/>
    <cellStyle name="强调文字颜色 6 4 2 10" xfId="31168"/>
    <cellStyle name="强调文字颜色 6 4 2 11" xfId="33269"/>
    <cellStyle name="强调文字颜色 6 4 2 2" xfId="5157"/>
    <cellStyle name="强调文字颜色 6 4 2 3" xfId="7199"/>
    <cellStyle name="强调文字颜色 6 4 2 4" xfId="13343"/>
    <cellStyle name="强调文字颜色 6 4 2 5" xfId="16841"/>
    <cellStyle name="强调文字颜色 6 4 2 6" xfId="11072"/>
    <cellStyle name="强调文字颜色 6 4 2 7" xfId="19511"/>
    <cellStyle name="强调文字颜色 6 4 2 8" xfId="22961"/>
    <cellStyle name="强调文字颜色 6 4 2 9" xfId="20366"/>
    <cellStyle name="强调文字颜色 6 4 3" xfId="1658"/>
    <cellStyle name="强调文字颜色 6 4 3 10" xfId="31169"/>
    <cellStyle name="强调文字颜色 6 4 3 11" xfId="33020"/>
    <cellStyle name="强调文字颜色 6 4 3 2" xfId="5158"/>
    <cellStyle name="强调文字颜色 6 4 3 3" xfId="7200"/>
    <cellStyle name="强调文字颜色 6 4 3 4" xfId="13344"/>
    <cellStyle name="强调文字颜色 6 4 3 5" xfId="16842"/>
    <cellStyle name="强调文字颜色 6 4 3 6" xfId="9784"/>
    <cellStyle name="强调文字颜色 6 4 3 7" xfId="19512"/>
    <cellStyle name="强调文字颜色 6 4 3 8" xfId="22737"/>
    <cellStyle name="强调文字颜色 6 4 3 9" xfId="20914"/>
    <cellStyle name="强调文字颜色 6 4 4" xfId="5156"/>
    <cellStyle name="强调文字颜色 6 4 5" xfId="7198"/>
    <cellStyle name="强调文字颜色 6 4 6" xfId="13342"/>
    <cellStyle name="强调文字颜色 6 4 7" xfId="16840"/>
    <cellStyle name="强调文字颜色 6 4 8" xfId="7519"/>
    <cellStyle name="强调文字颜色 6 4 9" xfId="19510"/>
    <cellStyle name="强调文字颜色 6 5" xfId="5149"/>
    <cellStyle name="强调文字颜色 6 5 2" xfId="10399"/>
    <cellStyle name="强调文字颜色 6 5 3" xfId="17381"/>
    <cellStyle name="强调文字颜色 6 6" xfId="7191"/>
    <cellStyle name="强调文字颜色 6 6 2" xfId="11536"/>
    <cellStyle name="强调文字颜色 6 6 3" xfId="17422"/>
    <cellStyle name="强调文字颜色 6 7" xfId="13335"/>
    <cellStyle name="强调文字颜色 6 8" xfId="16833"/>
    <cellStyle name="强调文字颜色 6 9" xfId="7526"/>
    <cellStyle name="强调文字颜色 6 9 2" xfId="26638"/>
    <cellStyle name="适中" xfId="1659" builtinId="28" customBuiltin="1"/>
    <cellStyle name="适中 10" xfId="17504"/>
    <cellStyle name="适中 11" xfId="17590"/>
    <cellStyle name="适中 11 2" xfId="29571"/>
    <cellStyle name="适中 12" xfId="17676"/>
    <cellStyle name="适中 13" xfId="17762"/>
    <cellStyle name="适中 14" xfId="17848"/>
    <cellStyle name="适中 15" xfId="19513"/>
    <cellStyle name="适中 15 2" xfId="21407"/>
    <cellStyle name="适中 15 3" xfId="23490"/>
    <cellStyle name="适中 16" xfId="22519"/>
    <cellStyle name="适中 17" xfId="20786"/>
    <cellStyle name="适中 2" xfId="1660"/>
    <cellStyle name="适中 2 10" xfId="17591"/>
    <cellStyle name="适中 2 11" xfId="17677"/>
    <cellStyle name="适中 2 12" xfId="17763"/>
    <cellStyle name="适中 2 13" xfId="17849"/>
    <cellStyle name="适中 2 14" xfId="19514"/>
    <cellStyle name="适中 2 15" xfId="21979"/>
    <cellStyle name="适中 2 16" xfId="20144"/>
    <cellStyle name="适中 2 2" xfId="1661"/>
    <cellStyle name="适中 2 2 10" xfId="31170"/>
    <cellStyle name="适中 2 2 11" xfId="32139"/>
    <cellStyle name="适中 2 2 2" xfId="5161"/>
    <cellStyle name="适中 2 2 3" xfId="7203"/>
    <cellStyle name="适中 2 2 4" xfId="13347"/>
    <cellStyle name="适中 2 2 5" xfId="16845"/>
    <cellStyle name="适中 2 2 6" xfId="11070"/>
    <cellStyle name="适中 2 2 7" xfId="19515"/>
    <cellStyle name="适中 2 2 8" xfId="22963"/>
    <cellStyle name="适中 2 2 9" xfId="19700"/>
    <cellStyle name="适中 2 3" xfId="1662"/>
    <cellStyle name="适中 2 3 10" xfId="31171"/>
    <cellStyle name="适中 2 3 11" xfId="31672"/>
    <cellStyle name="适中 2 3 2" xfId="5162"/>
    <cellStyle name="适中 2 3 3" xfId="7204"/>
    <cellStyle name="适中 2 3 4" xfId="13348"/>
    <cellStyle name="适中 2 3 5" xfId="16846"/>
    <cellStyle name="适中 2 3 6" xfId="9782"/>
    <cellStyle name="适中 2 3 7" xfId="19516"/>
    <cellStyle name="适中 2 3 8" xfId="22739"/>
    <cellStyle name="适中 2 3 9" xfId="21439"/>
    <cellStyle name="适中 2 4" xfId="5160"/>
    <cellStyle name="适中 2 5" xfId="7202"/>
    <cellStyle name="适中 2 6" xfId="13346"/>
    <cellStyle name="适中 2 7" xfId="16844"/>
    <cellStyle name="适中 2 8" xfId="9783"/>
    <cellStyle name="适中 2 9" xfId="17505"/>
    <cellStyle name="适中 3" xfId="1663"/>
    <cellStyle name="适中 3 10" xfId="22521"/>
    <cellStyle name="适中 3 11" xfId="20347"/>
    <cellStyle name="适中 3 12" xfId="31172"/>
    <cellStyle name="适中 3 13" xfId="33257"/>
    <cellStyle name="适中 3 2" xfId="1664"/>
    <cellStyle name="适中 3 2 10" xfId="31173"/>
    <cellStyle name="适中 3 2 11" xfId="32604"/>
    <cellStyle name="适中 3 2 2" xfId="5164"/>
    <cellStyle name="适中 3 2 3" xfId="7206"/>
    <cellStyle name="适中 3 2 4" xfId="13350"/>
    <cellStyle name="适中 3 2 5" xfId="16848"/>
    <cellStyle name="适中 3 2 6" xfId="9781"/>
    <cellStyle name="适中 3 2 7" xfId="19518"/>
    <cellStyle name="适中 3 2 8" xfId="21981"/>
    <cellStyle name="适中 3 2 9" xfId="20789"/>
    <cellStyle name="适中 3 3" xfId="1665"/>
    <cellStyle name="适中 3 3 10" xfId="31174"/>
    <cellStyle name="适中 3 3 11" xfId="32362"/>
    <cellStyle name="适中 3 3 2" xfId="5165"/>
    <cellStyle name="适中 3 3 3" xfId="7207"/>
    <cellStyle name="适中 3 3 4" xfId="13351"/>
    <cellStyle name="适中 3 3 5" xfId="16849"/>
    <cellStyle name="适中 3 3 6" xfId="11068"/>
    <cellStyle name="适中 3 3 7" xfId="19519"/>
    <cellStyle name="适中 3 3 8" xfId="22962"/>
    <cellStyle name="适中 3 3 9" xfId="20147"/>
    <cellStyle name="适中 3 4" xfId="5163"/>
    <cellStyle name="适中 3 5" xfId="7205"/>
    <cellStyle name="适中 3 6" xfId="13349"/>
    <cellStyle name="适中 3 7" xfId="16847"/>
    <cellStyle name="适中 3 8" xfId="11069"/>
    <cellStyle name="适中 3 9" xfId="19517"/>
    <cellStyle name="适中 4" xfId="1666"/>
    <cellStyle name="适中 4 10" xfId="22738"/>
    <cellStyle name="适中 4 11" xfId="21438"/>
    <cellStyle name="适中 4 12" xfId="31175"/>
    <cellStyle name="适中 4 13" xfId="32129"/>
    <cellStyle name="适中 4 2" xfId="1667"/>
    <cellStyle name="适中 4 2 10" xfId="31176"/>
    <cellStyle name="适中 4 2 11" xfId="33268"/>
    <cellStyle name="适中 4 2 2" xfId="5167"/>
    <cellStyle name="适中 4 2 3" xfId="7209"/>
    <cellStyle name="适中 4 2 4" xfId="13353"/>
    <cellStyle name="适中 4 2 5" xfId="16851"/>
    <cellStyle name="适中 4 2 6" xfId="9744"/>
    <cellStyle name="适中 4 2 7" xfId="19521"/>
    <cellStyle name="适中 4 2 8" xfId="22520"/>
    <cellStyle name="适中 4 2 9" xfId="20348"/>
    <cellStyle name="适中 4 3" xfId="1668"/>
    <cellStyle name="适中 4 3 10" xfId="31177"/>
    <cellStyle name="适中 4 3 11" xfId="33017"/>
    <cellStyle name="适中 4 3 2" xfId="5168"/>
    <cellStyle name="适中 4 3 3" xfId="7210"/>
    <cellStyle name="适中 4 3 4" xfId="13354"/>
    <cellStyle name="适中 4 3 5" xfId="16852"/>
    <cellStyle name="适中 4 3 6" xfId="7518"/>
    <cellStyle name="适中 4 3 7" xfId="19522"/>
    <cellStyle name="适中 4 3 8" xfId="21980"/>
    <cellStyle name="适中 4 3 9" xfId="20916"/>
    <cellStyle name="适中 4 4" xfId="5166"/>
    <cellStyle name="适中 4 5" xfId="7208"/>
    <cellStyle name="适中 4 6" xfId="13352"/>
    <cellStyle name="适中 4 7" xfId="16850"/>
    <cellStyle name="适中 4 8" xfId="9780"/>
    <cellStyle name="适中 4 9" xfId="19520"/>
    <cellStyle name="适中 5" xfId="5159"/>
    <cellStyle name="适中 5 2" xfId="10409"/>
    <cellStyle name="适中 5 3" xfId="17382"/>
    <cellStyle name="适中 6" xfId="7201"/>
    <cellStyle name="适中 6 2" xfId="11546"/>
    <cellStyle name="适中 6 3" xfId="17423"/>
    <cellStyle name="适中 7" xfId="13345"/>
    <cellStyle name="适中 8" xfId="16843"/>
    <cellStyle name="适中 9" xfId="11071"/>
    <cellStyle name="适中 9 2" xfId="26639"/>
    <cellStyle name="输出" xfId="1669" builtinId="21" customBuiltin="1"/>
    <cellStyle name="输出 10" xfId="17506"/>
    <cellStyle name="输出 11" xfId="17592"/>
    <cellStyle name="输出 11 2" xfId="29572"/>
    <cellStyle name="输出 12" xfId="17678"/>
    <cellStyle name="输出 13" xfId="17764"/>
    <cellStyle name="输出 14" xfId="17850"/>
    <cellStyle name="输出 15" xfId="19523"/>
    <cellStyle name="输出 15 2" xfId="21408"/>
    <cellStyle name="输出 15 3" xfId="23491"/>
    <cellStyle name="输出 16" xfId="22958"/>
    <cellStyle name="输出 17" xfId="20788"/>
    <cellStyle name="输出 2" xfId="1670"/>
    <cellStyle name="输出 2 10" xfId="17593"/>
    <cellStyle name="输出 2 11" xfId="17679"/>
    <cellStyle name="输出 2 12" xfId="17765"/>
    <cellStyle name="输出 2 13" xfId="17851"/>
    <cellStyle name="输出 2 14" xfId="19524"/>
    <cellStyle name="输出 2 15" xfId="22734"/>
    <cellStyle name="输出 2 16" xfId="20146"/>
    <cellStyle name="输出 2 2" xfId="1671"/>
    <cellStyle name="输出 2 2 10" xfId="31178"/>
    <cellStyle name="输出 2 2 11" xfId="32138"/>
    <cellStyle name="输出 2 2 2" xfId="5171"/>
    <cellStyle name="输出 2 2 3" xfId="7213"/>
    <cellStyle name="输出 2 2 4" xfId="13357"/>
    <cellStyle name="输出 2 2 5" xfId="16855"/>
    <cellStyle name="输出 2 2 6" xfId="9777"/>
    <cellStyle name="输出 2 2 7" xfId="19525"/>
    <cellStyle name="输出 2 2 8" xfId="22516"/>
    <cellStyle name="输出 2 2 9" xfId="19702"/>
    <cellStyle name="输出 2 3" xfId="1672"/>
    <cellStyle name="输出 2 3 10" xfId="31179"/>
    <cellStyle name="输出 2 3 11" xfId="31671"/>
    <cellStyle name="输出 2 3 2" xfId="5172"/>
    <cellStyle name="输出 2 3 3" xfId="7214"/>
    <cellStyle name="输出 2 3 4" xfId="13358"/>
    <cellStyle name="输出 2 3 5" xfId="16856"/>
    <cellStyle name="输出 2 3 6" xfId="7516"/>
    <cellStyle name="输出 2 3 7" xfId="19526"/>
    <cellStyle name="输出 2 3 8" xfId="21976"/>
    <cellStyle name="输出 2 3 9" xfId="21437"/>
    <cellStyle name="输出 2 4" xfId="5170"/>
    <cellStyle name="输出 2 5" xfId="7212"/>
    <cellStyle name="输出 2 6" xfId="13356"/>
    <cellStyle name="输出 2 7" xfId="16854"/>
    <cellStyle name="输出 2 8" xfId="11067"/>
    <cellStyle name="输出 2 9" xfId="17507"/>
    <cellStyle name="输出 3" xfId="1673"/>
    <cellStyle name="输出 3 10" xfId="22960"/>
    <cellStyle name="输出 3 11" xfId="20349"/>
    <cellStyle name="输出 3 12" xfId="31180"/>
    <cellStyle name="输出 3 13" xfId="33267"/>
    <cellStyle name="输出 3 2" xfId="1674"/>
    <cellStyle name="输出 3 2 10" xfId="31181"/>
    <cellStyle name="输出 3 2 11" xfId="33016"/>
    <cellStyle name="输出 3 2 2" xfId="5174"/>
    <cellStyle name="输出 3 2 3" xfId="7216"/>
    <cellStyle name="输出 3 2 4" xfId="13360"/>
    <cellStyle name="输出 3 2 5" xfId="16858"/>
    <cellStyle name="输出 3 2 6" xfId="7514"/>
    <cellStyle name="输出 3 2 7" xfId="19528"/>
    <cellStyle name="输出 3 2 8" xfId="22736"/>
    <cellStyle name="输出 3 2 9" xfId="20915"/>
    <cellStyle name="输出 3 3" xfId="1675"/>
    <cellStyle name="输出 3 3 10" xfId="31182"/>
    <cellStyle name="输出 3 3 11" xfId="32614"/>
    <cellStyle name="输出 3 3 2" xfId="5175"/>
    <cellStyle name="输出 3 3 3" xfId="7217"/>
    <cellStyle name="输出 3 3 4" xfId="13361"/>
    <cellStyle name="输出 3 3 5" xfId="16859"/>
    <cellStyle name="输出 3 3 6" xfId="7513"/>
    <cellStyle name="输出 3 3 7" xfId="19529"/>
    <cellStyle name="输出 3 3 8" xfId="22518"/>
    <cellStyle name="输出 3 3 9" xfId="20787"/>
    <cellStyle name="输出 3 4" xfId="5173"/>
    <cellStyle name="输出 3 5" xfId="7215"/>
    <cellStyle name="输出 3 6" xfId="13359"/>
    <cellStyle name="输出 3 7" xfId="16857"/>
    <cellStyle name="输出 3 8" xfId="7515"/>
    <cellStyle name="输出 3 9" xfId="19527"/>
    <cellStyle name="输出 4" xfId="1676"/>
    <cellStyle name="输出 4 10" xfId="21978"/>
    <cellStyle name="输出 4 11" xfId="20145"/>
    <cellStyle name="输出 4 12" xfId="31183"/>
    <cellStyle name="输出 4 13" xfId="32372"/>
    <cellStyle name="输出 4 2" xfId="1677"/>
    <cellStyle name="输出 4 2 10" xfId="31184"/>
    <cellStyle name="输出 4 2 11" xfId="32137"/>
    <cellStyle name="输出 4 2 2" xfId="5177"/>
    <cellStyle name="输出 4 2 3" xfId="7219"/>
    <cellStyle name="输出 4 2 4" xfId="13363"/>
    <cellStyle name="输出 4 2 5" xfId="16861"/>
    <cellStyle name="输出 4 2 6" xfId="7511"/>
    <cellStyle name="输出 4 2 7" xfId="19531"/>
    <cellStyle name="输出 4 2 8" xfId="22959"/>
    <cellStyle name="输出 4 2 9" xfId="19701"/>
    <cellStyle name="输出 4 3" xfId="1678"/>
    <cellStyle name="输出 4 3 10" xfId="31185"/>
    <cellStyle name="输出 4 3 11" xfId="31670"/>
    <cellStyle name="输出 4 3 2" xfId="5178"/>
    <cellStyle name="输出 4 3 3" xfId="7220"/>
    <cellStyle name="输出 4 3 4" xfId="13364"/>
    <cellStyle name="输出 4 3 5" xfId="16862"/>
    <cellStyle name="输出 4 3 6" xfId="7510"/>
    <cellStyle name="输出 4 3 7" xfId="19532"/>
    <cellStyle name="输出 4 3 8" xfId="22735"/>
    <cellStyle name="输出 4 3 9" xfId="21436"/>
    <cellStyle name="输出 4 4" xfId="5176"/>
    <cellStyle name="输出 4 5" xfId="7218"/>
    <cellStyle name="输出 4 6" xfId="13362"/>
    <cellStyle name="输出 4 7" xfId="16860"/>
    <cellStyle name="输出 4 8" xfId="7512"/>
    <cellStyle name="输出 4 9" xfId="19530"/>
    <cellStyle name="输出 5" xfId="5169"/>
    <cellStyle name="输出 5 2" xfId="10419"/>
    <cellStyle name="输出 5 3" xfId="17383"/>
    <cellStyle name="输出 6" xfId="7211"/>
    <cellStyle name="输出 6 2" xfId="11556"/>
    <cellStyle name="输出 6 3" xfId="17424"/>
    <cellStyle name="输出 7" xfId="13355"/>
    <cellStyle name="输出 8" xfId="16853"/>
    <cellStyle name="输出 9" xfId="7517"/>
    <cellStyle name="输出 9 2" xfId="26640"/>
    <cellStyle name="输入" xfId="1679" builtinId="20" customBuiltin="1"/>
    <cellStyle name="输入 10" xfId="17508"/>
    <cellStyle name="输入 11" xfId="17594"/>
    <cellStyle name="输入 11 2" xfId="29573"/>
    <cellStyle name="输入 12" xfId="17680"/>
    <cellStyle name="输入 13" xfId="17766"/>
    <cellStyle name="输入 14" xfId="17852"/>
    <cellStyle name="输入 15" xfId="19533"/>
    <cellStyle name="输入 15 2" xfId="21409"/>
    <cellStyle name="输入 15 3" xfId="23492"/>
    <cellStyle name="输入 16" xfId="22517"/>
    <cellStyle name="输入 17" xfId="20910"/>
    <cellStyle name="输入 2" xfId="1680"/>
    <cellStyle name="输入 2 10" xfId="17595"/>
    <cellStyle name="输入 2 11" xfId="17681"/>
    <cellStyle name="输入 2 12" xfId="17767"/>
    <cellStyle name="输入 2 13" xfId="17853"/>
    <cellStyle name="输入 2 14" xfId="19534"/>
    <cellStyle name="输入 2 15" xfId="21977"/>
    <cellStyle name="输入 2 16" xfId="20781"/>
    <cellStyle name="输入 2 2" xfId="1681"/>
    <cellStyle name="输入 2 2 10" xfId="31186"/>
    <cellStyle name="输入 2 2 11" xfId="32613"/>
    <cellStyle name="输入 2 2 2" xfId="5181"/>
    <cellStyle name="输入 2 2 3" xfId="7223"/>
    <cellStyle name="输入 2 2 4" xfId="13367"/>
    <cellStyle name="输入 2 2 5" xfId="16865"/>
    <cellStyle name="输入 2 2 6" xfId="7507"/>
    <cellStyle name="输入 2 2 7" xfId="19535"/>
    <cellStyle name="输入 2 2 8" xfId="22947"/>
    <cellStyle name="输入 2 2 9" xfId="20139"/>
    <cellStyle name="输入 2 3" xfId="1682"/>
    <cellStyle name="输入 2 3 10" xfId="31187"/>
    <cellStyle name="输入 2 3 11" xfId="32371"/>
    <cellStyle name="输入 2 3 2" xfId="5182"/>
    <cellStyle name="输入 2 3 3" xfId="7224"/>
    <cellStyle name="输入 2 3 4" xfId="13368"/>
    <cellStyle name="输入 2 3 5" xfId="16866"/>
    <cellStyle name="输入 2 3 6" xfId="11066"/>
    <cellStyle name="输入 2 3 7" xfId="19536"/>
    <cellStyle name="输入 2 3 8" xfId="22723"/>
    <cellStyle name="输入 2 3 9" xfId="19696"/>
    <cellStyle name="输入 2 4" xfId="5180"/>
    <cellStyle name="输入 2 5" xfId="7222"/>
    <cellStyle name="输入 2 6" xfId="13366"/>
    <cellStyle name="输入 2 7" xfId="16864"/>
    <cellStyle name="输入 2 8" xfId="7508"/>
    <cellStyle name="输入 2 9" xfId="17509"/>
    <cellStyle name="输入 3" xfId="1683"/>
    <cellStyle name="输入 3 10" xfId="22505"/>
    <cellStyle name="输入 3 11" xfId="21435"/>
    <cellStyle name="输入 3 12" xfId="31188"/>
    <cellStyle name="输入 3 13" xfId="32136"/>
    <cellStyle name="输入 3 2" xfId="1684"/>
    <cellStyle name="输入 3 2 10" xfId="31189"/>
    <cellStyle name="输入 3 2 11" xfId="31669"/>
    <cellStyle name="输入 3 2 2" xfId="5184"/>
    <cellStyle name="输入 3 2 3" xfId="7226"/>
    <cellStyle name="输入 3 2 4" xfId="13370"/>
    <cellStyle name="输入 3 2 5" xfId="16868"/>
    <cellStyle name="输入 3 2 6" xfId="7506"/>
    <cellStyle name="输入 3 2 7" xfId="19538"/>
    <cellStyle name="输入 3 2 8" xfId="21965"/>
    <cellStyle name="输入 3 2 9" xfId="20724"/>
    <cellStyle name="输入 3 3" xfId="1685"/>
    <cellStyle name="输入 3 3 10" xfId="31190"/>
    <cellStyle name="输入 3 3 11" xfId="33266"/>
    <cellStyle name="输入 3 3 2" xfId="5185"/>
    <cellStyle name="输入 3 3 3" xfId="7227"/>
    <cellStyle name="输入 3 3 4" xfId="13371"/>
    <cellStyle name="输入 3 3 5" xfId="16869"/>
    <cellStyle name="输入 3 3 6" xfId="7505"/>
    <cellStyle name="输入 3 3 7" xfId="19539"/>
    <cellStyle name="输入 3 3 8" xfId="22954"/>
    <cellStyle name="输入 3 3 9" xfId="20785"/>
    <cellStyle name="输入 3 4" xfId="5183"/>
    <cellStyle name="输入 3 5" xfId="7225"/>
    <cellStyle name="输入 3 6" xfId="13369"/>
    <cellStyle name="输入 3 7" xfId="16867"/>
    <cellStyle name="输入 3 8" xfId="9766"/>
    <cellStyle name="输入 3 9" xfId="19537"/>
    <cellStyle name="输入 4" xfId="1686"/>
    <cellStyle name="输入 4 10" xfId="22730"/>
    <cellStyle name="输入 4 11" xfId="20143"/>
    <cellStyle name="输入 4 12" xfId="31191"/>
    <cellStyle name="输入 4 13" xfId="33015"/>
    <cellStyle name="输入 4 2" xfId="1687"/>
    <cellStyle name="输入 4 2 10" xfId="31192"/>
    <cellStyle name="输入 4 2 11" xfId="32612"/>
    <cellStyle name="输入 4 2 2" xfId="5187"/>
    <cellStyle name="输入 4 2 3" xfId="7229"/>
    <cellStyle name="输入 4 2 4" xfId="13373"/>
    <cellStyle name="输入 4 2 5" xfId="16871"/>
    <cellStyle name="输入 4 2 6" xfId="7503"/>
    <cellStyle name="输入 4 2 7" xfId="19541"/>
    <cellStyle name="输入 4 2 8" xfId="22512"/>
    <cellStyle name="输入 4 2 9" xfId="21434"/>
    <cellStyle name="输入 4 3" xfId="1688"/>
    <cellStyle name="输入 4 3 10" xfId="31193"/>
    <cellStyle name="输入 4 3 11" xfId="32370"/>
    <cellStyle name="输入 4 3 2" xfId="5188"/>
    <cellStyle name="输入 4 3 3" xfId="7230"/>
    <cellStyle name="输入 4 3 4" xfId="13374"/>
    <cellStyle name="输入 4 3 5" xfId="16872"/>
    <cellStyle name="输入 4 3 6" xfId="7502"/>
    <cellStyle name="输入 4 3 7" xfId="19542"/>
    <cellStyle name="输入 4 3 8" xfId="21972"/>
    <cellStyle name="输入 4 3 9" xfId="20367"/>
    <cellStyle name="输入 4 4" xfId="5186"/>
    <cellStyle name="输入 4 5" xfId="7228"/>
    <cellStyle name="输入 4 6" xfId="13372"/>
    <cellStyle name="输入 4 7" xfId="16870"/>
    <cellStyle name="输入 4 8" xfId="7504"/>
    <cellStyle name="输入 4 9" xfId="19540"/>
    <cellStyle name="输入 5" xfId="5179"/>
    <cellStyle name="输入 5 2" xfId="10429"/>
    <cellStyle name="输入 5 3" xfId="17384"/>
    <cellStyle name="输入 6" xfId="7221"/>
    <cellStyle name="输入 6 2" xfId="11566"/>
    <cellStyle name="输入 6 3" xfId="17425"/>
    <cellStyle name="输入 7" xfId="13365"/>
    <cellStyle name="输入 8" xfId="16863"/>
    <cellStyle name="输入 9" xfId="7509"/>
    <cellStyle name="输入 9 2" xfId="26641"/>
    <cellStyle name="注释" xfId="1689" builtinId="10" customBuiltin="1"/>
    <cellStyle name="注释 10" xfId="1690"/>
    <cellStyle name="注释 10 10" xfId="16874"/>
    <cellStyle name="注释 10 11" xfId="7500"/>
    <cellStyle name="注释 10 12" xfId="19544"/>
    <cellStyle name="注释 10 13" xfId="22732"/>
    <cellStyle name="注释 10 14" xfId="20784"/>
    <cellStyle name="注释 10 15" xfId="31194"/>
    <cellStyle name="注释 10 16" xfId="31668"/>
    <cellStyle name="注释 10 2" xfId="1691"/>
    <cellStyle name="注释 10 2 10" xfId="31195"/>
    <cellStyle name="注释 10 2 11" xfId="33265"/>
    <cellStyle name="注释 10 2 2" xfId="5191"/>
    <cellStyle name="注释 10 2 3" xfId="7233"/>
    <cellStyle name="注释 10 2 4" xfId="13377"/>
    <cellStyle name="注释 10 2 5" xfId="16875"/>
    <cellStyle name="注释 10 2 6" xfId="7499"/>
    <cellStyle name="注释 10 2 7" xfId="19545"/>
    <cellStyle name="注释 10 2 8" xfId="22514"/>
    <cellStyle name="注释 10 2 9" xfId="20142"/>
    <cellStyle name="注释 10 3" xfId="1692"/>
    <cellStyle name="注释 10 3 10" xfId="31196"/>
    <cellStyle name="注释 10 3 11" xfId="33014"/>
    <cellStyle name="注释 10 3 2" xfId="5192"/>
    <cellStyle name="注释 10 3 3" xfId="7234"/>
    <cellStyle name="注释 10 3 4" xfId="13378"/>
    <cellStyle name="注释 10 3 5" xfId="16876"/>
    <cellStyle name="注释 10 3 6" xfId="7498"/>
    <cellStyle name="注释 10 3 7" xfId="19546"/>
    <cellStyle name="注释 10 3 8" xfId="21974"/>
    <cellStyle name="注释 10 3 9" xfId="19699"/>
    <cellStyle name="注释 10 4" xfId="1693"/>
    <cellStyle name="注释 10 4 10" xfId="31197"/>
    <cellStyle name="注释 10 4 11" xfId="32611"/>
    <cellStyle name="注释 10 4 2" xfId="5193"/>
    <cellStyle name="注释 10 4 3" xfId="7235"/>
    <cellStyle name="注释 10 4 4" xfId="13379"/>
    <cellStyle name="注释 10 4 5" xfId="16877"/>
    <cellStyle name="注释 10 4 6" xfId="7497"/>
    <cellStyle name="注释 10 4 7" xfId="19547"/>
    <cellStyle name="注释 10 4 8" xfId="22955"/>
    <cellStyle name="注释 10 4 9" xfId="21433"/>
    <cellStyle name="注释 10 5" xfId="1694"/>
    <cellStyle name="注释 10 5 2" xfId="7236"/>
    <cellStyle name="注释 10 5 3" xfId="13380"/>
    <cellStyle name="注释 10 5 4" xfId="11065"/>
    <cellStyle name="注释 10 5 5" xfId="19548"/>
    <cellStyle name="注释 10 5 6" xfId="22731"/>
    <cellStyle name="注释 10 5 7" xfId="20725"/>
    <cellStyle name="注释 10 5 8" xfId="31792"/>
    <cellStyle name="注释 10 5 9" xfId="31870"/>
    <cellStyle name="注释 10 6" xfId="5190"/>
    <cellStyle name="注释 10 7" xfId="7232"/>
    <cellStyle name="注释 10 8" xfId="11577"/>
    <cellStyle name="注释 10 9" xfId="13376"/>
    <cellStyle name="注释 11" xfId="1695"/>
    <cellStyle name="注释 11 10" xfId="16878"/>
    <cellStyle name="注释 11 11" xfId="9755"/>
    <cellStyle name="注释 11 12" xfId="19549"/>
    <cellStyle name="注释 11 13" xfId="22513"/>
    <cellStyle name="注释 11 14" xfId="20912"/>
    <cellStyle name="注释 11 15" xfId="31198"/>
    <cellStyle name="注释 11 16" xfId="32369"/>
    <cellStyle name="注释 11 2" xfId="1696"/>
    <cellStyle name="注释 11 2 10" xfId="31199"/>
    <cellStyle name="注释 11 2 11" xfId="32135"/>
    <cellStyle name="注释 11 2 2" xfId="5195"/>
    <cellStyle name="注释 11 2 3" xfId="7238"/>
    <cellStyle name="注释 11 2 4" xfId="13382"/>
    <cellStyle name="注释 11 2 5" xfId="16879"/>
    <cellStyle name="注释 11 2 6" xfId="11064"/>
    <cellStyle name="注释 11 2 7" xfId="19550"/>
    <cellStyle name="注释 11 2 8" xfId="21973"/>
    <cellStyle name="注释 11 2 9" xfId="20783"/>
    <cellStyle name="注释 11 3" xfId="1697"/>
    <cellStyle name="注释 11 3 10" xfId="31200"/>
    <cellStyle name="注释 11 3 11" xfId="31667"/>
    <cellStyle name="注释 11 3 2" xfId="5196"/>
    <cellStyle name="注释 11 3 3" xfId="7239"/>
    <cellStyle name="注释 11 3 4" xfId="13383"/>
    <cellStyle name="注释 11 3 5" xfId="16880"/>
    <cellStyle name="注释 11 3 6" xfId="9754"/>
    <cellStyle name="注释 11 3 7" xfId="19551"/>
    <cellStyle name="注释 11 3 8" xfId="22951"/>
    <cellStyle name="注释 11 3 9" xfId="20141"/>
    <cellStyle name="注释 11 4" xfId="1698"/>
    <cellStyle name="注释 11 4 10" xfId="31201"/>
    <cellStyle name="注释 11 4 11" xfId="33263"/>
    <cellStyle name="注释 11 4 2" xfId="5197"/>
    <cellStyle name="注释 11 4 3" xfId="7240"/>
    <cellStyle name="注释 11 4 4" xfId="13384"/>
    <cellStyle name="注释 11 4 5" xfId="16881"/>
    <cellStyle name="注释 11 4 6" xfId="11063"/>
    <cellStyle name="注释 11 4 7" xfId="19552"/>
    <cellStyle name="注释 11 4 8" xfId="22727"/>
    <cellStyle name="注释 11 4 9" xfId="19698"/>
    <cellStyle name="注释 11 5" xfId="1699"/>
    <cellStyle name="注释 11 5 2" xfId="7241"/>
    <cellStyle name="注释 11 5 3" xfId="13385"/>
    <cellStyle name="注释 11 5 4" xfId="9753"/>
    <cellStyle name="注释 11 5 5" xfId="19553"/>
    <cellStyle name="注释 11 5 6" xfId="22509"/>
    <cellStyle name="注释 11 5 7" xfId="21432"/>
    <cellStyle name="注释 11 5 8" xfId="31796"/>
    <cellStyle name="注释 11 5 9" xfId="30743"/>
    <cellStyle name="注释 11 6" xfId="5194"/>
    <cellStyle name="注释 11 6 2" xfId="23656"/>
    <cellStyle name="注释 11 6 3" xfId="26241"/>
    <cellStyle name="注释 11 7" xfId="7237"/>
    <cellStyle name="注释 11 7 2" xfId="23708"/>
    <cellStyle name="注释 11 7 3" xfId="26293"/>
    <cellStyle name="注释 11 8" xfId="11582"/>
    <cellStyle name="注释 11 8 2" xfId="23818"/>
    <cellStyle name="注释 11 8 3" xfId="26403"/>
    <cellStyle name="注释 11 9" xfId="13381"/>
    <cellStyle name="注释 12" xfId="1700"/>
    <cellStyle name="注释 12 10" xfId="16882"/>
    <cellStyle name="注释 12 11" xfId="11062"/>
    <cellStyle name="注释 12 12" xfId="19554"/>
    <cellStyle name="注释 12 13" xfId="21969"/>
    <cellStyle name="注释 12 14" xfId="20368"/>
    <cellStyle name="注释 12 15" xfId="31202"/>
    <cellStyle name="注释 12 16" xfId="32610"/>
    <cellStyle name="注释 12 2" xfId="1701"/>
    <cellStyle name="注释 12 2 10" xfId="31203"/>
    <cellStyle name="注释 12 2 11" xfId="32367"/>
    <cellStyle name="注释 12 2 2" xfId="5199"/>
    <cellStyle name="注释 12 2 3" xfId="7243"/>
    <cellStyle name="注释 12 2 4" xfId="13387"/>
    <cellStyle name="注释 12 2 5" xfId="16883"/>
    <cellStyle name="注释 12 2 6" xfId="9752"/>
    <cellStyle name="注释 12 2 7" xfId="19555"/>
    <cellStyle name="注释 12 2 8" xfId="22953"/>
    <cellStyle name="注释 12 2 9" xfId="20911"/>
    <cellStyle name="注释 12 3" xfId="1702"/>
    <cellStyle name="注释 12 3 10" xfId="31204"/>
    <cellStyle name="注释 12 3 11" xfId="32134"/>
    <cellStyle name="注释 12 3 2" xfId="5200"/>
    <cellStyle name="注释 12 3 3" xfId="7244"/>
    <cellStyle name="注释 12 3 4" xfId="13388"/>
    <cellStyle name="注释 12 3 5" xfId="16884"/>
    <cellStyle name="注释 12 3 6" xfId="11061"/>
    <cellStyle name="注释 12 3 7" xfId="19556"/>
    <cellStyle name="注释 12 3 8" xfId="22729"/>
    <cellStyle name="注释 12 3 9" xfId="20782"/>
    <cellStyle name="注释 12 4" xfId="1703"/>
    <cellStyle name="注释 12 4 10" xfId="31205"/>
    <cellStyle name="注释 12 4 11" xfId="31896"/>
    <cellStyle name="注释 12 4 2" xfId="5201"/>
    <cellStyle name="注释 12 4 3" xfId="7245"/>
    <cellStyle name="注释 12 4 4" xfId="13389"/>
    <cellStyle name="注释 12 4 5" xfId="16885"/>
    <cellStyle name="注释 12 4 6" xfId="9751"/>
    <cellStyle name="注释 12 4 7" xfId="19557"/>
    <cellStyle name="注释 12 4 8" xfId="22511"/>
    <cellStyle name="注释 12 4 9" xfId="20140"/>
    <cellStyle name="注释 12 5" xfId="1704"/>
    <cellStyle name="注释 12 5 2" xfId="7246"/>
    <cellStyle name="注释 12 5 3" xfId="13390"/>
    <cellStyle name="注释 12 5 4" xfId="11060"/>
    <cellStyle name="注释 12 5 5" xfId="19558"/>
    <cellStyle name="注释 12 5 6" xfId="21971"/>
    <cellStyle name="注释 12 5 7" xfId="19697"/>
    <cellStyle name="注释 12 5 8" xfId="31798"/>
    <cellStyle name="注释 12 5 9" xfId="32553"/>
    <cellStyle name="注释 12 6" xfId="5198"/>
    <cellStyle name="注释 12 6 2" xfId="23657"/>
    <cellStyle name="注释 12 6 3" xfId="26242"/>
    <cellStyle name="注释 12 7" xfId="7242"/>
    <cellStyle name="注释 12 7 2" xfId="23709"/>
    <cellStyle name="注释 12 7 3" xfId="26294"/>
    <cellStyle name="注释 12 8" xfId="11587"/>
    <cellStyle name="注释 12 8 2" xfId="23819"/>
    <cellStyle name="注释 12 8 3" xfId="26404"/>
    <cellStyle name="注释 12 9" xfId="13386"/>
    <cellStyle name="注释 13" xfId="1705"/>
    <cellStyle name="注释 13 10" xfId="9750"/>
    <cellStyle name="注释 13 11" xfId="19559"/>
    <cellStyle name="注释 13 12" xfId="22952"/>
    <cellStyle name="注释 13 13" xfId="21431"/>
    <cellStyle name="注释 13 14" xfId="31206"/>
    <cellStyle name="注释 13 15" xfId="33012"/>
    <cellStyle name="注释 13 2" xfId="1706"/>
    <cellStyle name="注释 13 2 10" xfId="31207"/>
    <cellStyle name="注释 13 2 11" xfId="33011"/>
    <cellStyle name="注释 13 2 2" xfId="5203"/>
    <cellStyle name="注释 13 2 3" xfId="7248"/>
    <cellStyle name="注释 13 2 4" xfId="13392"/>
    <cellStyle name="注释 13 2 5" xfId="16887"/>
    <cellStyle name="注释 13 2 6" xfId="11059"/>
    <cellStyle name="注释 13 2 7" xfId="19560"/>
    <cellStyle name="注释 13 2 8" xfId="22728"/>
    <cellStyle name="注释 13 2 9" xfId="20726"/>
    <cellStyle name="注释 13 3" xfId="1707"/>
    <cellStyle name="注释 13 3 10" xfId="31208"/>
    <cellStyle name="注释 13 3 11" xfId="32368"/>
    <cellStyle name="注释 13 3 2" xfId="5204"/>
    <cellStyle name="注释 13 3 3" xfId="7249"/>
    <cellStyle name="注释 13 3 4" xfId="13393"/>
    <cellStyle name="注释 13 3 5" xfId="16888"/>
    <cellStyle name="注释 13 3 6" xfId="9749"/>
    <cellStyle name="注释 13 3 7" xfId="19561"/>
    <cellStyle name="注释 13 3 8" xfId="22510"/>
    <cellStyle name="注释 13 3 9" xfId="20906"/>
    <cellStyle name="注释 13 4" xfId="1708"/>
    <cellStyle name="注释 13 4 10" xfId="31209"/>
    <cellStyle name="注释 13 4 11" xfId="31666"/>
    <cellStyle name="注释 13 4 2" xfId="5205"/>
    <cellStyle name="注释 13 4 3" xfId="7250"/>
    <cellStyle name="注释 13 4 4" xfId="13394"/>
    <cellStyle name="注释 13 4 5" xfId="16889"/>
    <cellStyle name="注释 13 4 6" xfId="11058"/>
    <cellStyle name="注释 13 4 7" xfId="19562"/>
    <cellStyle name="注释 13 4 8" xfId="21970"/>
    <cellStyle name="注释 13 4 9" xfId="20776"/>
    <cellStyle name="注释 13 5" xfId="1709"/>
    <cellStyle name="注释 13 5 2" xfId="7251"/>
    <cellStyle name="注释 13 5 3" xfId="13395"/>
    <cellStyle name="注释 13 5 4" xfId="9748"/>
    <cellStyle name="注释 13 5 5" xfId="19563"/>
    <cellStyle name="注释 13 5 6" xfId="22948"/>
    <cellStyle name="注释 13 5 7" xfId="20134"/>
    <cellStyle name="注释 13 5 8" xfId="31799"/>
    <cellStyle name="注释 13 5 9" xfId="32957"/>
    <cellStyle name="注释 13 6" xfId="5202"/>
    <cellStyle name="注释 13 6 2" xfId="23710"/>
    <cellStyle name="注释 13 6 3" xfId="26295"/>
    <cellStyle name="注释 13 7" xfId="7247"/>
    <cellStyle name="注释 13 7 2" xfId="23820"/>
    <cellStyle name="注释 13 7 3" xfId="26405"/>
    <cellStyle name="注释 13 8" xfId="13391"/>
    <cellStyle name="注释 13 8 2" xfId="23890"/>
    <cellStyle name="注释 13 8 3" xfId="26475"/>
    <cellStyle name="注释 13 9" xfId="16886"/>
    <cellStyle name="注释 14" xfId="1710"/>
    <cellStyle name="注释 14 10" xfId="11057"/>
    <cellStyle name="注释 14 11" xfId="19564"/>
    <cellStyle name="注释 14 12" xfId="22724"/>
    <cellStyle name="注释 14 13" xfId="19692"/>
    <cellStyle name="注释 14 14" xfId="31210"/>
    <cellStyle name="注释 14 15" xfId="33262"/>
    <cellStyle name="注释 14 2" xfId="1711"/>
    <cellStyle name="注释 14 2 10" xfId="31211"/>
    <cellStyle name="注释 14 2 11" xfId="32609"/>
    <cellStyle name="注释 14 2 2" xfId="5207"/>
    <cellStyle name="注释 14 2 3" xfId="7253"/>
    <cellStyle name="注释 14 2 4" xfId="13397"/>
    <cellStyle name="注释 14 2 5" xfId="16891"/>
    <cellStyle name="注释 14 2 6" xfId="9747"/>
    <cellStyle name="注释 14 2 7" xfId="19565"/>
    <cellStyle name="注释 14 2 8" xfId="22506"/>
    <cellStyle name="注释 14 2 9" xfId="21430"/>
    <cellStyle name="注释 14 3" xfId="1712"/>
    <cellStyle name="注释 14 3 10" xfId="31212"/>
    <cellStyle name="注释 14 3 11" xfId="32366"/>
    <cellStyle name="注释 14 3 2" xfId="5208"/>
    <cellStyle name="注释 14 3 3" xfId="7254"/>
    <cellStyle name="注释 14 3 4" xfId="13398"/>
    <cellStyle name="注释 14 3 5" xfId="16892"/>
    <cellStyle name="注释 14 3 6" xfId="11056"/>
    <cellStyle name="注释 14 3 7" xfId="19566"/>
    <cellStyle name="注释 14 3 8" xfId="21966"/>
    <cellStyle name="注释 14 3 9" xfId="20369"/>
    <cellStyle name="注释 14 4" xfId="1713"/>
    <cellStyle name="注释 14 4 10" xfId="31213"/>
    <cellStyle name="注释 14 4 11" xfId="32133"/>
    <cellStyle name="注释 14 4 2" xfId="5209"/>
    <cellStyle name="注释 14 4 3" xfId="7255"/>
    <cellStyle name="注释 14 4 4" xfId="13399"/>
    <cellStyle name="注释 14 4 5" xfId="16893"/>
    <cellStyle name="注释 14 4 6" xfId="9746"/>
    <cellStyle name="注释 14 4 7" xfId="19567"/>
    <cellStyle name="注释 14 4 8" xfId="22950"/>
    <cellStyle name="注释 14 4 9" xfId="20780"/>
    <cellStyle name="注释 14 5" xfId="1714"/>
    <cellStyle name="注释 14 5 2" xfId="7256"/>
    <cellStyle name="注释 14 5 3" xfId="13400"/>
    <cellStyle name="注释 14 5 4" xfId="11055"/>
    <cellStyle name="注释 14 5 5" xfId="19568"/>
    <cellStyle name="注释 14 5 6" xfId="22726"/>
    <cellStyle name="注释 14 5 7" xfId="20138"/>
    <cellStyle name="注释 14 5 8" xfId="31800"/>
    <cellStyle name="注释 14 5 9" xfId="31606"/>
    <cellStyle name="注释 14 6" xfId="5206"/>
    <cellStyle name="注释 14 6 2" xfId="23711"/>
    <cellStyle name="注释 14 6 3" xfId="26296"/>
    <cellStyle name="注释 14 7" xfId="7252"/>
    <cellStyle name="注释 14 7 2" xfId="23821"/>
    <cellStyle name="注释 14 7 3" xfId="26406"/>
    <cellStyle name="注释 14 8" xfId="13396"/>
    <cellStyle name="注释 14 8 2" xfId="23891"/>
    <cellStyle name="注释 14 8 3" xfId="26476"/>
    <cellStyle name="注释 14 9" xfId="16890"/>
    <cellStyle name="注释 15" xfId="1715"/>
    <cellStyle name="注释 15 10" xfId="19569"/>
    <cellStyle name="注释 15 11" xfId="22508"/>
    <cellStyle name="注释 15 12" xfId="21429"/>
    <cellStyle name="注释 15 13" xfId="31214"/>
    <cellStyle name="注释 15 14" xfId="33261"/>
    <cellStyle name="注释 15 2" xfId="1716"/>
    <cellStyle name="注释 15 2 10" xfId="31215"/>
    <cellStyle name="注释 15 2 11" xfId="33007"/>
    <cellStyle name="注释 15 2 2" xfId="5211"/>
    <cellStyle name="注释 15 2 3" xfId="7258"/>
    <cellStyle name="注释 15 2 4" xfId="13402"/>
    <cellStyle name="注释 15 2 5" xfId="16895"/>
    <cellStyle name="注释 15 2 6" xfId="7496"/>
    <cellStyle name="注释 15 2 7" xfId="19570"/>
    <cellStyle name="注释 15 2 8" xfId="21968"/>
    <cellStyle name="注释 15 2 9" xfId="20727"/>
    <cellStyle name="注释 15 3" xfId="1717"/>
    <cellStyle name="注释 15 3 10" xfId="31216"/>
    <cellStyle name="注释 15 3 11" xfId="32608"/>
    <cellStyle name="注释 15 3 2" xfId="5212"/>
    <cellStyle name="注释 15 3 3" xfId="7259"/>
    <cellStyle name="注释 15 3 4" xfId="13403"/>
    <cellStyle name="注释 15 3 5" xfId="16896"/>
    <cellStyle name="注释 15 3 6" xfId="7495"/>
    <cellStyle name="注释 15 3 7" xfId="19571"/>
    <cellStyle name="注释 15 3 8" xfId="22949"/>
    <cellStyle name="注释 15 3 9" xfId="20909"/>
    <cellStyle name="注释 15 4" xfId="1718"/>
    <cellStyle name="注释 15 4 2" xfId="7260"/>
    <cellStyle name="注释 15 4 3" xfId="13404"/>
    <cellStyle name="注释 15 4 4" xfId="7494"/>
    <cellStyle name="注释 15 4 5" xfId="19572"/>
    <cellStyle name="注释 15 4 6" xfId="22725"/>
    <cellStyle name="注释 15 4 7" xfId="20779"/>
    <cellStyle name="注释 15 4 8" xfId="31801"/>
    <cellStyle name="注释 15 4 9" xfId="32319"/>
    <cellStyle name="注释 15 5" xfId="5210"/>
    <cellStyle name="注释 15 6" xfId="7257"/>
    <cellStyle name="注释 15 7" xfId="13401"/>
    <cellStyle name="注释 15 8" xfId="16894"/>
    <cellStyle name="注释 15 9" xfId="9745"/>
    <cellStyle name="注释 16" xfId="1719"/>
    <cellStyle name="注释 16 10" xfId="19573"/>
    <cellStyle name="注释 16 11" xfId="22507"/>
    <cellStyle name="注释 16 12" xfId="20137"/>
    <cellStyle name="注释 16 13" xfId="31217"/>
    <cellStyle name="注释 16 14" xfId="32365"/>
    <cellStyle name="注释 16 2" xfId="1720"/>
    <cellStyle name="注释 16 2 10" xfId="31218"/>
    <cellStyle name="注释 16 2 11" xfId="32132"/>
    <cellStyle name="注释 16 2 2" xfId="5214"/>
    <cellStyle name="注释 16 2 3" xfId="7262"/>
    <cellStyle name="注释 16 2 4" xfId="13406"/>
    <cellStyle name="注释 16 2 5" xfId="16898"/>
    <cellStyle name="注释 16 2 6" xfId="7492"/>
    <cellStyle name="注释 16 2 7" xfId="19574"/>
    <cellStyle name="注释 16 2 8" xfId="21967"/>
    <cellStyle name="注释 16 2 9" xfId="19695"/>
    <cellStyle name="注释 16 3" xfId="1721"/>
    <cellStyle name="注释 16 3 10" xfId="31219"/>
    <cellStyle name="注释 16 3 11" xfId="31663"/>
    <cellStyle name="注释 16 3 2" xfId="5215"/>
    <cellStyle name="注释 16 3 3" xfId="7263"/>
    <cellStyle name="注释 16 3 4" xfId="13407"/>
    <cellStyle name="注释 16 3 5" xfId="16899"/>
    <cellStyle name="注释 16 3 6" xfId="9738"/>
    <cellStyle name="注释 16 3 7" xfId="19575"/>
    <cellStyle name="注释 16 3 8" xfId="22937"/>
    <cellStyle name="注释 16 3 9" xfId="21428"/>
    <cellStyle name="注释 16 4" xfId="1722"/>
    <cellStyle name="注释 16 4 2" xfId="7264"/>
    <cellStyle name="注释 16 4 3" xfId="13408"/>
    <cellStyle name="注释 16 4 4" xfId="7491"/>
    <cellStyle name="注释 16 4 5" xfId="19576"/>
    <cellStyle name="注释 16 4 6" xfId="22713"/>
    <cellStyle name="注释 16 4 7" xfId="20370"/>
    <cellStyle name="注释 16 4 8" xfId="31802"/>
    <cellStyle name="注释 16 4 9" xfId="33221"/>
    <cellStyle name="注释 16 5" xfId="5213"/>
    <cellStyle name="注释 16 6" xfId="7261"/>
    <cellStyle name="注释 16 7" xfId="13405"/>
    <cellStyle name="注释 16 8" xfId="16897"/>
    <cellStyle name="注释 16 9" xfId="7493"/>
    <cellStyle name="注释 17" xfId="1723"/>
    <cellStyle name="注释 17 10" xfId="22495"/>
    <cellStyle name="注释 17 11" xfId="20908"/>
    <cellStyle name="注释 17 12" xfId="31220"/>
    <cellStyle name="注释 17 13" xfId="33260"/>
    <cellStyle name="注释 17 2" xfId="1724"/>
    <cellStyle name="注释 17 2 2" xfId="7266"/>
    <cellStyle name="注释 17 2 3" xfId="13410"/>
    <cellStyle name="注释 17 2 4" xfId="7489"/>
    <cellStyle name="注释 17 2 5" xfId="19578"/>
    <cellStyle name="注释 17 2 6" xfId="21955"/>
    <cellStyle name="注释 17 2 7" xfId="20778"/>
    <cellStyle name="注释 17 2 8" xfId="31803"/>
    <cellStyle name="注释 17 2 9" xfId="32318"/>
    <cellStyle name="注释 17 3" xfId="1725"/>
    <cellStyle name="注释 17 3 2" xfId="7267"/>
    <cellStyle name="注释 17 3 3" xfId="13411"/>
    <cellStyle name="注释 17 3 4" xfId="7488"/>
    <cellStyle name="注释 17 3 5" xfId="19579"/>
    <cellStyle name="注释 17 3 6" xfId="22944"/>
    <cellStyle name="注释 17 3 7" xfId="20136"/>
    <cellStyle name="注释 17 3 8" xfId="31804"/>
    <cellStyle name="注释 17 3 9" xfId="32094"/>
    <cellStyle name="注释 17 4" xfId="5216"/>
    <cellStyle name="注释 17 5" xfId="7265"/>
    <cellStyle name="注释 17 6" xfId="13409"/>
    <cellStyle name="注释 17 7" xfId="16900"/>
    <cellStyle name="注释 17 8" xfId="7490"/>
    <cellStyle name="注释 17 9" xfId="19577"/>
    <cellStyle name="注释 18" xfId="1726"/>
    <cellStyle name="注释 18 10" xfId="31221"/>
    <cellStyle name="注释 18 11" xfId="33006"/>
    <cellStyle name="注释 18 2" xfId="1727"/>
    <cellStyle name="注释 18 2 2" xfId="10467"/>
    <cellStyle name="注释 18 2 3" xfId="17386"/>
    <cellStyle name="注释 18 2 4" xfId="19581"/>
    <cellStyle name="注释 18 2 5" xfId="21545"/>
    <cellStyle name="注释 18 2 6" xfId="21427"/>
    <cellStyle name="注释 18 2 7" xfId="31805"/>
    <cellStyle name="注释 18 2 8" xfId="31605"/>
    <cellStyle name="注释 18 3" xfId="5217"/>
    <cellStyle name="注释 18 4" xfId="7268"/>
    <cellStyle name="注释 18 5" xfId="16901"/>
    <cellStyle name="注释 18 6" xfId="7487"/>
    <cellStyle name="注释 18 7" xfId="19580"/>
    <cellStyle name="注释 18 8" xfId="22720"/>
    <cellStyle name="注释 18 9" xfId="19694"/>
    <cellStyle name="注释 19" xfId="1728"/>
    <cellStyle name="注释 19 10" xfId="5219"/>
    <cellStyle name="注释 19 10 2" xfId="10469"/>
    <cellStyle name="注释 19 10 3" xfId="16903"/>
    <cellStyle name="注释 19 10 4" xfId="25785"/>
    <cellStyle name="注释 19 10 5" xfId="29021"/>
    <cellStyle name="注释 19 11" xfId="5220"/>
    <cellStyle name="注释 19 11 2" xfId="10470"/>
    <cellStyle name="注释 19 11 3" xfId="16904"/>
    <cellStyle name="注释 19 11 4" xfId="25786"/>
    <cellStyle name="注释 19 11 5" xfId="29022"/>
    <cellStyle name="注释 19 12" xfId="5221"/>
    <cellStyle name="注释 19 12 2" xfId="10471"/>
    <cellStyle name="注释 19 12 3" xfId="16905"/>
    <cellStyle name="注释 19 12 4" xfId="25787"/>
    <cellStyle name="注释 19 12 5" xfId="29023"/>
    <cellStyle name="注释 19 13" xfId="5222"/>
    <cellStyle name="注释 19 13 2" xfId="10472"/>
    <cellStyle name="注释 19 13 3" xfId="16906"/>
    <cellStyle name="注释 19 13 4" xfId="25788"/>
    <cellStyle name="注释 19 13 5" xfId="29024"/>
    <cellStyle name="注释 19 14" xfId="5223"/>
    <cellStyle name="注释 19 14 2" xfId="10473"/>
    <cellStyle name="注释 19 14 3" xfId="16907"/>
    <cellStyle name="注释 19 14 4" xfId="25789"/>
    <cellStyle name="注释 19 14 5" xfId="29025"/>
    <cellStyle name="注释 19 15" xfId="5224"/>
    <cellStyle name="注释 19 15 2" xfId="10474"/>
    <cellStyle name="注释 19 15 3" xfId="16908"/>
    <cellStyle name="注释 19 15 4" xfId="25790"/>
    <cellStyle name="注释 19 15 5" xfId="29026"/>
    <cellStyle name="注释 19 16" xfId="5225"/>
    <cellStyle name="注释 19 16 2" xfId="10475"/>
    <cellStyle name="注释 19 16 3" xfId="16909"/>
    <cellStyle name="注释 19 16 4" xfId="25791"/>
    <cellStyle name="注释 19 16 5" xfId="29027"/>
    <cellStyle name="注释 19 17" xfId="5226"/>
    <cellStyle name="注释 19 17 2" xfId="10476"/>
    <cellStyle name="注释 19 17 3" xfId="16910"/>
    <cellStyle name="注释 19 17 4" xfId="25792"/>
    <cellStyle name="注释 19 17 5" xfId="29028"/>
    <cellStyle name="注释 19 18" xfId="5227"/>
    <cellStyle name="注释 19 18 2" xfId="10477"/>
    <cellStyle name="注释 19 18 3" xfId="16911"/>
    <cellStyle name="注释 19 18 4" xfId="25793"/>
    <cellStyle name="注释 19 18 5" xfId="29029"/>
    <cellStyle name="注释 19 19" xfId="5228"/>
    <cellStyle name="注释 19 19 2" xfId="10478"/>
    <cellStyle name="注释 19 19 3" xfId="16912"/>
    <cellStyle name="注释 19 19 4" xfId="25794"/>
    <cellStyle name="注释 19 19 5" xfId="29030"/>
    <cellStyle name="注释 19 2" xfId="1729"/>
    <cellStyle name="注释 19 2 10" xfId="31227"/>
    <cellStyle name="注释 19 2 11" xfId="33005"/>
    <cellStyle name="注释 19 2 2" xfId="5229"/>
    <cellStyle name="注释 19 2 3" xfId="7270"/>
    <cellStyle name="注释 19 2 4" xfId="13414"/>
    <cellStyle name="注释 19 2 5" xfId="16913"/>
    <cellStyle name="注释 19 2 6" xfId="7485"/>
    <cellStyle name="注释 19 2 7" xfId="19583"/>
    <cellStyle name="注释 19 2 8" xfId="21962"/>
    <cellStyle name="注释 19 2 9" xfId="20907"/>
    <cellStyle name="注释 19 20" xfId="5230"/>
    <cellStyle name="注释 19 20 2" xfId="10480"/>
    <cellStyle name="注释 19 20 3" xfId="16914"/>
    <cellStyle name="注释 19 20 4" xfId="25795"/>
    <cellStyle name="注释 19 20 5" xfId="29031"/>
    <cellStyle name="注释 19 21" xfId="5231"/>
    <cellStyle name="注释 19 21 2" xfId="10481"/>
    <cellStyle name="注释 19 21 3" xfId="16915"/>
    <cellStyle name="注释 19 21 4" xfId="25796"/>
    <cellStyle name="注释 19 21 5" xfId="29032"/>
    <cellStyle name="注释 19 22" xfId="5232"/>
    <cellStyle name="注释 19 22 2" xfId="10482"/>
    <cellStyle name="注释 19 22 3" xfId="16916"/>
    <cellStyle name="注释 19 22 4" xfId="25797"/>
    <cellStyle name="注释 19 22 5" xfId="29033"/>
    <cellStyle name="注释 19 23" xfId="5233"/>
    <cellStyle name="注释 19 23 2" xfId="10483"/>
    <cellStyle name="注释 19 23 3" xfId="16917"/>
    <cellStyle name="注释 19 23 4" xfId="25798"/>
    <cellStyle name="注释 19 23 5" xfId="29034"/>
    <cellStyle name="注释 19 24" xfId="7269"/>
    <cellStyle name="注释 19 25" xfId="11614"/>
    <cellStyle name="注释 19 26" xfId="13413"/>
    <cellStyle name="注释 19 27" xfId="16902"/>
    <cellStyle name="注释 19 28" xfId="7486"/>
    <cellStyle name="注释 19 29" xfId="19582"/>
    <cellStyle name="注释 19 3" xfId="5218"/>
    <cellStyle name="注释 19 3 2" xfId="10484"/>
    <cellStyle name="注释 19 3 3" xfId="16918"/>
    <cellStyle name="注释 19 3 4" xfId="25799"/>
    <cellStyle name="注释 19 3 5" xfId="29020"/>
    <cellStyle name="注释 19 30" xfId="22502"/>
    <cellStyle name="注释 19 31" xfId="20728"/>
    <cellStyle name="注释 19 32" xfId="31222"/>
    <cellStyle name="注释 19 33" xfId="32607"/>
    <cellStyle name="注释 19 4" xfId="5235"/>
    <cellStyle name="注释 19 4 2" xfId="10485"/>
    <cellStyle name="注释 19 4 3" xfId="16919"/>
    <cellStyle name="注释 19 4 4" xfId="25800"/>
    <cellStyle name="注释 19 4 5" xfId="29035"/>
    <cellStyle name="注释 19 5" xfId="5236"/>
    <cellStyle name="注释 19 5 2" xfId="10486"/>
    <cellStyle name="注释 19 5 3" xfId="16920"/>
    <cellStyle name="注释 19 5 4" xfId="25801"/>
    <cellStyle name="注释 19 5 5" xfId="29036"/>
    <cellStyle name="注释 19 6" xfId="5237"/>
    <cellStyle name="注释 19 6 2" xfId="10487"/>
    <cellStyle name="注释 19 6 3" xfId="16921"/>
    <cellStyle name="注释 19 6 4" xfId="25802"/>
    <cellStyle name="注释 19 6 5" xfId="29037"/>
    <cellStyle name="注释 19 7" xfId="5238"/>
    <cellStyle name="注释 19 7 2" xfId="10488"/>
    <cellStyle name="注释 19 7 3" xfId="16922"/>
    <cellStyle name="注释 19 7 4" xfId="25803"/>
    <cellStyle name="注释 19 7 5" xfId="29038"/>
    <cellStyle name="注释 19 8" xfId="5239"/>
    <cellStyle name="注释 19 8 2" xfId="10489"/>
    <cellStyle name="注释 19 8 3" xfId="16923"/>
    <cellStyle name="注释 19 8 4" xfId="25804"/>
    <cellStyle name="注释 19 8 5" xfId="29039"/>
    <cellStyle name="注释 19 9" xfId="5240"/>
    <cellStyle name="注释 19 9 2" xfId="10490"/>
    <cellStyle name="注释 19 9 3" xfId="16924"/>
    <cellStyle name="注释 19 9 4" xfId="25805"/>
    <cellStyle name="注释 19 9 5" xfId="29040"/>
    <cellStyle name="注释 2" xfId="1730"/>
    <cellStyle name="注释 2 10" xfId="1731"/>
    <cellStyle name="注释 2 10 10" xfId="31237"/>
    <cellStyle name="注释 2 10 11" xfId="31662"/>
    <cellStyle name="注释 2 10 2" xfId="5242"/>
    <cellStyle name="注释 2 10 3" xfId="7272"/>
    <cellStyle name="注释 2 10 4" xfId="13416"/>
    <cellStyle name="注释 2 10 5" xfId="16926"/>
    <cellStyle name="注释 2 10 6" xfId="9715"/>
    <cellStyle name="注释 2 10 7" xfId="19585"/>
    <cellStyle name="注释 2 10 8" xfId="22722"/>
    <cellStyle name="注释 2 10 9" xfId="20135"/>
    <cellStyle name="注释 2 11" xfId="1732"/>
    <cellStyle name="注释 2 11 10" xfId="31238"/>
    <cellStyle name="注释 2 11 11" xfId="33258"/>
    <cellStyle name="注释 2 11 2" xfId="5243"/>
    <cellStyle name="注释 2 11 3" xfId="7273"/>
    <cellStyle name="注释 2 11 4" xfId="13417"/>
    <cellStyle name="注释 2 11 5" xfId="16927"/>
    <cellStyle name="注释 2 11 6" xfId="7483"/>
    <cellStyle name="注释 2 11 7" xfId="19586"/>
    <cellStyle name="注释 2 11 8" xfId="22504"/>
    <cellStyle name="注释 2 11 9" xfId="19693"/>
    <cellStyle name="注释 2 12" xfId="1733"/>
    <cellStyle name="注释 2 12 10" xfId="31239"/>
    <cellStyle name="注释 2 12 11" xfId="33004"/>
    <cellStyle name="注释 2 12 2" xfId="5244"/>
    <cellStyle name="注释 2 12 3" xfId="7274"/>
    <cellStyle name="注释 2 12 4" xfId="13418"/>
    <cellStyle name="注释 2 12 5" xfId="16928"/>
    <cellStyle name="注释 2 12 6" xfId="7482"/>
    <cellStyle name="注释 2 12 7" xfId="19587"/>
    <cellStyle name="注释 2 12 8" xfId="21964"/>
    <cellStyle name="注释 2 12 9" xfId="21426"/>
    <cellStyle name="注释 2 13" xfId="1734"/>
    <cellStyle name="注释 2 13 10" xfId="31240"/>
    <cellStyle name="注释 2 13 11" xfId="32606"/>
    <cellStyle name="注释 2 13 2" xfId="5245"/>
    <cellStyle name="注释 2 13 3" xfId="7275"/>
    <cellStyle name="注释 2 13 4" xfId="13419"/>
    <cellStyle name="注释 2 13 5" xfId="16929"/>
    <cellStyle name="注释 2 13 6" xfId="7481"/>
    <cellStyle name="注释 2 13 7" xfId="19588"/>
    <cellStyle name="注释 2 13 8" xfId="22945"/>
    <cellStyle name="注释 2 13 9" xfId="20371"/>
    <cellStyle name="注释 2 14" xfId="1735"/>
    <cellStyle name="注释 2 14 10" xfId="31241"/>
    <cellStyle name="注释 2 14 11" xfId="32364"/>
    <cellStyle name="注释 2 14 2" xfId="5246"/>
    <cellStyle name="注释 2 14 3" xfId="7276"/>
    <cellStyle name="注释 2 14 4" xfId="13420"/>
    <cellStyle name="注释 2 14 5" xfId="16930"/>
    <cellStyle name="注释 2 14 6" xfId="7480"/>
    <cellStyle name="注释 2 14 7" xfId="19589"/>
    <cellStyle name="注释 2 14 8" xfId="22721"/>
    <cellStyle name="注释 2 14 9" xfId="20771"/>
    <cellStyle name="注释 2 15" xfId="1736"/>
    <cellStyle name="注释 2 15 10" xfId="31242"/>
    <cellStyle name="注释 2 15 11" xfId="32131"/>
    <cellStyle name="注释 2 15 2" xfId="5247"/>
    <cellStyle name="注释 2 15 3" xfId="7277"/>
    <cellStyle name="注释 2 15 4" xfId="13421"/>
    <cellStyle name="注释 2 15 5" xfId="16931"/>
    <cellStyle name="注释 2 15 6" xfId="7479"/>
    <cellStyle name="注释 2 15 7" xfId="19590"/>
    <cellStyle name="注释 2 15 8" xfId="22503"/>
    <cellStyle name="注释 2 15 9" xfId="20738"/>
    <cellStyle name="注释 2 16" xfId="1737"/>
    <cellStyle name="注释 2 16 10" xfId="5249"/>
    <cellStyle name="注释 2 16 10 2" xfId="10499"/>
    <cellStyle name="注释 2 16 10 3" xfId="16933"/>
    <cellStyle name="注释 2 16 10 4" xfId="25806"/>
    <cellStyle name="注释 2 16 10 5" xfId="29043"/>
    <cellStyle name="注释 2 16 11" xfId="5250"/>
    <cellStyle name="注释 2 16 11 2" xfId="10500"/>
    <cellStyle name="注释 2 16 11 3" xfId="16934"/>
    <cellStyle name="注释 2 16 11 4" xfId="25807"/>
    <cellStyle name="注释 2 16 11 5" xfId="29044"/>
    <cellStyle name="注释 2 16 12" xfId="5251"/>
    <cellStyle name="注释 2 16 12 2" xfId="10501"/>
    <cellStyle name="注释 2 16 12 3" xfId="16935"/>
    <cellStyle name="注释 2 16 12 4" xfId="25808"/>
    <cellStyle name="注释 2 16 12 5" xfId="29045"/>
    <cellStyle name="注释 2 16 13" xfId="5252"/>
    <cellStyle name="注释 2 16 13 2" xfId="10502"/>
    <cellStyle name="注释 2 16 13 3" xfId="16936"/>
    <cellStyle name="注释 2 16 13 4" xfId="25809"/>
    <cellStyle name="注释 2 16 13 5" xfId="29046"/>
    <cellStyle name="注释 2 16 14" xfId="5253"/>
    <cellStyle name="注释 2 16 14 2" xfId="10503"/>
    <cellStyle name="注释 2 16 14 3" xfId="16937"/>
    <cellStyle name="注释 2 16 14 4" xfId="25810"/>
    <cellStyle name="注释 2 16 14 5" xfId="29047"/>
    <cellStyle name="注释 2 16 15" xfId="5254"/>
    <cellStyle name="注释 2 16 15 2" xfId="10504"/>
    <cellStyle name="注释 2 16 15 3" xfId="16938"/>
    <cellStyle name="注释 2 16 15 4" xfId="25811"/>
    <cellStyle name="注释 2 16 15 5" xfId="29048"/>
    <cellStyle name="注释 2 16 16" xfId="5255"/>
    <cellStyle name="注释 2 16 16 2" xfId="10505"/>
    <cellStyle name="注释 2 16 16 3" xfId="16939"/>
    <cellStyle name="注释 2 16 16 4" xfId="25812"/>
    <cellStyle name="注释 2 16 16 5" xfId="29049"/>
    <cellStyle name="注释 2 16 17" xfId="5256"/>
    <cellStyle name="注释 2 16 17 2" xfId="10506"/>
    <cellStyle name="注释 2 16 17 3" xfId="16940"/>
    <cellStyle name="注释 2 16 17 4" xfId="25813"/>
    <cellStyle name="注释 2 16 17 5" xfId="29050"/>
    <cellStyle name="注释 2 16 18" xfId="7278"/>
    <cellStyle name="注释 2 16 19" xfId="11623"/>
    <cellStyle name="注释 2 16 2" xfId="1738"/>
    <cellStyle name="注释 2 16 2 10" xfId="19688"/>
    <cellStyle name="注释 2 16 2 11" xfId="31249"/>
    <cellStyle name="注释 2 16 2 12" xfId="32605"/>
    <cellStyle name="注释 2 16 2 2" xfId="1739"/>
    <cellStyle name="注释 2 16 2 2 2" xfId="7742"/>
    <cellStyle name="注释 2 16 2 2 2 2" xfId="23658"/>
    <cellStyle name="注释 2 16 2 2 2 3" xfId="26243"/>
    <cellStyle name="注释 2 16 2 2 2 4" xfId="23596"/>
    <cellStyle name="注释 2 16 2 2 3" xfId="7386"/>
    <cellStyle name="注释 2 16 2 2 3 2" xfId="26644"/>
    <cellStyle name="注释 2 16 2 2 3 2 2" xfId="27061"/>
    <cellStyle name="注释 2 16 2 2 3 3" xfId="26181"/>
    <cellStyle name="注释 2 16 2 2 4" xfId="19593"/>
    <cellStyle name="注释 2 16 2 2 4 2" xfId="21587"/>
    <cellStyle name="注释 2 16 2 2 4 3" xfId="23496"/>
    <cellStyle name="注释 2 16 2 2 5" xfId="22479"/>
    <cellStyle name="注释 2 16 2 2 5 2" xfId="29626"/>
    <cellStyle name="注释 2 16 2 2 5 2 2" xfId="33159"/>
    <cellStyle name="注释 2 16 2 2 5 3" xfId="33530"/>
    <cellStyle name="注释 2 16 2 2 6" xfId="21425"/>
    <cellStyle name="注释 2 16 2 2 6 2" xfId="29702"/>
    <cellStyle name="注释 2 16 2 2 6 2 2" xfId="33160"/>
    <cellStyle name="注释 2 16 2 2 6 3" xfId="33531"/>
    <cellStyle name="注释 2 16 2 2 6 4" xfId="26645"/>
    <cellStyle name="注释 2 16 2 2 7" xfId="27021"/>
    <cellStyle name="注释 2 16 2 2 7 2" xfId="31810"/>
    <cellStyle name="注释 2 16 2 2 7 2 2" xfId="33464"/>
    <cellStyle name="注释 2 16 2 2 7 3" xfId="33583"/>
    <cellStyle name="注释 2 16 2 2 8" xfId="32093"/>
    <cellStyle name="注释 2 16 2 3" xfId="5257"/>
    <cellStyle name="注释 2 16 2 4" xfId="7279"/>
    <cellStyle name="注释 2 16 2 5" xfId="13423"/>
    <cellStyle name="注释 2 16 2 6" xfId="16941"/>
    <cellStyle name="注释 2 16 2 7" xfId="7477"/>
    <cellStyle name="注释 2 16 2 7 2" xfId="29398"/>
    <cellStyle name="注释 2 16 2 7 2 2" xfId="33158"/>
    <cellStyle name="注释 2 16 2 7 3" xfId="33529"/>
    <cellStyle name="注释 2 16 2 7 4" xfId="25814"/>
    <cellStyle name="注释 2 16 2 8" xfId="19592"/>
    <cellStyle name="注释 2 16 2 8 2" xfId="21458"/>
    <cellStyle name="注释 2 16 2 8 2 2" xfId="33401"/>
    <cellStyle name="注释 2 16 2 8 3" xfId="23495"/>
    <cellStyle name="注释 2 16 2 8 3 2" xfId="33556"/>
    <cellStyle name="注释 2 16 2 9" xfId="22941"/>
    <cellStyle name="注释 2 16 2 9 2" xfId="27158"/>
    <cellStyle name="注释 2 16 20" xfId="13422"/>
    <cellStyle name="注释 2 16 21" xfId="16932"/>
    <cellStyle name="注释 2 16 22" xfId="7478"/>
    <cellStyle name="注释 2 16 23" xfId="19591"/>
    <cellStyle name="注释 2 16 23 2" xfId="21457"/>
    <cellStyle name="注释 2 16 23 3" xfId="23494"/>
    <cellStyle name="注释 2 16 24" xfId="21963"/>
    <cellStyle name="注释 2 16 24 2" xfId="29574"/>
    <cellStyle name="注释 2 16 24 3" xfId="27157"/>
    <cellStyle name="注释 2 16 25" xfId="20129"/>
    <cellStyle name="注释 2 16 25 2" xfId="29711"/>
    <cellStyle name="注释 2 16 26" xfId="31243"/>
    <cellStyle name="注释 2 16 27" xfId="31660"/>
    <cellStyle name="注释 2 16 3" xfId="1740"/>
    <cellStyle name="注释 2 16 3 10" xfId="20729"/>
    <cellStyle name="注释 2 16 3 10 2" xfId="29657"/>
    <cellStyle name="注释 2 16 3 11" xfId="31250"/>
    <cellStyle name="注释 2 16 3 12" xfId="32363"/>
    <cellStyle name="注释 2 16 3 2" xfId="5258"/>
    <cellStyle name="注释 2 16 3 2 2" xfId="23597"/>
    <cellStyle name="注释 2 16 3 2 2 2" xfId="23659"/>
    <cellStyle name="注释 2 16 3 2 2 2 2" xfId="29627"/>
    <cellStyle name="注释 2 16 3 2 2 2 2 2" xfId="29664"/>
    <cellStyle name="注释 2 16 3 2 2 3" xfId="26244"/>
    <cellStyle name="注释 2 16 3 2 2 4" xfId="31919"/>
    <cellStyle name="注释 2 16 3 2 2 5" xfId="32317"/>
    <cellStyle name="注释 2 16 3 2 3" xfId="26182"/>
    <cellStyle name="注释 2 16 3 2 3 2" xfId="26646"/>
    <cellStyle name="注释 2 16 3 2 3 2 2" xfId="27062"/>
    <cellStyle name="注释 2 16 3 2 3 2 2 2" xfId="33162"/>
    <cellStyle name="注释 2 16 3 2 3 2 2 2 2" xfId="33484"/>
    <cellStyle name="注释 2 16 3 2 3 2 3" xfId="33600"/>
    <cellStyle name="注释 2 16 3 2 3 3" xfId="29686"/>
    <cellStyle name="注释 2 16 3 2 3 3 2" xfId="33533"/>
    <cellStyle name="注释 2 16 3 2 4" xfId="26647"/>
    <cellStyle name="注释 2 16 3 2 4 2" xfId="31811"/>
    <cellStyle name="注释 2 16 3 2 4 2 2" xfId="33163"/>
    <cellStyle name="注释 2 16 3 2 4 3" xfId="33534"/>
    <cellStyle name="注释 2 16 3 2 5" xfId="26648"/>
    <cellStyle name="注释 2 16 3 2 6" xfId="27022"/>
    <cellStyle name="注释 2 16 3 2 7" xfId="29051"/>
    <cellStyle name="注释 2 16 3 2 7 2" xfId="31604"/>
    <cellStyle name="注释 2 16 3 3" xfId="7280"/>
    <cellStyle name="注释 2 16 3 3 2" xfId="10508"/>
    <cellStyle name="注释 2 16 3 3 2 2" xfId="29452"/>
    <cellStyle name="注释 2 16 3 3 2 3" xfId="29381"/>
    <cellStyle name="注释 2 16 3 3 3" xfId="17387"/>
    <cellStyle name="注释 2 16 3 3 4" xfId="22083"/>
    <cellStyle name="注释 2 16 3 3 5" xfId="22909"/>
    <cellStyle name="注释 2 16 3 3 6" xfId="29683"/>
    <cellStyle name="注释 2 16 3 3 7" xfId="32075"/>
    <cellStyle name="注释 2 16 3 3 8" xfId="32539"/>
    <cellStyle name="注释 2 16 3 4" xfId="11625"/>
    <cellStyle name="注释 2 16 3 4 2" xfId="26649"/>
    <cellStyle name="注释 2 16 3 5" xfId="13424"/>
    <cellStyle name="注释 2 16 3 5 2" xfId="26650"/>
    <cellStyle name="注释 2 16 3 6" xfId="16942"/>
    <cellStyle name="注释 2 16 3 7" xfId="7476"/>
    <cellStyle name="注释 2 16 3 7 2" xfId="29397"/>
    <cellStyle name="注释 2 16 3 7 2 2" xfId="33161"/>
    <cellStyle name="注释 2 16 3 7 3" xfId="33532"/>
    <cellStyle name="注释 2 16 3 7 4" xfId="25815"/>
    <cellStyle name="注释 2 16 3 8" xfId="19594"/>
    <cellStyle name="注释 2 16 3 8 2" xfId="29482"/>
    <cellStyle name="注释 2 16 3 8 2 2" xfId="33402"/>
    <cellStyle name="注释 2 16 3 8 3" xfId="33557"/>
    <cellStyle name="注释 2 16 3 8 4" xfId="26873"/>
    <cellStyle name="注释 2 16 3 9" xfId="22717"/>
    <cellStyle name="注释 2 16 3 9 2" xfId="29575"/>
    <cellStyle name="注释 2 16 4" xfId="5248"/>
    <cellStyle name="注释 2 16 4 2" xfId="10509"/>
    <cellStyle name="注释 2 16 4 3" xfId="16943"/>
    <cellStyle name="注释 2 16 4 4" xfId="25816"/>
    <cellStyle name="注释 2 16 4 5" xfId="26874"/>
    <cellStyle name="注释 2 16 4 6" xfId="29042"/>
    <cellStyle name="注释 2 16 5" xfId="5260"/>
    <cellStyle name="注释 2 16 5 2" xfId="10510"/>
    <cellStyle name="注释 2 16 5 3" xfId="16944"/>
    <cellStyle name="注释 2 16 5 4" xfId="25817"/>
    <cellStyle name="注释 2 16 5 5" xfId="26875"/>
    <cellStyle name="注释 2 16 5 6" xfId="29052"/>
    <cellStyle name="注释 2 16 6" xfId="5261"/>
    <cellStyle name="注释 2 16 6 2" xfId="10511"/>
    <cellStyle name="注释 2 16 6 3" xfId="16945"/>
    <cellStyle name="注释 2 16 6 4" xfId="25818"/>
    <cellStyle name="注释 2 16 6 5" xfId="26876"/>
    <cellStyle name="注释 2 16 6 6" xfId="29053"/>
    <cellStyle name="注释 2 16 7" xfId="5262"/>
    <cellStyle name="注释 2 16 7 2" xfId="10512"/>
    <cellStyle name="注释 2 16 7 3" xfId="16946"/>
    <cellStyle name="注释 2 16 7 4" xfId="25819"/>
    <cellStyle name="注释 2 16 7 5" xfId="26877"/>
    <cellStyle name="注释 2 16 7 6" xfId="29054"/>
    <cellStyle name="注释 2 16 8" xfId="5263"/>
    <cellStyle name="注释 2 16 8 2" xfId="10513"/>
    <cellStyle name="注释 2 16 8 3" xfId="16947"/>
    <cellStyle name="注释 2 16 8 4" xfId="25820"/>
    <cellStyle name="注释 2 16 8 5" xfId="26878"/>
    <cellStyle name="注释 2 16 8 6" xfId="29055"/>
    <cellStyle name="注释 2 16 9" xfId="5264"/>
    <cellStyle name="注释 2 16 9 2" xfId="10514"/>
    <cellStyle name="注释 2 16 9 3" xfId="16948"/>
    <cellStyle name="注释 2 16 9 4" xfId="25821"/>
    <cellStyle name="注释 2 16 9 5" xfId="29056"/>
    <cellStyle name="注释 2 17" xfId="1741"/>
    <cellStyle name="注释 2 17 10" xfId="5266"/>
    <cellStyle name="注释 2 17 10 2" xfId="10516"/>
    <cellStyle name="注释 2 17 10 3" xfId="16950"/>
    <cellStyle name="注释 2 17 10 4" xfId="25823"/>
    <cellStyle name="注释 2 17 10 5" xfId="29058"/>
    <cellStyle name="注释 2 17 11" xfId="5267"/>
    <cellStyle name="注释 2 17 11 2" xfId="10517"/>
    <cellStyle name="注释 2 17 11 3" xfId="16951"/>
    <cellStyle name="注释 2 17 11 4" xfId="25824"/>
    <cellStyle name="注释 2 17 11 5" xfId="29059"/>
    <cellStyle name="注释 2 17 12" xfId="5268"/>
    <cellStyle name="注释 2 17 12 2" xfId="10518"/>
    <cellStyle name="注释 2 17 12 3" xfId="16952"/>
    <cellStyle name="注释 2 17 12 4" xfId="25825"/>
    <cellStyle name="注释 2 17 12 5" xfId="29060"/>
    <cellStyle name="注释 2 17 13" xfId="5269"/>
    <cellStyle name="注释 2 17 13 2" xfId="10519"/>
    <cellStyle name="注释 2 17 13 3" xfId="16953"/>
    <cellStyle name="注释 2 17 13 4" xfId="25826"/>
    <cellStyle name="注释 2 17 13 5" xfId="29061"/>
    <cellStyle name="注释 2 17 14" xfId="5270"/>
    <cellStyle name="注释 2 17 14 2" xfId="10520"/>
    <cellStyle name="注释 2 17 14 3" xfId="16954"/>
    <cellStyle name="注释 2 17 14 4" xfId="25827"/>
    <cellStyle name="注释 2 17 14 5" xfId="29062"/>
    <cellStyle name="注释 2 17 15" xfId="5271"/>
    <cellStyle name="注释 2 17 15 2" xfId="10521"/>
    <cellStyle name="注释 2 17 15 3" xfId="16955"/>
    <cellStyle name="注释 2 17 15 4" xfId="25828"/>
    <cellStyle name="注释 2 17 15 5" xfId="29063"/>
    <cellStyle name="注释 2 17 16" xfId="5272"/>
    <cellStyle name="注释 2 17 16 2" xfId="10522"/>
    <cellStyle name="注释 2 17 16 3" xfId="16956"/>
    <cellStyle name="注释 2 17 16 4" xfId="25829"/>
    <cellStyle name="注释 2 17 16 5" xfId="29064"/>
    <cellStyle name="注释 2 17 17" xfId="5273"/>
    <cellStyle name="注释 2 17 17 2" xfId="10523"/>
    <cellStyle name="注释 2 17 17 3" xfId="16957"/>
    <cellStyle name="注释 2 17 17 4" xfId="25830"/>
    <cellStyle name="注释 2 17 17 5" xfId="29065"/>
    <cellStyle name="注释 2 17 18" xfId="7281"/>
    <cellStyle name="注释 2 17 18 2" xfId="10515"/>
    <cellStyle name="注释 2 17 18 2 2" xfId="23712"/>
    <cellStyle name="注释 2 17 18 2 3" xfId="26297"/>
    <cellStyle name="注释 2 17 18 2 4" xfId="23598"/>
    <cellStyle name="注释 2 17 18 3" xfId="17388"/>
    <cellStyle name="注释 2 17 18 3 2" xfId="27023"/>
    <cellStyle name="注释 2 17 18 3 2 2" xfId="27063"/>
    <cellStyle name="注释 2 17 18 3 3" xfId="26183"/>
    <cellStyle name="注释 2 17 18 4" xfId="22090"/>
    <cellStyle name="注释 2 17 18 5" xfId="21912"/>
    <cellStyle name="注释 2 17 19" xfId="11626"/>
    <cellStyle name="注释 2 17 19 2" xfId="23823"/>
    <cellStyle name="注释 2 17 19 3" xfId="26408"/>
    <cellStyle name="注释 2 17 19 4" xfId="23534"/>
    <cellStyle name="注释 2 17 2" xfId="5265"/>
    <cellStyle name="注释 2 17 2 2" xfId="10524"/>
    <cellStyle name="注释 2 17 2 3" xfId="16958"/>
    <cellStyle name="注释 2 17 2 4" xfId="25831"/>
    <cellStyle name="注释 2 17 2 5" xfId="26651"/>
    <cellStyle name="注释 2 17 2 6" xfId="26880"/>
    <cellStyle name="注释 2 17 2 7" xfId="29057"/>
    <cellStyle name="注释 2 17 20" xfId="13425"/>
    <cellStyle name="注释 2 17 21" xfId="16949"/>
    <cellStyle name="注释 2 17 22" xfId="7475"/>
    <cellStyle name="注释 2 17 22 2" xfId="29396"/>
    <cellStyle name="注释 2 17 22 2 2" xfId="33164"/>
    <cellStyle name="注释 2 17 22 3" xfId="33535"/>
    <cellStyle name="注释 2 17 22 4" xfId="25822"/>
    <cellStyle name="注释 2 17 23" xfId="19595"/>
    <cellStyle name="注释 2 17 23 2" xfId="29483"/>
    <cellStyle name="注释 2 17 23 2 2" xfId="33403"/>
    <cellStyle name="注释 2 17 23 3" xfId="33558"/>
    <cellStyle name="注释 2 17 23 4" xfId="26879"/>
    <cellStyle name="注释 2 17 24" xfId="22499"/>
    <cellStyle name="注释 2 17 24 2" xfId="29576"/>
    <cellStyle name="注释 2 17 25" xfId="20775"/>
    <cellStyle name="注释 2 17 25 2" xfId="29533"/>
    <cellStyle name="注释 2 17 26" xfId="31251"/>
    <cellStyle name="注释 2 17 27" xfId="32130"/>
    <cellStyle name="注释 2 17 3" xfId="5275"/>
    <cellStyle name="注释 2 17 3 2" xfId="10525"/>
    <cellStyle name="注释 2 17 3 3" xfId="16959"/>
    <cellStyle name="注释 2 17 3 4" xfId="25832"/>
    <cellStyle name="注释 2 17 3 5" xfId="26881"/>
    <cellStyle name="注释 2 17 3 6" xfId="29066"/>
    <cellStyle name="注释 2 17 4" xfId="5276"/>
    <cellStyle name="注释 2 17 4 2" xfId="10526"/>
    <cellStyle name="注释 2 17 4 3" xfId="16960"/>
    <cellStyle name="注释 2 17 4 4" xfId="25833"/>
    <cellStyle name="注释 2 17 4 5" xfId="26882"/>
    <cellStyle name="注释 2 17 4 6" xfId="29067"/>
    <cellStyle name="注释 2 17 5" xfId="5277"/>
    <cellStyle name="注释 2 17 5 2" xfId="10527"/>
    <cellStyle name="注释 2 17 5 3" xfId="16961"/>
    <cellStyle name="注释 2 17 5 4" xfId="25834"/>
    <cellStyle name="注释 2 17 5 5" xfId="26883"/>
    <cellStyle name="注释 2 17 5 6" xfId="29068"/>
    <cellStyle name="注释 2 17 6" xfId="5278"/>
    <cellStyle name="注释 2 17 6 2" xfId="10528"/>
    <cellStyle name="注释 2 17 6 3" xfId="16962"/>
    <cellStyle name="注释 2 17 6 4" xfId="25835"/>
    <cellStyle name="注释 2 17 6 5" xfId="26884"/>
    <cellStyle name="注释 2 17 6 6" xfId="29069"/>
    <cellStyle name="注释 2 17 7" xfId="5279"/>
    <cellStyle name="注释 2 17 7 2" xfId="10529"/>
    <cellStyle name="注释 2 17 7 3" xfId="16963"/>
    <cellStyle name="注释 2 17 7 4" xfId="25836"/>
    <cellStyle name="注释 2 17 7 5" xfId="29070"/>
    <cellStyle name="注释 2 17 8" xfId="5280"/>
    <cellStyle name="注释 2 17 8 2" xfId="10530"/>
    <cellStyle name="注释 2 17 8 3" xfId="16964"/>
    <cellStyle name="注释 2 17 8 4" xfId="25837"/>
    <cellStyle name="注释 2 17 8 5" xfId="29071"/>
    <cellStyle name="注释 2 17 9" xfId="5281"/>
    <cellStyle name="注释 2 17 9 2" xfId="10531"/>
    <cellStyle name="注释 2 17 9 3" xfId="16965"/>
    <cellStyle name="注释 2 17 9 4" xfId="25838"/>
    <cellStyle name="注释 2 17 9 5" xfId="29072"/>
    <cellStyle name="注释 2 18" xfId="1742"/>
    <cellStyle name="注释 2 18 10" xfId="31253"/>
    <cellStyle name="注释 2 18 11" xfId="32603"/>
    <cellStyle name="注释 2 18 2" xfId="5282"/>
    <cellStyle name="注释 2 18 3" xfId="7282"/>
    <cellStyle name="注释 2 18 4" xfId="13426"/>
    <cellStyle name="注释 2 18 5" xfId="16966"/>
    <cellStyle name="注释 2 18 6" xfId="7474"/>
    <cellStyle name="注释 2 18 7" xfId="19596"/>
    <cellStyle name="注释 2 18 8" xfId="21959"/>
    <cellStyle name="注释 2 18 9" xfId="20133"/>
    <cellStyle name="注释 2 19" xfId="1743"/>
    <cellStyle name="注释 2 19 10" xfId="31254"/>
    <cellStyle name="注释 2 19 11" xfId="32360"/>
    <cellStyle name="注释 2 19 2" xfId="5283"/>
    <cellStyle name="注释 2 19 3" xfId="7283"/>
    <cellStyle name="注释 2 19 4" xfId="13427"/>
    <cellStyle name="注释 2 19 5" xfId="16967"/>
    <cellStyle name="注释 2 19 6" xfId="7473"/>
    <cellStyle name="注释 2 19 7" xfId="19597"/>
    <cellStyle name="注释 2 19 8" xfId="22943"/>
    <cellStyle name="注释 2 19 9" xfId="21424"/>
    <cellStyle name="注释 2 2" xfId="1744"/>
    <cellStyle name="注释 2 2 10" xfId="13428"/>
    <cellStyle name="注释 2 2 11" xfId="16968"/>
    <cellStyle name="注释 2 2 12" xfId="7472"/>
    <cellStyle name="注释 2 2 13" xfId="19598"/>
    <cellStyle name="注释 2 2 14" xfId="22719"/>
    <cellStyle name="注释 2 2 15" xfId="20372"/>
    <cellStyle name="注释 2 2 16" xfId="31255"/>
    <cellStyle name="注释 2 2 17" xfId="32127"/>
    <cellStyle name="注释 2 2 2" xfId="1745"/>
    <cellStyle name="注释 2 2 2 10" xfId="5286"/>
    <cellStyle name="注释 2 2 2 10 2" xfId="10536"/>
    <cellStyle name="注释 2 2 2 10 3" xfId="16970"/>
    <cellStyle name="注释 2 2 2 10 4" xfId="25840"/>
    <cellStyle name="注释 2 2 2 10 5" xfId="26885"/>
    <cellStyle name="注释 2 2 2 10 6" xfId="29074"/>
    <cellStyle name="注释 2 2 2 11" xfId="5287"/>
    <cellStyle name="注释 2 2 2 11 2" xfId="10537"/>
    <cellStyle name="注释 2 2 2 11 3" xfId="16971"/>
    <cellStyle name="注释 2 2 2 11 4" xfId="25841"/>
    <cellStyle name="注释 2 2 2 11 5" xfId="29075"/>
    <cellStyle name="注释 2 2 2 12" xfId="5288"/>
    <cellStyle name="注释 2 2 2 12 2" xfId="10538"/>
    <cellStyle name="注释 2 2 2 12 3" xfId="16972"/>
    <cellStyle name="注释 2 2 2 12 4" xfId="25842"/>
    <cellStyle name="注释 2 2 2 12 5" xfId="29076"/>
    <cellStyle name="注释 2 2 2 13" xfId="5289"/>
    <cellStyle name="注释 2 2 2 13 2" xfId="10539"/>
    <cellStyle name="注释 2 2 2 13 3" xfId="16973"/>
    <cellStyle name="注释 2 2 2 13 4" xfId="25843"/>
    <cellStyle name="注释 2 2 2 13 5" xfId="29077"/>
    <cellStyle name="注释 2 2 2 14" xfId="5290"/>
    <cellStyle name="注释 2 2 2 14 2" xfId="10540"/>
    <cellStyle name="注释 2 2 2 14 3" xfId="16974"/>
    <cellStyle name="注释 2 2 2 14 4" xfId="25844"/>
    <cellStyle name="注释 2 2 2 14 5" xfId="29078"/>
    <cellStyle name="注释 2 2 2 15" xfId="5291"/>
    <cellStyle name="注释 2 2 2 15 2" xfId="10541"/>
    <cellStyle name="注释 2 2 2 15 3" xfId="16975"/>
    <cellStyle name="注释 2 2 2 15 4" xfId="25845"/>
    <cellStyle name="注释 2 2 2 15 5" xfId="29079"/>
    <cellStyle name="注释 2 2 2 16" xfId="5292"/>
    <cellStyle name="注释 2 2 2 16 2" xfId="10542"/>
    <cellStyle name="注释 2 2 2 16 3" xfId="16976"/>
    <cellStyle name="注释 2 2 2 16 4" xfId="25846"/>
    <cellStyle name="注释 2 2 2 16 5" xfId="29080"/>
    <cellStyle name="注释 2 2 2 17" xfId="5293"/>
    <cellStyle name="注释 2 2 2 17 2" xfId="10543"/>
    <cellStyle name="注释 2 2 2 17 3" xfId="16977"/>
    <cellStyle name="注释 2 2 2 17 4" xfId="25847"/>
    <cellStyle name="注释 2 2 2 17 5" xfId="29081"/>
    <cellStyle name="注释 2 2 2 18" xfId="5294"/>
    <cellStyle name="注释 2 2 2 18 2" xfId="10544"/>
    <cellStyle name="注释 2 2 2 18 3" xfId="16978"/>
    <cellStyle name="注释 2 2 2 18 4" xfId="25848"/>
    <cellStyle name="注释 2 2 2 18 5" xfId="29082"/>
    <cellStyle name="注释 2 2 2 19" xfId="5295"/>
    <cellStyle name="注释 2 2 2 19 2" xfId="10545"/>
    <cellStyle name="注释 2 2 2 19 3" xfId="16979"/>
    <cellStyle name="注释 2 2 2 19 4" xfId="25849"/>
    <cellStyle name="注释 2 2 2 19 5" xfId="29083"/>
    <cellStyle name="注释 2 2 2 2" xfId="1746"/>
    <cellStyle name="注释 2 2 2 2 10" xfId="31261"/>
    <cellStyle name="注释 2 2 2 2 11" xfId="32125"/>
    <cellStyle name="注释 2 2 2 2 2" xfId="5296"/>
    <cellStyle name="注释 2 2 2 2 3" xfId="7286"/>
    <cellStyle name="注释 2 2 2 2 4" xfId="13430"/>
    <cellStyle name="注释 2 2 2 2 5" xfId="16980"/>
    <cellStyle name="注释 2 2 2 2 6" xfId="7470"/>
    <cellStyle name="注释 2 2 2 2 7" xfId="19600"/>
    <cellStyle name="注释 2 2 2 2 8" xfId="21961"/>
    <cellStyle name="注释 2 2 2 2 9" xfId="20774"/>
    <cellStyle name="注释 2 2 2 20" xfId="5297"/>
    <cellStyle name="注释 2 2 2 20 2" xfId="10547"/>
    <cellStyle name="注释 2 2 2 20 3" xfId="16981"/>
    <cellStyle name="注释 2 2 2 20 4" xfId="25850"/>
    <cellStyle name="注释 2 2 2 20 5" xfId="29084"/>
    <cellStyle name="注释 2 2 2 21" xfId="5298"/>
    <cellStyle name="注释 2 2 2 21 2" xfId="10548"/>
    <cellStyle name="注释 2 2 2 21 3" xfId="16982"/>
    <cellStyle name="注释 2 2 2 21 4" xfId="25851"/>
    <cellStyle name="注释 2 2 2 21 5" xfId="29085"/>
    <cellStyle name="注释 2 2 2 22" xfId="7285"/>
    <cellStyle name="注释 2 2 2 22 2" xfId="10535"/>
    <cellStyle name="注释 2 2 2 22 2 2" xfId="23713"/>
    <cellStyle name="注释 2 2 2 22 2 3" xfId="26298"/>
    <cellStyle name="注释 2 2 2 22 2 4" xfId="23599"/>
    <cellStyle name="注释 2 2 2 22 3" xfId="17389"/>
    <cellStyle name="注释 2 2 2 22 3 2" xfId="26997"/>
    <cellStyle name="注释 2 2 2 22 3 2 2" xfId="27064"/>
    <cellStyle name="注释 2 2 2 22 3 3" xfId="26184"/>
    <cellStyle name="注释 2 2 2 22 4" xfId="22110"/>
    <cellStyle name="注释 2 2 2 22 5" xfId="22470"/>
    <cellStyle name="注释 2 2 2 23" xfId="11630"/>
    <cellStyle name="注释 2 2 2 23 2" xfId="23824"/>
    <cellStyle name="注释 2 2 2 23 2 2" xfId="26964"/>
    <cellStyle name="注释 2 2 2 23 2 2 2" xfId="27128"/>
    <cellStyle name="注释 2 2 2 23 3" xfId="26409"/>
    <cellStyle name="注释 2 2 2 23 4" xfId="23504"/>
    <cellStyle name="注释 2 2 2 24" xfId="13429"/>
    <cellStyle name="注释 2 2 2 24 2" xfId="23893"/>
    <cellStyle name="注释 2 2 2 24 2 2" xfId="27001"/>
    <cellStyle name="注释 2 2 2 24 2 2 2" xfId="27132"/>
    <cellStyle name="注释 2 2 2 24 3" xfId="26478"/>
    <cellStyle name="注释 2 2 2 24 4" xfId="23523"/>
    <cellStyle name="注释 2 2 2 25" xfId="16969"/>
    <cellStyle name="注释 2 2 2 25 2" xfId="23924"/>
    <cellStyle name="注释 2 2 2 25 3" xfId="26509"/>
    <cellStyle name="注释 2 2 2 26" xfId="7471"/>
    <cellStyle name="注释 2 2 2 26 2" xfId="29395"/>
    <cellStyle name="注释 2 2 2 26 2 2" xfId="33166"/>
    <cellStyle name="注释 2 2 2 26 3" xfId="33536"/>
    <cellStyle name="注释 2 2 2 26 4" xfId="23530"/>
    <cellStyle name="注释 2 2 2 27" xfId="19599"/>
    <cellStyle name="注释 2 2 2 27 2" xfId="29484"/>
    <cellStyle name="注释 2 2 2 27 2 2" xfId="33404"/>
    <cellStyle name="注释 2 2 2 27 3" xfId="33559"/>
    <cellStyle name="注释 2 2 2 27 4" xfId="23535"/>
    <cellStyle name="注释 2 2 2 28" xfId="22501"/>
    <cellStyle name="注释 2 2 2 28 2" xfId="27159"/>
    <cellStyle name="注释 2 2 2 28 2 2" xfId="29577"/>
    <cellStyle name="注释 2 2 2 28 3" xfId="25839"/>
    <cellStyle name="注释 2 2 2 29" xfId="20905"/>
    <cellStyle name="注释 2 2 2 29 2" xfId="29656"/>
    <cellStyle name="注释 2 2 2 3" xfId="1747"/>
    <cellStyle name="注释 2 2 2 3 10" xfId="31264"/>
    <cellStyle name="注释 2 2 2 3 11" xfId="33002"/>
    <cellStyle name="注释 2 2 2 3 2" xfId="5299"/>
    <cellStyle name="注释 2 2 2 3 3" xfId="7287"/>
    <cellStyle name="注释 2 2 2 3 4" xfId="13431"/>
    <cellStyle name="注释 2 2 2 3 5" xfId="16983"/>
    <cellStyle name="注释 2 2 2 3 6" xfId="7469"/>
    <cellStyle name="注释 2 2 2 3 7" xfId="19601"/>
    <cellStyle name="注释 2 2 2 3 8" xfId="22942"/>
    <cellStyle name="注释 2 2 2 3 9" xfId="20132"/>
    <cellStyle name="注释 2 2 2 30" xfId="31256"/>
    <cellStyle name="注释 2 2 2 31" xfId="31657"/>
    <cellStyle name="注释 2 2 2 4" xfId="1748"/>
    <cellStyle name="注释 2 2 2 4 10" xfId="31265"/>
    <cellStyle name="注释 2 2 2 4 11" xfId="32602"/>
    <cellStyle name="注释 2 2 2 4 2" xfId="5300"/>
    <cellStyle name="注释 2 2 2 4 3" xfId="7288"/>
    <cellStyle name="注释 2 2 2 4 4" xfId="13432"/>
    <cellStyle name="注释 2 2 2 4 5" xfId="16984"/>
    <cellStyle name="注释 2 2 2 4 6" xfId="7468"/>
    <cellStyle name="注释 2 2 2 4 7" xfId="19602"/>
    <cellStyle name="注释 2 2 2 4 8" xfId="22718"/>
    <cellStyle name="注释 2 2 2 4 9" xfId="19691"/>
    <cellStyle name="注释 2 2 2 5" xfId="1749"/>
    <cellStyle name="注释 2 2 2 5 10" xfId="31266"/>
    <cellStyle name="注释 2 2 2 5 11" xfId="32359"/>
    <cellStyle name="注释 2 2 2 5 2" xfId="5301"/>
    <cellStyle name="注释 2 2 2 5 3" xfId="7289"/>
    <cellStyle name="注释 2 2 2 5 4" xfId="13433"/>
    <cellStyle name="注释 2 2 2 5 5" xfId="16985"/>
    <cellStyle name="注释 2 2 2 5 6" xfId="7467"/>
    <cellStyle name="注释 2 2 2 5 7" xfId="19603"/>
    <cellStyle name="注释 2 2 2 5 8" xfId="22500"/>
    <cellStyle name="注释 2 2 2 5 9" xfId="21423"/>
    <cellStyle name="注释 2 2 2 6" xfId="5285"/>
    <cellStyle name="注释 2 2 2 6 2" xfId="10552"/>
    <cellStyle name="注释 2 2 2 6 3" xfId="16986"/>
    <cellStyle name="注释 2 2 2 6 4" xfId="25852"/>
    <cellStyle name="注释 2 2 2 6 5" xfId="26652"/>
    <cellStyle name="注释 2 2 2 6 6" xfId="26886"/>
    <cellStyle name="注释 2 2 2 6 7" xfId="29073"/>
    <cellStyle name="注释 2 2 2 7" xfId="5303"/>
    <cellStyle name="注释 2 2 2 7 2" xfId="10553"/>
    <cellStyle name="注释 2 2 2 7 3" xfId="16987"/>
    <cellStyle name="注释 2 2 2 7 4" xfId="25853"/>
    <cellStyle name="注释 2 2 2 7 5" xfId="26887"/>
    <cellStyle name="注释 2 2 2 7 6" xfId="29086"/>
    <cellStyle name="注释 2 2 2 8" xfId="5304"/>
    <cellStyle name="注释 2 2 2 8 2" xfId="10554"/>
    <cellStyle name="注释 2 2 2 8 3" xfId="16988"/>
    <cellStyle name="注释 2 2 2 8 4" xfId="25854"/>
    <cellStyle name="注释 2 2 2 8 5" xfId="26888"/>
    <cellStyle name="注释 2 2 2 8 6" xfId="29087"/>
    <cellStyle name="注释 2 2 2 9" xfId="5305"/>
    <cellStyle name="注释 2 2 2 9 2" xfId="10555"/>
    <cellStyle name="注释 2 2 2 9 3" xfId="16989"/>
    <cellStyle name="注释 2 2 2 9 4" xfId="25855"/>
    <cellStyle name="注释 2 2 2 9 5" xfId="26889"/>
    <cellStyle name="注释 2 2 2 9 6" xfId="29088"/>
    <cellStyle name="注释 2 2 3" xfId="1750"/>
    <cellStyle name="注释 2 2 3 10" xfId="31269"/>
    <cellStyle name="注释 2 2 3 11" xfId="32601"/>
    <cellStyle name="注释 2 2 3 2" xfId="5306"/>
    <cellStyle name="注释 2 2 3 3" xfId="7290"/>
    <cellStyle name="注释 2 2 3 4" xfId="13434"/>
    <cellStyle name="注释 2 2 3 5" xfId="16990"/>
    <cellStyle name="注释 2 2 3 6" xfId="7466"/>
    <cellStyle name="注释 2 2 3 7" xfId="19604"/>
    <cellStyle name="注释 2 2 3 8" xfId="21960"/>
    <cellStyle name="注释 2 2 3 9" xfId="20730"/>
    <cellStyle name="注释 2 2 4" xfId="1751"/>
    <cellStyle name="注释 2 2 4 10" xfId="31270"/>
    <cellStyle name="注释 2 2 4 11" xfId="32358"/>
    <cellStyle name="注释 2 2 4 2" xfId="5307"/>
    <cellStyle name="注释 2 2 4 3" xfId="7291"/>
    <cellStyle name="注释 2 2 4 4" xfId="13435"/>
    <cellStyle name="注释 2 2 4 5" xfId="16991"/>
    <cellStyle name="注释 2 2 4 6" xfId="7465"/>
    <cellStyle name="注释 2 2 4 7" xfId="19605"/>
    <cellStyle name="注释 2 2 4 8" xfId="22938"/>
    <cellStyle name="注释 2 2 4 9" xfId="20904"/>
    <cellStyle name="注释 2 2 5" xfId="1752"/>
    <cellStyle name="注释 2 2 5 10" xfId="5309"/>
    <cellStyle name="注释 2 2 5 10 2" xfId="10559"/>
    <cellStyle name="注释 2 2 5 10 3" xfId="16993"/>
    <cellStyle name="注释 2 2 5 10 4" xfId="25857"/>
    <cellStyle name="注释 2 2 5 10 5" xfId="29090"/>
    <cellStyle name="注释 2 2 5 11" xfId="5310"/>
    <cellStyle name="注释 2 2 5 11 2" xfId="10560"/>
    <cellStyle name="注释 2 2 5 11 3" xfId="16994"/>
    <cellStyle name="注释 2 2 5 11 4" xfId="25858"/>
    <cellStyle name="注释 2 2 5 11 5" xfId="29091"/>
    <cellStyle name="注释 2 2 5 12" xfId="5311"/>
    <cellStyle name="注释 2 2 5 12 2" xfId="10561"/>
    <cellStyle name="注释 2 2 5 12 3" xfId="16995"/>
    <cellStyle name="注释 2 2 5 12 4" xfId="25859"/>
    <cellStyle name="注释 2 2 5 12 5" xfId="29092"/>
    <cellStyle name="注释 2 2 5 13" xfId="5312"/>
    <cellStyle name="注释 2 2 5 13 2" xfId="10562"/>
    <cellStyle name="注释 2 2 5 13 3" xfId="16996"/>
    <cellStyle name="注释 2 2 5 13 4" xfId="25860"/>
    <cellStyle name="注释 2 2 5 13 5" xfId="29093"/>
    <cellStyle name="注释 2 2 5 14" xfId="5313"/>
    <cellStyle name="注释 2 2 5 14 2" xfId="10563"/>
    <cellStyle name="注释 2 2 5 14 3" xfId="16997"/>
    <cellStyle name="注释 2 2 5 14 4" xfId="25861"/>
    <cellStyle name="注释 2 2 5 14 5" xfId="29094"/>
    <cellStyle name="注释 2 2 5 15" xfId="5314"/>
    <cellStyle name="注释 2 2 5 15 2" xfId="10564"/>
    <cellStyle name="注释 2 2 5 15 3" xfId="16998"/>
    <cellStyle name="注释 2 2 5 15 4" xfId="25862"/>
    <cellStyle name="注释 2 2 5 15 5" xfId="29095"/>
    <cellStyle name="注释 2 2 5 16" xfId="5315"/>
    <cellStyle name="注释 2 2 5 16 2" xfId="10565"/>
    <cellStyle name="注释 2 2 5 16 3" xfId="16999"/>
    <cellStyle name="注释 2 2 5 16 4" xfId="25863"/>
    <cellStyle name="注释 2 2 5 16 5" xfId="29096"/>
    <cellStyle name="注释 2 2 5 17" xfId="5316"/>
    <cellStyle name="注释 2 2 5 17 2" xfId="10566"/>
    <cellStyle name="注释 2 2 5 17 3" xfId="17000"/>
    <cellStyle name="注释 2 2 5 17 4" xfId="25864"/>
    <cellStyle name="注释 2 2 5 17 5" xfId="29097"/>
    <cellStyle name="注释 2 2 5 18" xfId="7292"/>
    <cellStyle name="注释 2 2 5 18 2" xfId="10558"/>
    <cellStyle name="注释 2 2 5 18 2 2" xfId="23714"/>
    <cellStyle name="注释 2 2 5 18 2 3" xfId="26299"/>
    <cellStyle name="注释 2 2 5 18 2 4" xfId="23600"/>
    <cellStyle name="注释 2 2 5 18 3" xfId="17390"/>
    <cellStyle name="注释 2 2 5 18 3 2" xfId="26998"/>
    <cellStyle name="注释 2 2 5 18 3 2 2" xfId="27065"/>
    <cellStyle name="注释 2 2 5 18 3 3" xfId="26185"/>
    <cellStyle name="注释 2 2 5 18 4" xfId="22133"/>
    <cellStyle name="注释 2 2 5 18 5" xfId="22689"/>
    <cellStyle name="注释 2 2 5 19" xfId="11637"/>
    <cellStyle name="注释 2 2 5 19 2" xfId="23825"/>
    <cellStyle name="注释 2 2 5 19 2 2" xfId="26963"/>
    <cellStyle name="注释 2 2 5 19 2 2 2" xfId="27129"/>
    <cellStyle name="注释 2 2 5 19 3" xfId="26410"/>
    <cellStyle name="注释 2 2 5 19 4" xfId="23503"/>
    <cellStyle name="注释 2 2 5 2" xfId="5308"/>
    <cellStyle name="注释 2 2 5 2 2" xfId="10567"/>
    <cellStyle name="注释 2 2 5 2 3" xfId="17001"/>
    <cellStyle name="注释 2 2 5 2 4" xfId="25865"/>
    <cellStyle name="注释 2 2 5 2 5" xfId="26653"/>
    <cellStyle name="注释 2 2 5 2 6" xfId="26890"/>
    <cellStyle name="注释 2 2 5 2 7" xfId="29089"/>
    <cellStyle name="注释 2 2 5 20" xfId="13436"/>
    <cellStyle name="注释 2 2 5 20 2" xfId="23894"/>
    <cellStyle name="注释 2 2 5 20 2 2" xfId="27002"/>
    <cellStyle name="注释 2 2 5 20 2 2 2" xfId="27133"/>
    <cellStyle name="注释 2 2 5 20 3" xfId="26479"/>
    <cellStyle name="注释 2 2 5 20 4" xfId="23524"/>
    <cellStyle name="注释 2 2 5 21" xfId="16992"/>
    <cellStyle name="注释 2 2 5 21 2" xfId="23925"/>
    <cellStyle name="注释 2 2 5 21 3" xfId="26510"/>
    <cellStyle name="注释 2 2 5 22" xfId="7464"/>
    <cellStyle name="注释 2 2 5 22 2" xfId="29394"/>
    <cellStyle name="注释 2 2 5 22 2 2" xfId="33172"/>
    <cellStyle name="注释 2 2 5 22 3" xfId="33537"/>
    <cellStyle name="注释 2 2 5 22 4" xfId="23531"/>
    <cellStyle name="注释 2 2 5 23" xfId="19606"/>
    <cellStyle name="注释 2 2 5 23 2" xfId="29485"/>
    <cellStyle name="注释 2 2 5 23 2 2" xfId="33410"/>
    <cellStyle name="注释 2 2 5 23 3" xfId="33560"/>
    <cellStyle name="注释 2 2 5 23 4" xfId="23536"/>
    <cellStyle name="注释 2 2 5 24" xfId="22714"/>
    <cellStyle name="注释 2 2 5 24 2" xfId="27160"/>
    <cellStyle name="注释 2 2 5 24 2 2" xfId="29578"/>
    <cellStyle name="注释 2 2 5 24 3" xfId="25856"/>
    <cellStyle name="注释 2 2 5 25" xfId="20773"/>
    <cellStyle name="注释 2 2 5 25 2" xfId="29532"/>
    <cellStyle name="注释 2 2 5 26" xfId="31271"/>
    <cellStyle name="注释 2 2 5 27" xfId="32126"/>
    <cellStyle name="注释 2 2 5 3" xfId="5318"/>
    <cellStyle name="注释 2 2 5 3 2" xfId="10568"/>
    <cellStyle name="注释 2 2 5 3 3" xfId="17002"/>
    <cellStyle name="注释 2 2 5 3 4" xfId="25866"/>
    <cellStyle name="注释 2 2 5 3 5" xfId="26891"/>
    <cellStyle name="注释 2 2 5 3 6" xfId="29098"/>
    <cellStyle name="注释 2 2 5 4" xfId="5319"/>
    <cellStyle name="注释 2 2 5 4 2" xfId="10569"/>
    <cellStyle name="注释 2 2 5 4 3" xfId="17003"/>
    <cellStyle name="注释 2 2 5 4 4" xfId="25867"/>
    <cellStyle name="注释 2 2 5 4 5" xfId="26892"/>
    <cellStyle name="注释 2 2 5 4 6" xfId="29099"/>
    <cellStyle name="注释 2 2 5 5" xfId="5320"/>
    <cellStyle name="注释 2 2 5 5 2" xfId="10570"/>
    <cellStyle name="注释 2 2 5 5 3" xfId="17004"/>
    <cellStyle name="注释 2 2 5 5 4" xfId="25868"/>
    <cellStyle name="注释 2 2 5 5 5" xfId="26893"/>
    <cellStyle name="注释 2 2 5 5 6" xfId="29100"/>
    <cellStyle name="注释 2 2 5 6" xfId="5321"/>
    <cellStyle name="注释 2 2 5 6 2" xfId="10571"/>
    <cellStyle name="注释 2 2 5 6 3" xfId="17005"/>
    <cellStyle name="注释 2 2 5 6 4" xfId="25869"/>
    <cellStyle name="注释 2 2 5 6 5" xfId="26894"/>
    <cellStyle name="注释 2 2 5 6 6" xfId="29101"/>
    <cellStyle name="注释 2 2 5 7" xfId="5322"/>
    <cellStyle name="注释 2 2 5 7 2" xfId="10572"/>
    <cellStyle name="注释 2 2 5 7 3" xfId="17006"/>
    <cellStyle name="注释 2 2 5 7 4" xfId="25870"/>
    <cellStyle name="注释 2 2 5 7 5" xfId="29102"/>
    <cellStyle name="注释 2 2 5 8" xfId="5323"/>
    <cellStyle name="注释 2 2 5 8 2" xfId="10573"/>
    <cellStyle name="注释 2 2 5 8 3" xfId="17007"/>
    <cellStyle name="注释 2 2 5 8 4" xfId="25871"/>
    <cellStyle name="注释 2 2 5 8 5" xfId="29103"/>
    <cellStyle name="注释 2 2 5 9" xfId="5324"/>
    <cellStyle name="注释 2 2 5 9 2" xfId="10574"/>
    <cellStyle name="注释 2 2 5 9 3" xfId="17008"/>
    <cellStyle name="注释 2 2 5 9 4" xfId="25872"/>
    <cellStyle name="注释 2 2 5 9 5" xfId="29104"/>
    <cellStyle name="注释 2 2 6" xfId="1753"/>
    <cellStyle name="注释 2 2 6 10" xfId="5326"/>
    <cellStyle name="注释 2 2 6 10 2" xfId="10576"/>
    <cellStyle name="注释 2 2 6 10 3" xfId="17010"/>
    <cellStyle name="注释 2 2 6 10 4" xfId="25874"/>
    <cellStyle name="注释 2 2 6 10 5" xfId="29106"/>
    <cellStyle name="注释 2 2 6 11" xfId="5327"/>
    <cellStyle name="注释 2 2 6 11 2" xfId="10577"/>
    <cellStyle name="注释 2 2 6 11 3" xfId="17011"/>
    <cellStyle name="注释 2 2 6 11 4" xfId="25875"/>
    <cellStyle name="注释 2 2 6 11 5" xfId="29107"/>
    <cellStyle name="注释 2 2 6 12" xfId="5328"/>
    <cellStyle name="注释 2 2 6 12 2" xfId="10578"/>
    <cellStyle name="注释 2 2 6 12 3" xfId="17012"/>
    <cellStyle name="注释 2 2 6 12 4" xfId="25876"/>
    <cellStyle name="注释 2 2 6 12 5" xfId="29108"/>
    <cellStyle name="注释 2 2 6 13" xfId="5329"/>
    <cellStyle name="注释 2 2 6 13 2" xfId="10579"/>
    <cellStyle name="注释 2 2 6 13 3" xfId="17013"/>
    <cellStyle name="注释 2 2 6 13 4" xfId="25877"/>
    <cellStyle name="注释 2 2 6 13 5" xfId="29109"/>
    <cellStyle name="注释 2 2 6 14" xfId="5330"/>
    <cellStyle name="注释 2 2 6 14 2" xfId="10580"/>
    <cellStyle name="注释 2 2 6 14 3" xfId="17014"/>
    <cellStyle name="注释 2 2 6 14 4" xfId="25878"/>
    <cellStyle name="注释 2 2 6 14 5" xfId="29110"/>
    <cellStyle name="注释 2 2 6 15" xfId="5331"/>
    <cellStyle name="注释 2 2 6 15 2" xfId="10581"/>
    <cellStyle name="注释 2 2 6 15 3" xfId="17015"/>
    <cellStyle name="注释 2 2 6 15 4" xfId="25879"/>
    <cellStyle name="注释 2 2 6 15 5" xfId="29111"/>
    <cellStyle name="注释 2 2 6 16" xfId="5332"/>
    <cellStyle name="注释 2 2 6 16 2" xfId="10582"/>
    <cellStyle name="注释 2 2 6 16 3" xfId="17016"/>
    <cellStyle name="注释 2 2 6 16 4" xfId="25880"/>
    <cellStyle name="注释 2 2 6 16 5" xfId="29112"/>
    <cellStyle name="注释 2 2 6 17" xfId="5333"/>
    <cellStyle name="注释 2 2 6 17 2" xfId="10583"/>
    <cellStyle name="注释 2 2 6 17 3" xfId="17017"/>
    <cellStyle name="注释 2 2 6 17 4" xfId="25881"/>
    <cellStyle name="注释 2 2 6 17 5" xfId="29113"/>
    <cellStyle name="注释 2 2 6 18" xfId="7293"/>
    <cellStyle name="注释 2 2 6 18 2" xfId="10575"/>
    <cellStyle name="注释 2 2 6 18 2 2" xfId="23715"/>
    <cellStyle name="注释 2 2 6 18 2 3" xfId="26300"/>
    <cellStyle name="注释 2 2 6 18 2 4" xfId="23601"/>
    <cellStyle name="注释 2 2 6 18 3" xfId="17391"/>
    <cellStyle name="注释 2 2 6 18 3 2" xfId="26999"/>
    <cellStyle name="注释 2 2 6 18 3 2 2" xfId="27066"/>
    <cellStyle name="注释 2 2 6 18 3 3" xfId="26186"/>
    <cellStyle name="注释 2 2 6 18 4" xfId="22150"/>
    <cellStyle name="注释 2 2 6 18 5" xfId="21544"/>
    <cellStyle name="注释 2 2 6 19" xfId="11638"/>
    <cellStyle name="注释 2 2 6 19 2" xfId="23826"/>
    <cellStyle name="注释 2 2 6 19 2 2" xfId="26960"/>
    <cellStyle name="注释 2 2 6 19 2 2 2" xfId="27130"/>
    <cellStyle name="注释 2 2 6 19 3" xfId="26411"/>
    <cellStyle name="注释 2 2 6 19 4" xfId="23500"/>
    <cellStyle name="注释 2 2 6 2" xfId="5325"/>
    <cellStyle name="注释 2 2 6 2 2" xfId="10584"/>
    <cellStyle name="注释 2 2 6 2 3" xfId="17018"/>
    <cellStyle name="注释 2 2 6 2 4" xfId="25882"/>
    <cellStyle name="注释 2 2 6 2 5" xfId="26654"/>
    <cellStyle name="注释 2 2 6 2 6" xfId="26895"/>
    <cellStyle name="注释 2 2 6 2 7" xfId="29105"/>
    <cellStyle name="注释 2 2 6 20" xfId="13437"/>
    <cellStyle name="注释 2 2 6 20 2" xfId="23895"/>
    <cellStyle name="注释 2 2 6 20 2 2" xfId="27003"/>
    <cellStyle name="注释 2 2 6 20 2 2 2" xfId="27134"/>
    <cellStyle name="注释 2 2 6 20 3" xfId="26480"/>
    <cellStyle name="注释 2 2 6 20 4" xfId="23525"/>
    <cellStyle name="注释 2 2 6 21" xfId="17009"/>
    <cellStyle name="注释 2 2 6 21 2" xfId="23926"/>
    <cellStyle name="注释 2 2 6 21 3" xfId="26511"/>
    <cellStyle name="注释 2 2 6 22" xfId="7463"/>
    <cellStyle name="注释 2 2 6 22 2" xfId="29393"/>
    <cellStyle name="注释 2 2 6 22 2 2" xfId="33173"/>
    <cellStyle name="注释 2 2 6 22 3" xfId="33538"/>
    <cellStyle name="注释 2 2 6 22 4" xfId="23532"/>
    <cellStyle name="注释 2 2 6 23" xfId="19607"/>
    <cellStyle name="注释 2 2 6 23 2" xfId="29486"/>
    <cellStyle name="注释 2 2 6 23 2 2" xfId="33411"/>
    <cellStyle name="注释 2 2 6 23 3" xfId="33561"/>
    <cellStyle name="注释 2 2 6 23 4" xfId="23537"/>
    <cellStyle name="注释 2 2 6 24" xfId="22496"/>
    <cellStyle name="注释 2 2 6 24 2" xfId="27161"/>
    <cellStyle name="注释 2 2 6 24 2 2" xfId="29579"/>
    <cellStyle name="注释 2 2 6 24 3" xfId="25873"/>
    <cellStyle name="注释 2 2 6 25" xfId="20131"/>
    <cellStyle name="注释 2 2 6 25 2" xfId="29655"/>
    <cellStyle name="注释 2 2 6 26" xfId="31279"/>
    <cellStyle name="注释 2 2 6 27" xfId="32357"/>
    <cellStyle name="注释 2 2 6 3" xfId="5335"/>
    <cellStyle name="注释 2 2 6 3 2" xfId="10585"/>
    <cellStyle name="注释 2 2 6 3 3" xfId="17019"/>
    <cellStyle name="注释 2 2 6 3 4" xfId="25883"/>
    <cellStyle name="注释 2 2 6 3 5" xfId="26896"/>
    <cellStyle name="注释 2 2 6 3 6" xfId="29114"/>
    <cellStyle name="注释 2 2 6 4" xfId="5336"/>
    <cellStyle name="注释 2 2 6 4 2" xfId="10586"/>
    <cellStyle name="注释 2 2 6 4 3" xfId="17020"/>
    <cellStyle name="注释 2 2 6 4 4" xfId="25884"/>
    <cellStyle name="注释 2 2 6 4 5" xfId="26897"/>
    <cellStyle name="注释 2 2 6 4 6" xfId="29115"/>
    <cellStyle name="注释 2 2 6 5" xfId="5337"/>
    <cellStyle name="注释 2 2 6 5 2" xfId="10587"/>
    <cellStyle name="注释 2 2 6 5 3" xfId="17021"/>
    <cellStyle name="注释 2 2 6 5 4" xfId="25885"/>
    <cellStyle name="注释 2 2 6 5 5" xfId="26898"/>
    <cellStyle name="注释 2 2 6 5 6" xfId="29116"/>
    <cellStyle name="注释 2 2 6 6" xfId="5338"/>
    <cellStyle name="注释 2 2 6 6 2" xfId="10588"/>
    <cellStyle name="注释 2 2 6 6 3" xfId="17022"/>
    <cellStyle name="注释 2 2 6 6 4" xfId="25886"/>
    <cellStyle name="注释 2 2 6 6 5" xfId="26899"/>
    <cellStyle name="注释 2 2 6 6 6" xfId="29117"/>
    <cellStyle name="注释 2 2 6 7" xfId="5339"/>
    <cellStyle name="注释 2 2 6 7 2" xfId="10589"/>
    <cellStyle name="注释 2 2 6 7 3" xfId="17023"/>
    <cellStyle name="注释 2 2 6 7 4" xfId="25887"/>
    <cellStyle name="注释 2 2 6 7 5" xfId="29118"/>
    <cellStyle name="注释 2 2 6 8" xfId="5340"/>
    <cellStyle name="注释 2 2 6 8 2" xfId="10590"/>
    <cellStyle name="注释 2 2 6 8 3" xfId="17024"/>
    <cellStyle name="注释 2 2 6 8 4" xfId="25888"/>
    <cellStyle name="注释 2 2 6 8 5" xfId="29119"/>
    <cellStyle name="注释 2 2 6 9" xfId="5341"/>
    <cellStyle name="注释 2 2 6 9 2" xfId="10591"/>
    <cellStyle name="注释 2 2 6 9 3" xfId="17025"/>
    <cellStyle name="注释 2 2 6 9 4" xfId="25889"/>
    <cellStyle name="注释 2 2 6 9 5" xfId="29120"/>
    <cellStyle name="注释 2 2 7" xfId="1754"/>
    <cellStyle name="注释 2 2 7 10" xfId="5343"/>
    <cellStyle name="注释 2 2 7 10 2" xfId="10593"/>
    <cellStyle name="注释 2 2 7 10 3" xfId="17027"/>
    <cellStyle name="注释 2 2 7 10 4" xfId="25891"/>
    <cellStyle name="注释 2 2 7 10 5" xfId="29122"/>
    <cellStyle name="注释 2 2 7 11" xfId="5344"/>
    <cellStyle name="注释 2 2 7 11 2" xfId="10594"/>
    <cellStyle name="注释 2 2 7 11 3" xfId="17028"/>
    <cellStyle name="注释 2 2 7 11 4" xfId="25892"/>
    <cellStyle name="注释 2 2 7 11 5" xfId="29123"/>
    <cellStyle name="注释 2 2 7 12" xfId="5345"/>
    <cellStyle name="注释 2 2 7 12 2" xfId="10595"/>
    <cellStyle name="注释 2 2 7 12 3" xfId="17029"/>
    <cellStyle name="注释 2 2 7 12 4" xfId="25893"/>
    <cellStyle name="注释 2 2 7 12 5" xfId="29124"/>
    <cellStyle name="注释 2 2 7 13" xfId="5346"/>
    <cellStyle name="注释 2 2 7 13 2" xfId="10596"/>
    <cellStyle name="注释 2 2 7 13 3" xfId="17030"/>
    <cellStyle name="注释 2 2 7 13 4" xfId="25894"/>
    <cellStyle name="注释 2 2 7 13 5" xfId="29125"/>
    <cellStyle name="注释 2 2 7 14" xfId="5347"/>
    <cellStyle name="注释 2 2 7 14 2" xfId="10597"/>
    <cellStyle name="注释 2 2 7 14 3" xfId="17031"/>
    <cellStyle name="注释 2 2 7 14 4" xfId="25895"/>
    <cellStyle name="注释 2 2 7 14 5" xfId="29126"/>
    <cellStyle name="注释 2 2 7 15" xfId="5348"/>
    <cellStyle name="注释 2 2 7 15 2" xfId="10598"/>
    <cellStyle name="注释 2 2 7 15 3" xfId="17032"/>
    <cellStyle name="注释 2 2 7 15 4" xfId="25896"/>
    <cellStyle name="注释 2 2 7 15 5" xfId="29127"/>
    <cellStyle name="注释 2 2 7 16" xfId="5349"/>
    <cellStyle name="注释 2 2 7 16 2" xfId="10599"/>
    <cellStyle name="注释 2 2 7 16 3" xfId="17033"/>
    <cellStyle name="注释 2 2 7 16 4" xfId="25897"/>
    <cellStyle name="注释 2 2 7 16 5" xfId="29128"/>
    <cellStyle name="注释 2 2 7 17" xfId="5350"/>
    <cellStyle name="注释 2 2 7 17 2" xfId="10600"/>
    <cellStyle name="注释 2 2 7 17 3" xfId="17034"/>
    <cellStyle name="注释 2 2 7 17 4" xfId="25898"/>
    <cellStyle name="注释 2 2 7 17 5" xfId="29129"/>
    <cellStyle name="注释 2 2 7 18" xfId="7294"/>
    <cellStyle name="注释 2 2 7 18 2" xfId="10592"/>
    <cellStyle name="注释 2 2 7 18 2 2" xfId="23716"/>
    <cellStyle name="注释 2 2 7 18 2 3" xfId="26301"/>
    <cellStyle name="注释 2 2 7 18 2 4" xfId="23602"/>
    <cellStyle name="注释 2 2 7 18 3" xfId="17392"/>
    <cellStyle name="注释 2 2 7 18 3 2" xfId="27000"/>
    <cellStyle name="注释 2 2 7 18 3 2 2" xfId="27067"/>
    <cellStyle name="注释 2 2 7 18 3 3" xfId="26187"/>
    <cellStyle name="注释 2 2 7 18 4" xfId="22167"/>
    <cellStyle name="注释 2 2 7 18 5" xfId="22908"/>
    <cellStyle name="注释 2 2 7 19" xfId="11639"/>
    <cellStyle name="注释 2 2 7 19 2" xfId="23827"/>
    <cellStyle name="注释 2 2 7 19 2 2" xfId="26958"/>
    <cellStyle name="注释 2 2 7 19 2 2 2" xfId="27131"/>
    <cellStyle name="注释 2 2 7 19 3" xfId="26412"/>
    <cellStyle name="注释 2 2 7 19 4" xfId="23498"/>
    <cellStyle name="注释 2 2 7 2" xfId="5342"/>
    <cellStyle name="注释 2 2 7 2 2" xfId="10601"/>
    <cellStyle name="注释 2 2 7 2 3" xfId="17035"/>
    <cellStyle name="注释 2 2 7 2 4" xfId="25899"/>
    <cellStyle name="注释 2 2 7 2 5" xfId="26655"/>
    <cellStyle name="注释 2 2 7 2 6" xfId="26900"/>
    <cellStyle name="注释 2 2 7 2 7" xfId="29121"/>
    <cellStyle name="注释 2 2 7 20" xfId="13438"/>
    <cellStyle name="注释 2 2 7 20 2" xfId="23896"/>
    <cellStyle name="注释 2 2 7 20 2 2" xfId="27004"/>
    <cellStyle name="注释 2 2 7 20 2 2 2" xfId="27135"/>
    <cellStyle name="注释 2 2 7 20 3" xfId="26481"/>
    <cellStyle name="注释 2 2 7 20 4" xfId="23526"/>
    <cellStyle name="注释 2 2 7 21" xfId="17026"/>
    <cellStyle name="注释 2 2 7 21 2" xfId="23927"/>
    <cellStyle name="注释 2 2 7 21 3" xfId="26512"/>
    <cellStyle name="注释 2 2 7 22" xfId="7462"/>
    <cellStyle name="注释 2 2 7 22 2" xfId="29392"/>
    <cellStyle name="注释 2 2 7 22 2 2" xfId="33174"/>
    <cellStyle name="注释 2 2 7 22 3" xfId="33539"/>
    <cellStyle name="注释 2 2 7 22 4" xfId="23533"/>
    <cellStyle name="注释 2 2 7 23" xfId="19608"/>
    <cellStyle name="注释 2 2 7 23 2" xfId="29487"/>
    <cellStyle name="注释 2 2 7 23 2 2" xfId="33412"/>
    <cellStyle name="注释 2 2 7 23 3" xfId="33562"/>
    <cellStyle name="注释 2 2 7 23 4" xfId="23538"/>
    <cellStyle name="注释 2 2 7 24" xfId="21956"/>
    <cellStyle name="注释 2 2 7 24 2" xfId="27162"/>
    <cellStyle name="注释 2 2 7 24 2 2" xfId="29580"/>
    <cellStyle name="注释 2 2 7 24 3" xfId="25890"/>
    <cellStyle name="注释 2 2 7 25" xfId="19690"/>
    <cellStyle name="注释 2 2 7 25 2" xfId="29710"/>
    <cellStyle name="注释 2 2 7 26" xfId="31280"/>
    <cellStyle name="注释 2 2 7 27" xfId="33001"/>
    <cellStyle name="注释 2 2 7 3" xfId="5352"/>
    <cellStyle name="注释 2 2 7 3 2" xfId="10602"/>
    <cellStyle name="注释 2 2 7 3 3" xfId="17036"/>
    <cellStyle name="注释 2 2 7 3 4" xfId="25900"/>
    <cellStyle name="注释 2 2 7 3 5" xfId="26901"/>
    <cellStyle name="注释 2 2 7 3 6" xfId="29130"/>
    <cellStyle name="注释 2 2 7 4" xfId="5353"/>
    <cellStyle name="注释 2 2 7 4 2" xfId="10603"/>
    <cellStyle name="注释 2 2 7 4 3" xfId="17037"/>
    <cellStyle name="注释 2 2 7 4 4" xfId="25901"/>
    <cellStyle name="注释 2 2 7 4 5" xfId="26902"/>
    <cellStyle name="注释 2 2 7 4 6" xfId="29131"/>
    <cellStyle name="注释 2 2 7 5" xfId="5354"/>
    <cellStyle name="注释 2 2 7 5 2" xfId="10604"/>
    <cellStyle name="注释 2 2 7 5 3" xfId="17038"/>
    <cellStyle name="注释 2 2 7 5 4" xfId="25902"/>
    <cellStyle name="注释 2 2 7 5 5" xfId="26903"/>
    <cellStyle name="注释 2 2 7 5 6" xfId="29132"/>
    <cellStyle name="注释 2 2 7 6" xfId="5355"/>
    <cellStyle name="注释 2 2 7 6 2" xfId="10605"/>
    <cellStyle name="注释 2 2 7 6 3" xfId="17039"/>
    <cellStyle name="注释 2 2 7 6 4" xfId="25903"/>
    <cellStyle name="注释 2 2 7 6 5" xfId="26904"/>
    <cellStyle name="注释 2 2 7 6 6" xfId="29133"/>
    <cellStyle name="注释 2 2 7 7" xfId="5356"/>
    <cellStyle name="注释 2 2 7 7 2" xfId="10606"/>
    <cellStyle name="注释 2 2 7 7 3" xfId="17040"/>
    <cellStyle name="注释 2 2 7 7 4" xfId="25904"/>
    <cellStyle name="注释 2 2 7 7 5" xfId="29134"/>
    <cellStyle name="注释 2 2 7 8" xfId="5357"/>
    <cellStyle name="注释 2 2 7 8 2" xfId="10607"/>
    <cellStyle name="注释 2 2 7 8 3" xfId="17041"/>
    <cellStyle name="注释 2 2 7 8 4" xfId="25905"/>
    <cellStyle name="注释 2 2 7 8 5" xfId="29135"/>
    <cellStyle name="注释 2 2 7 9" xfId="5358"/>
    <cellStyle name="注释 2 2 7 9 2" xfId="10608"/>
    <cellStyle name="注释 2 2 7 9 3" xfId="17042"/>
    <cellStyle name="注释 2 2 7 9 4" xfId="25906"/>
    <cellStyle name="注释 2 2 7 9 5" xfId="29136"/>
    <cellStyle name="注释 2 2 8" xfId="5284"/>
    <cellStyle name="注释 2 2 9" xfId="7284"/>
    <cellStyle name="注释 2 20" xfId="1755"/>
    <cellStyle name="注释 2 20 10" xfId="31283"/>
    <cellStyle name="注释 2 20 11" xfId="33256"/>
    <cellStyle name="注释 2 20 2" xfId="5359"/>
    <cellStyle name="注释 2 20 3" xfId="7295"/>
    <cellStyle name="注释 2 20 4" xfId="13439"/>
    <cellStyle name="注释 2 20 5" xfId="17043"/>
    <cellStyle name="注释 2 20 6" xfId="9692"/>
    <cellStyle name="注释 2 20 7" xfId="19609"/>
    <cellStyle name="注释 2 20 8" xfId="22940"/>
    <cellStyle name="注释 2 20 9" xfId="21422"/>
    <cellStyle name="注释 2 21" xfId="1756"/>
    <cellStyle name="注释 2 21 10" xfId="31284"/>
    <cellStyle name="注释 2 21 11" xfId="33000"/>
    <cellStyle name="注释 2 21 2" xfId="5360"/>
    <cellStyle name="注释 2 21 3" xfId="7296"/>
    <cellStyle name="注释 2 21 4" xfId="13440"/>
    <cellStyle name="注释 2 21 5" xfId="17044"/>
    <cellStyle name="注释 2 21 6" xfId="7461"/>
    <cellStyle name="注释 2 21 7" xfId="19610"/>
    <cellStyle name="注释 2 21 8" xfId="22716"/>
    <cellStyle name="注释 2 21 9" xfId="20373"/>
    <cellStyle name="注释 2 22" xfId="1757"/>
    <cellStyle name="注释 2 22 10" xfId="31285"/>
    <cellStyle name="注释 2 22 11" xfId="32600"/>
    <cellStyle name="注释 2 22 2" xfId="5361"/>
    <cellStyle name="注释 2 22 3" xfId="7297"/>
    <cellStyle name="注释 2 22 4" xfId="13441"/>
    <cellStyle name="注释 2 22 5" xfId="17045"/>
    <cellStyle name="注释 2 22 6" xfId="7460"/>
    <cellStyle name="注释 2 22 7" xfId="19611"/>
    <cellStyle name="注释 2 22 8" xfId="22498"/>
    <cellStyle name="注释 2 22 9" xfId="20903"/>
    <cellStyle name="注释 2 23" xfId="5241"/>
    <cellStyle name="注释 2 23 2" xfId="10612"/>
    <cellStyle name="注释 2 23 3" xfId="17046"/>
    <cellStyle name="注释 2 23 4" xfId="25907"/>
    <cellStyle name="注释 2 23 5" xfId="26905"/>
    <cellStyle name="注释 2 23 6" xfId="29041"/>
    <cellStyle name="注释 2 24" xfId="5363"/>
    <cellStyle name="注释 2 24 2" xfId="10613"/>
    <cellStyle name="注释 2 24 3" xfId="17047"/>
    <cellStyle name="注释 2 24 4" xfId="25908"/>
    <cellStyle name="注释 2 24 5" xfId="26906"/>
    <cellStyle name="注释 2 24 6" xfId="29137"/>
    <cellStyle name="注释 2 25" xfId="5364"/>
    <cellStyle name="注释 2 25 2" xfId="10614"/>
    <cellStyle name="注释 2 25 3" xfId="17048"/>
    <cellStyle name="注释 2 25 4" xfId="25909"/>
    <cellStyle name="注释 2 25 5" xfId="26656"/>
    <cellStyle name="注释 2 25 6" xfId="26907"/>
    <cellStyle name="注释 2 25 7" xfId="29138"/>
    <cellStyle name="注释 2 26" xfId="5365"/>
    <cellStyle name="注释 2 26 2" xfId="10615"/>
    <cellStyle name="注释 2 26 3" xfId="17049"/>
    <cellStyle name="注释 2 26 4" xfId="25910"/>
    <cellStyle name="注释 2 26 5" xfId="26908"/>
    <cellStyle name="注释 2 26 6" xfId="29139"/>
    <cellStyle name="注释 2 27" xfId="5366"/>
    <cellStyle name="注释 2 27 2" xfId="10616"/>
    <cellStyle name="注释 2 27 3" xfId="17050"/>
    <cellStyle name="注释 2 27 4" xfId="25911"/>
    <cellStyle name="注释 2 27 5" xfId="26909"/>
    <cellStyle name="注释 2 27 6" xfId="29140"/>
    <cellStyle name="注释 2 28" xfId="5367"/>
    <cellStyle name="注释 2 28 2" xfId="10617"/>
    <cellStyle name="注释 2 28 3" xfId="17051"/>
    <cellStyle name="注释 2 28 4" xfId="25912"/>
    <cellStyle name="注释 2 28 5" xfId="26910"/>
    <cellStyle name="注释 2 28 6" xfId="29141"/>
    <cellStyle name="注释 2 29" xfId="5368"/>
    <cellStyle name="注释 2 29 2" xfId="10618"/>
    <cellStyle name="注释 2 29 3" xfId="17052"/>
    <cellStyle name="注释 2 29 4" xfId="25913"/>
    <cellStyle name="注释 2 29 5" xfId="26911"/>
    <cellStyle name="注释 2 29 6" xfId="29142"/>
    <cellStyle name="注释 2 3" xfId="1758"/>
    <cellStyle name="注释 2 3 10" xfId="31293"/>
    <cellStyle name="注释 2 3 11" xfId="32124"/>
    <cellStyle name="注释 2 3 2" xfId="5369"/>
    <cellStyle name="注释 2 3 3" xfId="7298"/>
    <cellStyle name="注释 2 3 4" xfId="13442"/>
    <cellStyle name="注释 2 3 5" xfId="17053"/>
    <cellStyle name="注释 2 3 6" xfId="7459"/>
    <cellStyle name="注释 2 3 7" xfId="19612"/>
    <cellStyle name="注释 2 3 8" xfId="21958"/>
    <cellStyle name="注释 2 3 9" xfId="20772"/>
    <cellStyle name="注释 2 30" xfId="5370"/>
    <cellStyle name="注释 2 30 2" xfId="10620"/>
    <cellStyle name="注释 2 30 3" xfId="17054"/>
    <cellStyle name="注释 2 30 4" xfId="25914"/>
    <cellStyle name="注释 2 30 5" xfId="26912"/>
    <cellStyle name="注释 2 30 6" xfId="29143"/>
    <cellStyle name="注释 2 31" xfId="5371"/>
    <cellStyle name="注释 2 31 2" xfId="10621"/>
    <cellStyle name="注释 2 31 3" xfId="17055"/>
    <cellStyle name="注释 2 31 4" xfId="25915"/>
    <cellStyle name="注释 2 31 5" xfId="26913"/>
    <cellStyle name="注释 2 31 6" xfId="29144"/>
    <cellStyle name="注释 2 32" xfId="5372"/>
    <cellStyle name="注释 2 32 2" xfId="10622"/>
    <cellStyle name="注释 2 32 3" xfId="17056"/>
    <cellStyle name="注释 2 32 4" xfId="25916"/>
    <cellStyle name="注释 2 32 5" xfId="29145"/>
    <cellStyle name="注释 2 33" xfId="5373"/>
    <cellStyle name="注释 2 33 2" xfId="10623"/>
    <cellStyle name="注释 2 33 3" xfId="17057"/>
    <cellStyle name="注释 2 33 4" xfId="25917"/>
    <cellStyle name="注释 2 33 5" xfId="29146"/>
    <cellStyle name="注释 2 34" xfId="5374"/>
    <cellStyle name="注释 2 34 2" xfId="10624"/>
    <cellStyle name="注释 2 34 3" xfId="17058"/>
    <cellStyle name="注释 2 34 4" xfId="25918"/>
    <cellStyle name="注释 2 34 5" xfId="29147"/>
    <cellStyle name="注释 2 35" xfId="5375"/>
    <cellStyle name="注释 2 35 2" xfId="10625"/>
    <cellStyle name="注释 2 35 3" xfId="17059"/>
    <cellStyle name="注释 2 35 4" xfId="25919"/>
    <cellStyle name="注释 2 35 5" xfId="29148"/>
    <cellStyle name="注释 2 36" xfId="5376"/>
    <cellStyle name="注释 2 36 2" xfId="10626"/>
    <cellStyle name="注释 2 36 3" xfId="17060"/>
    <cellStyle name="注释 2 36 4" xfId="25920"/>
    <cellStyle name="注释 2 36 5" xfId="29149"/>
    <cellStyle name="注释 2 37" xfId="5377"/>
    <cellStyle name="注释 2 37 2" xfId="10627"/>
    <cellStyle name="注释 2 37 3" xfId="17061"/>
    <cellStyle name="注释 2 37 4" xfId="25921"/>
    <cellStyle name="注释 2 37 5" xfId="29150"/>
    <cellStyle name="注释 2 38" xfId="5378"/>
    <cellStyle name="注释 2 38 2" xfId="10628"/>
    <cellStyle name="注释 2 38 3" xfId="17062"/>
    <cellStyle name="注释 2 38 4" xfId="25922"/>
    <cellStyle name="注释 2 38 5" xfId="29151"/>
    <cellStyle name="注释 2 39" xfId="5379"/>
    <cellStyle name="注释 2 39 2" xfId="10629"/>
    <cellStyle name="注释 2 39 3" xfId="17063"/>
    <cellStyle name="注释 2 39 4" xfId="25923"/>
    <cellStyle name="注释 2 39 5" xfId="29152"/>
    <cellStyle name="注释 2 4" xfId="1759"/>
    <cellStyle name="注释 2 4 10" xfId="31301"/>
    <cellStyle name="注释 2 4 11" xfId="32356"/>
    <cellStyle name="注释 2 4 2" xfId="5380"/>
    <cellStyle name="注释 2 4 3" xfId="7299"/>
    <cellStyle name="注释 2 4 4" xfId="13443"/>
    <cellStyle name="注释 2 4 5" xfId="17064"/>
    <cellStyle name="注释 2 4 6" xfId="7458"/>
    <cellStyle name="注释 2 4 7" xfId="19613"/>
    <cellStyle name="注释 2 4 8" xfId="22939"/>
    <cellStyle name="注释 2 4 9" xfId="20130"/>
    <cellStyle name="注释 2 40" xfId="5381"/>
    <cellStyle name="注释 2 40 2" xfId="10631"/>
    <cellStyle name="注释 2 40 3" xfId="17065"/>
    <cellStyle name="注释 2 40 4" xfId="25924"/>
    <cellStyle name="注释 2 40 5" xfId="29153"/>
    <cellStyle name="注释 2 41" xfId="5382"/>
    <cellStyle name="注释 2 41 2" xfId="10632"/>
    <cellStyle name="注释 2 41 3" xfId="17066"/>
    <cellStyle name="注释 2 41 4" xfId="25925"/>
    <cellStyle name="注释 2 41 5" xfId="29154"/>
    <cellStyle name="注释 2 42" xfId="5383"/>
    <cellStyle name="注释 2 42 2" xfId="10633"/>
    <cellStyle name="注释 2 42 3" xfId="17067"/>
    <cellStyle name="注释 2 42 4" xfId="25926"/>
    <cellStyle name="注释 2 42 5" xfId="29155"/>
    <cellStyle name="注释 2 43" xfId="5384"/>
    <cellStyle name="注释 2 43 2" xfId="10634"/>
    <cellStyle name="注释 2 43 3" xfId="17068"/>
    <cellStyle name="注释 2 43 4" xfId="25927"/>
    <cellStyle name="注释 2 43 5" xfId="29156"/>
    <cellStyle name="注释 2 44" xfId="5385"/>
    <cellStyle name="注释 2 44 2" xfId="10635"/>
    <cellStyle name="注释 2 44 3" xfId="17069"/>
    <cellStyle name="注释 2 44 4" xfId="25928"/>
    <cellStyle name="注释 2 44 5" xfId="29157"/>
    <cellStyle name="注释 2 45" xfId="7271"/>
    <cellStyle name="注释 2 45 2" xfId="23595"/>
    <cellStyle name="注释 2 45 3" xfId="26180"/>
    <cellStyle name="注释 2 46" xfId="11616"/>
    <cellStyle name="注释 2 46 2" xfId="23822"/>
    <cellStyle name="注释 2 46 3" xfId="26407"/>
    <cellStyle name="注释 2 47" xfId="13415"/>
    <cellStyle name="注释 2 47 2" xfId="23892"/>
    <cellStyle name="注释 2 47 3" xfId="26477"/>
    <cellStyle name="注释 2 48" xfId="16925"/>
    <cellStyle name="注释 2 48 2" xfId="23923"/>
    <cellStyle name="注释 2 48 3" xfId="26508"/>
    <cellStyle name="注释 2 49" xfId="7484"/>
    <cellStyle name="注释 2 5" xfId="1760"/>
    <cellStyle name="注释 2 5 10" xfId="31303"/>
    <cellStyle name="注释 2 5 11" xfId="32355"/>
    <cellStyle name="注释 2 5 2" xfId="5386"/>
    <cellStyle name="注释 2 5 3" xfId="7300"/>
    <cellStyle name="注释 2 5 4" xfId="13444"/>
    <cellStyle name="注释 2 5 5" xfId="17070"/>
    <cellStyle name="注释 2 5 6" xfId="7457"/>
    <cellStyle name="注释 2 5 7" xfId="19614"/>
    <cellStyle name="注释 2 5 8" xfId="22715"/>
    <cellStyle name="注释 2 5 9" xfId="19689"/>
    <cellStyle name="注释 2 50" xfId="17511"/>
    <cellStyle name="注释 2 51" xfId="17597"/>
    <cellStyle name="注释 2 52" xfId="17683"/>
    <cellStyle name="注释 2 53" xfId="17769"/>
    <cellStyle name="注释 2 54" xfId="17855"/>
    <cellStyle name="注释 2 55" xfId="19584"/>
    <cellStyle name="注释 2 56" xfId="22946"/>
    <cellStyle name="注释 2 57" xfId="20777"/>
    <cellStyle name="注释 2 6" xfId="1761"/>
    <cellStyle name="注释 2 6 10" xfId="31304"/>
    <cellStyle name="注释 2 6 11" xfId="32123"/>
    <cellStyle name="注释 2 6 2" xfId="5387"/>
    <cellStyle name="注释 2 6 3" xfId="7301"/>
    <cellStyle name="注释 2 6 4" xfId="13445"/>
    <cellStyle name="注释 2 6 5" xfId="17071"/>
    <cellStyle name="注释 2 6 6" xfId="7456"/>
    <cellStyle name="注释 2 6 7" xfId="19615"/>
    <cellStyle name="注释 2 6 8" xfId="22497"/>
    <cellStyle name="注释 2 6 9" xfId="21421"/>
    <cellStyle name="注释 2 7" xfId="1762"/>
    <cellStyle name="注释 2 7 10" xfId="21957"/>
    <cellStyle name="注释 2 7 11" xfId="20731"/>
    <cellStyle name="注释 2 7 12" xfId="31305"/>
    <cellStyle name="注释 2 7 13" xfId="31656"/>
    <cellStyle name="注释 2 7 2" xfId="1763"/>
    <cellStyle name="注释 2 7 2 10" xfId="5390"/>
    <cellStyle name="注释 2 7 2 10 2" xfId="10640"/>
    <cellStyle name="注释 2 7 2 10 3" xfId="17074"/>
    <cellStyle name="注释 2 7 2 10 4" xfId="25930"/>
    <cellStyle name="注释 2 7 2 10 5" xfId="29159"/>
    <cellStyle name="注释 2 7 2 11" xfId="5391"/>
    <cellStyle name="注释 2 7 2 11 2" xfId="10641"/>
    <cellStyle name="注释 2 7 2 11 3" xfId="17075"/>
    <cellStyle name="注释 2 7 2 11 4" xfId="25931"/>
    <cellStyle name="注释 2 7 2 11 5" xfId="29160"/>
    <cellStyle name="注释 2 7 2 12" xfId="5392"/>
    <cellStyle name="注释 2 7 2 12 2" xfId="10642"/>
    <cellStyle name="注释 2 7 2 12 3" xfId="17076"/>
    <cellStyle name="注释 2 7 2 12 4" xfId="25932"/>
    <cellStyle name="注释 2 7 2 12 5" xfId="29161"/>
    <cellStyle name="注释 2 7 2 13" xfId="5393"/>
    <cellStyle name="注释 2 7 2 13 2" xfId="10643"/>
    <cellStyle name="注释 2 7 2 13 3" xfId="17077"/>
    <cellStyle name="注释 2 7 2 13 4" xfId="25933"/>
    <cellStyle name="注释 2 7 2 13 5" xfId="29162"/>
    <cellStyle name="注释 2 7 2 14" xfId="5394"/>
    <cellStyle name="注释 2 7 2 14 2" xfId="10644"/>
    <cellStyle name="注释 2 7 2 14 3" xfId="17078"/>
    <cellStyle name="注释 2 7 2 14 4" xfId="25934"/>
    <cellStyle name="注释 2 7 2 14 5" xfId="29163"/>
    <cellStyle name="注释 2 7 2 15" xfId="5395"/>
    <cellStyle name="注释 2 7 2 15 2" xfId="10645"/>
    <cellStyle name="注释 2 7 2 15 3" xfId="17079"/>
    <cellStyle name="注释 2 7 2 15 4" xfId="25935"/>
    <cellStyle name="注释 2 7 2 15 5" xfId="29164"/>
    <cellStyle name="注释 2 7 2 16" xfId="5396"/>
    <cellStyle name="注释 2 7 2 16 2" xfId="10646"/>
    <cellStyle name="注释 2 7 2 16 3" xfId="17080"/>
    <cellStyle name="注释 2 7 2 16 4" xfId="25936"/>
    <cellStyle name="注释 2 7 2 16 5" xfId="29165"/>
    <cellStyle name="注释 2 7 2 17" xfId="5397"/>
    <cellStyle name="注释 2 7 2 17 2" xfId="10647"/>
    <cellStyle name="注释 2 7 2 17 3" xfId="17081"/>
    <cellStyle name="注释 2 7 2 17 4" xfId="25937"/>
    <cellStyle name="注释 2 7 2 17 5" xfId="29166"/>
    <cellStyle name="注释 2 7 2 18" xfId="7303"/>
    <cellStyle name="注释 2 7 2 18 2" xfId="10639"/>
    <cellStyle name="注释 2 7 2 18 2 2" xfId="23717"/>
    <cellStyle name="注释 2 7 2 18 2 3" xfId="26302"/>
    <cellStyle name="注释 2 7 2 18 2 4" xfId="23603"/>
    <cellStyle name="注释 2 7 2 18 3" xfId="17393"/>
    <cellStyle name="注释 2 7 2 18 3 2" xfId="27024"/>
    <cellStyle name="注释 2 7 2 18 3 2 2" xfId="27068"/>
    <cellStyle name="注释 2 7 2 18 3 3" xfId="26188"/>
    <cellStyle name="注释 2 7 2 18 4" xfId="22214"/>
    <cellStyle name="注释 2 7 2 18 5" xfId="21911"/>
    <cellStyle name="注释 2 7 2 19" xfId="11648"/>
    <cellStyle name="注释 2 7 2 19 2" xfId="23828"/>
    <cellStyle name="注释 2 7 2 19 3" xfId="26413"/>
    <cellStyle name="注释 2 7 2 19 4" xfId="23539"/>
    <cellStyle name="注释 2 7 2 2" xfId="5389"/>
    <cellStyle name="注释 2 7 2 2 2" xfId="10648"/>
    <cellStyle name="注释 2 7 2 2 3" xfId="17082"/>
    <cellStyle name="注释 2 7 2 2 4" xfId="25938"/>
    <cellStyle name="注释 2 7 2 2 5" xfId="26657"/>
    <cellStyle name="注释 2 7 2 2 6" xfId="26915"/>
    <cellStyle name="注释 2 7 2 2 7" xfId="29158"/>
    <cellStyle name="注释 2 7 2 20" xfId="13447"/>
    <cellStyle name="注释 2 7 2 21" xfId="17073"/>
    <cellStyle name="注释 2 7 2 22" xfId="7454"/>
    <cellStyle name="注释 2 7 2 22 2" xfId="29391"/>
    <cellStyle name="注释 2 7 2 22 2 2" xfId="33180"/>
    <cellStyle name="注释 2 7 2 22 3" xfId="33540"/>
    <cellStyle name="注释 2 7 2 22 4" xfId="25929"/>
    <cellStyle name="注释 2 7 2 23" xfId="19617"/>
    <cellStyle name="注释 2 7 2 23 2" xfId="29488"/>
    <cellStyle name="注释 2 7 2 23 2 2" xfId="33419"/>
    <cellStyle name="注释 2 7 2 23 3" xfId="33563"/>
    <cellStyle name="注释 2 7 2 23 4" xfId="26914"/>
    <cellStyle name="注释 2 7 2 24" xfId="22927"/>
    <cellStyle name="注释 2 7 2 24 2" xfId="29581"/>
    <cellStyle name="注释 2 7 2 25" xfId="20902"/>
    <cellStyle name="注释 2 7 2 25 2" xfId="29654"/>
    <cellStyle name="注释 2 7 2 26" xfId="31306"/>
    <cellStyle name="注释 2 7 2 27" xfId="33255"/>
    <cellStyle name="注释 2 7 2 3" xfId="5399"/>
    <cellStyle name="注释 2 7 2 3 2" xfId="10649"/>
    <cellStyle name="注释 2 7 2 3 3" xfId="17083"/>
    <cellStyle name="注释 2 7 2 3 4" xfId="25939"/>
    <cellStyle name="注释 2 7 2 3 5" xfId="26916"/>
    <cellStyle name="注释 2 7 2 3 6" xfId="29167"/>
    <cellStyle name="注释 2 7 2 4" xfId="5400"/>
    <cellStyle name="注释 2 7 2 4 2" xfId="10650"/>
    <cellStyle name="注释 2 7 2 4 3" xfId="17084"/>
    <cellStyle name="注释 2 7 2 4 4" xfId="25940"/>
    <cellStyle name="注释 2 7 2 4 5" xfId="26917"/>
    <cellStyle name="注释 2 7 2 4 6" xfId="29168"/>
    <cellStyle name="注释 2 7 2 5" xfId="5401"/>
    <cellStyle name="注释 2 7 2 5 2" xfId="10651"/>
    <cellStyle name="注释 2 7 2 5 3" xfId="17085"/>
    <cellStyle name="注释 2 7 2 5 4" xfId="25941"/>
    <cellStyle name="注释 2 7 2 5 5" xfId="26918"/>
    <cellStyle name="注释 2 7 2 5 6" xfId="29169"/>
    <cellStyle name="注释 2 7 2 6" xfId="5402"/>
    <cellStyle name="注释 2 7 2 6 2" xfId="10652"/>
    <cellStyle name="注释 2 7 2 6 3" xfId="17086"/>
    <cellStyle name="注释 2 7 2 6 4" xfId="25942"/>
    <cellStyle name="注释 2 7 2 6 5" xfId="26919"/>
    <cellStyle name="注释 2 7 2 6 6" xfId="29170"/>
    <cellStyle name="注释 2 7 2 7" xfId="5403"/>
    <cellStyle name="注释 2 7 2 7 2" xfId="10653"/>
    <cellStyle name="注释 2 7 2 7 3" xfId="17087"/>
    <cellStyle name="注释 2 7 2 7 4" xfId="25943"/>
    <cellStyle name="注释 2 7 2 7 5" xfId="29171"/>
    <cellStyle name="注释 2 7 2 8" xfId="5404"/>
    <cellStyle name="注释 2 7 2 8 2" xfId="10654"/>
    <cellStyle name="注释 2 7 2 8 3" xfId="17088"/>
    <cellStyle name="注释 2 7 2 8 4" xfId="25944"/>
    <cellStyle name="注释 2 7 2 8 5" xfId="29172"/>
    <cellStyle name="注释 2 7 2 9" xfId="5405"/>
    <cellStyle name="注释 2 7 2 9 2" xfId="10655"/>
    <cellStyle name="注释 2 7 2 9 3" xfId="17089"/>
    <cellStyle name="注释 2 7 2 9 4" xfId="25945"/>
    <cellStyle name="注释 2 7 2 9 5" xfId="29173"/>
    <cellStyle name="注释 2 7 3" xfId="1764"/>
    <cellStyle name="注释 2 7 3 10" xfId="5407"/>
    <cellStyle name="注释 2 7 3 10 2" xfId="10657"/>
    <cellStyle name="注释 2 7 3 10 3" xfId="17091"/>
    <cellStyle name="注释 2 7 3 10 4" xfId="25947"/>
    <cellStyle name="注释 2 7 3 10 5" xfId="29175"/>
    <cellStyle name="注释 2 7 3 11" xfId="5408"/>
    <cellStyle name="注释 2 7 3 11 2" xfId="10658"/>
    <cellStyle name="注释 2 7 3 11 3" xfId="17092"/>
    <cellStyle name="注释 2 7 3 11 4" xfId="25948"/>
    <cellStyle name="注释 2 7 3 11 5" xfId="29176"/>
    <cellStyle name="注释 2 7 3 12" xfId="5409"/>
    <cellStyle name="注释 2 7 3 12 2" xfId="10659"/>
    <cellStyle name="注释 2 7 3 12 3" xfId="17093"/>
    <cellStyle name="注释 2 7 3 12 4" xfId="25949"/>
    <cellStyle name="注释 2 7 3 12 5" xfId="29177"/>
    <cellStyle name="注释 2 7 3 13" xfId="5410"/>
    <cellStyle name="注释 2 7 3 13 2" xfId="10660"/>
    <cellStyle name="注释 2 7 3 13 3" xfId="17094"/>
    <cellStyle name="注释 2 7 3 13 4" xfId="25950"/>
    <cellStyle name="注释 2 7 3 13 5" xfId="29178"/>
    <cellStyle name="注释 2 7 3 14" xfId="5411"/>
    <cellStyle name="注释 2 7 3 14 2" xfId="10661"/>
    <cellStyle name="注释 2 7 3 14 3" xfId="17095"/>
    <cellStyle name="注释 2 7 3 14 4" xfId="25951"/>
    <cellStyle name="注释 2 7 3 14 5" xfId="29179"/>
    <cellStyle name="注释 2 7 3 15" xfId="5412"/>
    <cellStyle name="注释 2 7 3 15 2" xfId="10662"/>
    <cellStyle name="注释 2 7 3 15 3" xfId="17096"/>
    <cellStyle name="注释 2 7 3 15 4" xfId="25952"/>
    <cellStyle name="注释 2 7 3 15 5" xfId="29180"/>
    <cellStyle name="注释 2 7 3 16" xfId="5413"/>
    <cellStyle name="注释 2 7 3 16 2" xfId="10663"/>
    <cellStyle name="注释 2 7 3 16 3" xfId="17097"/>
    <cellStyle name="注释 2 7 3 16 4" xfId="25953"/>
    <cellStyle name="注释 2 7 3 16 5" xfId="29181"/>
    <cellStyle name="注释 2 7 3 17" xfId="5414"/>
    <cellStyle name="注释 2 7 3 17 2" xfId="10664"/>
    <cellStyle name="注释 2 7 3 17 3" xfId="17098"/>
    <cellStyle name="注释 2 7 3 17 4" xfId="25954"/>
    <cellStyle name="注释 2 7 3 17 5" xfId="29182"/>
    <cellStyle name="注释 2 7 3 18" xfId="7304"/>
    <cellStyle name="注释 2 7 3 18 2" xfId="10656"/>
    <cellStyle name="注释 2 7 3 18 2 2" xfId="23718"/>
    <cellStyle name="注释 2 7 3 18 2 3" xfId="26303"/>
    <cellStyle name="注释 2 7 3 18 2 4" xfId="23604"/>
    <cellStyle name="注释 2 7 3 18 3" xfId="17394"/>
    <cellStyle name="注释 2 7 3 18 3 2" xfId="27025"/>
    <cellStyle name="注释 2 7 3 18 3 2 2" xfId="27069"/>
    <cellStyle name="注释 2 7 3 18 3 3" xfId="26189"/>
    <cellStyle name="注释 2 7 3 18 4" xfId="22231"/>
    <cellStyle name="注释 2 7 3 18 5" xfId="22907"/>
    <cellStyle name="注释 2 7 3 19" xfId="11649"/>
    <cellStyle name="注释 2 7 3 19 2" xfId="23829"/>
    <cellStyle name="注释 2 7 3 19 3" xfId="26414"/>
    <cellStyle name="注释 2 7 3 19 4" xfId="23540"/>
    <cellStyle name="注释 2 7 3 2" xfId="5406"/>
    <cellStyle name="注释 2 7 3 2 2" xfId="10665"/>
    <cellStyle name="注释 2 7 3 2 3" xfId="17099"/>
    <cellStyle name="注释 2 7 3 2 4" xfId="25955"/>
    <cellStyle name="注释 2 7 3 2 5" xfId="26658"/>
    <cellStyle name="注释 2 7 3 2 6" xfId="26921"/>
    <cellStyle name="注释 2 7 3 2 7" xfId="29174"/>
    <cellStyle name="注释 2 7 3 20" xfId="13448"/>
    <cellStyle name="注释 2 7 3 21" xfId="17090"/>
    <cellStyle name="注释 2 7 3 22" xfId="7453"/>
    <cellStyle name="注释 2 7 3 22 2" xfId="29390"/>
    <cellStyle name="注释 2 7 3 22 2 2" xfId="33181"/>
    <cellStyle name="注释 2 7 3 22 3" xfId="33541"/>
    <cellStyle name="注释 2 7 3 22 4" xfId="25946"/>
    <cellStyle name="注释 2 7 3 23" xfId="19618"/>
    <cellStyle name="注释 2 7 3 23 2" xfId="29489"/>
    <cellStyle name="注释 2 7 3 23 2 2" xfId="33420"/>
    <cellStyle name="注释 2 7 3 23 3" xfId="33564"/>
    <cellStyle name="注释 2 7 3 23 4" xfId="26920"/>
    <cellStyle name="注释 2 7 3 24" xfId="22703"/>
    <cellStyle name="注释 2 7 3 24 2" xfId="29583"/>
    <cellStyle name="注释 2 7 3 25" xfId="20766"/>
    <cellStyle name="注释 2 7 3 25 2" xfId="29709"/>
    <cellStyle name="注释 2 7 3 26" xfId="31310"/>
    <cellStyle name="注释 2 7 3 27" xfId="31655"/>
    <cellStyle name="注释 2 7 3 3" xfId="5416"/>
    <cellStyle name="注释 2 7 3 3 2" xfId="10666"/>
    <cellStyle name="注释 2 7 3 3 3" xfId="17100"/>
    <cellStyle name="注释 2 7 3 3 4" xfId="25956"/>
    <cellStyle name="注释 2 7 3 3 5" xfId="26922"/>
    <cellStyle name="注释 2 7 3 3 6" xfId="29183"/>
    <cellStyle name="注释 2 7 3 4" xfId="5417"/>
    <cellStyle name="注释 2 7 3 4 2" xfId="10667"/>
    <cellStyle name="注释 2 7 3 4 3" xfId="17101"/>
    <cellStyle name="注释 2 7 3 4 4" xfId="25957"/>
    <cellStyle name="注释 2 7 3 4 5" xfId="26923"/>
    <cellStyle name="注释 2 7 3 4 6" xfId="29184"/>
    <cellStyle name="注释 2 7 3 5" xfId="5418"/>
    <cellStyle name="注释 2 7 3 5 2" xfId="10668"/>
    <cellStyle name="注释 2 7 3 5 3" xfId="17102"/>
    <cellStyle name="注释 2 7 3 5 4" xfId="25958"/>
    <cellStyle name="注释 2 7 3 5 5" xfId="26924"/>
    <cellStyle name="注释 2 7 3 5 6" xfId="29185"/>
    <cellStyle name="注释 2 7 3 6" xfId="5419"/>
    <cellStyle name="注释 2 7 3 6 2" xfId="10669"/>
    <cellStyle name="注释 2 7 3 6 3" xfId="17103"/>
    <cellStyle name="注释 2 7 3 6 4" xfId="25959"/>
    <cellStyle name="注释 2 7 3 6 5" xfId="26925"/>
    <cellStyle name="注释 2 7 3 6 6" xfId="29186"/>
    <cellStyle name="注释 2 7 3 7" xfId="5420"/>
    <cellStyle name="注释 2 7 3 7 2" xfId="10670"/>
    <cellStyle name="注释 2 7 3 7 3" xfId="17104"/>
    <cellStyle name="注释 2 7 3 7 4" xfId="25960"/>
    <cellStyle name="注释 2 7 3 7 5" xfId="29187"/>
    <cellStyle name="注释 2 7 3 8" xfId="5421"/>
    <cellStyle name="注释 2 7 3 8 2" xfId="10671"/>
    <cellStyle name="注释 2 7 3 8 3" xfId="17105"/>
    <cellStyle name="注释 2 7 3 8 4" xfId="25961"/>
    <cellStyle name="注释 2 7 3 8 5" xfId="29188"/>
    <cellStyle name="注释 2 7 3 9" xfId="5422"/>
    <cellStyle name="注释 2 7 3 9 2" xfId="10672"/>
    <cellStyle name="注释 2 7 3 9 3" xfId="17106"/>
    <cellStyle name="注释 2 7 3 9 4" xfId="25962"/>
    <cellStyle name="注释 2 7 3 9 5" xfId="29189"/>
    <cellStyle name="注释 2 7 4" xfId="5388"/>
    <cellStyle name="注释 2 7 5" xfId="7302"/>
    <cellStyle name="注释 2 7 6" xfId="13446"/>
    <cellStyle name="注释 2 7 7" xfId="17072"/>
    <cellStyle name="注释 2 7 8" xfId="7455"/>
    <cellStyle name="注释 2 7 9" xfId="19616"/>
    <cellStyle name="注释 2 8" xfId="1765"/>
    <cellStyle name="注释 2 8 10" xfId="22485"/>
    <cellStyle name="注释 2 8 11" xfId="20737"/>
    <cellStyle name="注释 2 8 12" xfId="31312"/>
    <cellStyle name="注释 2 8 13" xfId="33254"/>
    <cellStyle name="注释 2 8 2" xfId="1766"/>
    <cellStyle name="注释 2 8 2 10" xfId="5425"/>
    <cellStyle name="注释 2 8 2 10 2" xfId="10675"/>
    <cellStyle name="注释 2 8 2 10 3" xfId="17109"/>
    <cellStyle name="注释 2 8 2 10 4" xfId="25964"/>
    <cellStyle name="注释 2 8 2 10 5" xfId="29191"/>
    <cellStyle name="注释 2 8 2 11" xfId="5426"/>
    <cellStyle name="注释 2 8 2 11 2" xfId="10676"/>
    <cellStyle name="注释 2 8 2 11 3" xfId="17110"/>
    <cellStyle name="注释 2 8 2 11 4" xfId="25965"/>
    <cellStyle name="注释 2 8 2 11 5" xfId="29192"/>
    <cellStyle name="注释 2 8 2 12" xfId="5427"/>
    <cellStyle name="注释 2 8 2 12 2" xfId="10677"/>
    <cellStyle name="注释 2 8 2 12 3" xfId="17111"/>
    <cellStyle name="注释 2 8 2 12 4" xfId="25966"/>
    <cellStyle name="注释 2 8 2 12 5" xfId="29193"/>
    <cellStyle name="注释 2 8 2 13" xfId="5428"/>
    <cellStyle name="注释 2 8 2 13 2" xfId="10678"/>
    <cellStyle name="注释 2 8 2 13 3" xfId="17112"/>
    <cellStyle name="注释 2 8 2 13 4" xfId="25967"/>
    <cellStyle name="注释 2 8 2 13 5" xfId="29194"/>
    <cellStyle name="注释 2 8 2 14" xfId="5429"/>
    <cellStyle name="注释 2 8 2 14 2" xfId="10679"/>
    <cellStyle name="注释 2 8 2 14 3" xfId="17113"/>
    <cellStyle name="注释 2 8 2 14 4" xfId="25968"/>
    <cellStyle name="注释 2 8 2 14 5" xfId="29195"/>
    <cellStyle name="注释 2 8 2 15" xfId="5430"/>
    <cellStyle name="注释 2 8 2 15 2" xfId="10680"/>
    <cellStyle name="注释 2 8 2 15 3" xfId="17114"/>
    <cellStyle name="注释 2 8 2 15 4" xfId="25969"/>
    <cellStyle name="注释 2 8 2 15 5" xfId="29196"/>
    <cellStyle name="注释 2 8 2 16" xfId="5431"/>
    <cellStyle name="注释 2 8 2 16 2" xfId="10681"/>
    <cellStyle name="注释 2 8 2 16 3" xfId="17115"/>
    <cellStyle name="注释 2 8 2 16 4" xfId="25970"/>
    <cellStyle name="注释 2 8 2 16 5" xfId="29197"/>
    <cellStyle name="注释 2 8 2 17" xfId="5432"/>
    <cellStyle name="注释 2 8 2 17 2" xfId="10682"/>
    <cellStyle name="注释 2 8 2 17 3" xfId="17116"/>
    <cellStyle name="注释 2 8 2 17 4" xfId="25971"/>
    <cellStyle name="注释 2 8 2 17 5" xfId="29198"/>
    <cellStyle name="注释 2 8 2 18" xfId="7306"/>
    <cellStyle name="注释 2 8 2 18 2" xfId="10674"/>
    <cellStyle name="注释 2 8 2 18 2 2" xfId="23719"/>
    <cellStyle name="注释 2 8 2 18 2 3" xfId="26304"/>
    <cellStyle name="注释 2 8 2 18 2 4" xfId="23605"/>
    <cellStyle name="注释 2 8 2 18 3" xfId="17395"/>
    <cellStyle name="注释 2 8 2 18 3 2" xfId="27026"/>
    <cellStyle name="注释 2 8 2 18 3 2 2" xfId="27070"/>
    <cellStyle name="注释 2 8 2 18 3 3" xfId="26190"/>
    <cellStyle name="注释 2 8 2 18 4" xfId="22249"/>
    <cellStyle name="注释 2 8 2 18 5" xfId="22906"/>
    <cellStyle name="注释 2 8 2 19" xfId="11651"/>
    <cellStyle name="注释 2 8 2 19 2" xfId="23830"/>
    <cellStyle name="注释 2 8 2 19 3" xfId="26415"/>
    <cellStyle name="注释 2 8 2 19 4" xfId="23541"/>
    <cellStyle name="注释 2 8 2 2" xfId="5424"/>
    <cellStyle name="注释 2 8 2 2 2" xfId="10683"/>
    <cellStyle name="注释 2 8 2 2 3" xfId="17117"/>
    <cellStyle name="注释 2 8 2 2 4" xfId="25972"/>
    <cellStyle name="注释 2 8 2 2 5" xfId="26659"/>
    <cellStyle name="注释 2 8 2 2 6" xfId="26927"/>
    <cellStyle name="注释 2 8 2 2 7" xfId="29190"/>
    <cellStyle name="注释 2 8 2 20" xfId="13450"/>
    <cellStyle name="注释 2 8 2 21" xfId="17108"/>
    <cellStyle name="注释 2 8 2 22" xfId="7451"/>
    <cellStyle name="注释 2 8 2 22 2" xfId="29389"/>
    <cellStyle name="注释 2 8 2 22 2 2" xfId="33182"/>
    <cellStyle name="注释 2 8 2 22 3" xfId="33542"/>
    <cellStyle name="注释 2 8 2 22 4" xfId="25963"/>
    <cellStyle name="注释 2 8 2 23" xfId="19620"/>
    <cellStyle name="注释 2 8 2 23 2" xfId="29490"/>
    <cellStyle name="注释 2 8 2 23 2 2" xfId="33421"/>
    <cellStyle name="注释 2 8 2 23 3" xfId="33565"/>
    <cellStyle name="注释 2 8 2 23 4" xfId="26926"/>
    <cellStyle name="注释 2 8 2 24" xfId="21945"/>
    <cellStyle name="注释 2 8 2 24 2" xfId="29584"/>
    <cellStyle name="注释 2 8 2 25" xfId="20124"/>
    <cellStyle name="注释 2 8 2 25 2" xfId="29708"/>
    <cellStyle name="注释 2 8 2 26" xfId="31313"/>
    <cellStyle name="注释 2 8 2 27" xfId="32997"/>
    <cellStyle name="注释 2 8 2 3" xfId="5434"/>
    <cellStyle name="注释 2 8 2 3 2" xfId="10684"/>
    <cellStyle name="注释 2 8 2 3 3" xfId="17118"/>
    <cellStyle name="注释 2 8 2 3 4" xfId="25973"/>
    <cellStyle name="注释 2 8 2 3 5" xfId="26928"/>
    <cellStyle name="注释 2 8 2 3 6" xfId="29199"/>
    <cellStyle name="注释 2 8 2 4" xfId="5435"/>
    <cellStyle name="注释 2 8 2 4 2" xfId="10685"/>
    <cellStyle name="注释 2 8 2 4 3" xfId="17119"/>
    <cellStyle name="注释 2 8 2 4 4" xfId="25974"/>
    <cellStyle name="注释 2 8 2 4 5" xfId="26929"/>
    <cellStyle name="注释 2 8 2 4 6" xfId="29200"/>
    <cellStyle name="注释 2 8 2 5" xfId="5436"/>
    <cellStyle name="注释 2 8 2 5 2" xfId="10686"/>
    <cellStyle name="注释 2 8 2 5 3" xfId="17120"/>
    <cellStyle name="注释 2 8 2 5 4" xfId="25975"/>
    <cellStyle name="注释 2 8 2 5 5" xfId="26930"/>
    <cellStyle name="注释 2 8 2 5 6" xfId="29201"/>
    <cellStyle name="注释 2 8 2 6" xfId="5437"/>
    <cellStyle name="注释 2 8 2 6 2" xfId="10687"/>
    <cellStyle name="注释 2 8 2 6 3" xfId="17121"/>
    <cellStyle name="注释 2 8 2 6 4" xfId="25976"/>
    <cellStyle name="注释 2 8 2 6 5" xfId="26931"/>
    <cellStyle name="注释 2 8 2 6 6" xfId="29202"/>
    <cellStyle name="注释 2 8 2 7" xfId="5438"/>
    <cellStyle name="注释 2 8 2 7 2" xfId="10688"/>
    <cellStyle name="注释 2 8 2 7 3" xfId="17122"/>
    <cellStyle name="注释 2 8 2 7 4" xfId="25977"/>
    <cellStyle name="注释 2 8 2 7 5" xfId="29203"/>
    <cellStyle name="注释 2 8 2 8" xfId="5439"/>
    <cellStyle name="注释 2 8 2 8 2" xfId="10689"/>
    <cellStyle name="注释 2 8 2 8 3" xfId="17123"/>
    <cellStyle name="注释 2 8 2 8 4" xfId="25978"/>
    <cellStyle name="注释 2 8 2 8 5" xfId="29204"/>
    <cellStyle name="注释 2 8 2 9" xfId="5440"/>
    <cellStyle name="注释 2 8 2 9 2" xfId="10690"/>
    <cellStyle name="注释 2 8 2 9 3" xfId="17124"/>
    <cellStyle name="注释 2 8 2 9 4" xfId="25979"/>
    <cellStyle name="注释 2 8 2 9 5" xfId="29205"/>
    <cellStyle name="注释 2 8 3" xfId="1767"/>
    <cellStyle name="注释 2 8 3 10" xfId="5442"/>
    <cellStyle name="注释 2 8 3 10 2" xfId="10692"/>
    <cellStyle name="注释 2 8 3 10 3" xfId="17126"/>
    <cellStyle name="注释 2 8 3 10 4" xfId="25981"/>
    <cellStyle name="注释 2 8 3 10 5" xfId="29207"/>
    <cellStyle name="注释 2 8 3 11" xfId="5443"/>
    <cellStyle name="注释 2 8 3 11 2" xfId="10693"/>
    <cellStyle name="注释 2 8 3 11 3" xfId="17127"/>
    <cellStyle name="注释 2 8 3 11 4" xfId="25982"/>
    <cellStyle name="注释 2 8 3 11 5" xfId="29208"/>
    <cellStyle name="注释 2 8 3 12" xfId="5444"/>
    <cellStyle name="注释 2 8 3 12 2" xfId="10694"/>
    <cellStyle name="注释 2 8 3 12 3" xfId="17128"/>
    <cellStyle name="注释 2 8 3 12 4" xfId="25983"/>
    <cellStyle name="注释 2 8 3 12 5" xfId="29209"/>
    <cellStyle name="注释 2 8 3 13" xfId="5445"/>
    <cellStyle name="注释 2 8 3 13 2" xfId="10695"/>
    <cellStyle name="注释 2 8 3 13 3" xfId="17129"/>
    <cellStyle name="注释 2 8 3 13 4" xfId="25984"/>
    <cellStyle name="注释 2 8 3 13 5" xfId="29210"/>
    <cellStyle name="注释 2 8 3 14" xfId="5446"/>
    <cellStyle name="注释 2 8 3 14 2" xfId="10696"/>
    <cellStyle name="注释 2 8 3 14 3" xfId="17130"/>
    <cellStyle name="注释 2 8 3 14 4" xfId="25985"/>
    <cellStyle name="注释 2 8 3 14 5" xfId="29211"/>
    <cellStyle name="注释 2 8 3 15" xfId="5447"/>
    <cellStyle name="注释 2 8 3 15 2" xfId="10697"/>
    <cellStyle name="注释 2 8 3 15 3" xfId="17131"/>
    <cellStyle name="注释 2 8 3 15 4" xfId="25986"/>
    <cellStyle name="注释 2 8 3 15 5" xfId="29212"/>
    <cellStyle name="注释 2 8 3 16" xfId="5448"/>
    <cellStyle name="注释 2 8 3 16 2" xfId="10698"/>
    <cellStyle name="注释 2 8 3 16 3" xfId="17132"/>
    <cellStyle name="注释 2 8 3 16 4" xfId="25987"/>
    <cellStyle name="注释 2 8 3 16 5" xfId="29213"/>
    <cellStyle name="注释 2 8 3 17" xfId="5449"/>
    <cellStyle name="注释 2 8 3 17 2" xfId="10699"/>
    <cellStyle name="注释 2 8 3 17 3" xfId="17133"/>
    <cellStyle name="注释 2 8 3 17 4" xfId="25988"/>
    <cellStyle name="注释 2 8 3 17 5" xfId="29214"/>
    <cellStyle name="注释 2 8 3 18" xfId="7307"/>
    <cellStyle name="注释 2 8 3 18 2" xfId="10691"/>
    <cellStyle name="注释 2 8 3 18 2 2" xfId="23720"/>
    <cellStyle name="注释 2 8 3 18 2 3" xfId="26305"/>
    <cellStyle name="注释 2 8 3 18 2 4" xfId="23606"/>
    <cellStyle name="注释 2 8 3 18 3" xfId="17396"/>
    <cellStyle name="注释 2 8 3 18 3 2" xfId="27027"/>
    <cellStyle name="注释 2 8 3 18 3 2 2" xfId="27071"/>
    <cellStyle name="注释 2 8 3 18 3 3" xfId="26191"/>
    <cellStyle name="注释 2 8 3 18 4" xfId="22266"/>
    <cellStyle name="注释 2 8 3 18 5" xfId="21910"/>
    <cellStyle name="注释 2 8 3 19" xfId="11652"/>
    <cellStyle name="注释 2 8 3 19 2" xfId="23831"/>
    <cellStyle name="注释 2 8 3 19 3" xfId="26416"/>
    <cellStyle name="注释 2 8 3 19 4" xfId="23542"/>
    <cellStyle name="注释 2 8 3 2" xfId="5441"/>
    <cellStyle name="注释 2 8 3 2 2" xfId="10700"/>
    <cellStyle name="注释 2 8 3 2 3" xfId="17134"/>
    <cellStyle name="注释 2 8 3 2 4" xfId="25989"/>
    <cellStyle name="注释 2 8 3 2 5" xfId="26660"/>
    <cellStyle name="注释 2 8 3 2 6" xfId="26933"/>
    <cellStyle name="注释 2 8 3 2 7" xfId="29206"/>
    <cellStyle name="注释 2 8 3 20" xfId="13451"/>
    <cellStyle name="注释 2 8 3 21" xfId="17125"/>
    <cellStyle name="注释 2 8 3 22" xfId="7450"/>
    <cellStyle name="注释 2 8 3 22 2" xfId="29388"/>
    <cellStyle name="注释 2 8 3 22 2 2" xfId="33183"/>
    <cellStyle name="注释 2 8 3 22 3" xfId="33543"/>
    <cellStyle name="注释 2 8 3 22 4" xfId="25980"/>
    <cellStyle name="注释 2 8 3 23" xfId="19621"/>
    <cellStyle name="注释 2 8 3 23 2" xfId="29491"/>
    <cellStyle name="注释 2 8 3 23 2 2" xfId="33422"/>
    <cellStyle name="注释 2 8 3 23 3" xfId="33566"/>
    <cellStyle name="注释 2 8 3 23 4" xfId="26932"/>
    <cellStyle name="注释 2 8 3 24" xfId="22934"/>
    <cellStyle name="注释 2 8 3 24 2" xfId="29585"/>
    <cellStyle name="注释 2 8 3 25" xfId="19684"/>
    <cellStyle name="注释 2 8 3 25 2" xfId="29653"/>
    <cellStyle name="注释 2 8 3 26" xfId="31326"/>
    <cellStyle name="注释 2 8 3 27" xfId="33253"/>
    <cellStyle name="注释 2 8 3 3" xfId="5451"/>
    <cellStyle name="注释 2 8 3 3 2" xfId="10701"/>
    <cellStyle name="注释 2 8 3 3 3" xfId="17135"/>
    <cellStyle name="注释 2 8 3 3 4" xfId="25990"/>
    <cellStyle name="注释 2 8 3 3 5" xfId="26934"/>
    <cellStyle name="注释 2 8 3 3 6" xfId="29215"/>
    <cellStyle name="注释 2 8 3 4" xfId="5452"/>
    <cellStyle name="注释 2 8 3 4 2" xfId="10702"/>
    <cellStyle name="注释 2 8 3 4 3" xfId="17136"/>
    <cellStyle name="注释 2 8 3 4 4" xfId="25991"/>
    <cellStyle name="注释 2 8 3 4 5" xfId="26935"/>
    <cellStyle name="注释 2 8 3 4 6" xfId="29216"/>
    <cellStyle name="注释 2 8 3 5" xfId="5453"/>
    <cellStyle name="注释 2 8 3 5 2" xfId="10703"/>
    <cellStyle name="注释 2 8 3 5 3" xfId="17137"/>
    <cellStyle name="注释 2 8 3 5 4" xfId="25992"/>
    <cellStyle name="注释 2 8 3 5 5" xfId="26936"/>
    <cellStyle name="注释 2 8 3 5 6" xfId="29217"/>
    <cellStyle name="注释 2 8 3 6" xfId="5454"/>
    <cellStyle name="注释 2 8 3 6 2" xfId="10704"/>
    <cellStyle name="注释 2 8 3 6 3" xfId="17138"/>
    <cellStyle name="注释 2 8 3 6 4" xfId="25993"/>
    <cellStyle name="注释 2 8 3 6 5" xfId="26937"/>
    <cellStyle name="注释 2 8 3 6 6" xfId="29218"/>
    <cellStyle name="注释 2 8 3 7" xfId="5455"/>
    <cellStyle name="注释 2 8 3 7 2" xfId="10705"/>
    <cellStyle name="注释 2 8 3 7 3" xfId="17139"/>
    <cellStyle name="注释 2 8 3 7 4" xfId="25994"/>
    <cellStyle name="注释 2 8 3 7 5" xfId="29219"/>
    <cellStyle name="注释 2 8 3 8" xfId="5456"/>
    <cellStyle name="注释 2 8 3 8 2" xfId="10706"/>
    <cellStyle name="注释 2 8 3 8 3" xfId="17140"/>
    <cellStyle name="注释 2 8 3 8 4" xfId="25995"/>
    <cellStyle name="注释 2 8 3 8 5" xfId="29220"/>
    <cellStyle name="注释 2 8 3 9" xfId="5457"/>
    <cellStyle name="注释 2 8 3 9 2" xfId="10707"/>
    <cellStyle name="注释 2 8 3 9 3" xfId="17141"/>
    <cellStyle name="注释 2 8 3 9 4" xfId="25996"/>
    <cellStyle name="注释 2 8 3 9 5" xfId="29221"/>
    <cellStyle name="注释 2 8 4" xfId="5423"/>
    <cellStyle name="注释 2 8 5" xfId="7305"/>
    <cellStyle name="注释 2 8 6" xfId="13449"/>
    <cellStyle name="注释 2 8 7" xfId="17107"/>
    <cellStyle name="注释 2 8 8" xfId="7452"/>
    <cellStyle name="注释 2 8 9" xfId="19619"/>
    <cellStyle name="注释 2 9" xfId="1768"/>
    <cellStyle name="注释 2 9 10" xfId="31341"/>
    <cellStyle name="注释 2 9 11" xfId="32354"/>
    <cellStyle name="注释 2 9 2" xfId="5458"/>
    <cellStyle name="注释 2 9 3" xfId="7308"/>
    <cellStyle name="注释 2 9 4" xfId="13452"/>
    <cellStyle name="注释 2 9 5" xfId="17142"/>
    <cellStyle name="注释 2 9 6" xfId="7449"/>
    <cellStyle name="注释 2 9 7" xfId="19622"/>
    <cellStyle name="注释 2 9 8" xfId="22710"/>
    <cellStyle name="注释 2 9 9" xfId="21420"/>
    <cellStyle name="注释 20" xfId="1769"/>
    <cellStyle name="注释 20 10" xfId="5460"/>
    <cellStyle name="注释 20 10 2" xfId="10710"/>
    <cellStyle name="注释 20 10 3" xfId="17144"/>
    <cellStyle name="注释 20 10 4" xfId="25997"/>
    <cellStyle name="注释 20 10 5" xfId="29223"/>
    <cellStyle name="注释 20 11" xfId="5461"/>
    <cellStyle name="注释 20 11 2" xfId="10711"/>
    <cellStyle name="注释 20 11 3" xfId="17145"/>
    <cellStyle name="注释 20 11 4" xfId="25998"/>
    <cellStyle name="注释 20 11 5" xfId="29224"/>
    <cellStyle name="注释 20 12" xfId="5462"/>
    <cellStyle name="注释 20 12 2" xfId="10712"/>
    <cellStyle name="注释 20 12 3" xfId="17146"/>
    <cellStyle name="注释 20 12 4" xfId="25999"/>
    <cellStyle name="注释 20 12 5" xfId="29225"/>
    <cellStyle name="注释 20 13" xfId="5463"/>
    <cellStyle name="注释 20 13 2" xfId="10713"/>
    <cellStyle name="注释 20 13 3" xfId="17147"/>
    <cellStyle name="注释 20 13 4" xfId="26000"/>
    <cellStyle name="注释 20 13 5" xfId="29226"/>
    <cellStyle name="注释 20 14" xfId="5464"/>
    <cellStyle name="注释 20 14 2" xfId="10714"/>
    <cellStyle name="注释 20 14 3" xfId="17148"/>
    <cellStyle name="注释 20 14 4" xfId="26001"/>
    <cellStyle name="注释 20 14 5" xfId="29227"/>
    <cellStyle name="注释 20 15" xfId="5465"/>
    <cellStyle name="注释 20 15 2" xfId="10715"/>
    <cellStyle name="注释 20 15 3" xfId="17149"/>
    <cellStyle name="注释 20 15 4" xfId="26002"/>
    <cellStyle name="注释 20 15 5" xfId="29228"/>
    <cellStyle name="注释 20 16" xfId="5466"/>
    <cellStyle name="注释 20 16 2" xfId="10716"/>
    <cellStyle name="注释 20 16 3" xfId="17150"/>
    <cellStyle name="注释 20 16 4" xfId="26003"/>
    <cellStyle name="注释 20 16 5" xfId="29229"/>
    <cellStyle name="注释 20 17" xfId="5467"/>
    <cellStyle name="注释 20 17 2" xfId="10717"/>
    <cellStyle name="注释 20 17 3" xfId="17151"/>
    <cellStyle name="注释 20 17 4" xfId="26004"/>
    <cellStyle name="注释 20 17 5" xfId="29230"/>
    <cellStyle name="注释 20 18" xfId="5468"/>
    <cellStyle name="注释 20 18 2" xfId="10718"/>
    <cellStyle name="注释 20 18 3" xfId="17152"/>
    <cellStyle name="注释 20 18 4" xfId="26005"/>
    <cellStyle name="注释 20 18 5" xfId="29231"/>
    <cellStyle name="注释 20 19" xfId="5469"/>
    <cellStyle name="注释 20 19 2" xfId="10719"/>
    <cellStyle name="注释 20 19 3" xfId="17153"/>
    <cellStyle name="注释 20 19 4" xfId="26006"/>
    <cellStyle name="注释 20 19 5" xfId="29232"/>
    <cellStyle name="注释 20 2" xfId="5459"/>
    <cellStyle name="注释 20 2 2" xfId="10720"/>
    <cellStyle name="注释 20 2 3" xfId="17154"/>
    <cellStyle name="注释 20 2 4" xfId="26007"/>
    <cellStyle name="注释 20 2 5" xfId="29222"/>
    <cellStyle name="注释 20 20" xfId="5471"/>
    <cellStyle name="注释 20 20 2" xfId="10721"/>
    <cellStyle name="注释 20 20 3" xfId="17155"/>
    <cellStyle name="注释 20 20 4" xfId="26008"/>
    <cellStyle name="注释 20 20 5" xfId="29233"/>
    <cellStyle name="注释 20 21" xfId="5472"/>
    <cellStyle name="注释 20 21 2" xfId="10722"/>
    <cellStyle name="注释 20 21 3" xfId="17156"/>
    <cellStyle name="注释 20 21 4" xfId="26009"/>
    <cellStyle name="注释 20 21 5" xfId="29234"/>
    <cellStyle name="注释 20 22" xfId="5473"/>
    <cellStyle name="注释 20 22 2" xfId="10723"/>
    <cellStyle name="注释 20 22 3" xfId="17157"/>
    <cellStyle name="注释 20 22 4" xfId="26010"/>
    <cellStyle name="注释 20 22 5" xfId="29235"/>
    <cellStyle name="注释 20 23" xfId="5474"/>
    <cellStyle name="注释 20 23 2" xfId="10724"/>
    <cellStyle name="注释 20 23 3" xfId="17158"/>
    <cellStyle name="注释 20 23 4" xfId="26011"/>
    <cellStyle name="注释 20 23 5" xfId="29236"/>
    <cellStyle name="注释 20 24" xfId="7309"/>
    <cellStyle name="注释 20 25" xfId="11654"/>
    <cellStyle name="注释 20 26" xfId="13453"/>
    <cellStyle name="注释 20 27" xfId="17143"/>
    <cellStyle name="注释 20 28" xfId="7448"/>
    <cellStyle name="注释 20 29" xfId="19623"/>
    <cellStyle name="注释 20 3" xfId="5475"/>
    <cellStyle name="注释 20 3 2" xfId="10725"/>
    <cellStyle name="注释 20 3 3" xfId="17159"/>
    <cellStyle name="注释 20 3 4" xfId="26012"/>
    <cellStyle name="注释 20 3 5" xfId="29237"/>
    <cellStyle name="注释 20 30" xfId="22492"/>
    <cellStyle name="注释 20 31" xfId="20374"/>
    <cellStyle name="注释 20 32" xfId="31342"/>
    <cellStyle name="注释 20 33" xfId="32122"/>
    <cellStyle name="注释 20 4" xfId="5476"/>
    <cellStyle name="注释 20 4 2" xfId="10726"/>
    <cellStyle name="注释 20 4 3" xfId="17160"/>
    <cellStyle name="注释 20 4 4" xfId="26013"/>
    <cellStyle name="注释 20 4 5" xfId="29238"/>
    <cellStyle name="注释 20 5" xfId="5477"/>
    <cellStyle name="注释 20 5 2" xfId="10727"/>
    <cellStyle name="注释 20 5 3" xfId="17161"/>
    <cellStyle name="注释 20 5 4" xfId="26014"/>
    <cellStyle name="注释 20 5 5" xfId="29239"/>
    <cellStyle name="注释 20 6" xfId="5478"/>
    <cellStyle name="注释 20 6 2" xfId="10728"/>
    <cellStyle name="注释 20 6 3" xfId="17162"/>
    <cellStyle name="注释 20 6 4" xfId="26015"/>
    <cellStyle name="注释 20 6 5" xfId="29240"/>
    <cellStyle name="注释 20 7" xfId="5479"/>
    <cellStyle name="注释 20 7 2" xfId="10729"/>
    <cellStyle name="注释 20 7 3" xfId="17163"/>
    <cellStyle name="注释 20 7 4" xfId="26016"/>
    <cellStyle name="注释 20 7 5" xfId="29241"/>
    <cellStyle name="注释 20 8" xfId="5480"/>
    <cellStyle name="注释 20 8 2" xfId="10730"/>
    <cellStyle name="注释 20 8 3" xfId="17164"/>
    <cellStyle name="注释 20 8 4" xfId="26017"/>
    <cellStyle name="注释 20 8 5" xfId="29242"/>
    <cellStyle name="注释 20 9" xfId="5481"/>
    <cellStyle name="注释 20 9 2" xfId="10731"/>
    <cellStyle name="注释 20 9 3" xfId="17165"/>
    <cellStyle name="注释 20 9 4" xfId="26018"/>
    <cellStyle name="注释 20 9 5" xfId="29243"/>
    <cellStyle name="注释 21" xfId="1770"/>
    <cellStyle name="注释 21 10" xfId="5483"/>
    <cellStyle name="注释 21 10 2" xfId="10733"/>
    <cellStyle name="注释 21 10 3" xfId="17167"/>
    <cellStyle name="注释 21 10 4" xfId="26019"/>
    <cellStyle name="注释 21 10 5" xfId="29245"/>
    <cellStyle name="注释 21 11" xfId="5484"/>
    <cellStyle name="注释 21 11 2" xfId="10734"/>
    <cellStyle name="注释 21 11 3" xfId="17168"/>
    <cellStyle name="注释 21 11 4" xfId="26020"/>
    <cellStyle name="注释 21 11 5" xfId="29246"/>
    <cellStyle name="注释 21 12" xfId="5485"/>
    <cellStyle name="注释 21 12 2" xfId="10735"/>
    <cellStyle name="注释 21 12 3" xfId="17169"/>
    <cellStyle name="注释 21 12 4" xfId="26021"/>
    <cellStyle name="注释 21 12 5" xfId="29247"/>
    <cellStyle name="注释 21 13" xfId="5486"/>
    <cellStyle name="注释 21 13 2" xfId="10736"/>
    <cellStyle name="注释 21 13 3" xfId="17170"/>
    <cellStyle name="注释 21 13 4" xfId="26022"/>
    <cellStyle name="注释 21 13 5" xfId="29248"/>
    <cellStyle name="注释 21 14" xfId="5487"/>
    <cellStyle name="注释 21 14 2" xfId="10737"/>
    <cellStyle name="注释 21 14 3" xfId="17171"/>
    <cellStyle name="注释 21 14 4" xfId="26023"/>
    <cellStyle name="注释 21 14 5" xfId="29249"/>
    <cellStyle name="注释 21 15" xfId="5488"/>
    <cellStyle name="注释 21 15 2" xfId="10738"/>
    <cellStyle name="注释 21 15 3" xfId="17172"/>
    <cellStyle name="注释 21 15 4" xfId="26024"/>
    <cellStyle name="注释 21 15 5" xfId="29250"/>
    <cellStyle name="注释 21 16" xfId="5489"/>
    <cellStyle name="注释 21 16 2" xfId="10739"/>
    <cellStyle name="注释 21 16 3" xfId="17173"/>
    <cellStyle name="注释 21 16 4" xfId="26025"/>
    <cellStyle name="注释 21 16 5" xfId="29251"/>
    <cellStyle name="注释 21 17" xfId="5490"/>
    <cellStyle name="注释 21 17 2" xfId="10740"/>
    <cellStyle name="注释 21 17 3" xfId="17174"/>
    <cellStyle name="注释 21 17 4" xfId="26026"/>
    <cellStyle name="注释 21 17 5" xfId="29252"/>
    <cellStyle name="注释 21 18" xfId="5491"/>
    <cellStyle name="注释 21 18 2" xfId="10741"/>
    <cellStyle name="注释 21 18 3" xfId="17175"/>
    <cellStyle name="注释 21 18 4" xfId="26027"/>
    <cellStyle name="注释 21 18 5" xfId="29253"/>
    <cellStyle name="注释 21 19" xfId="5492"/>
    <cellStyle name="注释 21 19 2" xfId="10742"/>
    <cellStyle name="注释 21 19 3" xfId="17176"/>
    <cellStyle name="注释 21 19 4" xfId="26028"/>
    <cellStyle name="注释 21 19 5" xfId="29254"/>
    <cellStyle name="注释 21 2" xfId="5482"/>
    <cellStyle name="注释 21 2 2" xfId="10743"/>
    <cellStyle name="注释 21 2 3" xfId="17177"/>
    <cellStyle name="注释 21 2 4" xfId="26029"/>
    <cellStyle name="注释 21 2 5" xfId="29244"/>
    <cellStyle name="注释 21 20" xfId="5494"/>
    <cellStyle name="注释 21 20 2" xfId="10744"/>
    <cellStyle name="注释 21 20 3" xfId="17178"/>
    <cellStyle name="注释 21 20 4" xfId="26030"/>
    <cellStyle name="注释 21 20 5" xfId="29255"/>
    <cellStyle name="注释 21 21" xfId="5495"/>
    <cellStyle name="注释 21 21 2" xfId="10745"/>
    <cellStyle name="注释 21 21 3" xfId="17179"/>
    <cellStyle name="注释 21 21 4" xfId="26031"/>
    <cellStyle name="注释 21 21 5" xfId="29256"/>
    <cellStyle name="注释 21 22" xfId="5496"/>
    <cellStyle name="注释 21 22 2" xfId="10746"/>
    <cellStyle name="注释 21 22 3" xfId="17180"/>
    <cellStyle name="注释 21 22 4" xfId="26032"/>
    <cellStyle name="注释 21 22 5" xfId="29257"/>
    <cellStyle name="注释 21 23" xfId="5497"/>
    <cellStyle name="注释 21 23 2" xfId="10747"/>
    <cellStyle name="注释 21 23 3" xfId="17181"/>
    <cellStyle name="注释 21 23 4" xfId="26033"/>
    <cellStyle name="注释 21 23 5" xfId="29258"/>
    <cellStyle name="注释 21 24" xfId="7310"/>
    <cellStyle name="注释 21 25" xfId="11655"/>
    <cellStyle name="注释 21 26" xfId="13454"/>
    <cellStyle name="注释 21 27" xfId="17166"/>
    <cellStyle name="注释 21 28" xfId="7447"/>
    <cellStyle name="注释 21 29" xfId="19624"/>
    <cellStyle name="注释 21 3" xfId="5498"/>
    <cellStyle name="注释 21 3 2" xfId="10748"/>
    <cellStyle name="注释 21 3 3" xfId="17182"/>
    <cellStyle name="注释 21 3 4" xfId="26034"/>
    <cellStyle name="注释 21 3 5" xfId="29259"/>
    <cellStyle name="注释 21 30" xfId="21952"/>
    <cellStyle name="注释 21 31" xfId="20770"/>
    <cellStyle name="注释 21 32" xfId="31349"/>
    <cellStyle name="注释 21 33" xfId="32121"/>
    <cellStyle name="注释 21 4" xfId="5499"/>
    <cellStyle name="注释 21 4 2" xfId="10749"/>
    <cellStyle name="注释 21 4 3" xfId="17183"/>
    <cellStyle name="注释 21 4 4" xfId="26035"/>
    <cellStyle name="注释 21 4 5" xfId="29260"/>
    <cellStyle name="注释 21 5" xfId="5500"/>
    <cellStyle name="注释 21 5 2" xfId="10750"/>
    <cellStyle name="注释 21 5 3" xfId="17184"/>
    <cellStyle name="注释 21 5 4" xfId="26036"/>
    <cellStyle name="注释 21 5 5" xfId="29261"/>
    <cellStyle name="注释 21 6" xfId="5501"/>
    <cellStyle name="注释 21 6 2" xfId="10751"/>
    <cellStyle name="注释 21 6 3" xfId="17185"/>
    <cellStyle name="注释 21 6 4" xfId="26037"/>
    <cellStyle name="注释 21 6 5" xfId="29262"/>
    <cellStyle name="注释 21 7" xfId="5502"/>
    <cellStyle name="注释 21 7 2" xfId="10752"/>
    <cellStyle name="注释 21 7 3" xfId="17186"/>
    <cellStyle name="注释 21 7 4" xfId="26038"/>
    <cellStyle name="注释 21 7 5" xfId="29263"/>
    <cellStyle name="注释 21 8" xfId="5503"/>
    <cellStyle name="注释 21 8 2" xfId="10753"/>
    <cellStyle name="注释 21 8 3" xfId="17187"/>
    <cellStyle name="注释 21 8 4" xfId="26039"/>
    <cellStyle name="注释 21 8 5" xfId="29264"/>
    <cellStyle name="注释 21 9" xfId="5504"/>
    <cellStyle name="注释 21 9 2" xfId="10754"/>
    <cellStyle name="注释 21 9 3" xfId="17188"/>
    <cellStyle name="注释 21 9 4" xfId="26040"/>
    <cellStyle name="注释 21 9 5" xfId="29265"/>
    <cellStyle name="注释 22" xfId="1771"/>
    <cellStyle name="注释 22 10" xfId="5506"/>
    <cellStyle name="注释 22 10 2" xfId="10756"/>
    <cellStyle name="注释 22 10 3" xfId="17190"/>
    <cellStyle name="注释 22 10 4" xfId="26041"/>
    <cellStyle name="注释 22 10 5" xfId="29267"/>
    <cellStyle name="注释 22 11" xfId="5507"/>
    <cellStyle name="注释 22 11 2" xfId="10757"/>
    <cellStyle name="注释 22 11 3" xfId="17191"/>
    <cellStyle name="注释 22 11 4" xfId="26042"/>
    <cellStyle name="注释 22 11 5" xfId="29268"/>
    <cellStyle name="注释 22 12" xfId="5508"/>
    <cellStyle name="注释 22 12 2" xfId="10758"/>
    <cellStyle name="注释 22 12 3" xfId="17192"/>
    <cellStyle name="注释 22 12 4" xfId="26043"/>
    <cellStyle name="注释 22 12 5" xfId="29269"/>
    <cellStyle name="注释 22 13" xfId="5509"/>
    <cellStyle name="注释 22 13 2" xfId="10759"/>
    <cellStyle name="注释 22 13 3" xfId="17193"/>
    <cellStyle name="注释 22 13 4" xfId="26044"/>
    <cellStyle name="注释 22 13 5" xfId="29270"/>
    <cellStyle name="注释 22 14" xfId="5510"/>
    <cellStyle name="注释 22 14 2" xfId="10760"/>
    <cellStyle name="注释 22 14 3" xfId="17194"/>
    <cellStyle name="注释 22 14 4" xfId="26045"/>
    <cellStyle name="注释 22 14 5" xfId="29271"/>
    <cellStyle name="注释 22 15" xfId="5511"/>
    <cellStyle name="注释 22 15 2" xfId="10761"/>
    <cellStyle name="注释 22 15 3" xfId="17195"/>
    <cellStyle name="注释 22 15 4" xfId="26046"/>
    <cellStyle name="注释 22 15 5" xfId="29272"/>
    <cellStyle name="注释 22 16" xfId="5512"/>
    <cellStyle name="注释 22 16 2" xfId="10762"/>
    <cellStyle name="注释 22 16 3" xfId="17196"/>
    <cellStyle name="注释 22 16 4" xfId="26047"/>
    <cellStyle name="注释 22 16 5" xfId="29273"/>
    <cellStyle name="注释 22 17" xfId="5513"/>
    <cellStyle name="注释 22 17 2" xfId="10763"/>
    <cellStyle name="注释 22 17 3" xfId="17197"/>
    <cellStyle name="注释 22 17 4" xfId="26048"/>
    <cellStyle name="注释 22 17 5" xfId="29274"/>
    <cellStyle name="注释 22 18" xfId="5514"/>
    <cellStyle name="注释 22 18 2" xfId="10764"/>
    <cellStyle name="注释 22 18 3" xfId="17198"/>
    <cellStyle name="注释 22 18 4" xfId="26049"/>
    <cellStyle name="注释 22 18 5" xfId="29275"/>
    <cellStyle name="注释 22 19" xfId="5515"/>
    <cellStyle name="注释 22 19 2" xfId="10765"/>
    <cellStyle name="注释 22 19 3" xfId="17199"/>
    <cellStyle name="注释 22 19 4" xfId="26050"/>
    <cellStyle name="注释 22 19 5" xfId="29276"/>
    <cellStyle name="注释 22 2" xfId="5505"/>
    <cellStyle name="注释 22 2 2" xfId="10766"/>
    <cellStyle name="注释 22 2 3" xfId="17200"/>
    <cellStyle name="注释 22 2 4" xfId="26051"/>
    <cellStyle name="注释 22 2 5" xfId="29266"/>
    <cellStyle name="注释 22 20" xfId="5517"/>
    <cellStyle name="注释 22 20 2" xfId="10767"/>
    <cellStyle name="注释 22 20 3" xfId="17201"/>
    <cellStyle name="注释 22 20 4" xfId="26052"/>
    <cellStyle name="注释 22 20 5" xfId="29277"/>
    <cellStyle name="注释 22 21" xfId="5518"/>
    <cellStyle name="注释 22 21 2" xfId="10768"/>
    <cellStyle name="注释 22 21 3" xfId="17202"/>
    <cellStyle name="注释 22 21 4" xfId="26053"/>
    <cellStyle name="注释 22 21 5" xfId="29278"/>
    <cellStyle name="注释 22 22" xfId="5519"/>
    <cellStyle name="注释 22 22 2" xfId="10769"/>
    <cellStyle name="注释 22 22 3" xfId="17203"/>
    <cellStyle name="注释 22 22 4" xfId="26054"/>
    <cellStyle name="注释 22 22 5" xfId="29279"/>
    <cellStyle name="注释 22 23" xfId="5520"/>
    <cellStyle name="注释 22 23 2" xfId="10770"/>
    <cellStyle name="注释 22 23 3" xfId="17204"/>
    <cellStyle name="注释 22 23 4" xfId="26055"/>
    <cellStyle name="注释 22 23 5" xfId="29280"/>
    <cellStyle name="注释 22 24" xfId="7311"/>
    <cellStyle name="注释 22 25" xfId="11656"/>
    <cellStyle name="注释 22 26" xfId="13455"/>
    <cellStyle name="注释 22 27" xfId="17189"/>
    <cellStyle name="注释 22 28" xfId="7446"/>
    <cellStyle name="注释 22 29" xfId="19625"/>
    <cellStyle name="注释 22 3" xfId="5521"/>
    <cellStyle name="注释 22 3 2" xfId="10771"/>
    <cellStyle name="注释 22 3 3" xfId="17205"/>
    <cellStyle name="注释 22 3 4" xfId="26056"/>
    <cellStyle name="注释 22 3 5" xfId="29281"/>
    <cellStyle name="注释 22 30" xfId="22936"/>
    <cellStyle name="注释 22 31" xfId="20128"/>
    <cellStyle name="注释 22 32" xfId="31354"/>
    <cellStyle name="注释 22 33" xfId="33250"/>
    <cellStyle name="注释 22 4" xfId="5522"/>
    <cellStyle name="注释 22 4 2" xfId="10772"/>
    <cellStyle name="注释 22 4 3" xfId="17206"/>
    <cellStyle name="注释 22 4 4" xfId="26057"/>
    <cellStyle name="注释 22 4 5" xfId="29282"/>
    <cellStyle name="注释 22 5" xfId="5523"/>
    <cellStyle name="注释 22 5 2" xfId="10773"/>
    <cellStyle name="注释 22 5 3" xfId="17207"/>
    <cellStyle name="注释 22 5 4" xfId="26058"/>
    <cellStyle name="注释 22 5 5" xfId="29283"/>
    <cellStyle name="注释 22 6" xfId="5524"/>
    <cellStyle name="注释 22 6 2" xfId="10774"/>
    <cellStyle name="注释 22 6 3" xfId="17208"/>
    <cellStyle name="注释 22 6 4" xfId="26059"/>
    <cellStyle name="注释 22 6 5" xfId="29284"/>
    <cellStyle name="注释 22 7" xfId="5525"/>
    <cellStyle name="注释 22 7 2" xfId="10775"/>
    <cellStyle name="注释 22 7 3" xfId="17209"/>
    <cellStyle name="注释 22 7 4" xfId="26060"/>
    <cellStyle name="注释 22 7 5" xfId="29285"/>
    <cellStyle name="注释 22 8" xfId="5526"/>
    <cellStyle name="注释 22 8 2" xfId="10776"/>
    <cellStyle name="注释 22 8 3" xfId="17210"/>
    <cellStyle name="注释 22 8 4" xfId="26061"/>
    <cellStyle name="注释 22 8 5" xfId="29286"/>
    <cellStyle name="注释 22 9" xfId="5527"/>
    <cellStyle name="注释 22 9 2" xfId="10777"/>
    <cellStyle name="注释 22 9 3" xfId="17211"/>
    <cellStyle name="注释 22 9 4" xfId="26062"/>
    <cellStyle name="注释 22 9 5" xfId="29287"/>
    <cellStyle name="注释 23" xfId="1772"/>
    <cellStyle name="注释 23 10" xfId="5529"/>
    <cellStyle name="注释 23 10 2" xfId="10779"/>
    <cellStyle name="注释 23 10 3" xfId="17213"/>
    <cellStyle name="注释 23 10 4" xfId="26063"/>
    <cellStyle name="注释 23 10 5" xfId="29289"/>
    <cellStyle name="注释 23 11" xfId="5530"/>
    <cellStyle name="注释 23 11 2" xfId="10780"/>
    <cellStyle name="注释 23 11 3" xfId="17214"/>
    <cellStyle name="注释 23 11 4" xfId="26064"/>
    <cellStyle name="注释 23 11 5" xfId="29290"/>
    <cellStyle name="注释 23 12" xfId="5531"/>
    <cellStyle name="注释 23 12 2" xfId="10781"/>
    <cellStyle name="注释 23 12 3" xfId="17215"/>
    <cellStyle name="注释 23 12 4" xfId="26065"/>
    <cellStyle name="注释 23 12 5" xfId="29291"/>
    <cellStyle name="注释 23 13" xfId="5532"/>
    <cellStyle name="注释 23 13 2" xfId="10782"/>
    <cellStyle name="注释 23 13 3" xfId="17216"/>
    <cellStyle name="注释 23 13 4" xfId="26066"/>
    <cellStyle name="注释 23 13 5" xfId="29292"/>
    <cellStyle name="注释 23 14" xfId="5533"/>
    <cellStyle name="注释 23 14 2" xfId="10783"/>
    <cellStyle name="注释 23 14 3" xfId="17217"/>
    <cellStyle name="注释 23 14 4" xfId="26067"/>
    <cellStyle name="注释 23 14 5" xfId="29293"/>
    <cellStyle name="注释 23 15" xfId="5534"/>
    <cellStyle name="注释 23 15 2" xfId="10784"/>
    <cellStyle name="注释 23 15 3" xfId="17218"/>
    <cellStyle name="注释 23 15 4" xfId="26068"/>
    <cellStyle name="注释 23 15 5" xfId="29294"/>
    <cellStyle name="注释 23 16" xfId="5535"/>
    <cellStyle name="注释 23 16 2" xfId="10785"/>
    <cellStyle name="注释 23 16 3" xfId="17219"/>
    <cellStyle name="注释 23 16 4" xfId="26069"/>
    <cellStyle name="注释 23 16 5" xfId="29295"/>
    <cellStyle name="注释 23 17" xfId="5536"/>
    <cellStyle name="注释 23 17 2" xfId="10786"/>
    <cellStyle name="注释 23 17 3" xfId="17220"/>
    <cellStyle name="注释 23 17 4" xfId="26070"/>
    <cellStyle name="注释 23 17 5" xfId="29296"/>
    <cellStyle name="注释 23 18" xfId="5537"/>
    <cellStyle name="注释 23 18 2" xfId="10787"/>
    <cellStyle name="注释 23 18 3" xfId="17221"/>
    <cellStyle name="注释 23 18 4" xfId="26071"/>
    <cellStyle name="注释 23 18 5" xfId="29297"/>
    <cellStyle name="注释 23 19" xfId="5538"/>
    <cellStyle name="注释 23 19 2" xfId="10788"/>
    <cellStyle name="注释 23 19 3" xfId="17222"/>
    <cellStyle name="注释 23 19 4" xfId="26072"/>
    <cellStyle name="注释 23 19 5" xfId="29298"/>
    <cellStyle name="注释 23 2" xfId="5528"/>
    <cellStyle name="注释 23 2 2" xfId="10789"/>
    <cellStyle name="注释 23 2 3" xfId="17223"/>
    <cellStyle name="注释 23 2 4" xfId="26073"/>
    <cellStyle name="注释 23 2 5" xfId="29288"/>
    <cellStyle name="注释 23 20" xfId="5540"/>
    <cellStyle name="注释 23 20 2" xfId="10790"/>
    <cellStyle name="注释 23 20 3" xfId="17224"/>
    <cellStyle name="注释 23 20 4" xfId="26074"/>
    <cellStyle name="注释 23 20 5" xfId="29299"/>
    <cellStyle name="注释 23 21" xfId="5541"/>
    <cellStyle name="注释 23 21 2" xfId="10791"/>
    <cellStyle name="注释 23 21 3" xfId="17225"/>
    <cellStyle name="注释 23 21 4" xfId="26075"/>
    <cellStyle name="注释 23 21 5" xfId="29300"/>
    <cellStyle name="注释 23 22" xfId="5542"/>
    <cellStyle name="注释 23 22 2" xfId="10792"/>
    <cellStyle name="注释 23 22 3" xfId="17226"/>
    <cellStyle name="注释 23 22 4" xfId="26076"/>
    <cellStyle name="注释 23 22 5" xfId="29301"/>
    <cellStyle name="注释 23 23" xfId="5543"/>
    <cellStyle name="注释 23 23 2" xfId="10793"/>
    <cellStyle name="注释 23 23 3" xfId="17227"/>
    <cellStyle name="注释 23 23 4" xfId="26077"/>
    <cellStyle name="注释 23 23 5" xfId="29302"/>
    <cellStyle name="注释 23 24" xfId="7312"/>
    <cellStyle name="注释 23 25" xfId="11657"/>
    <cellStyle name="注释 23 26" xfId="13456"/>
    <cellStyle name="注释 23 27" xfId="17212"/>
    <cellStyle name="注释 23 28" xfId="7445"/>
    <cellStyle name="注释 23 29" xfId="19626"/>
    <cellStyle name="注释 23 3" xfId="5544"/>
    <cellStyle name="注释 23 3 2" xfId="10794"/>
    <cellStyle name="注释 23 3 3" xfId="17228"/>
    <cellStyle name="注释 23 3 4" xfId="26078"/>
    <cellStyle name="注释 23 3 5" xfId="29303"/>
    <cellStyle name="注释 23 30" xfId="22712"/>
    <cellStyle name="注释 23 31" xfId="21419"/>
    <cellStyle name="注释 23 32" xfId="31368"/>
    <cellStyle name="注释 23 33" xfId="32120"/>
    <cellStyle name="注释 23 4" xfId="5545"/>
    <cellStyle name="注释 23 4 2" xfId="10795"/>
    <cellStyle name="注释 23 4 3" xfId="17229"/>
    <cellStyle name="注释 23 4 4" xfId="26079"/>
    <cellStyle name="注释 23 4 5" xfId="29304"/>
    <cellStyle name="注释 23 5" xfId="5546"/>
    <cellStyle name="注释 23 5 2" xfId="10796"/>
    <cellStyle name="注释 23 5 3" xfId="17230"/>
    <cellStyle name="注释 23 5 4" xfId="26080"/>
    <cellStyle name="注释 23 5 5" xfId="29305"/>
    <cellStyle name="注释 23 6" xfId="5547"/>
    <cellStyle name="注释 23 6 2" xfId="10797"/>
    <cellStyle name="注释 23 6 3" xfId="17231"/>
    <cellStyle name="注释 23 6 4" xfId="26081"/>
    <cellStyle name="注释 23 6 5" xfId="29306"/>
    <cellStyle name="注释 23 7" xfId="5548"/>
    <cellStyle name="注释 23 7 2" xfId="10798"/>
    <cellStyle name="注释 23 7 3" xfId="17232"/>
    <cellStyle name="注释 23 7 4" xfId="26082"/>
    <cellStyle name="注释 23 7 5" xfId="29307"/>
    <cellStyle name="注释 23 8" xfId="5549"/>
    <cellStyle name="注释 23 8 2" xfId="10799"/>
    <cellStyle name="注释 23 8 3" xfId="17233"/>
    <cellStyle name="注释 23 8 4" xfId="26083"/>
    <cellStyle name="注释 23 8 5" xfId="29308"/>
    <cellStyle name="注释 23 9" xfId="5550"/>
    <cellStyle name="注释 23 9 2" xfId="10800"/>
    <cellStyle name="注释 23 9 3" xfId="17234"/>
    <cellStyle name="注释 23 9 4" xfId="26084"/>
    <cellStyle name="注释 23 9 5" xfId="29309"/>
    <cellStyle name="注释 24" xfId="5189"/>
    <cellStyle name="注释 24 2" xfId="5551"/>
    <cellStyle name="注释 24 3" xfId="7708"/>
    <cellStyle name="注释 24 4" xfId="17235"/>
    <cellStyle name="注释 24 5" xfId="7387"/>
    <cellStyle name="注释 24 6" xfId="26938"/>
    <cellStyle name="注释 24 7" xfId="29019"/>
    <cellStyle name="注释 25" xfId="5552"/>
    <cellStyle name="注释 25 2" xfId="10802"/>
    <cellStyle name="注释 25 3" xfId="17236"/>
    <cellStyle name="注释 25 4" xfId="26085"/>
    <cellStyle name="注释 25 5" xfId="26661"/>
    <cellStyle name="注释 25 6" xfId="26939"/>
    <cellStyle name="注释 25 7" xfId="29310"/>
    <cellStyle name="注释 26" xfId="5553"/>
    <cellStyle name="注释 26 2" xfId="10803"/>
    <cellStyle name="注释 26 3" xfId="17237"/>
    <cellStyle name="注释 26 4" xfId="26086"/>
    <cellStyle name="注释 26 5" xfId="26662"/>
    <cellStyle name="注释 26 6" xfId="26940"/>
    <cellStyle name="注释 26 7" xfId="29311"/>
    <cellStyle name="注释 27" xfId="5554"/>
    <cellStyle name="注释 27 2" xfId="10804"/>
    <cellStyle name="注释 27 3" xfId="17238"/>
    <cellStyle name="注释 27 4" xfId="26087"/>
    <cellStyle name="注释 27 5" xfId="26941"/>
    <cellStyle name="注释 27 6" xfId="29312"/>
    <cellStyle name="注释 28" xfId="5555"/>
    <cellStyle name="注释 28 2" xfId="10805"/>
    <cellStyle name="注释 28 3" xfId="17239"/>
    <cellStyle name="注释 28 4" xfId="26088"/>
    <cellStyle name="注释 28 5" xfId="26942"/>
    <cellStyle name="注释 28 6" xfId="29313"/>
    <cellStyle name="注释 29" xfId="5556"/>
    <cellStyle name="注释 29 2" xfId="10806"/>
    <cellStyle name="注释 29 3" xfId="17240"/>
    <cellStyle name="注释 29 4" xfId="26089"/>
    <cellStyle name="注释 29 5" xfId="26943"/>
    <cellStyle name="注释 29 6" xfId="29314"/>
    <cellStyle name="注释 3" xfId="1773"/>
    <cellStyle name="注释 3 10" xfId="1774"/>
    <cellStyle name="注释 3 10 10" xfId="31384"/>
    <cellStyle name="注释 3 10 11" xfId="32119"/>
    <cellStyle name="注释 3 10 2" xfId="5558"/>
    <cellStyle name="注释 3 10 3" xfId="7314"/>
    <cellStyle name="注释 3 10 4" xfId="13458"/>
    <cellStyle name="注释 3 10 5" xfId="17242"/>
    <cellStyle name="注释 3 10 6" xfId="7443"/>
    <cellStyle name="注释 3 10 7" xfId="19628"/>
    <cellStyle name="注释 3 10 8" xfId="21954"/>
    <cellStyle name="注释 3 10 9" xfId="20901"/>
    <cellStyle name="注释 3 11" xfId="1775"/>
    <cellStyle name="注释 3 11 10" xfId="31385"/>
    <cellStyle name="注释 3 11 11" xfId="31650"/>
    <cellStyle name="注释 3 11 2" xfId="5559"/>
    <cellStyle name="注释 3 11 3" xfId="7315"/>
    <cellStyle name="注释 3 11 4" xfId="13459"/>
    <cellStyle name="注释 3 11 5" xfId="17243"/>
    <cellStyle name="注释 3 11 6" xfId="7442"/>
    <cellStyle name="注释 3 11 7" xfId="19629"/>
    <cellStyle name="注释 3 11 8" xfId="22935"/>
    <cellStyle name="注释 3 11 9" xfId="20769"/>
    <cellStyle name="注释 3 12" xfId="1776"/>
    <cellStyle name="注释 3 12 10" xfId="31386"/>
    <cellStyle name="注释 3 12 11" xfId="33249"/>
    <cellStyle name="注释 3 12 2" xfId="5560"/>
    <cellStyle name="注释 3 12 3" xfId="7316"/>
    <cellStyle name="注释 3 12 4" xfId="13460"/>
    <cellStyle name="注释 3 12 5" xfId="17244"/>
    <cellStyle name="注释 3 12 6" xfId="7441"/>
    <cellStyle name="注释 3 12 7" xfId="19630"/>
    <cellStyle name="注释 3 12 8" xfId="22711"/>
    <cellStyle name="注释 3 12 9" xfId="20127"/>
    <cellStyle name="注释 3 13" xfId="1777"/>
    <cellStyle name="注释 3 13 10" xfId="31387"/>
    <cellStyle name="注释 3 13 11" xfId="32992"/>
    <cellStyle name="注释 3 13 2" xfId="5561"/>
    <cellStyle name="注释 3 13 3" xfId="7317"/>
    <cellStyle name="注释 3 13 4" xfId="13461"/>
    <cellStyle name="注释 3 13 5" xfId="17245"/>
    <cellStyle name="注释 3 13 6" xfId="7440"/>
    <cellStyle name="注释 3 13 7" xfId="19631"/>
    <cellStyle name="注释 3 13 8" xfId="22493"/>
    <cellStyle name="注释 3 13 9" xfId="19687"/>
    <cellStyle name="注释 3 14" xfId="1778"/>
    <cellStyle name="注释 3 14 10" xfId="31388"/>
    <cellStyle name="注释 3 14 11" xfId="32599"/>
    <cellStyle name="注释 3 14 2" xfId="5562"/>
    <cellStyle name="注释 3 14 3" xfId="7318"/>
    <cellStyle name="注释 3 14 4" xfId="13462"/>
    <cellStyle name="注释 3 14 5" xfId="17246"/>
    <cellStyle name="注释 3 14 6" xfId="9669"/>
    <cellStyle name="注释 3 14 7" xfId="19632"/>
    <cellStyle name="注释 3 14 8" xfId="21953"/>
    <cellStyle name="注释 3 14 9" xfId="21418"/>
    <cellStyle name="注释 3 15" xfId="1779"/>
    <cellStyle name="注释 3 15 10" xfId="31389"/>
    <cellStyle name="注释 3 15 11" xfId="32352"/>
    <cellStyle name="注释 3 15 2" xfId="5563"/>
    <cellStyle name="注释 3 15 3" xfId="7319"/>
    <cellStyle name="注释 3 15 4" xfId="13463"/>
    <cellStyle name="注释 3 15 5" xfId="17247"/>
    <cellStyle name="注释 3 15 6" xfId="7439"/>
    <cellStyle name="注释 3 15 7" xfId="19633"/>
    <cellStyle name="注释 3 15 8" xfId="22931"/>
    <cellStyle name="注释 3 15 9" xfId="20375"/>
    <cellStyle name="注释 3 16" xfId="1780"/>
    <cellStyle name="注释 3 16 10" xfId="31390"/>
    <cellStyle name="注释 3 16 11" xfId="32118"/>
    <cellStyle name="注释 3 16 2" xfId="5564"/>
    <cellStyle name="注释 3 16 3" xfId="7320"/>
    <cellStyle name="注释 3 16 4" xfId="13464"/>
    <cellStyle name="注释 3 16 5" xfId="17248"/>
    <cellStyle name="注释 3 16 6" xfId="7438"/>
    <cellStyle name="注释 3 16 7" xfId="19634"/>
    <cellStyle name="注释 3 16 8" xfId="22707"/>
    <cellStyle name="注释 3 16 9" xfId="20900"/>
    <cellStyle name="注释 3 17" xfId="1781"/>
    <cellStyle name="注释 3 17 10" xfId="31391"/>
    <cellStyle name="注释 3 17 11" xfId="31649"/>
    <cellStyle name="注释 3 17 2" xfId="5565"/>
    <cellStyle name="注释 3 17 3" xfId="7321"/>
    <cellStyle name="注释 3 17 4" xfId="13465"/>
    <cellStyle name="注释 3 17 5" xfId="17249"/>
    <cellStyle name="注释 3 17 6" xfId="7437"/>
    <cellStyle name="注释 3 17 7" xfId="19635"/>
    <cellStyle name="注释 3 17 8" xfId="22489"/>
    <cellStyle name="注释 3 17 9" xfId="20768"/>
    <cellStyle name="注释 3 18" xfId="1782"/>
    <cellStyle name="注释 3 18 10" xfId="31392"/>
    <cellStyle name="注释 3 18 11" xfId="33248"/>
    <cellStyle name="注释 3 18 2" xfId="5566"/>
    <cellStyle name="注释 3 18 3" xfId="7322"/>
    <cellStyle name="注释 3 18 4" xfId="13466"/>
    <cellStyle name="注释 3 18 5" xfId="17250"/>
    <cellStyle name="注释 3 18 6" xfId="7436"/>
    <cellStyle name="注释 3 18 7" xfId="19636"/>
    <cellStyle name="注释 3 18 8" xfId="21949"/>
    <cellStyle name="注释 3 18 9" xfId="20126"/>
    <cellStyle name="注释 3 19" xfId="1783"/>
    <cellStyle name="注释 3 19 10" xfId="31393"/>
    <cellStyle name="注释 3 19 11" xfId="32991"/>
    <cellStyle name="注释 3 19 2" xfId="5567"/>
    <cellStyle name="注释 3 19 3" xfId="7323"/>
    <cellStyle name="注释 3 19 4" xfId="13467"/>
    <cellStyle name="注释 3 19 5" xfId="17251"/>
    <cellStyle name="注释 3 19 6" xfId="7435"/>
    <cellStyle name="注释 3 19 7" xfId="19637"/>
    <cellStyle name="注释 3 19 8" xfId="22933"/>
    <cellStyle name="注释 3 19 9" xfId="19686"/>
    <cellStyle name="注释 3 2" xfId="1784"/>
    <cellStyle name="注释 3 2 10" xfId="31394"/>
    <cellStyle name="注释 3 2 11" xfId="32598"/>
    <cellStyle name="注释 3 2 2" xfId="5568"/>
    <cellStyle name="注释 3 2 3" xfId="7324"/>
    <cellStyle name="注释 3 2 4" xfId="13468"/>
    <cellStyle name="注释 3 2 5" xfId="17252"/>
    <cellStyle name="注释 3 2 6" xfId="7434"/>
    <cellStyle name="注释 3 2 7" xfId="19638"/>
    <cellStyle name="注释 3 2 8" xfId="22709"/>
    <cellStyle name="注释 3 2 9" xfId="21417"/>
    <cellStyle name="注释 3 20" xfId="5557"/>
    <cellStyle name="注释 3 20 2" xfId="10819"/>
    <cellStyle name="注释 3 20 3" xfId="17253"/>
    <cellStyle name="注释 3 20 4" xfId="26090"/>
    <cellStyle name="注释 3 20 5" xfId="26944"/>
    <cellStyle name="注释 3 20 6" xfId="29315"/>
    <cellStyle name="注释 3 21" xfId="5569"/>
    <cellStyle name="注释 3 21 2" xfId="10820"/>
    <cellStyle name="注释 3 21 3" xfId="17254"/>
    <cellStyle name="注释 3 21 4" xfId="26091"/>
    <cellStyle name="注释 3 21 5" xfId="26945"/>
    <cellStyle name="注释 3 21 6" xfId="29316"/>
    <cellStyle name="注释 3 22" xfId="5570"/>
    <cellStyle name="注释 3 22 2" xfId="10821"/>
    <cellStyle name="注释 3 22 3" xfId="17255"/>
    <cellStyle name="注释 3 22 4" xfId="26092"/>
    <cellStyle name="注释 3 22 5" xfId="26946"/>
    <cellStyle name="注释 3 22 6" xfId="29317"/>
    <cellStyle name="注释 3 23" xfId="5571"/>
    <cellStyle name="注释 3 23 2" xfId="10822"/>
    <cellStyle name="注释 3 23 3" xfId="17256"/>
    <cellStyle name="注释 3 23 4" xfId="26093"/>
    <cellStyle name="注释 3 23 5" xfId="26947"/>
    <cellStyle name="注释 3 23 6" xfId="29318"/>
    <cellStyle name="注释 3 24" xfId="5572"/>
    <cellStyle name="注释 3 24 2" xfId="10823"/>
    <cellStyle name="注释 3 24 3" xfId="17257"/>
    <cellStyle name="注释 3 24 4" xfId="26094"/>
    <cellStyle name="注释 3 24 5" xfId="26948"/>
    <cellStyle name="注释 3 24 6" xfId="29319"/>
    <cellStyle name="注释 3 25" xfId="5573"/>
    <cellStyle name="注释 3 25 2" xfId="10824"/>
    <cellStyle name="注释 3 25 3" xfId="17258"/>
    <cellStyle name="注释 3 25 4" xfId="26095"/>
    <cellStyle name="注释 3 25 5" xfId="26949"/>
    <cellStyle name="注释 3 25 6" xfId="29320"/>
    <cellStyle name="注释 3 26" xfId="5574"/>
    <cellStyle name="注释 3 26 2" xfId="10825"/>
    <cellStyle name="注释 3 26 3" xfId="17259"/>
    <cellStyle name="注释 3 26 4" xfId="26096"/>
    <cellStyle name="注释 3 26 5" xfId="26950"/>
    <cellStyle name="注释 3 26 6" xfId="29321"/>
    <cellStyle name="注释 3 27" xfId="5575"/>
    <cellStyle name="注释 3 27 2" xfId="10826"/>
    <cellStyle name="注释 3 27 3" xfId="17260"/>
    <cellStyle name="注释 3 27 4" xfId="26097"/>
    <cellStyle name="注释 3 27 5" xfId="26951"/>
    <cellStyle name="注释 3 27 6" xfId="29322"/>
    <cellStyle name="注释 3 28" xfId="5576"/>
    <cellStyle name="注释 3 28 2" xfId="10827"/>
    <cellStyle name="注释 3 28 3" xfId="17261"/>
    <cellStyle name="注释 3 28 4" xfId="26098"/>
    <cellStyle name="注释 3 28 5" xfId="26952"/>
    <cellStyle name="注释 3 28 6" xfId="29323"/>
    <cellStyle name="注释 3 29" xfId="5577"/>
    <cellStyle name="注释 3 29 2" xfId="10828"/>
    <cellStyle name="注释 3 29 3" xfId="17262"/>
    <cellStyle name="注释 3 29 4" xfId="26099"/>
    <cellStyle name="注释 3 29 5" xfId="29324"/>
    <cellStyle name="注释 3 3" xfId="1785"/>
    <cellStyle name="注释 3 3 10" xfId="31397"/>
    <cellStyle name="注释 3 3 11" xfId="32990"/>
    <cellStyle name="注释 3 3 2" xfId="5578"/>
    <cellStyle name="注释 3 3 3" xfId="7325"/>
    <cellStyle name="注释 3 3 4" xfId="13469"/>
    <cellStyle name="注释 3 3 5" xfId="17263"/>
    <cellStyle name="注释 3 3 6" xfId="7433"/>
    <cellStyle name="注释 3 3 7" xfId="19639"/>
    <cellStyle name="注释 3 3 8" xfId="22491"/>
    <cellStyle name="注释 3 3 9" xfId="20733"/>
    <cellStyle name="注释 3 30" xfId="5579"/>
    <cellStyle name="注释 3 30 2" xfId="10830"/>
    <cellStyle name="注释 3 30 3" xfId="17264"/>
    <cellStyle name="注释 3 30 4" xfId="26100"/>
    <cellStyle name="注释 3 30 5" xfId="29325"/>
    <cellStyle name="注释 3 31" xfId="5580"/>
    <cellStyle name="注释 3 31 2" xfId="10831"/>
    <cellStyle name="注释 3 31 3" xfId="17265"/>
    <cellStyle name="注释 3 31 4" xfId="26101"/>
    <cellStyle name="注释 3 31 5" xfId="29326"/>
    <cellStyle name="注释 3 32" xfId="5581"/>
    <cellStyle name="注释 3 32 2" xfId="10832"/>
    <cellStyle name="注释 3 32 3" xfId="17266"/>
    <cellStyle name="注释 3 32 4" xfId="26102"/>
    <cellStyle name="注释 3 32 5" xfId="29327"/>
    <cellStyle name="注释 3 33" xfId="5582"/>
    <cellStyle name="注释 3 33 2" xfId="10833"/>
    <cellStyle name="注释 3 33 3" xfId="17267"/>
    <cellStyle name="注释 3 33 4" xfId="26103"/>
    <cellStyle name="注释 3 33 5" xfId="29328"/>
    <cellStyle name="注释 3 34" xfId="5583"/>
    <cellStyle name="注释 3 34 2" xfId="10834"/>
    <cellStyle name="注释 3 34 3" xfId="17268"/>
    <cellStyle name="注释 3 34 4" xfId="26104"/>
    <cellStyle name="注释 3 34 5" xfId="29329"/>
    <cellStyle name="注释 3 35" xfId="5584"/>
    <cellStyle name="注释 3 35 2" xfId="10835"/>
    <cellStyle name="注释 3 35 3" xfId="17269"/>
    <cellStyle name="注释 3 35 4" xfId="26105"/>
    <cellStyle name="注释 3 35 5" xfId="29330"/>
    <cellStyle name="注释 3 36" xfId="5585"/>
    <cellStyle name="注释 3 36 2" xfId="10836"/>
    <cellStyle name="注释 3 36 3" xfId="17270"/>
    <cellStyle name="注释 3 36 4" xfId="26106"/>
    <cellStyle name="注释 3 36 5" xfId="29331"/>
    <cellStyle name="注释 3 37" xfId="5586"/>
    <cellStyle name="注释 3 37 2" xfId="10837"/>
    <cellStyle name="注释 3 37 3" xfId="17271"/>
    <cellStyle name="注释 3 37 4" xfId="26107"/>
    <cellStyle name="注释 3 37 5" xfId="29332"/>
    <cellStyle name="注释 3 38" xfId="5587"/>
    <cellStyle name="注释 3 38 2" xfId="10838"/>
    <cellStyle name="注释 3 38 3" xfId="17272"/>
    <cellStyle name="注释 3 38 4" xfId="26108"/>
    <cellStyle name="注释 3 38 5" xfId="29333"/>
    <cellStyle name="注释 3 39" xfId="5588"/>
    <cellStyle name="注释 3 39 2" xfId="10839"/>
    <cellStyle name="注释 3 39 3" xfId="17273"/>
    <cellStyle name="注释 3 39 4" xfId="26109"/>
    <cellStyle name="注释 3 39 5" xfId="29334"/>
    <cellStyle name="注释 3 4" xfId="1786"/>
    <cellStyle name="注释 3 4 10" xfId="31402"/>
    <cellStyle name="注释 3 4 11" xfId="33247"/>
    <cellStyle name="注释 3 4 2" xfId="5589"/>
    <cellStyle name="注释 3 4 3" xfId="7326"/>
    <cellStyle name="注释 3 4 4" xfId="13470"/>
    <cellStyle name="注释 3 4 5" xfId="17274"/>
    <cellStyle name="注释 3 4 6" xfId="7432"/>
    <cellStyle name="注释 3 4 7" xfId="19640"/>
    <cellStyle name="注释 3 4 8" xfId="21951"/>
    <cellStyle name="注释 3 4 9" xfId="20899"/>
    <cellStyle name="注释 3 40" xfId="5590"/>
    <cellStyle name="注释 3 40 2" xfId="10841"/>
    <cellStyle name="注释 3 40 3" xfId="17275"/>
    <cellStyle name="注释 3 40 4" xfId="26110"/>
    <cellStyle name="注释 3 40 5" xfId="29335"/>
    <cellStyle name="注释 3 41" xfId="5591"/>
    <cellStyle name="注释 3 41 2" xfId="10842"/>
    <cellStyle name="注释 3 41 3" xfId="17276"/>
    <cellStyle name="注释 3 41 4" xfId="26111"/>
    <cellStyle name="注释 3 41 5" xfId="29336"/>
    <cellStyle name="注释 3 42" xfId="7313"/>
    <cellStyle name="注释 3 42 2" xfId="23607"/>
    <cellStyle name="注释 3 42 3" xfId="26192"/>
    <cellStyle name="注释 3 43" xfId="11658"/>
    <cellStyle name="注释 3 43 2" xfId="23832"/>
    <cellStyle name="注释 3 43 3" xfId="26417"/>
    <cellStyle name="注释 3 44" xfId="13457"/>
    <cellStyle name="注释 3 44 2" xfId="23897"/>
    <cellStyle name="注释 3 44 3" xfId="26482"/>
    <cellStyle name="注释 3 45" xfId="17241"/>
    <cellStyle name="注释 3 45 2" xfId="23928"/>
    <cellStyle name="注释 3 45 3" xfId="26513"/>
    <cellStyle name="注释 3 46" xfId="7444"/>
    <cellStyle name="注释 3 47" xfId="19627"/>
    <cellStyle name="注释 3 48" xfId="22494"/>
    <cellStyle name="注释 3 49" xfId="20732"/>
    <cellStyle name="注释 3 5" xfId="1787"/>
    <cellStyle name="注释 3 5 10" xfId="31405"/>
    <cellStyle name="注释 3 5 11" xfId="32351"/>
    <cellStyle name="注释 3 5 2" xfId="5592"/>
    <cellStyle name="注释 3 5 3" xfId="7327"/>
    <cellStyle name="注释 3 5 4" xfId="13471"/>
    <cellStyle name="注释 3 5 5" xfId="17277"/>
    <cellStyle name="注释 3 5 6" xfId="7431"/>
    <cellStyle name="注释 3 5 7" xfId="19641"/>
    <cellStyle name="注释 3 5 8" xfId="22932"/>
    <cellStyle name="注释 3 5 9" xfId="20767"/>
    <cellStyle name="注释 3 50" xfId="31383"/>
    <cellStyle name="注释 3 51" xfId="32353"/>
    <cellStyle name="注释 3 6" xfId="1788"/>
    <cellStyle name="注释 3 6 10" xfId="31406"/>
    <cellStyle name="注释 3 6 11" xfId="32117"/>
    <cellStyle name="注释 3 6 2" xfId="5593"/>
    <cellStyle name="注释 3 6 3" xfId="7328"/>
    <cellStyle name="注释 3 6 4" xfId="13472"/>
    <cellStyle name="注释 3 6 5" xfId="17278"/>
    <cellStyle name="注释 3 6 6" xfId="7430"/>
    <cellStyle name="注释 3 6 7" xfId="19642"/>
    <cellStyle name="注释 3 6 8" xfId="22708"/>
    <cellStyle name="注释 3 6 9" xfId="20125"/>
    <cellStyle name="注释 3 7" xfId="1789"/>
    <cellStyle name="注释 3 7 10" xfId="31407"/>
    <cellStyle name="注释 3 7 11" xfId="31648"/>
    <cellStyle name="注释 3 7 2" xfId="5594"/>
    <cellStyle name="注释 3 7 3" xfId="7329"/>
    <cellStyle name="注释 3 7 4" xfId="13473"/>
    <cellStyle name="注释 3 7 5" xfId="17279"/>
    <cellStyle name="注释 3 7 6" xfId="7429"/>
    <cellStyle name="注释 3 7 7" xfId="19643"/>
    <cellStyle name="注释 3 7 8" xfId="22490"/>
    <cellStyle name="注释 3 7 9" xfId="19685"/>
    <cellStyle name="注释 3 8" xfId="1790"/>
    <cellStyle name="注释 3 8 10" xfId="31408"/>
    <cellStyle name="注释 3 8 11" xfId="33246"/>
    <cellStyle name="注释 3 8 2" xfId="5595"/>
    <cellStyle name="注释 3 8 3" xfId="7330"/>
    <cellStyle name="注释 3 8 4" xfId="13474"/>
    <cellStyle name="注释 3 8 5" xfId="17280"/>
    <cellStyle name="注释 3 8 6" xfId="7428"/>
    <cellStyle name="注释 3 8 7" xfId="19644"/>
    <cellStyle name="注释 3 8 8" xfId="21950"/>
    <cellStyle name="注释 3 8 9" xfId="21416"/>
    <cellStyle name="注释 3 9" xfId="1791"/>
    <cellStyle name="注释 3 9 10" xfId="31409"/>
    <cellStyle name="注释 3 9 11" xfId="32989"/>
    <cellStyle name="注释 3 9 2" xfId="5596"/>
    <cellStyle name="注释 3 9 3" xfId="7331"/>
    <cellStyle name="注释 3 9 4" xfId="13475"/>
    <cellStyle name="注释 3 9 5" xfId="17281"/>
    <cellStyle name="注释 3 9 6" xfId="7427"/>
    <cellStyle name="注释 3 9 7" xfId="19645"/>
    <cellStyle name="注释 3 9 8" xfId="22928"/>
    <cellStyle name="注释 3 9 9" xfId="20376"/>
    <cellStyle name="注释 30" xfId="5597"/>
    <cellStyle name="注释 30 2" xfId="10848"/>
    <cellStyle name="注释 30 3" xfId="17282"/>
    <cellStyle name="注释 30 4" xfId="26112"/>
    <cellStyle name="注释 30 5" xfId="26953"/>
    <cellStyle name="注释 30 6" xfId="29337"/>
    <cellStyle name="注释 31" xfId="5598"/>
    <cellStyle name="注释 31 2" xfId="10849"/>
    <cellStyle name="注释 31 3" xfId="17283"/>
    <cellStyle name="注释 31 4" xfId="26113"/>
    <cellStyle name="注释 31 5" xfId="26954"/>
    <cellStyle name="注释 31 6" xfId="29338"/>
    <cellStyle name="注释 32" xfId="5599"/>
    <cellStyle name="注释 32 2" xfId="10850"/>
    <cellStyle name="注释 32 3" xfId="17284"/>
    <cellStyle name="注释 32 4" xfId="26114"/>
    <cellStyle name="注释 32 5" xfId="26955"/>
    <cellStyle name="注释 32 6" xfId="29339"/>
    <cellStyle name="注释 33" xfId="5600"/>
    <cellStyle name="注释 33 2" xfId="10851"/>
    <cellStyle name="注释 33 3" xfId="17285"/>
    <cellStyle name="注释 33 4" xfId="26115"/>
    <cellStyle name="注释 33 5" xfId="29340"/>
    <cellStyle name="注释 34" xfId="5601"/>
    <cellStyle name="注释 34 2" xfId="10852"/>
    <cellStyle name="注释 34 3" xfId="17286"/>
    <cellStyle name="注释 34 4" xfId="26116"/>
    <cellStyle name="注释 34 5" xfId="29341"/>
    <cellStyle name="注释 35" xfId="5602"/>
    <cellStyle name="注释 35 2" xfId="10853"/>
    <cellStyle name="注释 35 3" xfId="17287"/>
    <cellStyle name="注释 35 4" xfId="26117"/>
    <cellStyle name="注释 35 5" xfId="29342"/>
    <cellStyle name="注释 36" xfId="5603"/>
    <cellStyle name="注释 36 2" xfId="10854"/>
    <cellStyle name="注释 36 3" xfId="17288"/>
    <cellStyle name="注释 36 4" xfId="26118"/>
    <cellStyle name="注释 36 5" xfId="29343"/>
    <cellStyle name="注释 37" xfId="5604"/>
    <cellStyle name="注释 37 2" xfId="10855"/>
    <cellStyle name="注释 37 3" xfId="17289"/>
    <cellStyle name="注释 37 4" xfId="26119"/>
    <cellStyle name="注释 37 5" xfId="29344"/>
    <cellStyle name="注释 38" xfId="5605"/>
    <cellStyle name="注释 38 2" xfId="10856"/>
    <cellStyle name="注释 38 3" xfId="17290"/>
    <cellStyle name="注释 38 4" xfId="26120"/>
    <cellStyle name="注释 38 5" xfId="29345"/>
    <cellStyle name="注释 39" xfId="5606"/>
    <cellStyle name="注释 39 2" xfId="10857"/>
    <cellStyle name="注释 39 3" xfId="17291"/>
    <cellStyle name="注释 39 4" xfId="26121"/>
    <cellStyle name="注释 39 5" xfId="29346"/>
    <cellStyle name="注释 4" xfId="1792"/>
    <cellStyle name="注释 4 10" xfId="13476"/>
    <cellStyle name="注释 4 11" xfId="17292"/>
    <cellStyle name="注释 4 12" xfId="7426"/>
    <cellStyle name="注释 4 13" xfId="19646"/>
    <cellStyle name="注释 4 14" xfId="22704"/>
    <cellStyle name="注释 4 15" xfId="20898"/>
    <cellStyle name="注释 4 16" xfId="31416"/>
    <cellStyle name="注释 4 17" xfId="32597"/>
    <cellStyle name="注释 4 2" xfId="1793"/>
    <cellStyle name="注释 4 2 10" xfId="31417"/>
    <cellStyle name="注释 4 2 11" xfId="32350"/>
    <cellStyle name="注释 4 2 2" xfId="5608"/>
    <cellStyle name="注释 4 2 3" xfId="7333"/>
    <cellStyle name="注释 4 2 4" xfId="13477"/>
    <cellStyle name="注释 4 2 5" xfId="17293"/>
    <cellStyle name="注释 4 2 6" xfId="7425"/>
    <cellStyle name="注释 4 2 7" xfId="19647"/>
    <cellStyle name="注释 4 2 8" xfId="22486"/>
    <cellStyle name="注释 4 2 9" xfId="20761"/>
    <cellStyle name="注释 4 3" xfId="1794"/>
    <cellStyle name="注释 4 3 10" xfId="31418"/>
    <cellStyle name="注释 4 3 11" xfId="32116"/>
    <cellStyle name="注释 4 3 2" xfId="5609"/>
    <cellStyle name="注释 4 3 3" xfId="7334"/>
    <cellStyle name="注释 4 3 4" xfId="13478"/>
    <cellStyle name="注释 4 3 5" xfId="17294"/>
    <cellStyle name="注释 4 3 6" xfId="7424"/>
    <cellStyle name="注释 4 3 7" xfId="19648"/>
    <cellStyle name="注释 4 3 8" xfId="21946"/>
    <cellStyle name="注释 4 3 9" xfId="20736"/>
    <cellStyle name="注释 4 4" xfId="1795"/>
    <cellStyle name="注释 4 4 10" xfId="31419"/>
    <cellStyle name="注释 4 4 11" xfId="31647"/>
    <cellStyle name="注释 4 4 2" xfId="5610"/>
    <cellStyle name="注释 4 4 3" xfId="7335"/>
    <cellStyle name="注释 4 4 4" xfId="13479"/>
    <cellStyle name="注释 4 4 5" xfId="17295"/>
    <cellStyle name="注释 4 4 6" xfId="7423"/>
    <cellStyle name="注释 4 4 7" xfId="19649"/>
    <cellStyle name="注释 4 4 8" xfId="22930"/>
    <cellStyle name="注释 4 4 9" xfId="20119"/>
    <cellStyle name="注释 4 5" xfId="1796"/>
    <cellStyle name="注释 4 5 10" xfId="31420"/>
    <cellStyle name="注释 4 5 11" xfId="33245"/>
    <cellStyle name="注释 4 5 2" xfId="5611"/>
    <cellStyle name="注释 4 5 3" xfId="7336"/>
    <cellStyle name="注释 4 5 4" xfId="13480"/>
    <cellStyle name="注释 4 5 5" xfId="17296"/>
    <cellStyle name="注释 4 5 6" xfId="7422"/>
    <cellStyle name="注释 4 5 7" xfId="19650"/>
    <cellStyle name="注释 4 5 8" xfId="22706"/>
    <cellStyle name="注释 4 5 9" xfId="19680"/>
    <cellStyle name="注释 4 6" xfId="1797"/>
    <cellStyle name="注释 4 6 10" xfId="31421"/>
    <cellStyle name="注释 4 6 11" xfId="32986"/>
    <cellStyle name="注释 4 6 2" xfId="5612"/>
    <cellStyle name="注释 4 6 3" xfId="7337"/>
    <cellStyle name="注释 4 6 4" xfId="13481"/>
    <cellStyle name="注释 4 6 5" xfId="17297"/>
    <cellStyle name="注释 4 6 6" xfId="7421"/>
    <cellStyle name="注释 4 6 7" xfId="19651"/>
    <cellStyle name="注释 4 6 8" xfId="22488"/>
    <cellStyle name="注释 4 6 9" xfId="21415"/>
    <cellStyle name="注释 4 7" xfId="1798"/>
    <cellStyle name="注释 4 7 10" xfId="31422"/>
    <cellStyle name="注释 4 7 11" xfId="32596"/>
    <cellStyle name="注释 4 7 2" xfId="5613"/>
    <cellStyle name="注释 4 7 3" xfId="7338"/>
    <cellStyle name="注释 4 7 4" xfId="13482"/>
    <cellStyle name="注释 4 7 5" xfId="17298"/>
    <cellStyle name="注释 4 7 6" xfId="7420"/>
    <cellStyle name="注释 4 7 7" xfId="19652"/>
    <cellStyle name="注释 4 7 8" xfId="21948"/>
    <cellStyle name="注释 4 7 9" xfId="20734"/>
    <cellStyle name="注释 4 8" xfId="5607"/>
    <cellStyle name="注释 4 9" xfId="7332"/>
    <cellStyle name="注释 40" xfId="5614"/>
    <cellStyle name="注释 40 2" xfId="10865"/>
    <cellStyle name="注释 40 3" xfId="17299"/>
    <cellStyle name="注释 40 4" xfId="26122"/>
    <cellStyle name="注释 40 5" xfId="29347"/>
    <cellStyle name="注释 41" xfId="5615"/>
    <cellStyle name="注释 41 2" xfId="10866"/>
    <cellStyle name="注释 41 3" xfId="17300"/>
    <cellStyle name="注释 41 4" xfId="26123"/>
    <cellStyle name="注释 41 5" xfId="29348"/>
    <cellStyle name="注释 42" xfId="5616"/>
    <cellStyle name="注释 42 2" xfId="10867"/>
    <cellStyle name="注释 42 3" xfId="17301"/>
    <cellStyle name="注释 42 4" xfId="26124"/>
    <cellStyle name="注释 42 5" xfId="29349"/>
    <cellStyle name="注释 43" xfId="5617"/>
    <cellStyle name="注释 43 2" xfId="10868"/>
    <cellStyle name="注释 43 3" xfId="17302"/>
    <cellStyle name="注释 43 4" xfId="26125"/>
    <cellStyle name="注释 43 5" xfId="29350"/>
    <cellStyle name="注释 44" xfId="5618"/>
    <cellStyle name="注释 44 2" xfId="10869"/>
    <cellStyle name="注释 44 3" xfId="17303"/>
    <cellStyle name="注释 44 4" xfId="26126"/>
    <cellStyle name="注释 44 5" xfId="29351"/>
    <cellStyle name="注释 45" xfId="5619"/>
    <cellStyle name="注释 45 2" xfId="10870"/>
    <cellStyle name="注释 45 3" xfId="17304"/>
    <cellStyle name="注释 45 4" xfId="26127"/>
    <cellStyle name="注释 45 5" xfId="29352"/>
    <cellStyle name="注释 46" xfId="7231"/>
    <cellStyle name="注释 46 2" xfId="10439"/>
    <cellStyle name="注释 46 3" xfId="17385"/>
    <cellStyle name="注释 47" xfId="11576"/>
    <cellStyle name="注释 47 2" xfId="23817"/>
    <cellStyle name="注释 47 3" xfId="26402"/>
    <cellStyle name="注释 48" xfId="13375"/>
    <cellStyle name="注释 48 2" xfId="23889"/>
    <cellStyle name="注释 48 3" xfId="26474"/>
    <cellStyle name="注释 49" xfId="16873"/>
    <cellStyle name="注释 49 2" xfId="23922"/>
    <cellStyle name="注释 49 3" xfId="26507"/>
    <cellStyle name="注释 5" xfId="1799"/>
    <cellStyle name="注释 5 10" xfId="13483"/>
    <cellStyle name="注释 5 11" xfId="17305"/>
    <cellStyle name="注释 5 12" xfId="7419"/>
    <cellStyle name="注释 5 13" xfId="19653"/>
    <cellStyle name="注释 5 14" xfId="22929"/>
    <cellStyle name="注释 5 15" xfId="20765"/>
    <cellStyle name="注释 5 16" xfId="31424"/>
    <cellStyle name="注释 5 17" xfId="32349"/>
    <cellStyle name="注释 5 2" xfId="1800"/>
    <cellStyle name="注释 5 2 10" xfId="31425"/>
    <cellStyle name="注释 5 2 11" xfId="32115"/>
    <cellStyle name="注释 5 2 2" xfId="5621"/>
    <cellStyle name="注释 5 2 3" xfId="7340"/>
    <cellStyle name="注释 5 2 4" xfId="13484"/>
    <cellStyle name="注释 5 2 5" xfId="17306"/>
    <cellStyle name="注释 5 2 6" xfId="7418"/>
    <cellStyle name="注释 5 2 7" xfId="19654"/>
    <cellStyle name="注释 5 2 8" xfId="22705"/>
    <cellStyle name="注释 5 2 9" xfId="20123"/>
    <cellStyle name="注释 5 3" xfId="1801"/>
    <cellStyle name="注释 5 3 10" xfId="31426"/>
    <cellStyle name="注释 5 3 11" xfId="31646"/>
    <cellStyle name="注释 5 3 2" xfId="5622"/>
    <cellStyle name="注释 5 3 3" xfId="7341"/>
    <cellStyle name="注释 5 3 4" xfId="13485"/>
    <cellStyle name="注释 5 3 5" xfId="17307"/>
    <cellStyle name="注释 5 3 6" xfId="9646"/>
    <cellStyle name="注释 5 3 7" xfId="19655"/>
    <cellStyle name="注释 5 3 8" xfId="22487"/>
    <cellStyle name="注释 5 3 9" xfId="21414"/>
    <cellStyle name="注释 5 4" xfId="1802"/>
    <cellStyle name="注释 5 4 10" xfId="31427"/>
    <cellStyle name="注释 5 4 11" xfId="33244"/>
    <cellStyle name="注释 5 4 2" xfId="5623"/>
    <cellStyle name="注释 5 4 3" xfId="7342"/>
    <cellStyle name="注释 5 4 4" xfId="13486"/>
    <cellStyle name="注释 5 4 5" xfId="17308"/>
    <cellStyle name="注释 5 4 6" xfId="7417"/>
    <cellStyle name="注释 5 4 7" xfId="19656"/>
    <cellStyle name="注释 5 4 8" xfId="21947"/>
    <cellStyle name="注释 5 4 9" xfId="20350"/>
    <cellStyle name="注释 5 5" xfId="1803"/>
    <cellStyle name="注释 5 5 10" xfId="31428"/>
    <cellStyle name="注释 5 5 11" xfId="32985"/>
    <cellStyle name="注释 5 5 2" xfId="5624"/>
    <cellStyle name="注释 5 5 3" xfId="7343"/>
    <cellStyle name="注释 5 5 4" xfId="13487"/>
    <cellStyle name="注释 5 5 5" xfId="17309"/>
    <cellStyle name="注释 5 5 6" xfId="7416"/>
    <cellStyle name="注释 5 5 7" xfId="19657"/>
    <cellStyle name="注释 5 5 8" xfId="22921"/>
    <cellStyle name="注释 5 5 9" xfId="20897"/>
    <cellStyle name="注释 5 6" xfId="1804"/>
    <cellStyle name="注释 5 6 10" xfId="31429"/>
    <cellStyle name="注释 5 6 11" xfId="32595"/>
    <cellStyle name="注释 5 6 2" xfId="5625"/>
    <cellStyle name="注释 5 6 3" xfId="7344"/>
    <cellStyle name="注释 5 6 4" xfId="13488"/>
    <cellStyle name="注释 5 6 5" xfId="17310"/>
    <cellStyle name="注释 5 6 6" xfId="7415"/>
    <cellStyle name="注释 5 6 7" xfId="19658"/>
    <cellStyle name="注释 5 6 8" xfId="22697"/>
    <cellStyle name="注释 5 6 9" xfId="20764"/>
    <cellStyle name="注释 5 7" xfId="1805"/>
    <cellStyle name="注释 5 7 10" xfId="31430"/>
    <cellStyle name="注释 5 7 11" xfId="32348"/>
    <cellStyle name="注释 5 7 2" xfId="5626"/>
    <cellStyle name="注释 5 7 3" xfId="7345"/>
    <cellStyle name="注释 5 7 4" xfId="13489"/>
    <cellStyle name="注释 5 7 5" xfId="17311"/>
    <cellStyle name="注释 5 7 6" xfId="7414"/>
    <cellStyle name="注释 5 7 7" xfId="19659"/>
    <cellStyle name="注释 5 7 8" xfId="22480"/>
    <cellStyle name="注释 5 7 9" xfId="20122"/>
    <cellStyle name="注释 5 8" xfId="5620"/>
    <cellStyle name="注释 5 9" xfId="7339"/>
    <cellStyle name="注释 50" xfId="7501"/>
    <cellStyle name="注释 50 2" xfId="27020"/>
    <cellStyle name="注释 51" xfId="17510"/>
    <cellStyle name="注释 52" xfId="17596"/>
    <cellStyle name="注释 52 2" xfId="27156"/>
    <cellStyle name="注释 53" xfId="17682"/>
    <cellStyle name="注释 54" xfId="17768"/>
    <cellStyle name="注释 55" xfId="17854"/>
    <cellStyle name="注释 56" xfId="19543"/>
    <cellStyle name="注释 56 2" xfId="21410"/>
    <cellStyle name="注释 56 3" xfId="23493"/>
    <cellStyle name="注释 57" xfId="22956"/>
    <cellStyle name="注释 58" xfId="20913"/>
    <cellStyle name="注释 6" xfId="1806"/>
    <cellStyle name="注释 6 10" xfId="17312"/>
    <cellStyle name="注释 6 11" xfId="7413"/>
    <cellStyle name="注释 6 12" xfId="19660"/>
    <cellStyle name="注释 6 13" xfId="21940"/>
    <cellStyle name="注释 6 14" xfId="19683"/>
    <cellStyle name="注释 6 15" xfId="31431"/>
    <cellStyle name="注释 6 16" xfId="32114"/>
    <cellStyle name="注释 6 2" xfId="1807"/>
    <cellStyle name="注释 6 2 10" xfId="31432"/>
    <cellStyle name="注释 6 2 11" xfId="31645"/>
    <cellStyle name="注释 6 2 2" xfId="5628"/>
    <cellStyle name="注释 6 2 3" xfId="7347"/>
    <cellStyle name="注释 6 2 4" xfId="13491"/>
    <cellStyle name="注释 6 2 5" xfId="17313"/>
    <cellStyle name="注释 6 2 6" xfId="7412"/>
    <cellStyle name="注释 6 2 7" xfId="19661"/>
    <cellStyle name="注释 6 2 8" xfId="22924"/>
    <cellStyle name="注释 6 2 9" xfId="21413"/>
    <cellStyle name="注释 6 3" xfId="1808"/>
    <cellStyle name="注释 6 3 10" xfId="31433"/>
    <cellStyle name="注释 6 3 11" xfId="33243"/>
    <cellStyle name="注释 6 3 2" xfId="5629"/>
    <cellStyle name="注释 6 3 3" xfId="7348"/>
    <cellStyle name="注释 6 3 4" xfId="13492"/>
    <cellStyle name="注释 6 3 5" xfId="17314"/>
    <cellStyle name="注释 6 3 6" xfId="7411"/>
    <cellStyle name="注释 6 3 7" xfId="19662"/>
    <cellStyle name="注释 6 3 8" xfId="22700"/>
    <cellStyle name="注释 6 3 9" xfId="20351"/>
    <cellStyle name="注释 6 4" xfId="1809"/>
    <cellStyle name="注释 6 4 10" xfId="31434"/>
    <cellStyle name="注释 6 4 11" xfId="32984"/>
    <cellStyle name="注释 6 4 2" xfId="5630"/>
    <cellStyle name="注释 6 4 3" xfId="7349"/>
    <cellStyle name="注释 6 4 4" xfId="13493"/>
    <cellStyle name="注释 6 4 5" xfId="17315"/>
    <cellStyle name="注释 6 4 6" xfId="7410"/>
    <cellStyle name="注释 6 4 7" xfId="19663"/>
    <cellStyle name="注释 6 4 8" xfId="22482"/>
    <cellStyle name="注释 6 4 9" xfId="20896"/>
    <cellStyle name="注释 6 5" xfId="1810"/>
    <cellStyle name="注释 6 5 10" xfId="31435"/>
    <cellStyle name="注释 6 5 11" xfId="32594"/>
    <cellStyle name="注释 6 5 2" xfId="5631"/>
    <cellStyle name="注释 6 5 3" xfId="7350"/>
    <cellStyle name="注释 6 5 4" xfId="13494"/>
    <cellStyle name="注释 6 5 5" xfId="17316"/>
    <cellStyle name="注释 6 5 6" xfId="7409"/>
    <cellStyle name="注释 6 5 7" xfId="19664"/>
    <cellStyle name="注释 6 5 8" xfId="21942"/>
    <cellStyle name="注释 6 5 9" xfId="20763"/>
    <cellStyle name="注释 6 6" xfId="1811"/>
    <cellStyle name="注释 6 6 10" xfId="31436"/>
    <cellStyle name="注释 6 6 11" xfId="32347"/>
    <cellStyle name="注释 6 6 2" xfId="5632"/>
    <cellStyle name="注释 6 6 3" xfId="7351"/>
    <cellStyle name="注释 6 6 4" xfId="13495"/>
    <cellStyle name="注释 6 6 5" xfId="17317"/>
    <cellStyle name="注释 6 6 6" xfId="7408"/>
    <cellStyle name="注释 6 6 7" xfId="19665"/>
    <cellStyle name="注释 6 6 8" xfId="22926"/>
    <cellStyle name="注释 6 6 9" xfId="20121"/>
    <cellStyle name="注释 6 7" xfId="5627"/>
    <cellStyle name="注释 6 8" xfId="7346"/>
    <cellStyle name="注释 6 9" xfId="13490"/>
    <cellStyle name="注释 7" xfId="1812"/>
    <cellStyle name="注释 7 10" xfId="22702"/>
    <cellStyle name="注释 7 11" xfId="19682"/>
    <cellStyle name="注释 7 12" xfId="31437"/>
    <cellStyle name="注释 7 13" xfId="32113"/>
    <cellStyle name="注释 7 2" xfId="1813"/>
    <cellStyle name="注释 7 2 10" xfId="31438"/>
    <cellStyle name="注释 7 2 11" xfId="31644"/>
    <cellStyle name="注释 7 2 2" xfId="5634"/>
    <cellStyle name="注释 7 2 3" xfId="7353"/>
    <cellStyle name="注释 7 2 4" xfId="13497"/>
    <cellStyle name="注释 7 2 5" xfId="17319"/>
    <cellStyle name="注释 7 2 6" xfId="7406"/>
    <cellStyle name="注释 7 2 7" xfId="19667"/>
    <cellStyle name="注释 7 2 8" xfId="22484"/>
    <cellStyle name="注释 7 2 9" xfId="21412"/>
    <cellStyle name="注释 7 3" xfId="1814"/>
    <cellStyle name="注释 7 3 10" xfId="31439"/>
    <cellStyle name="注释 7 3 11" xfId="33241"/>
    <cellStyle name="注释 7 3 2" xfId="5635"/>
    <cellStyle name="注释 7 3 3" xfId="7354"/>
    <cellStyle name="注释 7 3 4" xfId="13498"/>
    <cellStyle name="注释 7 3 5" xfId="17320"/>
    <cellStyle name="注释 7 3 6" xfId="7405"/>
    <cellStyle name="注释 7 3 7" xfId="19668"/>
    <cellStyle name="注释 7 3 8" xfId="21944"/>
    <cellStyle name="注释 7 3 9" xfId="20352"/>
    <cellStyle name="注释 7 4" xfId="5633"/>
    <cellStyle name="注释 7 5" xfId="7352"/>
    <cellStyle name="注释 7 6" xfId="13496"/>
    <cellStyle name="注释 7 7" xfId="17318"/>
    <cellStyle name="注释 7 8" xfId="7407"/>
    <cellStyle name="注释 7 9" xfId="19666"/>
    <cellStyle name="注释 8" xfId="1815"/>
    <cellStyle name="注释 8 10" xfId="17321"/>
    <cellStyle name="注释 8 11" xfId="7404"/>
    <cellStyle name="注释 8 12" xfId="19669"/>
    <cellStyle name="注释 8 13" xfId="22925"/>
    <cellStyle name="注释 8 14" xfId="20895"/>
    <cellStyle name="注释 8 15" xfId="31440"/>
    <cellStyle name="注释 8 16" xfId="32593"/>
    <cellStyle name="注释 8 2" xfId="1816"/>
    <cellStyle name="注释 8 2 10" xfId="31441"/>
    <cellStyle name="注释 8 2 11" xfId="32345"/>
    <cellStyle name="注释 8 2 2" xfId="5637"/>
    <cellStyle name="注释 8 2 3" xfId="7356"/>
    <cellStyle name="注释 8 2 4" xfId="13500"/>
    <cellStyle name="注释 8 2 5" xfId="17322"/>
    <cellStyle name="注释 8 2 6" xfId="7403"/>
    <cellStyle name="注释 8 2 7" xfId="19670"/>
    <cellStyle name="注释 8 2 8" xfId="22701"/>
    <cellStyle name="注释 8 2 9" xfId="20762"/>
    <cellStyle name="注释 8 3" xfId="1817"/>
    <cellStyle name="注释 8 3 10" xfId="31442"/>
    <cellStyle name="注释 8 3 11" xfId="32112"/>
    <cellStyle name="注释 8 3 2" xfId="5638"/>
    <cellStyle name="注释 8 3 3" xfId="7357"/>
    <cellStyle name="注释 8 3 4" xfId="13501"/>
    <cellStyle name="注释 8 3 5" xfId="17323"/>
    <cellStyle name="注释 8 3 6" xfId="11047"/>
    <cellStyle name="注释 8 3 7" xfId="19671"/>
    <cellStyle name="注释 8 3 8" xfId="22483"/>
    <cellStyle name="注释 8 3 9" xfId="20120"/>
    <cellStyle name="注释 8 4" xfId="1818"/>
    <cellStyle name="注释 8 4 10" xfId="31443"/>
    <cellStyle name="注释 8 4 11" xfId="31891"/>
    <cellStyle name="注释 8 4 2" xfId="5639"/>
    <cellStyle name="注释 8 4 3" xfId="7358"/>
    <cellStyle name="注释 8 4 4" xfId="13502"/>
    <cellStyle name="注释 8 4 5" xfId="17324"/>
    <cellStyle name="注释 8 4 6" xfId="9643"/>
    <cellStyle name="注释 8 4 7" xfId="19672"/>
    <cellStyle name="注释 8 4 8" xfId="21943"/>
    <cellStyle name="注释 8 4 9" xfId="19681"/>
    <cellStyle name="注释 8 5" xfId="1819"/>
    <cellStyle name="注释 8 5 2" xfId="7359"/>
    <cellStyle name="注释 8 5 3" xfId="13503"/>
    <cellStyle name="注释 8 5 4" xfId="11049"/>
    <cellStyle name="注释 8 5 5" xfId="19673"/>
    <cellStyle name="注释 8 5 6" xfId="22922"/>
    <cellStyle name="注释 8 5 7" xfId="21411"/>
    <cellStyle name="注释 8 5 8" xfId="31842"/>
    <cellStyle name="注释 8 5 9" xfId="32552"/>
    <cellStyle name="注释 8 6" xfId="5636"/>
    <cellStyle name="注释 8 7" xfId="7355"/>
    <cellStyle name="注释 8 8" xfId="11700"/>
    <cellStyle name="注释 8 9" xfId="13499"/>
    <cellStyle name="注释 9" xfId="1820"/>
    <cellStyle name="注释 9 10" xfId="17325"/>
    <cellStyle name="注释 9 11" xfId="9645"/>
    <cellStyle name="注释 9 12" xfId="19674"/>
    <cellStyle name="注释 9 13" xfId="22698"/>
    <cellStyle name="注释 9 14" xfId="20353"/>
    <cellStyle name="注释 9 15" xfId="31444"/>
    <cellStyle name="注释 9 16" xfId="32982"/>
    <cellStyle name="注释 9 2" xfId="1821"/>
    <cellStyle name="注释 9 2 10" xfId="31445"/>
    <cellStyle name="注释 9 2 11" xfId="32981"/>
    <cellStyle name="注释 9 2 2" xfId="5641"/>
    <cellStyle name="注释 9 2 3" xfId="7361"/>
    <cellStyle name="注释 9 2 4" xfId="13505"/>
    <cellStyle name="注释 9 2 5" xfId="17326"/>
    <cellStyle name="注释 9 2 6" xfId="11048"/>
    <cellStyle name="注释 9 2 7" xfId="19675"/>
    <cellStyle name="注释 9 2 8" xfId="22481"/>
    <cellStyle name="注释 9 2 9" xfId="20894"/>
    <cellStyle name="注释 9 3" xfId="1822"/>
    <cellStyle name="注释 9 3 10" xfId="31446"/>
    <cellStyle name="注释 9 3 11" xfId="32346"/>
    <cellStyle name="注释 9 3 2" xfId="5642"/>
    <cellStyle name="注释 9 3 3" xfId="7362"/>
    <cellStyle name="注释 9 3 4" xfId="13506"/>
    <cellStyle name="注释 9 3 5" xfId="17327"/>
    <cellStyle name="注释 9 3 6" xfId="9644"/>
    <cellStyle name="注释 9 3 7" xfId="19676"/>
    <cellStyle name="注释 9 3 8" xfId="21941"/>
    <cellStyle name="注释 9 3 9" xfId="20355"/>
    <cellStyle name="注释 9 4" xfId="1823"/>
    <cellStyle name="注释 9 4 10" xfId="31447"/>
    <cellStyle name="注释 9 4 11" xfId="31643"/>
    <cellStyle name="注释 9 4 2" xfId="5643"/>
    <cellStyle name="注释 9 4 3" xfId="7363"/>
    <cellStyle name="注释 9 4 4" xfId="13507"/>
    <cellStyle name="注释 9 4 5" xfId="17328"/>
    <cellStyle name="注释 9 4 6" xfId="7402"/>
    <cellStyle name="注释 9 4 7" xfId="19677"/>
    <cellStyle name="注释 9 4 8" xfId="22923"/>
    <cellStyle name="注释 9 4 9" xfId="20892"/>
    <cellStyle name="注释 9 5" xfId="1824"/>
    <cellStyle name="注释 9 5 2" xfId="7364"/>
    <cellStyle name="注释 9 5 3" xfId="13508"/>
    <cellStyle name="注释 9 5 4" xfId="7401"/>
    <cellStyle name="注释 9 5 5" xfId="19678"/>
    <cellStyle name="注释 9 5 6" xfId="22699"/>
    <cellStyle name="注释 9 5 7" xfId="20759"/>
    <cellStyle name="注释 9 5 8" xfId="31843"/>
    <cellStyle name="注释 9 5 9" xfId="32956"/>
    <cellStyle name="注释 9 6" xfId="5640"/>
    <cellStyle name="注释 9 7" xfId="7360"/>
    <cellStyle name="注释 9 8" xfId="11705"/>
    <cellStyle name="注释 9 9" xfId="13504"/>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Label"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28575</xdr:colOff>
          <xdr:row>0</xdr:row>
          <xdr:rowOff>628650</xdr:rowOff>
        </xdr:from>
        <xdr:to>
          <xdr:col>3</xdr:col>
          <xdr:colOff>0</xdr:colOff>
          <xdr:row>1</xdr:row>
          <xdr:rowOff>0</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宋体"/>
                  <a:ea typeface="宋体"/>
                </a:rPr>
                <a:t>生成文件</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28575</xdr:colOff>
          <xdr:row>141</xdr:row>
          <xdr:rowOff>0</xdr:rowOff>
        </xdr:from>
        <xdr:to>
          <xdr:col>20</xdr:col>
          <xdr:colOff>657225</xdr:colOff>
          <xdr:row>141</xdr:row>
          <xdr:rowOff>228600</xdr:rowOff>
        </xdr:to>
        <xdr:sp macro="" textlink="">
          <xdr:nvSpPr>
            <xdr:cNvPr id="1036" name="TextBox1" hidden="1">
              <a:extLst>
                <a:ext uri="{63B3BB69-23CF-44E3-9099-C40C66FF867C}">
                  <a14:compatExt spid="_x0000_s10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38100</xdr:colOff>
          <xdr:row>2</xdr:row>
          <xdr:rowOff>57150</xdr:rowOff>
        </xdr:from>
        <xdr:to>
          <xdr:col>20</xdr:col>
          <xdr:colOff>657225</xdr:colOff>
          <xdr:row>2</xdr:row>
          <xdr:rowOff>466725</xdr:rowOff>
        </xdr:to>
        <xdr:sp macro="" textlink="">
          <xdr:nvSpPr>
            <xdr:cNvPr id="1037" name="Label 13" hidden="1">
              <a:extLst>
                <a:ext uri="{63B3BB69-23CF-44E3-9099-C40C66FF867C}">
                  <a14:compatExt spid="_x0000_s1037"/>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zh-CN" altLang="en-US" sz="900" b="0" i="0" u="none" strike="noStrike" baseline="0">
                  <a:solidFill>
                    <a:srgbClr val="000000"/>
                  </a:solidFill>
                  <a:latin typeface="宋体"/>
                  <a:ea typeface="宋体"/>
                </a:rPr>
                <a:t>功能码起始地址</a:t>
              </a:r>
            </a:p>
          </xdr:txBody>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H854"/>
  <sheetViews>
    <sheetView tabSelected="1" zoomScaleNormal="100" workbookViewId="0">
      <pane ySplit="1" topLeftCell="A806" activePane="bottomLeft" state="frozen"/>
      <selection activeCell="B1" sqref="B1"/>
      <selection pane="bottomLeft" activeCell="G813" sqref="G813"/>
    </sheetView>
  </sheetViews>
  <sheetFormatPr defaultColWidth="9" defaultRowHeight="14.25" x14ac:dyDescent="0.15"/>
  <cols>
    <col min="1" max="1" width="4.625" style="84" customWidth="1"/>
    <col min="2" max="2" width="4.625" style="65" customWidth="1"/>
    <col min="3" max="3" width="8.375" style="85" customWidth="1"/>
    <col min="4" max="4" width="21.25" style="86" customWidth="1"/>
    <col min="5" max="5" width="19.625" style="85" customWidth="1"/>
    <col min="6" max="6" width="26.375" style="87" customWidth="1"/>
    <col min="7" max="7" width="7.75" style="88" customWidth="1"/>
    <col min="8" max="8" width="6.625" style="89" customWidth="1"/>
    <col min="9" max="9" width="6.125" style="90" customWidth="1"/>
    <col min="10" max="10" width="6.25" style="85" customWidth="1"/>
    <col min="11" max="11" width="5.625" style="85" customWidth="1"/>
    <col min="12" max="12" width="3.5" style="89" customWidth="1"/>
    <col min="13" max="13" width="7.75" style="89" customWidth="1"/>
    <col min="14" max="14" width="5.25" style="89" customWidth="1"/>
    <col min="15" max="15" width="4.25" style="89" customWidth="1"/>
    <col min="16" max="16" width="5" style="91" customWidth="1"/>
    <col min="17" max="17" width="6.625" style="92" customWidth="1"/>
    <col min="18" max="18" width="4" style="89" customWidth="1"/>
    <col min="19" max="19" width="4.125" style="49" customWidth="1"/>
    <col min="20" max="21" width="13" style="49" customWidth="1"/>
    <col min="22" max="22" width="7.375" style="49" customWidth="1"/>
    <col min="23" max="23" width="6.875" style="49" customWidth="1"/>
    <col min="24" max="24" width="6.25" style="49" customWidth="1"/>
    <col min="25" max="25" width="7.25" style="49" customWidth="1"/>
    <col min="26" max="26" width="9" style="49"/>
    <col min="27" max="27" width="8.25" style="49" customWidth="1"/>
    <col min="28" max="28" width="5.625" style="49" customWidth="1"/>
    <col min="29" max="29" width="5.5" style="49" customWidth="1"/>
    <col min="30" max="30" width="17.125" style="49" customWidth="1"/>
    <col min="31" max="31" width="25.375" style="49" customWidth="1"/>
    <col min="32" max="32" width="5.875" style="49" customWidth="1"/>
    <col min="33" max="33" width="3.625" style="49" customWidth="1"/>
    <col min="34" max="34" width="6.5" style="49" customWidth="1"/>
    <col min="35" max="16384" width="9" style="49"/>
  </cols>
  <sheetData>
    <row r="1" spans="1:34" s="41" customFormat="1" ht="69.75" customHeight="1" x14ac:dyDescent="0.15">
      <c r="A1" s="23" t="s">
        <v>1288</v>
      </c>
      <c r="B1" s="24" t="s">
        <v>1270</v>
      </c>
      <c r="C1" s="25" t="s">
        <v>1271</v>
      </c>
      <c r="D1" s="26" t="s">
        <v>1272</v>
      </c>
      <c r="E1" s="25" t="s">
        <v>1273</v>
      </c>
      <c r="F1" s="27" t="s">
        <v>1274</v>
      </c>
      <c r="G1" s="28" t="s">
        <v>1275</v>
      </c>
      <c r="H1" s="29" t="s">
        <v>1276</v>
      </c>
      <c r="I1" s="30" t="s">
        <v>1277</v>
      </c>
      <c r="J1" s="31" t="s">
        <v>1278</v>
      </c>
      <c r="K1" s="32" t="s">
        <v>1279</v>
      </c>
      <c r="L1" s="33" t="s">
        <v>1280</v>
      </c>
      <c r="M1" s="34" t="s">
        <v>1281</v>
      </c>
      <c r="N1" s="35" t="s">
        <v>1282</v>
      </c>
      <c r="O1" s="36" t="s">
        <v>1283</v>
      </c>
      <c r="P1" s="37" t="s">
        <v>1284</v>
      </c>
      <c r="Q1" s="38" t="s">
        <v>1285</v>
      </c>
      <c r="R1" s="39" t="s">
        <v>1286</v>
      </c>
      <c r="S1" s="37" t="s">
        <v>1287</v>
      </c>
      <c r="T1" s="40"/>
      <c r="U1" s="327"/>
      <c r="V1" s="33" t="s">
        <v>992</v>
      </c>
      <c r="W1" s="34" t="s">
        <v>993</v>
      </c>
      <c r="X1" s="35" t="s">
        <v>994</v>
      </c>
      <c r="Y1" s="36" t="s">
        <v>995</v>
      </c>
      <c r="Z1" s="37" t="s">
        <v>996</v>
      </c>
      <c r="AA1" s="38" t="s">
        <v>997</v>
      </c>
      <c r="AB1" s="39" t="s">
        <v>998</v>
      </c>
      <c r="AC1" s="37" t="s">
        <v>999</v>
      </c>
      <c r="AD1" s="41" t="s">
        <v>1000</v>
      </c>
      <c r="AE1" s="41" t="s">
        <v>1001</v>
      </c>
    </row>
    <row r="2" spans="1:34" s="327" customFormat="1" ht="23.25" x14ac:dyDescent="0.15">
      <c r="A2" s="318" t="str">
        <f>DEC2HEX(AH2)</f>
        <v>0</v>
      </c>
      <c r="B2" s="319">
        <v>0</v>
      </c>
      <c r="C2" s="320" t="s">
        <v>1227</v>
      </c>
      <c r="D2" s="321" t="s">
        <v>2844</v>
      </c>
      <c r="E2" s="322" t="s">
        <v>1318</v>
      </c>
      <c r="F2" s="323" t="s">
        <v>2698</v>
      </c>
      <c r="G2" s="324">
        <v>0</v>
      </c>
      <c r="H2" s="325" t="s">
        <v>1002</v>
      </c>
      <c r="I2" s="320">
        <v>0</v>
      </c>
      <c r="J2" s="325">
        <v>0</v>
      </c>
      <c r="K2" s="325">
        <v>0</v>
      </c>
      <c r="L2" s="325" t="s">
        <v>1003</v>
      </c>
      <c r="M2" s="325">
        <v>1</v>
      </c>
      <c r="N2" s="325" t="s">
        <v>1004</v>
      </c>
      <c r="O2" s="325">
        <v>1</v>
      </c>
      <c r="P2" s="320">
        <v>1</v>
      </c>
      <c r="Q2" s="325">
        <v>1</v>
      </c>
      <c r="R2" s="326">
        <v>4</v>
      </c>
      <c r="S2" s="325">
        <v>0</v>
      </c>
      <c r="T2" s="325"/>
      <c r="V2" s="327" t="str">
        <f>IF(L2="△",DEC2BIN(0),IF(L2="×",DEC2BIN(1),IF(L2="◎",DEC2BIN(2),DEC2BIN(3))))</f>
        <v>0</v>
      </c>
      <c r="W2" s="327" t="str">
        <f>IF(M2=1,DEC2BIN(0),IF(M2=0.1,DEC2BIN(1),IF(M2=0.01,DEC2BIN(2),DEC2BIN(3))))</f>
        <v>0</v>
      </c>
      <c r="X2" s="327" t="str">
        <f>LOOKUP(N2,$AG$2:$AG$17,$AH$2:$AH$17)</f>
        <v>0</v>
      </c>
      <c r="Y2" s="327">
        <f>O2</f>
        <v>1</v>
      </c>
      <c r="Z2" s="327">
        <f>P2</f>
        <v>1</v>
      </c>
      <c r="AA2" s="327">
        <f>Q2</f>
        <v>1</v>
      </c>
      <c r="AB2" s="327" t="str">
        <f>DEC2BIN(R2)</f>
        <v>100</v>
      </c>
      <c r="AC2" s="327">
        <f>S2</f>
        <v>0</v>
      </c>
      <c r="AD2" s="327" t="e">
        <f>HE</f>
        <v>#NAME?</v>
      </c>
      <c r="AE2" s="327" t="str">
        <f>DEC2HEX(V2+W2*4+X2*16+Y2*256+Z2*512+AA2*1024+AB2*2048+AC2*16384)</f>
        <v>32700</v>
      </c>
      <c r="AG2" s="327" t="s">
        <v>1005</v>
      </c>
      <c r="AH2" s="327" t="str">
        <f>DEC2BIN(0)</f>
        <v>0</v>
      </c>
    </row>
    <row r="3" spans="1:34" s="327" customFormat="1" ht="93.75" x14ac:dyDescent="0.15">
      <c r="A3" s="318" t="str">
        <f>DEC2HEX(AH3)</f>
        <v>0</v>
      </c>
      <c r="B3" s="319">
        <v>1</v>
      </c>
      <c r="C3" s="320" t="s">
        <v>394</v>
      </c>
      <c r="D3" s="321" t="s">
        <v>2844</v>
      </c>
      <c r="E3" s="322" t="s">
        <v>1301</v>
      </c>
      <c r="F3" s="323" t="s">
        <v>2699</v>
      </c>
      <c r="G3" s="324">
        <v>0</v>
      </c>
      <c r="H3" s="325">
        <v>3</v>
      </c>
      <c r="I3" s="320">
        <v>0</v>
      </c>
      <c r="J3" s="325">
        <v>0</v>
      </c>
      <c r="K3" s="325">
        <v>0</v>
      </c>
      <c r="L3" s="325" t="s">
        <v>1594</v>
      </c>
      <c r="M3" s="325">
        <v>1</v>
      </c>
      <c r="N3" s="325" t="s">
        <v>1595</v>
      </c>
      <c r="O3" s="325">
        <v>0</v>
      </c>
      <c r="P3" s="320">
        <v>1</v>
      </c>
      <c r="Q3" s="325">
        <v>1</v>
      </c>
      <c r="R3" s="325">
        <v>1</v>
      </c>
      <c r="S3" s="325">
        <v>0</v>
      </c>
      <c r="T3" s="325"/>
      <c r="V3" s="327" t="str">
        <f t="shared" ref="V3:V67" si="0">IF(L3="△",DEC2BIN(0),IF(L3="×",DEC2BIN(1),IF(L3="◎",DEC2BIN(2),DEC2BIN(3))))</f>
        <v>0</v>
      </c>
      <c r="W3" s="327" t="str">
        <f t="shared" ref="W3:W67" si="1">IF(M3=1,DEC2BIN(0),IF(M3=0.1,DEC2BIN(1),IF(M3=0.01,DEC2BIN(2),DEC2BIN(3))))</f>
        <v>0</v>
      </c>
      <c r="X3" s="327" t="str">
        <f t="shared" ref="X3:X67" si="2">LOOKUP(N3,$AG$2:$AG$17,$AH$2:$AH$17)</f>
        <v>0</v>
      </c>
      <c r="Y3" s="327">
        <f t="shared" ref="Y3:Y67" si="3">O3</f>
        <v>0</v>
      </c>
      <c r="Z3" s="327">
        <f t="shared" ref="Z3:Z67" si="4">P3</f>
        <v>1</v>
      </c>
      <c r="AA3" s="327">
        <f t="shared" ref="AA3:AA67" si="5">Q3</f>
        <v>1</v>
      </c>
      <c r="AB3" s="327" t="str">
        <f>DEC2BIN(R3)</f>
        <v>1</v>
      </c>
      <c r="AC3" s="327">
        <f t="shared" ref="AC3:AC67" si="6">S3</f>
        <v>0</v>
      </c>
      <c r="AD3" s="327">
        <f>HEX2DEC("FFFF")</f>
        <v>65535</v>
      </c>
      <c r="AE3" s="327" t="str">
        <f t="shared" ref="AE3:AE67" si="7">DEC2HEX(V3+W3*4+X3*16+Y3*256+Z3*512+AA3*1024+AB3*2048+AC3*16384)</f>
        <v>E00</v>
      </c>
      <c r="AF3" s="327">
        <f>HEX2DEC(AE3)</f>
        <v>3584</v>
      </c>
      <c r="AG3" s="327" t="s">
        <v>1596</v>
      </c>
      <c r="AH3" s="327" t="str">
        <f t="shared" ref="AH3:AH17" si="8">DEC2BIN(0)</f>
        <v>0</v>
      </c>
    </row>
    <row r="4" spans="1:34" s="327" customFormat="1" ht="23.25" x14ac:dyDescent="0.15">
      <c r="A4" s="318" t="str">
        <f t="shared" ref="A4:A67" si="9">DEC2HEX(AH4)</f>
        <v>0</v>
      </c>
      <c r="B4" s="319">
        <v>2</v>
      </c>
      <c r="C4" s="320" t="s">
        <v>395</v>
      </c>
      <c r="D4" s="321" t="s">
        <v>2844</v>
      </c>
      <c r="E4" s="322" t="s">
        <v>1597</v>
      </c>
      <c r="F4" s="323" t="s">
        <v>2700</v>
      </c>
      <c r="G4" s="324">
        <v>0</v>
      </c>
      <c r="H4" s="325">
        <v>1</v>
      </c>
      <c r="I4" s="320">
        <v>0</v>
      </c>
      <c r="J4" s="325">
        <v>0</v>
      </c>
      <c r="K4" s="325">
        <v>0</v>
      </c>
      <c r="L4" s="325" t="s">
        <v>1598</v>
      </c>
      <c r="M4" s="325">
        <v>1</v>
      </c>
      <c r="N4" s="325" t="s">
        <v>1595</v>
      </c>
      <c r="O4" s="325">
        <v>0</v>
      </c>
      <c r="P4" s="320">
        <v>0</v>
      </c>
      <c r="Q4" s="325">
        <v>1</v>
      </c>
      <c r="R4" s="325">
        <v>1</v>
      </c>
      <c r="S4" s="325">
        <v>0</v>
      </c>
      <c r="T4" s="325"/>
      <c r="V4" s="327" t="str">
        <f t="shared" si="0"/>
        <v>1</v>
      </c>
      <c r="W4" s="327" t="str">
        <f t="shared" si="1"/>
        <v>0</v>
      </c>
      <c r="X4" s="327" t="str">
        <f t="shared" si="2"/>
        <v>0</v>
      </c>
      <c r="Y4" s="327">
        <f t="shared" si="3"/>
        <v>0</v>
      </c>
      <c r="Z4" s="327">
        <f t="shared" si="4"/>
        <v>0</v>
      </c>
      <c r="AA4" s="327">
        <f t="shared" si="5"/>
        <v>1</v>
      </c>
      <c r="AB4" s="327" t="str">
        <f t="shared" ref="AB4:AB68" si="10">DEC2BIN(R4)</f>
        <v>1</v>
      </c>
      <c r="AC4" s="327">
        <f t="shared" si="6"/>
        <v>0</v>
      </c>
      <c r="AD4" s="327">
        <v>0</v>
      </c>
      <c r="AE4" s="327" t="str">
        <f t="shared" si="7"/>
        <v>C01</v>
      </c>
      <c r="AG4" s="327" t="s">
        <v>1596</v>
      </c>
      <c r="AH4" s="327" t="str">
        <f t="shared" si="8"/>
        <v>0</v>
      </c>
    </row>
    <row r="5" spans="1:34" ht="107.25" x14ac:dyDescent="0.15">
      <c r="A5" s="42" t="str">
        <f t="shared" si="9"/>
        <v>0</v>
      </c>
      <c r="B5" s="43">
        <v>3</v>
      </c>
      <c r="C5" s="44" t="s">
        <v>396</v>
      </c>
      <c r="D5" s="25" t="s">
        <v>831</v>
      </c>
      <c r="E5" s="45" t="s">
        <v>1599</v>
      </c>
      <c r="F5" s="46" t="s">
        <v>1600</v>
      </c>
      <c r="G5" s="47">
        <v>0</v>
      </c>
      <c r="H5" s="48">
        <v>4</v>
      </c>
      <c r="I5" s="44">
        <v>0</v>
      </c>
      <c r="J5" s="48">
        <v>0</v>
      </c>
      <c r="K5" s="48">
        <v>0</v>
      </c>
      <c r="L5" s="48" t="s">
        <v>860</v>
      </c>
      <c r="M5" s="48">
        <v>1</v>
      </c>
      <c r="N5" s="48" t="s">
        <v>1601</v>
      </c>
      <c r="O5" s="48">
        <v>0</v>
      </c>
      <c r="P5" s="44">
        <v>0</v>
      </c>
      <c r="Q5" s="48">
        <v>0</v>
      </c>
      <c r="R5" s="48">
        <v>1</v>
      </c>
      <c r="S5" s="48">
        <v>0</v>
      </c>
      <c r="T5" s="48"/>
      <c r="V5" s="49" t="str">
        <f t="shared" si="0"/>
        <v>1</v>
      </c>
      <c r="W5" s="49" t="str">
        <f t="shared" si="1"/>
        <v>0</v>
      </c>
      <c r="X5" s="49" t="str">
        <f t="shared" si="2"/>
        <v>0</v>
      </c>
      <c r="Y5" s="49">
        <f t="shared" si="3"/>
        <v>0</v>
      </c>
      <c r="Z5" s="49">
        <f t="shared" si="4"/>
        <v>0</v>
      </c>
      <c r="AA5" s="49">
        <f t="shared" si="5"/>
        <v>0</v>
      </c>
      <c r="AB5" s="49" t="str">
        <f t="shared" si="10"/>
        <v>1</v>
      </c>
      <c r="AC5" s="49">
        <f t="shared" si="6"/>
        <v>0</v>
      </c>
      <c r="AD5" s="49">
        <v>0</v>
      </c>
      <c r="AE5" s="49" t="str">
        <f t="shared" si="7"/>
        <v>801</v>
      </c>
      <c r="AG5" s="49" t="s">
        <v>1602</v>
      </c>
      <c r="AH5" s="49" t="str">
        <f t="shared" si="8"/>
        <v>0</v>
      </c>
    </row>
    <row r="6" spans="1:34" s="327" customFormat="1" ht="47.25" x14ac:dyDescent="0.15">
      <c r="A6" s="318" t="str">
        <f t="shared" si="9"/>
        <v>0</v>
      </c>
      <c r="B6" s="319">
        <v>4</v>
      </c>
      <c r="C6" s="320" t="s">
        <v>397</v>
      </c>
      <c r="D6" s="321" t="s">
        <v>2844</v>
      </c>
      <c r="E6" s="322" t="s">
        <v>1603</v>
      </c>
      <c r="F6" s="323" t="s">
        <v>2701</v>
      </c>
      <c r="G6" s="324">
        <v>0</v>
      </c>
      <c r="H6" s="325">
        <v>1</v>
      </c>
      <c r="I6" s="320">
        <v>0</v>
      </c>
      <c r="J6" s="325">
        <v>0</v>
      </c>
      <c r="K6" s="325">
        <v>0</v>
      </c>
      <c r="L6" s="325" t="s">
        <v>860</v>
      </c>
      <c r="M6" s="325">
        <v>1</v>
      </c>
      <c r="N6" s="325" t="s">
        <v>1601</v>
      </c>
      <c r="O6" s="325">
        <v>0</v>
      </c>
      <c r="P6" s="320">
        <v>0</v>
      </c>
      <c r="Q6" s="325">
        <v>0</v>
      </c>
      <c r="R6" s="325">
        <v>1</v>
      </c>
      <c r="S6" s="325">
        <v>0</v>
      </c>
      <c r="T6" s="325"/>
      <c r="V6" s="327" t="str">
        <f t="shared" si="0"/>
        <v>1</v>
      </c>
      <c r="W6" s="327" t="str">
        <f t="shared" si="1"/>
        <v>0</v>
      </c>
      <c r="X6" s="327" t="str">
        <f t="shared" si="2"/>
        <v>0</v>
      </c>
      <c r="Y6" s="327">
        <f t="shared" si="3"/>
        <v>0</v>
      </c>
      <c r="Z6" s="327">
        <f t="shared" si="4"/>
        <v>0</v>
      </c>
      <c r="AA6" s="327">
        <f t="shared" si="5"/>
        <v>0</v>
      </c>
      <c r="AB6" s="327" t="str">
        <f t="shared" si="10"/>
        <v>1</v>
      </c>
      <c r="AC6" s="327">
        <f t="shared" si="6"/>
        <v>0</v>
      </c>
      <c r="AD6" s="327">
        <v>0</v>
      </c>
      <c r="AE6" s="327" t="str">
        <f t="shared" si="7"/>
        <v>801</v>
      </c>
      <c r="AG6" s="327" t="s">
        <v>1602</v>
      </c>
      <c r="AH6" s="327" t="str">
        <f t="shared" si="8"/>
        <v>0</v>
      </c>
    </row>
    <row r="7" spans="1:34" s="327" customFormat="1" ht="47.25" x14ac:dyDescent="0.15">
      <c r="A7" s="318" t="str">
        <f t="shared" si="9"/>
        <v>0</v>
      </c>
      <c r="B7" s="319">
        <v>5</v>
      </c>
      <c r="C7" s="320" t="s">
        <v>398</v>
      </c>
      <c r="D7" s="321" t="s">
        <v>2845</v>
      </c>
      <c r="E7" s="322" t="s">
        <v>1604</v>
      </c>
      <c r="F7" s="323" t="s">
        <v>2703</v>
      </c>
      <c r="G7" s="324">
        <v>0</v>
      </c>
      <c r="H7" s="325">
        <v>3</v>
      </c>
      <c r="I7" s="320">
        <v>0</v>
      </c>
      <c r="J7" s="325">
        <v>0</v>
      </c>
      <c r="K7" s="325">
        <v>0</v>
      </c>
      <c r="L7" s="325" t="s">
        <v>860</v>
      </c>
      <c r="M7" s="325">
        <v>1</v>
      </c>
      <c r="N7" s="325" t="s">
        <v>1601</v>
      </c>
      <c r="O7" s="325">
        <v>0</v>
      </c>
      <c r="P7" s="320">
        <v>0</v>
      </c>
      <c r="Q7" s="325">
        <v>0</v>
      </c>
      <c r="R7" s="325">
        <v>1</v>
      </c>
      <c r="S7" s="325">
        <v>0</v>
      </c>
      <c r="T7" s="325"/>
      <c r="V7" s="327" t="str">
        <f t="shared" si="0"/>
        <v>1</v>
      </c>
      <c r="W7" s="327" t="str">
        <f t="shared" si="1"/>
        <v>0</v>
      </c>
      <c r="X7" s="327" t="str">
        <f t="shared" si="2"/>
        <v>0</v>
      </c>
      <c r="Y7" s="327">
        <f t="shared" si="3"/>
        <v>0</v>
      </c>
      <c r="Z7" s="327">
        <f t="shared" si="4"/>
        <v>0</v>
      </c>
      <c r="AA7" s="327">
        <f t="shared" si="5"/>
        <v>0</v>
      </c>
      <c r="AB7" s="327" t="str">
        <f t="shared" si="10"/>
        <v>1</v>
      </c>
      <c r="AC7" s="327">
        <f t="shared" si="6"/>
        <v>0</v>
      </c>
      <c r="AD7" s="327">
        <v>0</v>
      </c>
      <c r="AE7" s="327" t="str">
        <f t="shared" si="7"/>
        <v>801</v>
      </c>
      <c r="AG7" s="327" t="s">
        <v>1602</v>
      </c>
      <c r="AH7" s="327" t="str">
        <f t="shared" si="8"/>
        <v>0</v>
      </c>
    </row>
    <row r="8" spans="1:34" s="327" customFormat="1" ht="24" x14ac:dyDescent="0.15">
      <c r="A8" s="318" t="str">
        <f t="shared" si="9"/>
        <v>0</v>
      </c>
      <c r="B8" s="319">
        <v>6</v>
      </c>
      <c r="C8" s="320" t="s">
        <v>399</v>
      </c>
      <c r="D8" s="321" t="s">
        <v>2682</v>
      </c>
      <c r="E8" s="322" t="s">
        <v>1605</v>
      </c>
      <c r="F8" s="323" t="s">
        <v>2702</v>
      </c>
      <c r="G8" s="324">
        <v>0</v>
      </c>
      <c r="H8" s="325">
        <v>0</v>
      </c>
      <c r="I8" s="320">
        <v>0</v>
      </c>
      <c r="J8" s="325">
        <v>0</v>
      </c>
      <c r="K8" s="325">
        <v>0</v>
      </c>
      <c r="L8" s="325" t="s">
        <v>860</v>
      </c>
      <c r="M8" s="325">
        <v>1</v>
      </c>
      <c r="N8" s="325" t="s">
        <v>1601</v>
      </c>
      <c r="O8" s="325">
        <v>0</v>
      </c>
      <c r="P8" s="320">
        <v>1</v>
      </c>
      <c r="Q8" s="325">
        <v>1</v>
      </c>
      <c r="R8" s="325">
        <v>1</v>
      </c>
      <c r="S8" s="325">
        <v>0</v>
      </c>
      <c r="T8" s="325"/>
      <c r="V8" s="327" t="str">
        <f t="shared" si="0"/>
        <v>1</v>
      </c>
      <c r="W8" s="327" t="str">
        <f t="shared" si="1"/>
        <v>0</v>
      </c>
      <c r="X8" s="327" t="str">
        <f t="shared" si="2"/>
        <v>0</v>
      </c>
      <c r="Y8" s="327">
        <f t="shared" si="3"/>
        <v>0</v>
      </c>
      <c r="Z8" s="327">
        <f t="shared" si="4"/>
        <v>1</v>
      </c>
      <c r="AA8" s="327">
        <f t="shared" si="5"/>
        <v>1</v>
      </c>
      <c r="AB8" s="327" t="str">
        <f t="shared" si="10"/>
        <v>1</v>
      </c>
      <c r="AC8" s="327">
        <f t="shared" si="6"/>
        <v>0</v>
      </c>
      <c r="AD8" s="327">
        <v>0</v>
      </c>
      <c r="AE8" s="327" t="str">
        <f t="shared" si="7"/>
        <v>E01</v>
      </c>
      <c r="AG8" s="327" t="s">
        <v>1602</v>
      </c>
      <c r="AH8" s="327" t="str">
        <f t="shared" si="8"/>
        <v>0</v>
      </c>
    </row>
    <row r="9" spans="1:34" ht="23.25" x14ac:dyDescent="0.15">
      <c r="A9" s="42" t="str">
        <f t="shared" si="9"/>
        <v>0</v>
      </c>
      <c r="B9" s="43">
        <v>7</v>
      </c>
      <c r="C9" s="44" t="s">
        <v>400</v>
      </c>
      <c r="D9" s="25" t="s">
        <v>1606</v>
      </c>
      <c r="E9" s="25" t="s">
        <v>1607</v>
      </c>
      <c r="F9" s="46" t="s">
        <v>1608</v>
      </c>
      <c r="G9" s="47">
        <v>1</v>
      </c>
      <c r="H9" s="48">
        <v>1</v>
      </c>
      <c r="I9" s="44">
        <v>0</v>
      </c>
      <c r="J9" s="48">
        <v>0</v>
      </c>
      <c r="K9" s="48">
        <v>0</v>
      </c>
      <c r="L9" s="48" t="s">
        <v>860</v>
      </c>
      <c r="M9" s="48">
        <v>1</v>
      </c>
      <c r="N9" s="48" t="s">
        <v>1601</v>
      </c>
      <c r="O9" s="48">
        <v>0</v>
      </c>
      <c r="P9" s="44">
        <v>1</v>
      </c>
      <c r="Q9" s="48">
        <v>1</v>
      </c>
      <c r="R9" s="48">
        <v>1</v>
      </c>
      <c r="S9" s="48">
        <v>0</v>
      </c>
      <c r="T9" s="48"/>
      <c r="V9" s="49" t="str">
        <f t="shared" si="0"/>
        <v>1</v>
      </c>
      <c r="W9" s="49" t="str">
        <f t="shared" si="1"/>
        <v>0</v>
      </c>
      <c r="X9" s="49" t="str">
        <f t="shared" si="2"/>
        <v>0</v>
      </c>
      <c r="Y9" s="49">
        <f t="shared" si="3"/>
        <v>0</v>
      </c>
      <c r="Z9" s="49">
        <f t="shared" si="4"/>
        <v>1</v>
      </c>
      <c r="AA9" s="49">
        <f t="shared" si="5"/>
        <v>1</v>
      </c>
      <c r="AB9" s="49" t="str">
        <f t="shared" si="10"/>
        <v>1</v>
      </c>
      <c r="AC9" s="49">
        <f t="shared" si="6"/>
        <v>0</v>
      </c>
      <c r="AD9" s="49">
        <v>0</v>
      </c>
      <c r="AE9" s="49" t="str">
        <f t="shared" si="7"/>
        <v>E01</v>
      </c>
      <c r="AG9" s="49" t="s">
        <v>1602</v>
      </c>
      <c r="AH9" s="49" t="str">
        <f t="shared" si="8"/>
        <v>0</v>
      </c>
    </row>
    <row r="10" spans="1:34" s="327" customFormat="1" ht="24" x14ac:dyDescent="0.15">
      <c r="A10" s="318" t="str">
        <f t="shared" si="9"/>
        <v>0</v>
      </c>
      <c r="B10" s="319">
        <v>8</v>
      </c>
      <c r="C10" s="320" t="s">
        <v>401</v>
      </c>
      <c r="D10" s="321" t="s">
        <v>2682</v>
      </c>
      <c r="E10" s="322" t="s">
        <v>1609</v>
      </c>
      <c r="F10" s="323" t="s">
        <v>2704</v>
      </c>
      <c r="G10" s="324">
        <v>0</v>
      </c>
      <c r="H10" s="325">
        <v>1</v>
      </c>
      <c r="I10" s="320">
        <v>0</v>
      </c>
      <c r="J10" s="325">
        <v>0</v>
      </c>
      <c r="K10" s="325">
        <v>0</v>
      </c>
      <c r="L10" s="325" t="s">
        <v>860</v>
      </c>
      <c r="M10" s="325">
        <v>1</v>
      </c>
      <c r="N10" s="325" t="s">
        <v>1601</v>
      </c>
      <c r="O10" s="325">
        <v>0</v>
      </c>
      <c r="P10" s="320">
        <v>1</v>
      </c>
      <c r="Q10" s="325">
        <v>1</v>
      </c>
      <c r="R10" s="325">
        <v>1</v>
      </c>
      <c r="S10" s="325">
        <v>0</v>
      </c>
      <c r="T10" s="325"/>
      <c r="V10" s="327" t="str">
        <f t="shared" si="0"/>
        <v>1</v>
      </c>
      <c r="W10" s="327" t="str">
        <f t="shared" si="1"/>
        <v>0</v>
      </c>
      <c r="X10" s="327" t="str">
        <f t="shared" si="2"/>
        <v>0</v>
      </c>
      <c r="Y10" s="327">
        <f t="shared" si="3"/>
        <v>0</v>
      </c>
      <c r="Z10" s="327">
        <f t="shared" si="4"/>
        <v>1</v>
      </c>
      <c r="AA10" s="327">
        <f t="shared" si="5"/>
        <v>1</v>
      </c>
      <c r="AB10" s="327" t="str">
        <f t="shared" si="10"/>
        <v>1</v>
      </c>
      <c r="AC10" s="327">
        <f t="shared" si="6"/>
        <v>0</v>
      </c>
      <c r="AD10" s="327">
        <v>0</v>
      </c>
      <c r="AE10" s="327" t="str">
        <f t="shared" si="7"/>
        <v>E01</v>
      </c>
      <c r="AG10" s="327" t="s">
        <v>1602</v>
      </c>
      <c r="AH10" s="327" t="str">
        <f t="shared" si="8"/>
        <v>0</v>
      </c>
    </row>
    <row r="11" spans="1:34" ht="120" x14ac:dyDescent="0.15">
      <c r="A11" s="42" t="str">
        <f t="shared" si="9"/>
        <v>0</v>
      </c>
      <c r="B11" s="43">
        <v>9</v>
      </c>
      <c r="C11" s="44" t="s">
        <v>402</v>
      </c>
      <c r="D11" s="25" t="s">
        <v>1011</v>
      </c>
      <c r="E11" s="45" t="s">
        <v>1610</v>
      </c>
      <c r="F11" s="46" t="s">
        <v>1611</v>
      </c>
      <c r="G11" s="94">
        <v>3</v>
      </c>
      <c r="H11" s="48">
        <v>33</v>
      </c>
      <c r="I11" s="44">
        <v>0</v>
      </c>
      <c r="J11" s="48">
        <v>0</v>
      </c>
      <c r="K11" s="48">
        <v>0</v>
      </c>
      <c r="L11" s="48" t="s">
        <v>860</v>
      </c>
      <c r="M11" s="48">
        <v>1</v>
      </c>
      <c r="N11" s="48" t="s">
        <v>1601</v>
      </c>
      <c r="O11" s="48">
        <v>1</v>
      </c>
      <c r="P11" s="44">
        <v>1</v>
      </c>
      <c r="Q11" s="48">
        <v>1</v>
      </c>
      <c r="R11" s="48">
        <v>2</v>
      </c>
      <c r="S11" s="48">
        <v>0</v>
      </c>
      <c r="T11" s="48" t="s">
        <v>1012</v>
      </c>
      <c r="V11" s="49" t="str">
        <f t="shared" si="0"/>
        <v>1</v>
      </c>
      <c r="W11" s="49" t="str">
        <f t="shared" si="1"/>
        <v>0</v>
      </c>
      <c r="X11" s="49" t="str">
        <f t="shared" si="2"/>
        <v>0</v>
      </c>
      <c r="Y11" s="49">
        <f t="shared" si="3"/>
        <v>1</v>
      </c>
      <c r="Z11" s="49">
        <f t="shared" si="4"/>
        <v>1</v>
      </c>
      <c r="AA11" s="49">
        <f t="shared" si="5"/>
        <v>1</v>
      </c>
      <c r="AB11" s="49" t="str">
        <f t="shared" si="10"/>
        <v>10</v>
      </c>
      <c r="AC11" s="49">
        <f t="shared" si="6"/>
        <v>0</v>
      </c>
      <c r="AD11" s="49">
        <v>0</v>
      </c>
      <c r="AE11" s="49" t="str">
        <f t="shared" si="7"/>
        <v>5701</v>
      </c>
      <c r="AG11" s="49" t="s">
        <v>1602</v>
      </c>
      <c r="AH11" s="49" t="str">
        <f t="shared" si="8"/>
        <v>0</v>
      </c>
    </row>
    <row r="12" spans="1:34" s="327" customFormat="1" ht="21.95" customHeight="1" x14ac:dyDescent="0.15">
      <c r="A12" s="318" t="str">
        <f t="shared" si="9"/>
        <v>0</v>
      </c>
      <c r="B12" s="319">
        <v>10</v>
      </c>
      <c r="C12" s="320" t="s">
        <v>1228</v>
      </c>
      <c r="D12" s="321" t="s">
        <v>1612</v>
      </c>
      <c r="E12" s="322" t="s">
        <v>1613</v>
      </c>
      <c r="F12" s="323" t="s">
        <v>1612</v>
      </c>
      <c r="G12" s="324">
        <v>0</v>
      </c>
      <c r="H12" s="325">
        <v>1</v>
      </c>
      <c r="I12" s="320">
        <v>0</v>
      </c>
      <c r="J12" s="325">
        <v>0</v>
      </c>
      <c r="K12" s="325">
        <v>0</v>
      </c>
      <c r="L12" s="325" t="s">
        <v>860</v>
      </c>
      <c r="M12" s="325">
        <v>1</v>
      </c>
      <c r="N12" s="325" t="s">
        <v>1601</v>
      </c>
      <c r="O12" s="325">
        <v>0</v>
      </c>
      <c r="P12" s="320">
        <v>1</v>
      </c>
      <c r="Q12" s="325">
        <v>1</v>
      </c>
      <c r="R12" s="325">
        <v>1</v>
      </c>
      <c r="S12" s="325">
        <v>0</v>
      </c>
      <c r="T12" s="325"/>
      <c r="V12" s="327" t="str">
        <f t="shared" si="0"/>
        <v>1</v>
      </c>
      <c r="W12" s="327" t="str">
        <f t="shared" si="1"/>
        <v>0</v>
      </c>
      <c r="X12" s="327" t="str">
        <f t="shared" si="2"/>
        <v>0</v>
      </c>
      <c r="Y12" s="327">
        <f t="shared" si="3"/>
        <v>0</v>
      </c>
      <c r="Z12" s="327">
        <f t="shared" si="4"/>
        <v>1</v>
      </c>
      <c r="AA12" s="327">
        <f t="shared" si="5"/>
        <v>1</v>
      </c>
      <c r="AB12" s="327" t="str">
        <f t="shared" si="10"/>
        <v>1</v>
      </c>
      <c r="AC12" s="327">
        <f t="shared" si="6"/>
        <v>0</v>
      </c>
      <c r="AD12" s="327">
        <v>0</v>
      </c>
      <c r="AE12" s="327" t="str">
        <f t="shared" si="7"/>
        <v>E01</v>
      </c>
      <c r="AG12" s="327" t="s">
        <v>1602</v>
      </c>
      <c r="AH12" s="327" t="str">
        <f t="shared" si="8"/>
        <v>0</v>
      </c>
    </row>
    <row r="13" spans="1:34" s="327" customFormat="1" ht="14.45" customHeight="1" x14ac:dyDescent="0.15">
      <c r="A13" s="318" t="str">
        <f t="shared" si="9"/>
        <v>0</v>
      </c>
      <c r="B13" s="319">
        <v>11</v>
      </c>
      <c r="C13" s="328" t="s">
        <v>403</v>
      </c>
      <c r="D13" s="329" t="s">
        <v>2682</v>
      </c>
      <c r="E13" s="330" t="s">
        <v>1614</v>
      </c>
      <c r="F13" s="398" t="s">
        <v>1615</v>
      </c>
      <c r="G13" s="277">
        <v>0</v>
      </c>
      <c r="H13" s="331" t="s">
        <v>1616</v>
      </c>
      <c r="I13" s="328">
        <v>0</v>
      </c>
      <c r="J13" s="328">
        <v>0</v>
      </c>
      <c r="K13" s="328">
        <v>0</v>
      </c>
      <c r="L13" s="328" t="s">
        <v>860</v>
      </c>
      <c r="M13" s="331">
        <v>1</v>
      </c>
      <c r="N13" s="331" t="s">
        <v>1601</v>
      </c>
      <c r="O13" s="331">
        <v>1</v>
      </c>
      <c r="P13" s="328">
        <v>0</v>
      </c>
      <c r="Q13" s="331">
        <v>1</v>
      </c>
      <c r="R13" s="331">
        <v>4</v>
      </c>
      <c r="S13" s="331">
        <v>0</v>
      </c>
      <c r="T13" s="331"/>
      <c r="V13" s="327" t="str">
        <f t="shared" si="0"/>
        <v>1</v>
      </c>
      <c r="W13" s="327" t="str">
        <f t="shared" si="1"/>
        <v>0</v>
      </c>
      <c r="X13" s="327" t="str">
        <f t="shared" si="2"/>
        <v>0</v>
      </c>
      <c r="Y13" s="327">
        <f t="shared" si="3"/>
        <v>1</v>
      </c>
      <c r="Z13" s="327">
        <f t="shared" si="4"/>
        <v>0</v>
      </c>
      <c r="AA13" s="327">
        <f t="shared" si="5"/>
        <v>1</v>
      </c>
      <c r="AB13" s="327" t="str">
        <f t="shared" si="10"/>
        <v>100</v>
      </c>
      <c r="AC13" s="327">
        <f t="shared" si="6"/>
        <v>0</v>
      </c>
      <c r="AD13" s="327">
        <v>0</v>
      </c>
      <c r="AE13" s="327" t="str">
        <f t="shared" si="7"/>
        <v>32501</v>
      </c>
      <c r="AG13" s="327" t="s">
        <v>1602</v>
      </c>
      <c r="AH13" s="327" t="str">
        <f t="shared" si="8"/>
        <v>0</v>
      </c>
    </row>
    <row r="14" spans="1:34" s="327" customFormat="1" ht="14.45" customHeight="1" x14ac:dyDescent="0.15">
      <c r="A14" s="318" t="str">
        <f t="shared" si="9"/>
        <v>0</v>
      </c>
      <c r="B14" s="319">
        <v>12</v>
      </c>
      <c r="C14" s="328" t="s">
        <v>404</v>
      </c>
      <c r="D14" s="329" t="s">
        <v>2681</v>
      </c>
      <c r="E14" s="330" t="s">
        <v>864</v>
      </c>
      <c r="F14" s="399"/>
      <c r="G14" s="277">
        <v>0</v>
      </c>
      <c r="H14" s="331" t="s">
        <v>1616</v>
      </c>
      <c r="I14" s="328">
        <v>0</v>
      </c>
      <c r="J14" s="328">
        <v>0</v>
      </c>
      <c r="K14" s="328">
        <v>0</v>
      </c>
      <c r="L14" s="328" t="s">
        <v>860</v>
      </c>
      <c r="M14" s="331">
        <v>1</v>
      </c>
      <c r="N14" s="331" t="s">
        <v>1601</v>
      </c>
      <c r="O14" s="331">
        <v>1</v>
      </c>
      <c r="P14" s="328">
        <v>0</v>
      </c>
      <c r="Q14" s="331">
        <v>1</v>
      </c>
      <c r="R14" s="331">
        <v>4</v>
      </c>
      <c r="S14" s="331">
        <v>0</v>
      </c>
      <c r="T14" s="331"/>
      <c r="V14" s="327" t="str">
        <f t="shared" si="0"/>
        <v>1</v>
      </c>
      <c r="W14" s="327" t="str">
        <f t="shared" si="1"/>
        <v>0</v>
      </c>
      <c r="X14" s="327" t="str">
        <f t="shared" si="2"/>
        <v>0</v>
      </c>
      <c r="Y14" s="327">
        <f t="shared" si="3"/>
        <v>1</v>
      </c>
      <c r="Z14" s="327">
        <f t="shared" si="4"/>
        <v>0</v>
      </c>
      <c r="AA14" s="327">
        <f t="shared" si="5"/>
        <v>1</v>
      </c>
      <c r="AB14" s="327" t="str">
        <f t="shared" si="10"/>
        <v>100</v>
      </c>
      <c r="AC14" s="327">
        <f t="shared" si="6"/>
        <v>0</v>
      </c>
      <c r="AD14" s="327">
        <v>0</v>
      </c>
      <c r="AE14" s="327" t="str">
        <f t="shared" si="7"/>
        <v>32501</v>
      </c>
      <c r="AG14" s="327" t="s">
        <v>1602</v>
      </c>
      <c r="AH14" s="327" t="str">
        <f t="shared" si="8"/>
        <v>0</v>
      </c>
    </row>
    <row r="15" spans="1:34" s="327" customFormat="1" ht="14.45" customHeight="1" x14ac:dyDescent="0.15">
      <c r="A15" s="318" t="str">
        <f t="shared" si="9"/>
        <v>0</v>
      </c>
      <c r="B15" s="319">
        <v>13</v>
      </c>
      <c r="C15" s="328" t="s">
        <v>405</v>
      </c>
      <c r="D15" s="329" t="s">
        <v>2681</v>
      </c>
      <c r="E15" s="330" t="s">
        <v>865</v>
      </c>
      <c r="F15" s="399"/>
      <c r="G15" s="277">
        <v>0</v>
      </c>
      <c r="H15" s="331" t="s">
        <v>991</v>
      </c>
      <c r="I15" s="328">
        <v>0</v>
      </c>
      <c r="J15" s="328">
        <v>0</v>
      </c>
      <c r="K15" s="328">
        <v>0</v>
      </c>
      <c r="L15" s="328" t="s">
        <v>860</v>
      </c>
      <c r="M15" s="331">
        <v>1</v>
      </c>
      <c r="N15" s="331" t="s">
        <v>1601</v>
      </c>
      <c r="O15" s="331">
        <v>1</v>
      </c>
      <c r="P15" s="328">
        <v>0</v>
      </c>
      <c r="Q15" s="331">
        <v>1</v>
      </c>
      <c r="R15" s="331">
        <v>4</v>
      </c>
      <c r="S15" s="331">
        <v>0</v>
      </c>
      <c r="T15" s="331"/>
      <c r="V15" s="327" t="str">
        <f t="shared" si="0"/>
        <v>1</v>
      </c>
      <c r="W15" s="327" t="str">
        <f t="shared" si="1"/>
        <v>0</v>
      </c>
      <c r="X15" s="327" t="str">
        <f t="shared" si="2"/>
        <v>0</v>
      </c>
      <c r="Y15" s="327">
        <f t="shared" si="3"/>
        <v>1</v>
      </c>
      <c r="Z15" s="327">
        <f t="shared" si="4"/>
        <v>0</v>
      </c>
      <c r="AA15" s="327">
        <f t="shared" si="5"/>
        <v>1</v>
      </c>
      <c r="AB15" s="327" t="str">
        <f t="shared" si="10"/>
        <v>100</v>
      </c>
      <c r="AC15" s="327">
        <f t="shared" si="6"/>
        <v>0</v>
      </c>
      <c r="AD15" s="327">
        <v>0</v>
      </c>
      <c r="AE15" s="327" t="str">
        <f t="shared" si="7"/>
        <v>32501</v>
      </c>
      <c r="AG15" s="327" t="s">
        <v>1602</v>
      </c>
      <c r="AH15" s="327" t="str">
        <f t="shared" si="8"/>
        <v>0</v>
      </c>
    </row>
    <row r="16" spans="1:34" s="327" customFormat="1" ht="14.45" customHeight="1" x14ac:dyDescent="0.15">
      <c r="A16" s="318" t="str">
        <f t="shared" si="9"/>
        <v>0</v>
      </c>
      <c r="B16" s="319">
        <v>14</v>
      </c>
      <c r="C16" s="328" t="s">
        <v>406</v>
      </c>
      <c r="D16" s="329" t="s">
        <v>2681</v>
      </c>
      <c r="E16" s="330" t="s">
        <v>866</v>
      </c>
      <c r="F16" s="399"/>
      <c r="G16" s="277">
        <v>0</v>
      </c>
      <c r="H16" s="331" t="s">
        <v>991</v>
      </c>
      <c r="I16" s="328">
        <v>0</v>
      </c>
      <c r="J16" s="328">
        <v>0</v>
      </c>
      <c r="K16" s="328">
        <v>0</v>
      </c>
      <c r="L16" s="328" t="s">
        <v>860</v>
      </c>
      <c r="M16" s="331">
        <v>1</v>
      </c>
      <c r="N16" s="331" t="s">
        <v>1601</v>
      </c>
      <c r="O16" s="331">
        <v>1</v>
      </c>
      <c r="P16" s="328">
        <v>0</v>
      </c>
      <c r="Q16" s="331">
        <v>1</v>
      </c>
      <c r="R16" s="331">
        <v>4</v>
      </c>
      <c r="S16" s="331">
        <v>0</v>
      </c>
      <c r="T16" s="331"/>
      <c r="V16" s="327" t="str">
        <f t="shared" si="0"/>
        <v>1</v>
      </c>
      <c r="W16" s="327" t="str">
        <f t="shared" si="1"/>
        <v>0</v>
      </c>
      <c r="X16" s="327" t="str">
        <f t="shared" si="2"/>
        <v>0</v>
      </c>
      <c r="Y16" s="327">
        <f t="shared" si="3"/>
        <v>1</v>
      </c>
      <c r="Z16" s="327">
        <f t="shared" si="4"/>
        <v>0</v>
      </c>
      <c r="AA16" s="327">
        <f t="shared" si="5"/>
        <v>1</v>
      </c>
      <c r="AB16" s="327" t="str">
        <f t="shared" si="10"/>
        <v>100</v>
      </c>
      <c r="AC16" s="327">
        <f t="shared" si="6"/>
        <v>0</v>
      </c>
      <c r="AD16" s="327">
        <v>0</v>
      </c>
      <c r="AE16" s="327" t="str">
        <f t="shared" si="7"/>
        <v>32501</v>
      </c>
      <c r="AG16" s="327" t="s">
        <v>1602</v>
      </c>
      <c r="AH16" s="327" t="str">
        <f t="shared" si="8"/>
        <v>0</v>
      </c>
    </row>
    <row r="17" spans="1:34" s="327" customFormat="1" ht="14.45" customHeight="1" x14ac:dyDescent="0.15">
      <c r="A17" s="318" t="str">
        <f t="shared" si="9"/>
        <v>0</v>
      </c>
      <c r="B17" s="319">
        <v>15</v>
      </c>
      <c r="C17" s="328" t="s">
        <v>407</v>
      </c>
      <c r="D17" s="329" t="s">
        <v>2681</v>
      </c>
      <c r="E17" s="330" t="s">
        <v>867</v>
      </c>
      <c r="F17" s="399"/>
      <c r="G17" s="277">
        <v>0</v>
      </c>
      <c r="H17" s="331" t="s">
        <v>991</v>
      </c>
      <c r="I17" s="328">
        <v>0</v>
      </c>
      <c r="J17" s="328">
        <v>0</v>
      </c>
      <c r="K17" s="328">
        <v>0</v>
      </c>
      <c r="L17" s="328" t="s">
        <v>860</v>
      </c>
      <c r="M17" s="331">
        <v>1</v>
      </c>
      <c r="N17" s="331" t="s">
        <v>1601</v>
      </c>
      <c r="O17" s="331">
        <v>1</v>
      </c>
      <c r="P17" s="328">
        <v>0</v>
      </c>
      <c r="Q17" s="331">
        <v>1</v>
      </c>
      <c r="R17" s="331">
        <v>4</v>
      </c>
      <c r="S17" s="331">
        <v>0</v>
      </c>
      <c r="T17" s="331"/>
      <c r="V17" s="327" t="str">
        <f t="shared" si="0"/>
        <v>1</v>
      </c>
      <c r="W17" s="327" t="str">
        <f t="shared" si="1"/>
        <v>0</v>
      </c>
      <c r="X17" s="327" t="str">
        <f t="shared" si="2"/>
        <v>0</v>
      </c>
      <c r="Y17" s="327">
        <f t="shared" si="3"/>
        <v>1</v>
      </c>
      <c r="Z17" s="327">
        <f t="shared" si="4"/>
        <v>0</v>
      </c>
      <c r="AA17" s="327">
        <f t="shared" si="5"/>
        <v>1</v>
      </c>
      <c r="AB17" s="327" t="str">
        <f t="shared" si="10"/>
        <v>100</v>
      </c>
      <c r="AC17" s="327">
        <f t="shared" si="6"/>
        <v>0</v>
      </c>
      <c r="AD17" s="327">
        <v>0</v>
      </c>
      <c r="AE17" s="327" t="str">
        <f t="shared" si="7"/>
        <v>32501</v>
      </c>
      <c r="AG17" s="327" t="s">
        <v>1602</v>
      </c>
      <c r="AH17" s="327" t="str">
        <f t="shared" si="8"/>
        <v>0</v>
      </c>
    </row>
    <row r="18" spans="1:34" s="327" customFormat="1" ht="14.45" customHeight="1" x14ac:dyDescent="0.15">
      <c r="A18" s="318" t="str">
        <f t="shared" si="9"/>
        <v>0</v>
      </c>
      <c r="B18" s="319">
        <v>16</v>
      </c>
      <c r="C18" s="328" t="s">
        <v>408</v>
      </c>
      <c r="D18" s="329" t="s">
        <v>2681</v>
      </c>
      <c r="E18" s="330" t="s">
        <v>868</v>
      </c>
      <c r="F18" s="399"/>
      <c r="G18" s="277">
        <v>0</v>
      </c>
      <c r="H18" s="331" t="s">
        <v>991</v>
      </c>
      <c r="I18" s="328">
        <v>0</v>
      </c>
      <c r="J18" s="328">
        <v>0</v>
      </c>
      <c r="K18" s="328">
        <v>0</v>
      </c>
      <c r="L18" s="328" t="s">
        <v>860</v>
      </c>
      <c r="M18" s="331">
        <v>1</v>
      </c>
      <c r="N18" s="331" t="s">
        <v>1601</v>
      </c>
      <c r="O18" s="331">
        <v>1</v>
      </c>
      <c r="P18" s="328">
        <v>0</v>
      </c>
      <c r="Q18" s="331">
        <v>1</v>
      </c>
      <c r="R18" s="331">
        <v>4</v>
      </c>
      <c r="S18" s="331">
        <v>0</v>
      </c>
      <c r="T18" s="331"/>
      <c r="V18" s="327" t="str">
        <f t="shared" si="0"/>
        <v>1</v>
      </c>
      <c r="W18" s="327" t="str">
        <f t="shared" si="1"/>
        <v>0</v>
      </c>
      <c r="X18" s="327" t="str">
        <f t="shared" si="2"/>
        <v>0</v>
      </c>
      <c r="Y18" s="327">
        <f t="shared" si="3"/>
        <v>1</v>
      </c>
      <c r="Z18" s="327">
        <f t="shared" si="4"/>
        <v>0</v>
      </c>
      <c r="AA18" s="327">
        <f t="shared" si="5"/>
        <v>1</v>
      </c>
      <c r="AB18" s="327" t="str">
        <f t="shared" si="10"/>
        <v>100</v>
      </c>
      <c r="AC18" s="327">
        <f t="shared" si="6"/>
        <v>0</v>
      </c>
      <c r="AD18" s="327">
        <v>0</v>
      </c>
      <c r="AE18" s="327" t="str">
        <f t="shared" si="7"/>
        <v>32501</v>
      </c>
    </row>
    <row r="19" spans="1:34" s="327" customFormat="1" ht="14.45" customHeight="1" x14ac:dyDescent="0.15">
      <c r="A19" s="318" t="str">
        <f t="shared" si="9"/>
        <v>0</v>
      </c>
      <c r="B19" s="319">
        <v>17</v>
      </c>
      <c r="C19" s="328" t="s">
        <v>409</v>
      </c>
      <c r="D19" s="329" t="s">
        <v>2681</v>
      </c>
      <c r="E19" s="330" t="s">
        <v>869</v>
      </c>
      <c r="F19" s="399"/>
      <c r="G19" s="277">
        <v>0</v>
      </c>
      <c r="H19" s="331" t="s">
        <v>991</v>
      </c>
      <c r="I19" s="328">
        <v>0</v>
      </c>
      <c r="J19" s="328">
        <v>0</v>
      </c>
      <c r="K19" s="328">
        <v>0</v>
      </c>
      <c r="L19" s="328" t="s">
        <v>860</v>
      </c>
      <c r="M19" s="331">
        <v>1</v>
      </c>
      <c r="N19" s="331" t="s">
        <v>1601</v>
      </c>
      <c r="O19" s="331">
        <v>1</v>
      </c>
      <c r="P19" s="328">
        <v>0</v>
      </c>
      <c r="Q19" s="331">
        <v>1</v>
      </c>
      <c r="R19" s="331">
        <v>4</v>
      </c>
      <c r="S19" s="331">
        <v>0</v>
      </c>
      <c r="T19" s="331"/>
      <c r="V19" s="327" t="str">
        <f t="shared" si="0"/>
        <v>1</v>
      </c>
      <c r="W19" s="327" t="str">
        <f t="shared" si="1"/>
        <v>0</v>
      </c>
      <c r="X19" s="327" t="str">
        <f t="shared" si="2"/>
        <v>0</v>
      </c>
      <c r="Y19" s="327">
        <f t="shared" si="3"/>
        <v>1</v>
      </c>
      <c r="Z19" s="327">
        <f t="shared" si="4"/>
        <v>0</v>
      </c>
      <c r="AA19" s="327">
        <f t="shared" si="5"/>
        <v>1</v>
      </c>
      <c r="AB19" s="327" t="str">
        <f t="shared" si="10"/>
        <v>100</v>
      </c>
      <c r="AC19" s="327">
        <f t="shared" si="6"/>
        <v>0</v>
      </c>
      <c r="AD19" s="327">
        <v>0</v>
      </c>
      <c r="AE19" s="327" t="str">
        <f t="shared" si="7"/>
        <v>32501</v>
      </c>
    </row>
    <row r="20" spans="1:34" s="327" customFormat="1" ht="14.45" customHeight="1" x14ac:dyDescent="0.15">
      <c r="A20" s="318" t="str">
        <f t="shared" si="9"/>
        <v>0</v>
      </c>
      <c r="B20" s="319">
        <v>18</v>
      </c>
      <c r="C20" s="328" t="s">
        <v>410</v>
      </c>
      <c r="D20" s="329" t="s">
        <v>2681</v>
      </c>
      <c r="E20" s="330" t="s">
        <v>870</v>
      </c>
      <c r="F20" s="399"/>
      <c r="G20" s="277">
        <v>0</v>
      </c>
      <c r="H20" s="331" t="s">
        <v>991</v>
      </c>
      <c r="I20" s="328">
        <v>0</v>
      </c>
      <c r="J20" s="328">
        <v>0</v>
      </c>
      <c r="K20" s="328">
        <v>0</v>
      </c>
      <c r="L20" s="328" t="s">
        <v>860</v>
      </c>
      <c r="M20" s="331">
        <v>1</v>
      </c>
      <c r="N20" s="331" t="s">
        <v>1601</v>
      </c>
      <c r="O20" s="331">
        <v>1</v>
      </c>
      <c r="P20" s="328">
        <v>0</v>
      </c>
      <c r="Q20" s="331">
        <v>1</v>
      </c>
      <c r="R20" s="331">
        <v>4</v>
      </c>
      <c r="S20" s="331">
        <v>0</v>
      </c>
      <c r="T20" s="331"/>
      <c r="V20" s="327" t="str">
        <f t="shared" si="0"/>
        <v>1</v>
      </c>
      <c r="W20" s="327" t="str">
        <f t="shared" si="1"/>
        <v>0</v>
      </c>
      <c r="X20" s="327" t="str">
        <f t="shared" si="2"/>
        <v>0</v>
      </c>
      <c r="Y20" s="327">
        <f t="shared" si="3"/>
        <v>1</v>
      </c>
      <c r="Z20" s="327">
        <f t="shared" si="4"/>
        <v>0</v>
      </c>
      <c r="AA20" s="327">
        <f t="shared" si="5"/>
        <v>1</v>
      </c>
      <c r="AB20" s="327" t="str">
        <f t="shared" si="10"/>
        <v>100</v>
      </c>
      <c r="AC20" s="327">
        <f t="shared" si="6"/>
        <v>0</v>
      </c>
      <c r="AD20" s="327">
        <v>0</v>
      </c>
      <c r="AE20" s="327" t="str">
        <f t="shared" si="7"/>
        <v>32501</v>
      </c>
    </row>
    <row r="21" spans="1:34" s="327" customFormat="1" ht="14.45" customHeight="1" x14ac:dyDescent="0.15">
      <c r="A21" s="318" t="str">
        <f t="shared" si="9"/>
        <v>0</v>
      </c>
      <c r="B21" s="319">
        <v>19</v>
      </c>
      <c r="C21" s="328" t="s">
        <v>411</v>
      </c>
      <c r="D21" s="329" t="s">
        <v>2681</v>
      </c>
      <c r="E21" s="330" t="s">
        <v>871</v>
      </c>
      <c r="F21" s="399"/>
      <c r="G21" s="277">
        <v>0</v>
      </c>
      <c r="H21" s="331" t="s">
        <v>991</v>
      </c>
      <c r="I21" s="328">
        <v>0</v>
      </c>
      <c r="J21" s="328">
        <v>0</v>
      </c>
      <c r="K21" s="328">
        <v>0</v>
      </c>
      <c r="L21" s="328" t="s">
        <v>860</v>
      </c>
      <c r="M21" s="331">
        <v>1</v>
      </c>
      <c r="N21" s="331" t="s">
        <v>1601</v>
      </c>
      <c r="O21" s="331">
        <v>1</v>
      </c>
      <c r="P21" s="328">
        <v>0</v>
      </c>
      <c r="Q21" s="331">
        <v>1</v>
      </c>
      <c r="R21" s="331">
        <v>4</v>
      </c>
      <c r="S21" s="331">
        <v>0</v>
      </c>
      <c r="T21" s="331"/>
      <c r="V21" s="327" t="str">
        <f t="shared" si="0"/>
        <v>1</v>
      </c>
      <c r="W21" s="327" t="str">
        <f t="shared" si="1"/>
        <v>0</v>
      </c>
      <c r="X21" s="327" t="str">
        <f t="shared" si="2"/>
        <v>0</v>
      </c>
      <c r="Y21" s="327">
        <f t="shared" si="3"/>
        <v>1</v>
      </c>
      <c r="Z21" s="327">
        <f t="shared" si="4"/>
        <v>0</v>
      </c>
      <c r="AA21" s="327">
        <f t="shared" si="5"/>
        <v>1</v>
      </c>
      <c r="AB21" s="327" t="str">
        <f t="shared" si="10"/>
        <v>100</v>
      </c>
      <c r="AC21" s="327">
        <f t="shared" si="6"/>
        <v>0</v>
      </c>
      <c r="AD21" s="327">
        <v>0</v>
      </c>
      <c r="AE21" s="327" t="str">
        <f t="shared" si="7"/>
        <v>32501</v>
      </c>
    </row>
    <row r="22" spans="1:34" s="327" customFormat="1" ht="14.45" customHeight="1" x14ac:dyDescent="0.15">
      <c r="A22" s="318" t="str">
        <f t="shared" si="9"/>
        <v>0</v>
      </c>
      <c r="B22" s="319">
        <v>20</v>
      </c>
      <c r="C22" s="328" t="s">
        <v>412</v>
      </c>
      <c r="D22" s="329" t="s">
        <v>2681</v>
      </c>
      <c r="E22" s="330" t="s">
        <v>872</v>
      </c>
      <c r="F22" s="399"/>
      <c r="G22" s="277">
        <v>0</v>
      </c>
      <c r="H22" s="331" t="s">
        <v>991</v>
      </c>
      <c r="I22" s="328">
        <v>0</v>
      </c>
      <c r="J22" s="328">
        <v>0</v>
      </c>
      <c r="K22" s="328">
        <v>0</v>
      </c>
      <c r="L22" s="328" t="s">
        <v>860</v>
      </c>
      <c r="M22" s="331">
        <v>1</v>
      </c>
      <c r="N22" s="331" t="s">
        <v>1601</v>
      </c>
      <c r="O22" s="331">
        <v>1</v>
      </c>
      <c r="P22" s="328">
        <v>0</v>
      </c>
      <c r="Q22" s="331">
        <v>1</v>
      </c>
      <c r="R22" s="331">
        <v>4</v>
      </c>
      <c r="S22" s="331">
        <v>0</v>
      </c>
      <c r="T22" s="331"/>
      <c r="V22" s="327" t="str">
        <f t="shared" si="0"/>
        <v>1</v>
      </c>
      <c r="W22" s="327" t="str">
        <f t="shared" si="1"/>
        <v>0</v>
      </c>
      <c r="X22" s="327" t="str">
        <f t="shared" si="2"/>
        <v>0</v>
      </c>
      <c r="Y22" s="327">
        <f t="shared" si="3"/>
        <v>1</v>
      </c>
      <c r="Z22" s="327">
        <f t="shared" si="4"/>
        <v>0</v>
      </c>
      <c r="AA22" s="327">
        <f t="shared" si="5"/>
        <v>1</v>
      </c>
      <c r="AB22" s="327" t="str">
        <f t="shared" si="10"/>
        <v>100</v>
      </c>
      <c r="AC22" s="327">
        <f t="shared" si="6"/>
        <v>0</v>
      </c>
      <c r="AD22" s="327">
        <v>0</v>
      </c>
      <c r="AE22" s="327" t="str">
        <f t="shared" si="7"/>
        <v>32501</v>
      </c>
    </row>
    <row r="23" spans="1:34" s="327" customFormat="1" ht="14.45" customHeight="1" x14ac:dyDescent="0.15">
      <c r="A23" s="318" t="str">
        <f t="shared" si="9"/>
        <v>0</v>
      </c>
      <c r="B23" s="319">
        <v>21</v>
      </c>
      <c r="C23" s="328" t="s">
        <v>413</v>
      </c>
      <c r="D23" s="329" t="s">
        <v>2681</v>
      </c>
      <c r="E23" s="330" t="s">
        <v>873</v>
      </c>
      <c r="F23" s="399"/>
      <c r="G23" s="277">
        <v>0</v>
      </c>
      <c r="H23" s="331" t="s">
        <v>991</v>
      </c>
      <c r="I23" s="328">
        <v>0</v>
      </c>
      <c r="J23" s="328">
        <v>0</v>
      </c>
      <c r="K23" s="328">
        <v>0</v>
      </c>
      <c r="L23" s="328" t="s">
        <v>860</v>
      </c>
      <c r="M23" s="331">
        <v>1</v>
      </c>
      <c r="N23" s="331" t="s">
        <v>1601</v>
      </c>
      <c r="O23" s="331">
        <v>1</v>
      </c>
      <c r="P23" s="328">
        <v>0</v>
      </c>
      <c r="Q23" s="331">
        <v>1</v>
      </c>
      <c r="R23" s="331">
        <v>4</v>
      </c>
      <c r="S23" s="331">
        <v>0</v>
      </c>
      <c r="T23" s="331"/>
      <c r="V23" s="327" t="str">
        <f t="shared" si="0"/>
        <v>1</v>
      </c>
      <c r="W23" s="327" t="str">
        <f t="shared" si="1"/>
        <v>0</v>
      </c>
      <c r="X23" s="327" t="str">
        <f t="shared" si="2"/>
        <v>0</v>
      </c>
      <c r="Y23" s="327">
        <f t="shared" si="3"/>
        <v>1</v>
      </c>
      <c r="Z23" s="327">
        <f t="shared" si="4"/>
        <v>0</v>
      </c>
      <c r="AA23" s="327">
        <f t="shared" si="5"/>
        <v>1</v>
      </c>
      <c r="AB23" s="327" t="str">
        <f t="shared" si="10"/>
        <v>100</v>
      </c>
      <c r="AC23" s="327">
        <f t="shared" si="6"/>
        <v>0</v>
      </c>
      <c r="AD23" s="327">
        <v>0</v>
      </c>
      <c r="AE23" s="327" t="str">
        <f t="shared" si="7"/>
        <v>32501</v>
      </c>
    </row>
    <row r="24" spans="1:34" s="327" customFormat="1" ht="14.45" customHeight="1" x14ac:dyDescent="0.15">
      <c r="A24" s="318" t="str">
        <f t="shared" si="9"/>
        <v>0</v>
      </c>
      <c r="B24" s="319">
        <v>22</v>
      </c>
      <c r="C24" s="328" t="s">
        <v>414</v>
      </c>
      <c r="D24" s="329" t="s">
        <v>2681</v>
      </c>
      <c r="E24" s="330" t="s">
        <v>874</v>
      </c>
      <c r="F24" s="399"/>
      <c r="G24" s="277">
        <v>0</v>
      </c>
      <c r="H24" s="331" t="s">
        <v>991</v>
      </c>
      <c r="I24" s="328">
        <v>0</v>
      </c>
      <c r="J24" s="328">
        <v>0</v>
      </c>
      <c r="K24" s="328">
        <v>0</v>
      </c>
      <c r="L24" s="328" t="s">
        <v>860</v>
      </c>
      <c r="M24" s="331">
        <v>1</v>
      </c>
      <c r="N24" s="331" t="s">
        <v>1601</v>
      </c>
      <c r="O24" s="331">
        <v>1</v>
      </c>
      <c r="P24" s="328">
        <v>0</v>
      </c>
      <c r="Q24" s="331">
        <v>1</v>
      </c>
      <c r="R24" s="331">
        <v>4</v>
      </c>
      <c r="S24" s="331">
        <v>0</v>
      </c>
      <c r="T24" s="331"/>
      <c r="V24" s="327" t="str">
        <f t="shared" si="0"/>
        <v>1</v>
      </c>
      <c r="W24" s="327" t="str">
        <f t="shared" si="1"/>
        <v>0</v>
      </c>
      <c r="X24" s="327" t="str">
        <f t="shared" si="2"/>
        <v>0</v>
      </c>
      <c r="Y24" s="327">
        <f t="shared" si="3"/>
        <v>1</v>
      </c>
      <c r="Z24" s="327">
        <f t="shared" si="4"/>
        <v>0</v>
      </c>
      <c r="AA24" s="327">
        <f t="shared" si="5"/>
        <v>1</v>
      </c>
      <c r="AB24" s="327" t="str">
        <f t="shared" si="10"/>
        <v>100</v>
      </c>
      <c r="AC24" s="327">
        <f t="shared" si="6"/>
        <v>0</v>
      </c>
      <c r="AD24" s="327">
        <v>0</v>
      </c>
      <c r="AE24" s="327" t="str">
        <f t="shared" si="7"/>
        <v>32501</v>
      </c>
    </row>
    <row r="25" spans="1:34" s="327" customFormat="1" ht="14.45" customHeight="1" x14ac:dyDescent="0.15">
      <c r="A25" s="318" t="str">
        <f t="shared" si="9"/>
        <v>0</v>
      </c>
      <c r="B25" s="319">
        <v>23</v>
      </c>
      <c r="C25" s="328" t="s">
        <v>415</v>
      </c>
      <c r="D25" s="329" t="s">
        <v>2681</v>
      </c>
      <c r="E25" s="330" t="s">
        <v>875</v>
      </c>
      <c r="F25" s="399"/>
      <c r="G25" s="277">
        <v>0</v>
      </c>
      <c r="H25" s="331" t="s">
        <v>991</v>
      </c>
      <c r="I25" s="328">
        <v>0</v>
      </c>
      <c r="J25" s="328">
        <v>0</v>
      </c>
      <c r="K25" s="328">
        <v>0</v>
      </c>
      <c r="L25" s="328" t="s">
        <v>860</v>
      </c>
      <c r="M25" s="331">
        <v>1</v>
      </c>
      <c r="N25" s="331" t="s">
        <v>1601</v>
      </c>
      <c r="O25" s="331">
        <v>1</v>
      </c>
      <c r="P25" s="328">
        <v>0</v>
      </c>
      <c r="Q25" s="331">
        <v>1</v>
      </c>
      <c r="R25" s="331">
        <v>4</v>
      </c>
      <c r="S25" s="331">
        <v>0</v>
      </c>
      <c r="T25" s="331"/>
      <c r="V25" s="327" t="str">
        <f t="shared" si="0"/>
        <v>1</v>
      </c>
      <c r="W25" s="327" t="str">
        <f t="shared" si="1"/>
        <v>0</v>
      </c>
      <c r="X25" s="327" t="str">
        <f t="shared" si="2"/>
        <v>0</v>
      </c>
      <c r="Y25" s="327">
        <f t="shared" si="3"/>
        <v>1</v>
      </c>
      <c r="Z25" s="327">
        <f t="shared" si="4"/>
        <v>0</v>
      </c>
      <c r="AA25" s="327">
        <f t="shared" si="5"/>
        <v>1</v>
      </c>
      <c r="AB25" s="327" t="str">
        <f t="shared" si="10"/>
        <v>100</v>
      </c>
      <c r="AC25" s="327">
        <f t="shared" si="6"/>
        <v>0</v>
      </c>
      <c r="AD25" s="327">
        <v>0</v>
      </c>
      <c r="AE25" s="327" t="str">
        <f t="shared" si="7"/>
        <v>32501</v>
      </c>
    </row>
    <row r="26" spans="1:34" s="327" customFormat="1" ht="14.45" customHeight="1" x14ac:dyDescent="0.15">
      <c r="A26" s="318" t="str">
        <f t="shared" si="9"/>
        <v>0</v>
      </c>
      <c r="B26" s="319">
        <v>24</v>
      </c>
      <c r="C26" s="328" t="s">
        <v>416</v>
      </c>
      <c r="D26" s="329" t="s">
        <v>2681</v>
      </c>
      <c r="E26" s="330" t="s">
        <v>876</v>
      </c>
      <c r="F26" s="399"/>
      <c r="G26" s="277">
        <v>0</v>
      </c>
      <c r="H26" s="331" t="s">
        <v>991</v>
      </c>
      <c r="I26" s="328">
        <v>0</v>
      </c>
      <c r="J26" s="328">
        <v>0</v>
      </c>
      <c r="K26" s="328">
        <v>0</v>
      </c>
      <c r="L26" s="328" t="s">
        <v>860</v>
      </c>
      <c r="M26" s="331">
        <v>1</v>
      </c>
      <c r="N26" s="331" t="s">
        <v>1601</v>
      </c>
      <c r="O26" s="331">
        <v>1</v>
      </c>
      <c r="P26" s="328">
        <v>0</v>
      </c>
      <c r="Q26" s="331">
        <v>1</v>
      </c>
      <c r="R26" s="331">
        <v>4</v>
      </c>
      <c r="S26" s="331">
        <v>0</v>
      </c>
      <c r="T26" s="331"/>
      <c r="V26" s="327" t="str">
        <f t="shared" si="0"/>
        <v>1</v>
      </c>
      <c r="W26" s="327" t="str">
        <f t="shared" si="1"/>
        <v>0</v>
      </c>
      <c r="X26" s="327" t="str">
        <f t="shared" si="2"/>
        <v>0</v>
      </c>
      <c r="Y26" s="327">
        <f t="shared" si="3"/>
        <v>1</v>
      </c>
      <c r="Z26" s="327">
        <f t="shared" si="4"/>
        <v>0</v>
      </c>
      <c r="AA26" s="327">
        <f t="shared" si="5"/>
        <v>1</v>
      </c>
      <c r="AB26" s="327" t="str">
        <f t="shared" si="10"/>
        <v>100</v>
      </c>
      <c r="AC26" s="327">
        <f t="shared" si="6"/>
        <v>0</v>
      </c>
      <c r="AD26" s="327">
        <v>0</v>
      </c>
      <c r="AE26" s="327" t="str">
        <f t="shared" si="7"/>
        <v>32501</v>
      </c>
    </row>
    <row r="27" spans="1:34" s="327" customFormat="1" ht="14.45" customHeight="1" x14ac:dyDescent="0.15">
      <c r="A27" s="318" t="str">
        <f t="shared" si="9"/>
        <v>0</v>
      </c>
      <c r="B27" s="319">
        <v>25</v>
      </c>
      <c r="C27" s="328" t="s">
        <v>417</v>
      </c>
      <c r="D27" s="329" t="s">
        <v>2681</v>
      </c>
      <c r="E27" s="330" t="s">
        <v>877</v>
      </c>
      <c r="F27" s="399"/>
      <c r="G27" s="277">
        <v>0</v>
      </c>
      <c r="H27" s="331" t="s">
        <v>991</v>
      </c>
      <c r="I27" s="328">
        <v>0</v>
      </c>
      <c r="J27" s="328">
        <v>0</v>
      </c>
      <c r="K27" s="328">
        <v>0</v>
      </c>
      <c r="L27" s="328" t="s">
        <v>860</v>
      </c>
      <c r="M27" s="331">
        <v>1</v>
      </c>
      <c r="N27" s="331" t="s">
        <v>1601</v>
      </c>
      <c r="O27" s="331">
        <v>1</v>
      </c>
      <c r="P27" s="328">
        <v>0</v>
      </c>
      <c r="Q27" s="331">
        <v>1</v>
      </c>
      <c r="R27" s="331">
        <v>4</v>
      </c>
      <c r="S27" s="331">
        <v>0</v>
      </c>
      <c r="T27" s="331"/>
      <c r="V27" s="327" t="str">
        <f t="shared" si="0"/>
        <v>1</v>
      </c>
      <c r="W27" s="327" t="str">
        <f t="shared" si="1"/>
        <v>0</v>
      </c>
      <c r="X27" s="327" t="str">
        <f t="shared" si="2"/>
        <v>0</v>
      </c>
      <c r="Y27" s="327">
        <f t="shared" si="3"/>
        <v>1</v>
      </c>
      <c r="Z27" s="327">
        <f t="shared" si="4"/>
        <v>0</v>
      </c>
      <c r="AA27" s="327">
        <f t="shared" si="5"/>
        <v>1</v>
      </c>
      <c r="AB27" s="327" t="str">
        <f t="shared" si="10"/>
        <v>100</v>
      </c>
      <c r="AC27" s="327">
        <f t="shared" si="6"/>
        <v>0</v>
      </c>
      <c r="AD27" s="327">
        <v>0</v>
      </c>
      <c r="AE27" s="327" t="str">
        <f t="shared" si="7"/>
        <v>32501</v>
      </c>
    </row>
    <row r="28" spans="1:34" s="327" customFormat="1" ht="14.45" customHeight="1" x14ac:dyDescent="0.15">
      <c r="A28" s="318" t="str">
        <f t="shared" si="9"/>
        <v>0</v>
      </c>
      <c r="B28" s="319">
        <v>26</v>
      </c>
      <c r="C28" s="328" t="s">
        <v>418</v>
      </c>
      <c r="D28" s="329" t="s">
        <v>2681</v>
      </c>
      <c r="E28" s="330" t="s">
        <v>878</v>
      </c>
      <c r="F28" s="399"/>
      <c r="G28" s="277">
        <v>0</v>
      </c>
      <c r="H28" s="331" t="s">
        <v>991</v>
      </c>
      <c r="I28" s="328">
        <v>0</v>
      </c>
      <c r="J28" s="328">
        <v>0</v>
      </c>
      <c r="K28" s="328">
        <v>0</v>
      </c>
      <c r="L28" s="328" t="s">
        <v>860</v>
      </c>
      <c r="M28" s="331">
        <v>1</v>
      </c>
      <c r="N28" s="331" t="s">
        <v>1601</v>
      </c>
      <c r="O28" s="331">
        <v>1</v>
      </c>
      <c r="P28" s="328">
        <v>0</v>
      </c>
      <c r="Q28" s="331">
        <v>1</v>
      </c>
      <c r="R28" s="331">
        <v>4</v>
      </c>
      <c r="S28" s="331">
        <v>0</v>
      </c>
      <c r="T28" s="331"/>
      <c r="V28" s="327" t="str">
        <f t="shared" si="0"/>
        <v>1</v>
      </c>
      <c r="W28" s="327" t="str">
        <f t="shared" si="1"/>
        <v>0</v>
      </c>
      <c r="X28" s="327" t="str">
        <f t="shared" si="2"/>
        <v>0</v>
      </c>
      <c r="Y28" s="327">
        <f t="shared" si="3"/>
        <v>1</v>
      </c>
      <c r="Z28" s="327">
        <f t="shared" si="4"/>
        <v>0</v>
      </c>
      <c r="AA28" s="327">
        <f t="shared" si="5"/>
        <v>1</v>
      </c>
      <c r="AB28" s="327" t="str">
        <f t="shared" si="10"/>
        <v>100</v>
      </c>
      <c r="AC28" s="327">
        <f t="shared" si="6"/>
        <v>0</v>
      </c>
      <c r="AD28" s="327">
        <v>0</v>
      </c>
      <c r="AE28" s="327" t="str">
        <f t="shared" si="7"/>
        <v>32501</v>
      </c>
    </row>
    <row r="29" spans="1:34" s="327" customFormat="1" ht="14.45" customHeight="1" x14ac:dyDescent="0.15">
      <c r="A29" s="318" t="str">
        <f t="shared" si="9"/>
        <v>0</v>
      </c>
      <c r="B29" s="319">
        <v>27</v>
      </c>
      <c r="C29" s="328" t="s">
        <v>419</v>
      </c>
      <c r="D29" s="329" t="s">
        <v>2681</v>
      </c>
      <c r="E29" s="330" t="s">
        <v>879</v>
      </c>
      <c r="F29" s="399"/>
      <c r="G29" s="277">
        <v>0</v>
      </c>
      <c r="H29" s="331" t="s">
        <v>991</v>
      </c>
      <c r="I29" s="328">
        <v>0</v>
      </c>
      <c r="J29" s="328">
        <v>0</v>
      </c>
      <c r="K29" s="328">
        <v>0</v>
      </c>
      <c r="L29" s="328" t="s">
        <v>860</v>
      </c>
      <c r="M29" s="331">
        <v>1</v>
      </c>
      <c r="N29" s="331" t="s">
        <v>1601</v>
      </c>
      <c r="O29" s="331">
        <v>1</v>
      </c>
      <c r="P29" s="328">
        <v>0</v>
      </c>
      <c r="Q29" s="331">
        <v>1</v>
      </c>
      <c r="R29" s="331">
        <v>4</v>
      </c>
      <c r="S29" s="331">
        <v>0</v>
      </c>
      <c r="T29" s="331"/>
      <c r="V29" s="327" t="str">
        <f t="shared" si="0"/>
        <v>1</v>
      </c>
      <c r="W29" s="327" t="str">
        <f t="shared" si="1"/>
        <v>0</v>
      </c>
      <c r="X29" s="327" t="str">
        <f t="shared" si="2"/>
        <v>0</v>
      </c>
      <c r="Y29" s="327">
        <f t="shared" si="3"/>
        <v>1</v>
      </c>
      <c r="Z29" s="327">
        <f t="shared" si="4"/>
        <v>0</v>
      </c>
      <c r="AA29" s="327">
        <f t="shared" si="5"/>
        <v>1</v>
      </c>
      <c r="AB29" s="327" t="str">
        <f t="shared" si="10"/>
        <v>100</v>
      </c>
      <c r="AC29" s="327">
        <f t="shared" si="6"/>
        <v>0</v>
      </c>
      <c r="AD29" s="327">
        <v>0</v>
      </c>
      <c r="AE29" s="327" t="str">
        <f t="shared" si="7"/>
        <v>32501</v>
      </c>
    </row>
    <row r="30" spans="1:34" s="327" customFormat="1" ht="14.45" customHeight="1" x14ac:dyDescent="0.15">
      <c r="A30" s="318" t="str">
        <f t="shared" si="9"/>
        <v>0</v>
      </c>
      <c r="B30" s="319">
        <v>28</v>
      </c>
      <c r="C30" s="328" t="s">
        <v>420</v>
      </c>
      <c r="D30" s="329" t="s">
        <v>2681</v>
      </c>
      <c r="E30" s="330" t="s">
        <v>880</v>
      </c>
      <c r="F30" s="399"/>
      <c r="G30" s="277">
        <v>0</v>
      </c>
      <c r="H30" s="331" t="s">
        <v>991</v>
      </c>
      <c r="I30" s="328">
        <v>0</v>
      </c>
      <c r="J30" s="328">
        <v>0</v>
      </c>
      <c r="K30" s="328">
        <v>0</v>
      </c>
      <c r="L30" s="328" t="s">
        <v>860</v>
      </c>
      <c r="M30" s="331">
        <v>1</v>
      </c>
      <c r="N30" s="331" t="s">
        <v>1601</v>
      </c>
      <c r="O30" s="331">
        <v>1</v>
      </c>
      <c r="P30" s="328">
        <v>0</v>
      </c>
      <c r="Q30" s="331">
        <v>1</v>
      </c>
      <c r="R30" s="331">
        <v>4</v>
      </c>
      <c r="S30" s="331">
        <v>0</v>
      </c>
      <c r="T30" s="331"/>
      <c r="V30" s="327" t="str">
        <f t="shared" si="0"/>
        <v>1</v>
      </c>
      <c r="W30" s="327" t="str">
        <f t="shared" si="1"/>
        <v>0</v>
      </c>
      <c r="X30" s="327" t="str">
        <f t="shared" si="2"/>
        <v>0</v>
      </c>
      <c r="Y30" s="327">
        <f t="shared" si="3"/>
        <v>1</v>
      </c>
      <c r="Z30" s="327">
        <f t="shared" si="4"/>
        <v>0</v>
      </c>
      <c r="AA30" s="327">
        <f t="shared" si="5"/>
        <v>1</v>
      </c>
      <c r="AB30" s="327" t="str">
        <f t="shared" si="10"/>
        <v>100</v>
      </c>
      <c r="AC30" s="327">
        <f t="shared" si="6"/>
        <v>0</v>
      </c>
      <c r="AD30" s="327">
        <v>0</v>
      </c>
      <c r="AE30" s="327" t="str">
        <f t="shared" si="7"/>
        <v>32501</v>
      </c>
    </row>
    <row r="31" spans="1:34" s="327" customFormat="1" ht="14.45" customHeight="1" x14ac:dyDescent="0.15">
      <c r="A31" s="318" t="str">
        <f t="shared" si="9"/>
        <v>0</v>
      </c>
      <c r="B31" s="319">
        <v>29</v>
      </c>
      <c r="C31" s="328" t="s">
        <v>421</v>
      </c>
      <c r="D31" s="329" t="s">
        <v>2681</v>
      </c>
      <c r="E31" s="330" t="s">
        <v>881</v>
      </c>
      <c r="F31" s="399"/>
      <c r="G31" s="277">
        <v>0</v>
      </c>
      <c r="H31" s="331" t="s">
        <v>991</v>
      </c>
      <c r="I31" s="328">
        <v>0</v>
      </c>
      <c r="J31" s="328">
        <v>0</v>
      </c>
      <c r="K31" s="328">
        <v>0</v>
      </c>
      <c r="L31" s="328" t="s">
        <v>860</v>
      </c>
      <c r="M31" s="331">
        <v>1</v>
      </c>
      <c r="N31" s="331" t="s">
        <v>1601</v>
      </c>
      <c r="O31" s="331">
        <v>1</v>
      </c>
      <c r="P31" s="328">
        <v>0</v>
      </c>
      <c r="Q31" s="331">
        <v>1</v>
      </c>
      <c r="R31" s="331">
        <v>4</v>
      </c>
      <c r="S31" s="331">
        <v>0</v>
      </c>
      <c r="T31" s="331"/>
      <c r="V31" s="327" t="str">
        <f t="shared" si="0"/>
        <v>1</v>
      </c>
      <c r="W31" s="327" t="str">
        <f t="shared" si="1"/>
        <v>0</v>
      </c>
      <c r="X31" s="327" t="str">
        <f t="shared" si="2"/>
        <v>0</v>
      </c>
      <c r="Y31" s="327">
        <f t="shared" si="3"/>
        <v>1</v>
      </c>
      <c r="Z31" s="327">
        <f t="shared" si="4"/>
        <v>0</v>
      </c>
      <c r="AA31" s="327">
        <f t="shared" si="5"/>
        <v>1</v>
      </c>
      <c r="AB31" s="327" t="str">
        <f t="shared" si="10"/>
        <v>100</v>
      </c>
      <c r="AC31" s="327">
        <f t="shared" si="6"/>
        <v>0</v>
      </c>
      <c r="AD31" s="327">
        <v>0</v>
      </c>
      <c r="AE31" s="327" t="str">
        <f t="shared" si="7"/>
        <v>32501</v>
      </c>
    </row>
    <row r="32" spans="1:34" s="327" customFormat="1" ht="14.45" customHeight="1" x14ac:dyDescent="0.15">
      <c r="A32" s="318" t="str">
        <f t="shared" si="9"/>
        <v>0</v>
      </c>
      <c r="B32" s="319">
        <v>30</v>
      </c>
      <c r="C32" s="328" t="s">
        <v>422</v>
      </c>
      <c r="D32" s="329" t="s">
        <v>2681</v>
      </c>
      <c r="E32" s="330" t="s">
        <v>882</v>
      </c>
      <c r="F32" s="399"/>
      <c r="G32" s="277">
        <v>0</v>
      </c>
      <c r="H32" s="331" t="s">
        <v>991</v>
      </c>
      <c r="I32" s="328">
        <v>0</v>
      </c>
      <c r="J32" s="328">
        <v>0</v>
      </c>
      <c r="K32" s="328">
        <v>0</v>
      </c>
      <c r="L32" s="328" t="s">
        <v>860</v>
      </c>
      <c r="M32" s="331">
        <v>1</v>
      </c>
      <c r="N32" s="331" t="s">
        <v>1601</v>
      </c>
      <c r="O32" s="331">
        <v>1</v>
      </c>
      <c r="P32" s="328">
        <v>0</v>
      </c>
      <c r="Q32" s="331">
        <v>1</v>
      </c>
      <c r="R32" s="331">
        <v>4</v>
      </c>
      <c r="S32" s="331">
        <v>0</v>
      </c>
      <c r="T32" s="331"/>
      <c r="V32" s="327" t="str">
        <f t="shared" si="0"/>
        <v>1</v>
      </c>
      <c r="W32" s="327" t="str">
        <f t="shared" si="1"/>
        <v>0</v>
      </c>
      <c r="X32" s="327" t="str">
        <f t="shared" si="2"/>
        <v>0</v>
      </c>
      <c r="Y32" s="327">
        <f t="shared" si="3"/>
        <v>1</v>
      </c>
      <c r="Z32" s="327">
        <f t="shared" si="4"/>
        <v>0</v>
      </c>
      <c r="AA32" s="327">
        <f t="shared" si="5"/>
        <v>1</v>
      </c>
      <c r="AB32" s="327" t="str">
        <f t="shared" si="10"/>
        <v>100</v>
      </c>
      <c r="AC32" s="327">
        <f t="shared" si="6"/>
        <v>0</v>
      </c>
      <c r="AD32" s="327">
        <v>0</v>
      </c>
      <c r="AE32" s="327" t="str">
        <f t="shared" si="7"/>
        <v>32501</v>
      </c>
    </row>
    <row r="33" spans="1:31" s="327" customFormat="1" ht="14.45" customHeight="1" x14ac:dyDescent="0.15">
      <c r="A33" s="318" t="str">
        <f t="shared" si="9"/>
        <v>0</v>
      </c>
      <c r="B33" s="319">
        <v>31</v>
      </c>
      <c r="C33" s="328" t="s">
        <v>423</v>
      </c>
      <c r="D33" s="329" t="s">
        <v>2681</v>
      </c>
      <c r="E33" s="330" t="s">
        <v>1617</v>
      </c>
      <c r="F33" s="332" t="s">
        <v>2705</v>
      </c>
      <c r="G33" s="277" t="s">
        <v>857</v>
      </c>
      <c r="H33" s="331" t="s">
        <v>1618</v>
      </c>
      <c r="I33" s="328">
        <v>0</v>
      </c>
      <c r="J33" s="328">
        <v>0</v>
      </c>
      <c r="K33" s="328">
        <v>0</v>
      </c>
      <c r="L33" s="328" t="s">
        <v>860</v>
      </c>
      <c r="M33" s="331">
        <v>1</v>
      </c>
      <c r="N33" s="331" t="s">
        <v>1601</v>
      </c>
      <c r="O33" s="331">
        <v>1</v>
      </c>
      <c r="P33" s="328">
        <v>0</v>
      </c>
      <c r="Q33" s="331">
        <v>1</v>
      </c>
      <c r="R33" s="331">
        <v>4</v>
      </c>
      <c r="S33" s="331">
        <v>0</v>
      </c>
      <c r="T33" s="331"/>
      <c r="V33" s="327" t="str">
        <f t="shared" si="0"/>
        <v>1</v>
      </c>
      <c r="W33" s="327" t="str">
        <f t="shared" si="1"/>
        <v>0</v>
      </c>
      <c r="X33" s="327" t="str">
        <f t="shared" si="2"/>
        <v>0</v>
      </c>
      <c r="Y33" s="327">
        <f t="shared" si="3"/>
        <v>1</v>
      </c>
      <c r="Z33" s="327">
        <f t="shared" si="4"/>
        <v>0</v>
      </c>
      <c r="AA33" s="327">
        <f t="shared" si="5"/>
        <v>1</v>
      </c>
      <c r="AB33" s="327" t="str">
        <f t="shared" si="10"/>
        <v>100</v>
      </c>
      <c r="AC33" s="327">
        <f t="shared" si="6"/>
        <v>0</v>
      </c>
      <c r="AD33" s="327">
        <v>0</v>
      </c>
      <c r="AE33" s="327" t="str">
        <f t="shared" si="7"/>
        <v>32501</v>
      </c>
    </row>
    <row r="34" spans="1:31" s="327" customFormat="1" ht="14.45" customHeight="1" x14ac:dyDescent="0.15">
      <c r="A34" s="318" t="str">
        <f t="shared" si="9"/>
        <v>0</v>
      </c>
      <c r="B34" s="319">
        <v>32</v>
      </c>
      <c r="C34" s="328" t="s">
        <v>424</v>
      </c>
      <c r="D34" s="329" t="s">
        <v>2681</v>
      </c>
      <c r="E34" s="330" t="s">
        <v>1619</v>
      </c>
      <c r="F34" s="332" t="s">
        <v>2705</v>
      </c>
      <c r="G34" s="277" t="s">
        <v>857</v>
      </c>
      <c r="H34" s="331" t="s">
        <v>1618</v>
      </c>
      <c r="I34" s="328">
        <v>0</v>
      </c>
      <c r="J34" s="328">
        <v>0</v>
      </c>
      <c r="K34" s="328">
        <v>0</v>
      </c>
      <c r="L34" s="328" t="s">
        <v>860</v>
      </c>
      <c r="M34" s="331">
        <v>1</v>
      </c>
      <c r="N34" s="331" t="s">
        <v>1601</v>
      </c>
      <c r="O34" s="331">
        <v>1</v>
      </c>
      <c r="P34" s="328">
        <v>0</v>
      </c>
      <c r="Q34" s="331">
        <v>1</v>
      </c>
      <c r="R34" s="331">
        <v>4</v>
      </c>
      <c r="S34" s="331">
        <v>0</v>
      </c>
      <c r="T34" s="331"/>
      <c r="V34" s="327" t="str">
        <f t="shared" si="0"/>
        <v>1</v>
      </c>
      <c r="W34" s="327" t="str">
        <f t="shared" si="1"/>
        <v>0</v>
      </c>
      <c r="X34" s="327" t="str">
        <f t="shared" si="2"/>
        <v>0</v>
      </c>
      <c r="Y34" s="327">
        <f t="shared" si="3"/>
        <v>1</v>
      </c>
      <c r="Z34" s="327">
        <f t="shared" si="4"/>
        <v>0</v>
      </c>
      <c r="AA34" s="327">
        <f t="shared" si="5"/>
        <v>1</v>
      </c>
      <c r="AB34" s="327" t="str">
        <f t="shared" si="10"/>
        <v>100</v>
      </c>
      <c r="AC34" s="327">
        <f t="shared" si="6"/>
        <v>0</v>
      </c>
      <c r="AD34" s="327">
        <v>0</v>
      </c>
      <c r="AE34" s="327" t="str">
        <f t="shared" si="7"/>
        <v>32501</v>
      </c>
    </row>
    <row r="35" spans="1:31" s="327" customFormat="1" ht="14.45" customHeight="1" x14ac:dyDescent="0.15">
      <c r="A35" s="318" t="str">
        <f t="shared" si="9"/>
        <v>0</v>
      </c>
      <c r="B35" s="319">
        <v>33</v>
      </c>
      <c r="C35" s="328" t="s">
        <v>425</v>
      </c>
      <c r="D35" s="329" t="s">
        <v>1612</v>
      </c>
      <c r="E35" s="330" t="s">
        <v>1620</v>
      </c>
      <c r="F35" s="332" t="s">
        <v>1612</v>
      </c>
      <c r="G35" s="277">
        <v>0</v>
      </c>
      <c r="H35" s="331" t="s">
        <v>1618</v>
      </c>
      <c r="I35" s="328">
        <v>0</v>
      </c>
      <c r="J35" s="328">
        <v>0</v>
      </c>
      <c r="K35" s="328">
        <v>0</v>
      </c>
      <c r="L35" s="328" t="s">
        <v>860</v>
      </c>
      <c r="M35" s="331">
        <v>1</v>
      </c>
      <c r="N35" s="331" t="s">
        <v>1601</v>
      </c>
      <c r="O35" s="331">
        <v>1</v>
      </c>
      <c r="P35" s="328">
        <v>0</v>
      </c>
      <c r="Q35" s="331">
        <v>1</v>
      </c>
      <c r="R35" s="331">
        <v>4</v>
      </c>
      <c r="S35" s="331">
        <v>0</v>
      </c>
      <c r="T35" s="331"/>
      <c r="V35" s="327" t="str">
        <f t="shared" si="0"/>
        <v>1</v>
      </c>
      <c r="W35" s="327" t="str">
        <f t="shared" si="1"/>
        <v>0</v>
      </c>
      <c r="X35" s="327" t="str">
        <f t="shared" si="2"/>
        <v>0</v>
      </c>
      <c r="Y35" s="327">
        <f t="shared" si="3"/>
        <v>1</v>
      </c>
      <c r="Z35" s="327">
        <f t="shared" si="4"/>
        <v>0</v>
      </c>
      <c r="AA35" s="327">
        <f t="shared" si="5"/>
        <v>1</v>
      </c>
      <c r="AB35" s="327" t="str">
        <f t="shared" si="10"/>
        <v>100</v>
      </c>
      <c r="AC35" s="327">
        <f t="shared" si="6"/>
        <v>0</v>
      </c>
      <c r="AD35" s="327">
        <v>0</v>
      </c>
      <c r="AE35" s="327" t="str">
        <f t="shared" si="7"/>
        <v>32501</v>
      </c>
    </row>
    <row r="36" spans="1:31" ht="152.25" x14ac:dyDescent="0.15">
      <c r="A36" s="42" t="str">
        <f t="shared" si="9"/>
        <v>0</v>
      </c>
      <c r="B36" s="43">
        <v>34</v>
      </c>
      <c r="C36" s="55" t="s">
        <v>426</v>
      </c>
      <c r="D36" s="315" t="s">
        <v>2846</v>
      </c>
      <c r="E36" s="57" t="s">
        <v>1621</v>
      </c>
      <c r="F36" s="58" t="s">
        <v>1622</v>
      </c>
      <c r="G36" s="59">
        <v>0</v>
      </c>
      <c r="H36" s="60">
        <v>4</v>
      </c>
      <c r="I36" s="55">
        <v>0</v>
      </c>
      <c r="J36" s="60">
        <v>0</v>
      </c>
      <c r="K36" s="60">
        <v>0</v>
      </c>
      <c r="L36" s="60" t="s">
        <v>860</v>
      </c>
      <c r="M36" s="60">
        <v>1</v>
      </c>
      <c r="N36" s="60" t="s">
        <v>1601</v>
      </c>
      <c r="O36" s="60">
        <v>0</v>
      </c>
      <c r="P36" s="55">
        <v>1</v>
      </c>
      <c r="Q36" s="60">
        <v>1</v>
      </c>
      <c r="R36" s="60">
        <v>1</v>
      </c>
      <c r="S36" s="60">
        <v>0</v>
      </c>
      <c r="T36" s="60"/>
      <c r="V36" s="49" t="str">
        <f t="shared" si="0"/>
        <v>1</v>
      </c>
      <c r="W36" s="49" t="str">
        <f t="shared" si="1"/>
        <v>0</v>
      </c>
      <c r="X36" s="49" t="str">
        <f t="shared" si="2"/>
        <v>0</v>
      </c>
      <c r="Y36" s="49">
        <f t="shared" si="3"/>
        <v>0</v>
      </c>
      <c r="Z36" s="49">
        <f t="shared" si="4"/>
        <v>1</v>
      </c>
      <c r="AA36" s="49">
        <f t="shared" si="5"/>
        <v>1</v>
      </c>
      <c r="AB36" s="49" t="str">
        <f t="shared" si="10"/>
        <v>1</v>
      </c>
      <c r="AC36" s="49">
        <f t="shared" si="6"/>
        <v>0</v>
      </c>
      <c r="AD36" s="49">
        <v>0</v>
      </c>
      <c r="AE36" s="49" t="str">
        <f t="shared" si="7"/>
        <v>E01</v>
      </c>
    </row>
    <row r="37" spans="1:31" ht="167.25" x14ac:dyDescent="0.15">
      <c r="A37" s="42" t="str">
        <f t="shared" si="9"/>
        <v>0</v>
      </c>
      <c r="B37" s="43">
        <v>35</v>
      </c>
      <c r="C37" s="55" t="s">
        <v>427</v>
      </c>
      <c r="D37" s="56" t="s">
        <v>832</v>
      </c>
      <c r="E37" s="97" t="s">
        <v>1623</v>
      </c>
      <c r="F37" s="316" t="s">
        <v>2686</v>
      </c>
      <c r="G37" s="113">
        <v>9</v>
      </c>
      <c r="H37" s="114">
        <v>11</v>
      </c>
      <c r="I37" s="55">
        <v>0</v>
      </c>
      <c r="J37" s="60">
        <v>0</v>
      </c>
      <c r="K37" s="60">
        <v>0</v>
      </c>
      <c r="L37" s="60" t="s">
        <v>860</v>
      </c>
      <c r="M37" s="60">
        <v>1</v>
      </c>
      <c r="N37" s="60" t="s">
        <v>1601</v>
      </c>
      <c r="O37" s="60">
        <v>0</v>
      </c>
      <c r="P37" s="55">
        <v>1</v>
      </c>
      <c r="Q37" s="60">
        <v>1</v>
      </c>
      <c r="R37" s="60">
        <v>2</v>
      </c>
      <c r="S37" s="60">
        <v>0</v>
      </c>
      <c r="T37" s="60"/>
      <c r="V37" s="49" t="str">
        <f t="shared" si="0"/>
        <v>1</v>
      </c>
      <c r="W37" s="49" t="str">
        <f t="shared" si="1"/>
        <v>0</v>
      </c>
      <c r="X37" s="49" t="str">
        <f t="shared" si="2"/>
        <v>0</v>
      </c>
      <c r="Y37" s="49">
        <f t="shared" si="3"/>
        <v>0</v>
      </c>
      <c r="Z37" s="49">
        <f t="shared" si="4"/>
        <v>1</v>
      </c>
      <c r="AA37" s="49">
        <f t="shared" si="5"/>
        <v>1</v>
      </c>
      <c r="AB37" s="49" t="str">
        <f t="shared" si="10"/>
        <v>10</v>
      </c>
      <c r="AC37" s="49">
        <f t="shared" si="6"/>
        <v>0</v>
      </c>
      <c r="AD37" s="49">
        <v>0</v>
      </c>
      <c r="AE37" s="49" t="str">
        <f t="shared" si="7"/>
        <v>5601</v>
      </c>
    </row>
    <row r="38" spans="1:31" ht="14.45" customHeight="1" x14ac:dyDescent="0.15">
      <c r="A38" s="42" t="str">
        <f t="shared" si="9"/>
        <v>0</v>
      </c>
      <c r="B38" s="43">
        <v>36</v>
      </c>
      <c r="C38" s="55" t="s">
        <v>428</v>
      </c>
      <c r="D38" s="56" t="s">
        <v>1624</v>
      </c>
      <c r="E38" s="57" t="s">
        <v>1625</v>
      </c>
      <c r="F38" s="58" t="s">
        <v>854</v>
      </c>
      <c r="G38" s="59">
        <v>5000</v>
      </c>
      <c r="H38" s="60">
        <v>60000</v>
      </c>
      <c r="I38" s="55">
        <v>0</v>
      </c>
      <c r="J38" s="57" t="s">
        <v>1626</v>
      </c>
      <c r="K38" s="57" t="s">
        <v>1627</v>
      </c>
      <c r="L38" s="60" t="s">
        <v>859</v>
      </c>
      <c r="M38" s="60">
        <v>0.01</v>
      </c>
      <c r="N38" s="60" t="s">
        <v>1628</v>
      </c>
      <c r="O38" s="60">
        <v>0</v>
      </c>
      <c r="P38" s="55">
        <v>1</v>
      </c>
      <c r="Q38" s="60">
        <v>1</v>
      </c>
      <c r="R38" s="60">
        <v>5</v>
      </c>
      <c r="S38" s="60">
        <v>0</v>
      </c>
      <c r="T38" s="60"/>
      <c r="V38" s="49" t="str">
        <f t="shared" si="0"/>
        <v>0</v>
      </c>
      <c r="W38" s="49" t="str">
        <f t="shared" si="1"/>
        <v>10</v>
      </c>
      <c r="X38" s="49" t="str">
        <f t="shared" si="2"/>
        <v>0</v>
      </c>
      <c r="Y38" s="49">
        <f t="shared" si="3"/>
        <v>0</v>
      </c>
      <c r="Z38" s="49">
        <f t="shared" si="4"/>
        <v>1</v>
      </c>
      <c r="AA38" s="49">
        <f t="shared" si="5"/>
        <v>1</v>
      </c>
      <c r="AB38" s="49" t="str">
        <f t="shared" si="10"/>
        <v>101</v>
      </c>
      <c r="AC38" s="49">
        <f t="shared" si="6"/>
        <v>0</v>
      </c>
      <c r="AD38" s="49">
        <v>0</v>
      </c>
      <c r="AE38" s="49" t="str">
        <f t="shared" si="7"/>
        <v>32E28</v>
      </c>
    </row>
    <row r="39" spans="1:31" s="327" customFormat="1" ht="154.5" x14ac:dyDescent="0.15">
      <c r="A39" s="318" t="str">
        <f t="shared" si="9"/>
        <v>0</v>
      </c>
      <c r="B39" s="319">
        <v>37</v>
      </c>
      <c r="C39" s="333" t="s">
        <v>429</v>
      </c>
      <c r="D39" s="334" t="s">
        <v>2681</v>
      </c>
      <c r="E39" s="335" t="s">
        <v>1629</v>
      </c>
      <c r="F39" s="336" t="s">
        <v>2706</v>
      </c>
      <c r="G39" s="337">
        <v>0</v>
      </c>
      <c r="H39" s="338">
        <v>10</v>
      </c>
      <c r="I39" s="333">
        <v>0</v>
      </c>
      <c r="J39" s="338">
        <v>0</v>
      </c>
      <c r="K39" s="338">
        <v>0</v>
      </c>
      <c r="L39" s="338" t="s">
        <v>1630</v>
      </c>
      <c r="M39" s="338">
        <v>1</v>
      </c>
      <c r="N39" s="338" t="s">
        <v>1601</v>
      </c>
      <c r="O39" s="338">
        <v>0</v>
      </c>
      <c r="P39" s="333">
        <v>0</v>
      </c>
      <c r="Q39" s="338">
        <v>1</v>
      </c>
      <c r="R39" s="338">
        <v>2</v>
      </c>
      <c r="S39" s="338">
        <v>0</v>
      </c>
      <c r="T39" s="338"/>
      <c r="V39" s="327" t="str">
        <f t="shared" si="0"/>
        <v>1</v>
      </c>
      <c r="W39" s="327" t="str">
        <f t="shared" si="1"/>
        <v>0</v>
      </c>
      <c r="X39" s="327" t="str">
        <f t="shared" si="2"/>
        <v>0</v>
      </c>
      <c r="Y39" s="327">
        <f t="shared" si="3"/>
        <v>0</v>
      </c>
      <c r="Z39" s="327">
        <f t="shared" si="4"/>
        <v>0</v>
      </c>
      <c r="AA39" s="327">
        <f t="shared" si="5"/>
        <v>1</v>
      </c>
      <c r="AB39" s="327" t="str">
        <f t="shared" si="10"/>
        <v>10</v>
      </c>
      <c r="AC39" s="327">
        <f t="shared" si="6"/>
        <v>0</v>
      </c>
      <c r="AD39" s="327">
        <v>0</v>
      </c>
      <c r="AE39" s="327" t="str">
        <f t="shared" si="7"/>
        <v>5401</v>
      </c>
    </row>
    <row r="40" spans="1:31" s="327" customFormat="1" ht="14.45" customHeight="1" x14ac:dyDescent="0.15">
      <c r="A40" s="318" t="str">
        <f t="shared" si="9"/>
        <v>0</v>
      </c>
      <c r="B40" s="319">
        <v>38</v>
      </c>
      <c r="C40" s="333" t="s">
        <v>430</v>
      </c>
      <c r="D40" s="334" t="s">
        <v>2681</v>
      </c>
      <c r="E40" s="335" t="s">
        <v>1631</v>
      </c>
      <c r="F40" s="336" t="s">
        <v>854</v>
      </c>
      <c r="G40" s="337">
        <v>0</v>
      </c>
      <c r="H40" s="338">
        <v>60000</v>
      </c>
      <c r="I40" s="333">
        <v>0</v>
      </c>
      <c r="J40" s="335" t="s">
        <v>1626</v>
      </c>
      <c r="K40" s="335" t="s">
        <v>1627</v>
      </c>
      <c r="L40" s="338" t="s">
        <v>859</v>
      </c>
      <c r="M40" s="338">
        <v>0.01</v>
      </c>
      <c r="N40" s="338" t="s">
        <v>1628</v>
      </c>
      <c r="O40" s="338">
        <v>0</v>
      </c>
      <c r="P40" s="333">
        <v>0</v>
      </c>
      <c r="Q40" s="338">
        <v>1</v>
      </c>
      <c r="R40" s="338">
        <v>5</v>
      </c>
      <c r="S40" s="338">
        <v>0</v>
      </c>
      <c r="T40" s="338"/>
      <c r="V40" s="327" t="str">
        <f t="shared" si="0"/>
        <v>0</v>
      </c>
      <c r="W40" s="327" t="str">
        <f t="shared" si="1"/>
        <v>10</v>
      </c>
      <c r="X40" s="327" t="str">
        <f t="shared" si="2"/>
        <v>0</v>
      </c>
      <c r="Y40" s="327">
        <f t="shared" si="3"/>
        <v>0</v>
      </c>
      <c r="Z40" s="327">
        <f t="shared" si="4"/>
        <v>0</v>
      </c>
      <c r="AA40" s="327">
        <f t="shared" si="5"/>
        <v>1</v>
      </c>
      <c r="AB40" s="327" t="str">
        <f t="shared" si="10"/>
        <v>101</v>
      </c>
      <c r="AC40" s="327">
        <f t="shared" si="6"/>
        <v>0</v>
      </c>
      <c r="AD40" s="327">
        <v>0</v>
      </c>
      <c r="AE40" s="327" t="str">
        <f t="shared" si="7"/>
        <v>32C28</v>
      </c>
    </row>
    <row r="41" spans="1:31" s="327" customFormat="1" ht="23.25" customHeight="1" x14ac:dyDescent="0.15">
      <c r="A41" s="318" t="str">
        <f t="shared" si="9"/>
        <v>0</v>
      </c>
      <c r="B41" s="319">
        <v>39</v>
      </c>
      <c r="C41" s="333" t="s">
        <v>431</v>
      </c>
      <c r="D41" s="334" t="s">
        <v>2681</v>
      </c>
      <c r="E41" s="335" t="s">
        <v>1632</v>
      </c>
      <c r="F41" s="336" t="s">
        <v>2707</v>
      </c>
      <c r="G41" s="337">
        <v>0</v>
      </c>
      <c r="H41" s="338">
        <v>1</v>
      </c>
      <c r="I41" s="333">
        <v>0</v>
      </c>
      <c r="J41" s="338">
        <v>0</v>
      </c>
      <c r="K41" s="338">
        <v>0</v>
      </c>
      <c r="L41" s="338" t="s">
        <v>1630</v>
      </c>
      <c r="M41" s="338">
        <v>1</v>
      </c>
      <c r="N41" s="338" t="s">
        <v>1601</v>
      </c>
      <c r="O41" s="338">
        <v>0</v>
      </c>
      <c r="P41" s="333">
        <v>0</v>
      </c>
      <c r="Q41" s="338">
        <v>1</v>
      </c>
      <c r="R41" s="338">
        <v>1</v>
      </c>
      <c r="S41" s="338">
        <v>0</v>
      </c>
      <c r="T41" s="338"/>
      <c r="V41" s="327" t="str">
        <f t="shared" si="0"/>
        <v>1</v>
      </c>
      <c r="W41" s="327" t="str">
        <f t="shared" si="1"/>
        <v>0</v>
      </c>
      <c r="X41" s="327" t="str">
        <f>DEC2BIN(14)</f>
        <v>1110</v>
      </c>
      <c r="Y41" s="327">
        <f t="shared" si="3"/>
        <v>0</v>
      </c>
      <c r="Z41" s="327">
        <f t="shared" si="4"/>
        <v>0</v>
      </c>
      <c r="AA41" s="327">
        <f t="shared" si="5"/>
        <v>1</v>
      </c>
      <c r="AB41" s="327" t="str">
        <f t="shared" si="10"/>
        <v>1</v>
      </c>
      <c r="AC41" s="327">
        <f t="shared" si="6"/>
        <v>0</v>
      </c>
      <c r="AD41" s="327">
        <v>0</v>
      </c>
      <c r="AE41" s="327" t="str">
        <f t="shared" si="7"/>
        <v>5161</v>
      </c>
    </row>
    <row r="42" spans="1:31" s="327" customFormat="1" x14ac:dyDescent="0.15">
      <c r="A42" s="318" t="str">
        <f t="shared" si="9"/>
        <v>0</v>
      </c>
      <c r="B42" s="319">
        <v>40</v>
      </c>
      <c r="C42" s="333" t="s">
        <v>432</v>
      </c>
      <c r="D42" s="334" t="s">
        <v>2681</v>
      </c>
      <c r="E42" s="335" t="s">
        <v>1633</v>
      </c>
      <c r="F42" s="336" t="s">
        <v>2708</v>
      </c>
      <c r="G42" s="337">
        <v>1000</v>
      </c>
      <c r="H42" s="338">
        <v>1000</v>
      </c>
      <c r="I42" s="333">
        <v>0</v>
      </c>
      <c r="J42" s="338">
        <v>0</v>
      </c>
      <c r="K42" s="338">
        <v>0</v>
      </c>
      <c r="L42" s="338" t="s">
        <v>1594</v>
      </c>
      <c r="M42" s="338">
        <v>0.1</v>
      </c>
      <c r="N42" s="338" t="s">
        <v>1634</v>
      </c>
      <c r="O42" s="338">
        <v>0</v>
      </c>
      <c r="P42" s="333">
        <v>0</v>
      </c>
      <c r="Q42" s="338">
        <v>1</v>
      </c>
      <c r="R42" s="338">
        <v>4</v>
      </c>
      <c r="S42" s="338">
        <v>0</v>
      </c>
      <c r="T42" s="338"/>
      <c r="V42" s="327" t="str">
        <f t="shared" si="0"/>
        <v>0</v>
      </c>
      <c r="W42" s="327" t="str">
        <f t="shared" si="1"/>
        <v>1</v>
      </c>
      <c r="X42" s="327" t="e">
        <f t="shared" si="2"/>
        <v>#N/A</v>
      </c>
      <c r="Y42" s="327">
        <f t="shared" si="3"/>
        <v>0</v>
      </c>
      <c r="Z42" s="327">
        <f t="shared" si="4"/>
        <v>0</v>
      </c>
      <c r="AA42" s="327">
        <f t="shared" si="5"/>
        <v>1</v>
      </c>
      <c r="AB42" s="327" t="str">
        <f t="shared" si="10"/>
        <v>100</v>
      </c>
      <c r="AC42" s="327">
        <f t="shared" si="6"/>
        <v>0</v>
      </c>
      <c r="AD42" s="327">
        <v>0</v>
      </c>
      <c r="AE42" s="327" t="e">
        <f t="shared" si="7"/>
        <v>#N/A</v>
      </c>
    </row>
    <row r="43" spans="1:31" s="327" customFormat="1" ht="47.25" x14ac:dyDescent="0.15">
      <c r="A43" s="318" t="str">
        <f t="shared" si="9"/>
        <v>0</v>
      </c>
      <c r="B43" s="319">
        <v>41</v>
      </c>
      <c r="C43" s="333" t="s">
        <v>433</v>
      </c>
      <c r="D43" s="334" t="s">
        <v>2681</v>
      </c>
      <c r="E43" s="335" t="s">
        <v>1635</v>
      </c>
      <c r="F43" s="336" t="s">
        <v>2709</v>
      </c>
      <c r="G43" s="337">
        <v>0</v>
      </c>
      <c r="H43" s="338">
        <v>3</v>
      </c>
      <c r="I43" s="333">
        <v>0</v>
      </c>
      <c r="J43" s="338">
        <v>0</v>
      </c>
      <c r="K43" s="338">
        <v>0</v>
      </c>
      <c r="L43" s="338" t="s">
        <v>860</v>
      </c>
      <c r="M43" s="338">
        <v>1</v>
      </c>
      <c r="N43" s="338" t="s">
        <v>1601</v>
      </c>
      <c r="O43" s="338">
        <v>0</v>
      </c>
      <c r="P43" s="333">
        <v>0</v>
      </c>
      <c r="Q43" s="338">
        <v>1</v>
      </c>
      <c r="R43" s="338">
        <v>1</v>
      </c>
      <c r="S43" s="338">
        <v>0</v>
      </c>
      <c r="T43" s="338"/>
      <c r="V43" s="327" t="str">
        <f t="shared" si="0"/>
        <v>1</v>
      </c>
      <c r="W43" s="327" t="str">
        <f t="shared" si="1"/>
        <v>0</v>
      </c>
      <c r="X43" s="327" t="str">
        <f t="shared" si="2"/>
        <v>0</v>
      </c>
      <c r="Y43" s="327">
        <f t="shared" si="3"/>
        <v>0</v>
      </c>
      <c r="Z43" s="327">
        <f t="shared" si="4"/>
        <v>0</v>
      </c>
      <c r="AA43" s="327">
        <f t="shared" si="5"/>
        <v>1</v>
      </c>
      <c r="AB43" s="327" t="str">
        <f t="shared" si="10"/>
        <v>1</v>
      </c>
      <c r="AC43" s="327">
        <f t="shared" si="6"/>
        <v>0</v>
      </c>
      <c r="AD43" s="327">
        <v>0</v>
      </c>
      <c r="AE43" s="327" t="str">
        <f t="shared" si="7"/>
        <v>C01</v>
      </c>
    </row>
    <row r="44" spans="1:31" x14ac:dyDescent="0.15">
      <c r="A44" s="42" t="str">
        <f t="shared" si="9"/>
        <v>0</v>
      </c>
      <c r="B44" s="43">
        <v>42</v>
      </c>
      <c r="C44" s="55" t="s">
        <v>434</v>
      </c>
      <c r="D44" s="56" t="s">
        <v>1014</v>
      </c>
      <c r="E44" s="57" t="s">
        <v>1636</v>
      </c>
      <c r="F44" s="58" t="s">
        <v>1015</v>
      </c>
      <c r="G44" s="184">
        <v>60000</v>
      </c>
      <c r="H44" s="60">
        <v>60000</v>
      </c>
      <c r="I44" s="55">
        <v>0</v>
      </c>
      <c r="J44" s="60">
        <v>0</v>
      </c>
      <c r="K44" s="60" t="s">
        <v>1637</v>
      </c>
      <c r="L44" s="60" t="s">
        <v>860</v>
      </c>
      <c r="M44" s="60">
        <v>0.01</v>
      </c>
      <c r="N44" s="60" t="s">
        <v>1628</v>
      </c>
      <c r="O44" s="60">
        <v>0</v>
      </c>
      <c r="P44" s="55">
        <v>1</v>
      </c>
      <c r="Q44" s="60">
        <v>1</v>
      </c>
      <c r="R44" s="60">
        <v>5</v>
      </c>
      <c r="S44" s="60">
        <v>0</v>
      </c>
      <c r="T44" s="60"/>
      <c r="V44" s="49" t="str">
        <f t="shared" si="0"/>
        <v>1</v>
      </c>
      <c r="W44" s="49" t="str">
        <f t="shared" si="1"/>
        <v>10</v>
      </c>
      <c r="X44" s="49" t="str">
        <f t="shared" si="2"/>
        <v>0</v>
      </c>
      <c r="Y44" s="49">
        <f t="shared" si="3"/>
        <v>0</v>
      </c>
      <c r="Z44" s="49">
        <f t="shared" si="4"/>
        <v>1</v>
      </c>
      <c r="AA44" s="49">
        <f t="shared" si="5"/>
        <v>1</v>
      </c>
      <c r="AB44" s="49" t="str">
        <f t="shared" si="10"/>
        <v>101</v>
      </c>
      <c r="AC44" s="49">
        <f t="shared" si="6"/>
        <v>0</v>
      </c>
      <c r="AD44" s="49">
        <v>0</v>
      </c>
      <c r="AE44" s="49" t="str">
        <f t="shared" si="7"/>
        <v>32E29</v>
      </c>
    </row>
    <row r="45" spans="1:31" x14ac:dyDescent="0.15">
      <c r="A45" s="42" t="str">
        <f t="shared" si="9"/>
        <v>0</v>
      </c>
      <c r="B45" s="43">
        <v>43</v>
      </c>
      <c r="C45" s="55" t="s">
        <v>435</v>
      </c>
      <c r="D45" s="56" t="s">
        <v>1016</v>
      </c>
      <c r="E45" s="57" t="s">
        <v>1638</v>
      </c>
      <c r="F45" s="58" t="s">
        <v>1017</v>
      </c>
      <c r="G45" s="184">
        <v>60000</v>
      </c>
      <c r="H45" s="60">
        <v>60000</v>
      </c>
      <c r="I45" s="55">
        <v>0</v>
      </c>
      <c r="J45" s="60" t="s">
        <v>1639</v>
      </c>
      <c r="K45" s="60" t="s">
        <v>1627</v>
      </c>
      <c r="L45" s="60" t="s">
        <v>860</v>
      </c>
      <c r="M45" s="60">
        <v>0.01</v>
      </c>
      <c r="N45" s="60" t="s">
        <v>1628</v>
      </c>
      <c r="O45" s="60">
        <v>0</v>
      </c>
      <c r="P45" s="55">
        <v>1</v>
      </c>
      <c r="Q45" s="60">
        <v>1</v>
      </c>
      <c r="R45" s="60">
        <v>5</v>
      </c>
      <c r="S45" s="60">
        <v>0</v>
      </c>
      <c r="T45" s="60"/>
      <c r="V45" s="49" t="str">
        <f t="shared" si="0"/>
        <v>1</v>
      </c>
      <c r="W45" s="49" t="str">
        <f t="shared" si="1"/>
        <v>10</v>
      </c>
      <c r="X45" s="49" t="str">
        <f t="shared" si="2"/>
        <v>0</v>
      </c>
      <c r="Y45" s="49">
        <f t="shared" si="3"/>
        <v>0</v>
      </c>
      <c r="Z45" s="49">
        <f t="shared" si="4"/>
        <v>1</v>
      </c>
      <c r="AA45" s="49">
        <f t="shared" si="5"/>
        <v>1</v>
      </c>
      <c r="AB45" s="49" t="str">
        <f t="shared" si="10"/>
        <v>101</v>
      </c>
      <c r="AC45" s="49">
        <f t="shared" si="6"/>
        <v>0</v>
      </c>
      <c r="AD45" s="49">
        <v>0</v>
      </c>
      <c r="AE45" s="49" t="str">
        <f t="shared" si="7"/>
        <v>32E29</v>
      </c>
    </row>
    <row r="46" spans="1:31" x14ac:dyDescent="0.15">
      <c r="A46" s="42" t="str">
        <f t="shared" si="9"/>
        <v>0</v>
      </c>
      <c r="B46" s="43">
        <v>44</v>
      </c>
      <c r="C46" s="55" t="s">
        <v>436</v>
      </c>
      <c r="D46" s="56" t="s">
        <v>1018</v>
      </c>
      <c r="E46" s="57" t="s">
        <v>1640</v>
      </c>
      <c r="F46" s="58" t="s">
        <v>1019</v>
      </c>
      <c r="G46" s="59">
        <v>0</v>
      </c>
      <c r="H46" s="60">
        <v>60000</v>
      </c>
      <c r="I46" s="55">
        <v>0</v>
      </c>
      <c r="J46" s="60" t="s">
        <v>1626</v>
      </c>
      <c r="K46" s="60">
        <v>0</v>
      </c>
      <c r="L46" s="60" t="s">
        <v>860</v>
      </c>
      <c r="M46" s="60">
        <v>0.01</v>
      </c>
      <c r="N46" s="60" t="s">
        <v>1628</v>
      </c>
      <c r="O46" s="60">
        <v>0</v>
      </c>
      <c r="P46" s="55">
        <v>1</v>
      </c>
      <c r="Q46" s="60">
        <v>1</v>
      </c>
      <c r="R46" s="60">
        <v>5</v>
      </c>
      <c r="S46" s="60">
        <v>0</v>
      </c>
      <c r="T46" s="60"/>
      <c r="V46" s="49" t="str">
        <f t="shared" si="0"/>
        <v>1</v>
      </c>
      <c r="W46" s="49" t="str">
        <f t="shared" si="1"/>
        <v>10</v>
      </c>
      <c r="X46" s="49" t="str">
        <f t="shared" si="2"/>
        <v>0</v>
      </c>
      <c r="Y46" s="49">
        <f t="shared" si="3"/>
        <v>0</v>
      </c>
      <c r="Z46" s="49">
        <f t="shared" si="4"/>
        <v>1</v>
      </c>
      <c r="AA46" s="49">
        <f t="shared" si="5"/>
        <v>1</v>
      </c>
      <c r="AB46" s="49" t="str">
        <f t="shared" si="10"/>
        <v>101</v>
      </c>
      <c r="AC46" s="49">
        <f t="shared" si="6"/>
        <v>0</v>
      </c>
      <c r="AD46" s="49">
        <v>0</v>
      </c>
      <c r="AE46" s="49" t="str">
        <f t="shared" si="7"/>
        <v>32E29</v>
      </c>
    </row>
    <row r="47" spans="1:31" s="327" customFormat="1" ht="35.25" x14ac:dyDescent="0.15">
      <c r="A47" s="318" t="str">
        <f t="shared" si="9"/>
        <v>0</v>
      </c>
      <c r="B47" s="319">
        <v>45</v>
      </c>
      <c r="C47" s="333" t="s">
        <v>437</v>
      </c>
      <c r="D47" s="334" t="s">
        <v>2682</v>
      </c>
      <c r="E47" s="335" t="s">
        <v>1641</v>
      </c>
      <c r="F47" s="336" t="s">
        <v>2710</v>
      </c>
      <c r="G47" s="337">
        <v>0</v>
      </c>
      <c r="H47" s="338">
        <v>2</v>
      </c>
      <c r="I47" s="333">
        <v>0</v>
      </c>
      <c r="J47" s="338">
        <v>0</v>
      </c>
      <c r="K47" s="338">
        <v>0</v>
      </c>
      <c r="L47" s="338" t="s">
        <v>860</v>
      </c>
      <c r="M47" s="338">
        <v>1</v>
      </c>
      <c r="N47" s="338" t="s">
        <v>1601</v>
      </c>
      <c r="O47" s="338">
        <v>0</v>
      </c>
      <c r="P47" s="333">
        <v>0</v>
      </c>
      <c r="Q47" s="338">
        <v>1</v>
      </c>
      <c r="R47" s="338">
        <v>1</v>
      </c>
      <c r="S47" s="338">
        <v>0</v>
      </c>
      <c r="T47" s="338"/>
      <c r="V47" s="327" t="str">
        <f t="shared" si="0"/>
        <v>1</v>
      </c>
      <c r="W47" s="327" t="str">
        <f t="shared" si="1"/>
        <v>0</v>
      </c>
      <c r="X47" s="327" t="str">
        <f t="shared" si="2"/>
        <v>0</v>
      </c>
      <c r="Y47" s="327">
        <f t="shared" si="3"/>
        <v>0</v>
      </c>
      <c r="Z47" s="327">
        <f t="shared" si="4"/>
        <v>0</v>
      </c>
      <c r="AA47" s="327">
        <f t="shared" si="5"/>
        <v>1</v>
      </c>
      <c r="AB47" s="327" t="str">
        <f t="shared" si="10"/>
        <v>1</v>
      </c>
      <c r="AC47" s="327">
        <f t="shared" si="6"/>
        <v>0</v>
      </c>
      <c r="AD47" s="327">
        <v>0</v>
      </c>
      <c r="AE47" s="327" t="str">
        <f t="shared" si="7"/>
        <v>C01</v>
      </c>
    </row>
    <row r="48" spans="1:31" s="327" customFormat="1" x14ac:dyDescent="0.15">
      <c r="A48" s="318" t="str">
        <f t="shared" si="9"/>
        <v>0</v>
      </c>
      <c r="B48" s="319">
        <v>46</v>
      </c>
      <c r="C48" s="333" t="s">
        <v>438</v>
      </c>
      <c r="D48" s="334" t="s">
        <v>2682</v>
      </c>
      <c r="E48" s="335" t="s">
        <v>1642</v>
      </c>
      <c r="F48" s="336" t="s">
        <v>1643</v>
      </c>
      <c r="G48" s="337">
        <v>0</v>
      </c>
      <c r="H48" s="338">
        <v>65535</v>
      </c>
      <c r="I48" s="333">
        <v>0</v>
      </c>
      <c r="J48" s="338">
        <v>0</v>
      </c>
      <c r="K48" s="338">
        <v>0</v>
      </c>
      <c r="L48" s="338" t="s">
        <v>860</v>
      </c>
      <c r="M48" s="338">
        <v>0.1</v>
      </c>
      <c r="N48" s="338" t="s">
        <v>1644</v>
      </c>
      <c r="O48" s="338">
        <v>0</v>
      </c>
      <c r="P48" s="333">
        <v>0</v>
      </c>
      <c r="Q48" s="338">
        <v>1</v>
      </c>
      <c r="R48" s="338">
        <v>5</v>
      </c>
      <c r="S48" s="338">
        <v>0</v>
      </c>
      <c r="T48" s="338"/>
      <c r="V48" s="327" t="str">
        <f t="shared" si="0"/>
        <v>1</v>
      </c>
      <c r="W48" s="327" t="str">
        <f t="shared" si="1"/>
        <v>1</v>
      </c>
      <c r="X48" s="327" t="str">
        <f t="shared" si="2"/>
        <v>0</v>
      </c>
      <c r="Y48" s="327">
        <f t="shared" si="3"/>
        <v>0</v>
      </c>
      <c r="Z48" s="327">
        <f t="shared" si="4"/>
        <v>0</v>
      </c>
      <c r="AA48" s="327">
        <f t="shared" si="5"/>
        <v>1</v>
      </c>
      <c r="AB48" s="327" t="str">
        <f t="shared" si="10"/>
        <v>101</v>
      </c>
      <c r="AC48" s="327">
        <f t="shared" si="6"/>
        <v>0</v>
      </c>
      <c r="AE48" s="327" t="str">
        <f t="shared" si="7"/>
        <v>32C05</v>
      </c>
    </row>
    <row r="49" spans="1:31" s="327" customFormat="1" x14ac:dyDescent="0.15">
      <c r="A49" s="318" t="str">
        <f t="shared" si="9"/>
        <v>0</v>
      </c>
      <c r="B49" s="319">
        <v>47</v>
      </c>
      <c r="C49" s="333" t="s">
        <v>439</v>
      </c>
      <c r="D49" s="334" t="s">
        <v>2682</v>
      </c>
      <c r="E49" s="335" t="s">
        <v>1645</v>
      </c>
      <c r="F49" s="336" t="s">
        <v>1646</v>
      </c>
      <c r="G49" s="337">
        <v>0</v>
      </c>
      <c r="H49" s="338">
        <v>60000</v>
      </c>
      <c r="I49" s="333">
        <v>0</v>
      </c>
      <c r="J49" s="335" t="s">
        <v>1647</v>
      </c>
      <c r="K49" s="335">
        <v>0</v>
      </c>
      <c r="L49" s="338" t="s">
        <v>860</v>
      </c>
      <c r="M49" s="338">
        <v>0.01</v>
      </c>
      <c r="N49" s="338" t="s">
        <v>1648</v>
      </c>
      <c r="O49" s="338">
        <v>0</v>
      </c>
      <c r="P49" s="333">
        <v>0</v>
      </c>
      <c r="Q49" s="338">
        <v>1</v>
      </c>
      <c r="R49" s="338">
        <v>5</v>
      </c>
      <c r="S49" s="338">
        <v>0</v>
      </c>
      <c r="T49" s="338"/>
      <c r="V49" s="327" t="str">
        <f t="shared" si="0"/>
        <v>1</v>
      </c>
      <c r="W49" s="327" t="str">
        <f t="shared" si="1"/>
        <v>10</v>
      </c>
      <c r="X49" s="327" t="str">
        <f t="shared" si="2"/>
        <v>0</v>
      </c>
      <c r="Y49" s="327">
        <f t="shared" si="3"/>
        <v>0</v>
      </c>
      <c r="Z49" s="327">
        <f t="shared" si="4"/>
        <v>0</v>
      </c>
      <c r="AA49" s="327">
        <f t="shared" si="5"/>
        <v>1</v>
      </c>
      <c r="AB49" s="327" t="str">
        <f t="shared" si="10"/>
        <v>101</v>
      </c>
      <c r="AC49" s="327">
        <f t="shared" si="6"/>
        <v>0</v>
      </c>
      <c r="AD49" s="327">
        <v>0</v>
      </c>
      <c r="AE49" s="327" t="str">
        <f t="shared" si="7"/>
        <v>32C29</v>
      </c>
    </row>
    <row r="50" spans="1:31" s="327" customFormat="1" x14ac:dyDescent="0.15">
      <c r="A50" s="318" t="str">
        <f t="shared" si="9"/>
        <v>0</v>
      </c>
      <c r="B50" s="319">
        <v>48</v>
      </c>
      <c r="C50" s="333" t="s">
        <v>440</v>
      </c>
      <c r="D50" s="334" t="s">
        <v>2682</v>
      </c>
      <c r="E50" s="335" t="s">
        <v>1649</v>
      </c>
      <c r="F50" s="336" t="s">
        <v>1650</v>
      </c>
      <c r="G50" s="337">
        <v>0</v>
      </c>
      <c r="H50" s="338">
        <v>60000</v>
      </c>
      <c r="I50" s="333">
        <v>0</v>
      </c>
      <c r="J50" s="335" t="s">
        <v>1647</v>
      </c>
      <c r="K50" s="335">
        <v>0</v>
      </c>
      <c r="L50" s="338" t="s">
        <v>860</v>
      </c>
      <c r="M50" s="338">
        <v>0.01</v>
      </c>
      <c r="N50" s="338" t="s">
        <v>1648</v>
      </c>
      <c r="O50" s="338">
        <v>0</v>
      </c>
      <c r="P50" s="333">
        <v>0</v>
      </c>
      <c r="Q50" s="338">
        <v>1</v>
      </c>
      <c r="R50" s="338">
        <v>5</v>
      </c>
      <c r="S50" s="338">
        <v>0</v>
      </c>
      <c r="T50" s="338"/>
      <c r="V50" s="327" t="str">
        <f t="shared" si="0"/>
        <v>1</v>
      </c>
      <c r="W50" s="327" t="str">
        <f t="shared" si="1"/>
        <v>10</v>
      </c>
      <c r="X50" s="327" t="str">
        <f t="shared" si="2"/>
        <v>0</v>
      </c>
      <c r="Y50" s="327">
        <f t="shared" si="3"/>
        <v>0</v>
      </c>
      <c r="Z50" s="327">
        <f t="shared" si="4"/>
        <v>0</v>
      </c>
      <c r="AA50" s="327">
        <f t="shared" si="5"/>
        <v>1</v>
      </c>
      <c r="AB50" s="327" t="str">
        <f t="shared" si="10"/>
        <v>101</v>
      </c>
      <c r="AC50" s="327">
        <f t="shared" si="6"/>
        <v>0</v>
      </c>
      <c r="AD50" s="327">
        <v>0</v>
      </c>
      <c r="AE50" s="327" t="str">
        <f t="shared" si="7"/>
        <v>32C29</v>
      </c>
    </row>
    <row r="51" spans="1:31" s="327" customFormat="1" x14ac:dyDescent="0.15">
      <c r="A51" s="318" t="str">
        <f t="shared" si="9"/>
        <v>0</v>
      </c>
      <c r="B51" s="319">
        <v>49</v>
      </c>
      <c r="C51" s="333" t="s">
        <v>441</v>
      </c>
      <c r="D51" s="334" t="s">
        <v>2682</v>
      </c>
      <c r="E51" s="335" t="s">
        <v>1020</v>
      </c>
      <c r="F51" s="336" t="s">
        <v>1650</v>
      </c>
      <c r="G51" s="337">
        <v>0</v>
      </c>
      <c r="H51" s="338">
        <v>60000</v>
      </c>
      <c r="I51" s="333">
        <v>0</v>
      </c>
      <c r="J51" s="335" t="s">
        <v>1319</v>
      </c>
      <c r="K51" s="335">
        <v>0</v>
      </c>
      <c r="L51" s="338" t="s">
        <v>860</v>
      </c>
      <c r="M51" s="338">
        <v>0.01</v>
      </c>
      <c r="N51" s="338" t="s">
        <v>1648</v>
      </c>
      <c r="O51" s="338">
        <v>0</v>
      </c>
      <c r="P51" s="333">
        <v>0</v>
      </c>
      <c r="Q51" s="338">
        <v>1</v>
      </c>
      <c r="R51" s="338">
        <v>5</v>
      </c>
      <c r="S51" s="338">
        <v>0</v>
      </c>
      <c r="T51" s="338"/>
      <c r="V51" s="327" t="str">
        <f t="shared" si="0"/>
        <v>1</v>
      </c>
      <c r="W51" s="327" t="str">
        <f t="shared" si="1"/>
        <v>10</v>
      </c>
      <c r="X51" s="327" t="str">
        <f t="shared" si="2"/>
        <v>0</v>
      </c>
      <c r="Y51" s="327">
        <f t="shared" si="3"/>
        <v>0</v>
      </c>
      <c r="Z51" s="327">
        <f t="shared" si="4"/>
        <v>0</v>
      </c>
      <c r="AA51" s="327">
        <f t="shared" si="5"/>
        <v>1</v>
      </c>
      <c r="AB51" s="327" t="str">
        <f t="shared" si="10"/>
        <v>101</v>
      </c>
      <c r="AC51" s="327">
        <f t="shared" si="6"/>
        <v>0</v>
      </c>
      <c r="AD51" s="327">
        <v>0</v>
      </c>
      <c r="AE51" s="327" t="str">
        <f t="shared" si="7"/>
        <v>32C29</v>
      </c>
    </row>
    <row r="52" spans="1:31" s="327" customFormat="1" x14ac:dyDescent="0.15">
      <c r="A52" s="318" t="str">
        <f t="shared" si="9"/>
        <v>0</v>
      </c>
      <c r="B52" s="319">
        <v>50</v>
      </c>
      <c r="C52" s="333" t="s">
        <v>442</v>
      </c>
      <c r="D52" s="334" t="s">
        <v>2682</v>
      </c>
      <c r="E52" s="335" t="s">
        <v>1021</v>
      </c>
      <c r="F52" s="336" t="s">
        <v>1650</v>
      </c>
      <c r="G52" s="337">
        <v>0</v>
      </c>
      <c r="H52" s="338">
        <v>60000</v>
      </c>
      <c r="I52" s="333">
        <v>0</v>
      </c>
      <c r="J52" s="335" t="s">
        <v>1319</v>
      </c>
      <c r="K52" s="335">
        <v>0</v>
      </c>
      <c r="L52" s="338" t="s">
        <v>860</v>
      </c>
      <c r="M52" s="338">
        <v>0.01</v>
      </c>
      <c r="N52" s="338" t="s">
        <v>1648</v>
      </c>
      <c r="O52" s="338">
        <v>0</v>
      </c>
      <c r="P52" s="333">
        <v>0</v>
      </c>
      <c r="Q52" s="338">
        <v>1</v>
      </c>
      <c r="R52" s="338">
        <v>5</v>
      </c>
      <c r="S52" s="338">
        <v>0</v>
      </c>
      <c r="T52" s="338"/>
      <c r="V52" s="327" t="str">
        <f t="shared" si="0"/>
        <v>1</v>
      </c>
      <c r="W52" s="327" t="str">
        <f t="shared" si="1"/>
        <v>10</v>
      </c>
      <c r="X52" s="327" t="str">
        <f t="shared" si="2"/>
        <v>0</v>
      </c>
      <c r="Y52" s="327">
        <f t="shared" si="3"/>
        <v>0</v>
      </c>
      <c r="Z52" s="327">
        <f t="shared" si="4"/>
        <v>0</v>
      </c>
      <c r="AA52" s="327">
        <f t="shared" si="5"/>
        <v>1</v>
      </c>
      <c r="AB52" s="327" t="str">
        <f t="shared" si="10"/>
        <v>101</v>
      </c>
      <c r="AC52" s="327">
        <f t="shared" si="6"/>
        <v>0</v>
      </c>
      <c r="AD52" s="327">
        <v>0</v>
      </c>
      <c r="AE52" s="327" t="str">
        <f t="shared" si="7"/>
        <v>32C29</v>
      </c>
    </row>
    <row r="53" spans="1:31" s="327" customFormat="1" x14ac:dyDescent="0.15">
      <c r="A53" s="318" t="str">
        <f t="shared" si="9"/>
        <v>0</v>
      </c>
      <c r="B53" s="319">
        <v>51</v>
      </c>
      <c r="C53" s="333" t="s">
        <v>443</v>
      </c>
      <c r="D53" s="334" t="s">
        <v>2682</v>
      </c>
      <c r="E53" s="335" t="s">
        <v>1651</v>
      </c>
      <c r="F53" s="336" t="s">
        <v>1650</v>
      </c>
      <c r="G53" s="337">
        <v>0</v>
      </c>
      <c r="H53" s="338">
        <v>60000</v>
      </c>
      <c r="I53" s="333">
        <v>0</v>
      </c>
      <c r="J53" s="335" t="s">
        <v>1319</v>
      </c>
      <c r="K53" s="335">
        <v>0</v>
      </c>
      <c r="L53" s="338" t="s">
        <v>860</v>
      </c>
      <c r="M53" s="338">
        <v>0.01</v>
      </c>
      <c r="N53" s="338" t="s">
        <v>1648</v>
      </c>
      <c r="O53" s="338">
        <v>0</v>
      </c>
      <c r="P53" s="333">
        <v>0</v>
      </c>
      <c r="Q53" s="338">
        <v>1</v>
      </c>
      <c r="R53" s="338">
        <v>5</v>
      </c>
      <c r="S53" s="338">
        <v>0</v>
      </c>
      <c r="T53" s="338"/>
      <c r="V53" s="327" t="str">
        <f t="shared" si="0"/>
        <v>1</v>
      </c>
      <c r="W53" s="327" t="str">
        <f t="shared" si="1"/>
        <v>10</v>
      </c>
      <c r="X53" s="327" t="str">
        <f t="shared" si="2"/>
        <v>0</v>
      </c>
      <c r="Y53" s="327">
        <f t="shared" si="3"/>
        <v>0</v>
      </c>
      <c r="Z53" s="327">
        <f t="shared" si="4"/>
        <v>0</v>
      </c>
      <c r="AA53" s="327">
        <f t="shared" si="5"/>
        <v>1</v>
      </c>
      <c r="AB53" s="327" t="str">
        <f t="shared" si="10"/>
        <v>101</v>
      </c>
      <c r="AC53" s="327">
        <f t="shared" si="6"/>
        <v>0</v>
      </c>
      <c r="AD53" s="327">
        <v>0</v>
      </c>
      <c r="AE53" s="327" t="str">
        <f t="shared" si="7"/>
        <v>32C29</v>
      </c>
    </row>
    <row r="54" spans="1:31" s="327" customFormat="1" x14ac:dyDescent="0.15">
      <c r="A54" s="318" t="str">
        <f t="shared" si="9"/>
        <v>0</v>
      </c>
      <c r="B54" s="319">
        <v>52</v>
      </c>
      <c r="C54" s="333" t="s">
        <v>444</v>
      </c>
      <c r="D54" s="334" t="s">
        <v>2682</v>
      </c>
      <c r="E54" s="335" t="s">
        <v>1652</v>
      </c>
      <c r="F54" s="336" t="s">
        <v>1650</v>
      </c>
      <c r="G54" s="337">
        <v>0</v>
      </c>
      <c r="H54" s="338">
        <v>60000</v>
      </c>
      <c r="I54" s="333">
        <v>0</v>
      </c>
      <c r="J54" s="335" t="s">
        <v>1319</v>
      </c>
      <c r="K54" s="335">
        <v>0</v>
      </c>
      <c r="L54" s="338" t="s">
        <v>1653</v>
      </c>
      <c r="M54" s="338">
        <v>0.01</v>
      </c>
      <c r="N54" s="338" t="s">
        <v>1648</v>
      </c>
      <c r="O54" s="338">
        <v>0</v>
      </c>
      <c r="P54" s="333">
        <v>0</v>
      </c>
      <c r="Q54" s="338">
        <v>1</v>
      </c>
      <c r="R54" s="338">
        <v>5</v>
      </c>
      <c r="S54" s="338">
        <v>0</v>
      </c>
      <c r="T54" s="338"/>
      <c r="V54" s="327" t="str">
        <f t="shared" si="0"/>
        <v>1</v>
      </c>
      <c r="W54" s="327" t="str">
        <f t="shared" si="1"/>
        <v>10</v>
      </c>
      <c r="X54" s="327" t="str">
        <f t="shared" si="2"/>
        <v>0</v>
      </c>
      <c r="Y54" s="327">
        <f t="shared" si="3"/>
        <v>0</v>
      </c>
      <c r="Z54" s="327">
        <f t="shared" si="4"/>
        <v>0</v>
      </c>
      <c r="AA54" s="327">
        <f t="shared" si="5"/>
        <v>1</v>
      </c>
      <c r="AB54" s="327" t="str">
        <f t="shared" si="10"/>
        <v>101</v>
      </c>
      <c r="AC54" s="327">
        <f t="shared" si="6"/>
        <v>0</v>
      </c>
      <c r="AD54" s="327">
        <v>0</v>
      </c>
      <c r="AE54" s="327" t="str">
        <f t="shared" si="7"/>
        <v>32C29</v>
      </c>
    </row>
    <row r="55" spans="1:31" s="327" customFormat="1" x14ac:dyDescent="0.15">
      <c r="A55" s="318" t="str">
        <f t="shared" si="9"/>
        <v>0</v>
      </c>
      <c r="B55" s="319">
        <v>53</v>
      </c>
      <c r="C55" s="333" t="s">
        <v>1023</v>
      </c>
      <c r="D55" s="334" t="s">
        <v>2844</v>
      </c>
      <c r="E55" s="335" t="s">
        <v>1654</v>
      </c>
      <c r="F55" s="336" t="s">
        <v>1655</v>
      </c>
      <c r="G55" s="337">
        <v>500</v>
      </c>
      <c r="H55" s="338">
        <v>60000</v>
      </c>
      <c r="I55" s="333">
        <v>0</v>
      </c>
      <c r="J55" s="335" t="s">
        <v>1656</v>
      </c>
      <c r="K55" s="338">
        <v>0</v>
      </c>
      <c r="L55" s="338" t="s">
        <v>859</v>
      </c>
      <c r="M55" s="338">
        <v>0.01</v>
      </c>
      <c r="N55" s="338" t="s">
        <v>1648</v>
      </c>
      <c r="O55" s="338">
        <v>0</v>
      </c>
      <c r="P55" s="333">
        <v>1</v>
      </c>
      <c r="Q55" s="338">
        <v>1</v>
      </c>
      <c r="R55" s="338">
        <v>5</v>
      </c>
      <c r="S55" s="338">
        <v>0</v>
      </c>
      <c r="T55" s="338"/>
      <c r="V55" s="327" t="str">
        <f t="shared" si="0"/>
        <v>0</v>
      </c>
      <c r="W55" s="327" t="str">
        <f t="shared" si="1"/>
        <v>10</v>
      </c>
      <c r="X55" s="327" t="str">
        <f t="shared" si="2"/>
        <v>0</v>
      </c>
      <c r="Y55" s="327">
        <f t="shared" si="3"/>
        <v>0</v>
      </c>
      <c r="Z55" s="327">
        <f t="shared" si="4"/>
        <v>1</v>
      </c>
      <c r="AA55" s="327">
        <f t="shared" si="5"/>
        <v>1</v>
      </c>
      <c r="AB55" s="327" t="str">
        <f t="shared" si="10"/>
        <v>101</v>
      </c>
      <c r="AC55" s="327">
        <f t="shared" si="6"/>
        <v>0</v>
      </c>
      <c r="AD55" s="327">
        <v>0</v>
      </c>
      <c r="AE55" s="327" t="str">
        <f t="shared" si="7"/>
        <v>32E28</v>
      </c>
    </row>
    <row r="56" spans="1:31" s="327" customFormat="1" x14ac:dyDescent="0.15">
      <c r="A56" s="318" t="str">
        <f t="shared" si="9"/>
        <v>0</v>
      </c>
      <c r="B56" s="319">
        <v>54</v>
      </c>
      <c r="C56" s="333" t="s">
        <v>1300</v>
      </c>
      <c r="D56" s="334" t="s">
        <v>1657</v>
      </c>
      <c r="E56" s="335" t="s">
        <v>1658</v>
      </c>
      <c r="F56" s="336" t="s">
        <v>1659</v>
      </c>
      <c r="G56" s="337">
        <v>0</v>
      </c>
      <c r="H56" s="338">
        <v>65535</v>
      </c>
      <c r="I56" s="338">
        <v>0</v>
      </c>
      <c r="J56" s="338">
        <v>0</v>
      </c>
      <c r="K56" s="338">
        <v>0</v>
      </c>
      <c r="L56" s="338" t="s">
        <v>859</v>
      </c>
      <c r="M56" s="338">
        <v>1</v>
      </c>
      <c r="N56" s="338" t="s">
        <v>1660</v>
      </c>
      <c r="O56" s="338">
        <v>0</v>
      </c>
      <c r="P56" s="338">
        <v>0</v>
      </c>
      <c r="Q56" s="338">
        <v>1</v>
      </c>
      <c r="R56" s="338">
        <v>5</v>
      </c>
      <c r="S56" s="338">
        <v>0</v>
      </c>
      <c r="T56" s="338"/>
      <c r="V56" s="327" t="str">
        <f t="shared" si="0"/>
        <v>0</v>
      </c>
      <c r="W56" s="327" t="str">
        <f t="shared" si="1"/>
        <v>0</v>
      </c>
      <c r="X56" s="327" t="str">
        <f t="shared" si="2"/>
        <v>0</v>
      </c>
      <c r="Y56" s="327">
        <f t="shared" si="3"/>
        <v>0</v>
      </c>
      <c r="Z56" s="327">
        <f t="shared" si="4"/>
        <v>0</v>
      </c>
      <c r="AA56" s="327">
        <f t="shared" si="5"/>
        <v>1</v>
      </c>
      <c r="AB56" s="327" t="str">
        <f t="shared" si="10"/>
        <v>101</v>
      </c>
      <c r="AC56" s="327">
        <f t="shared" si="6"/>
        <v>0</v>
      </c>
      <c r="AD56" s="327">
        <v>0</v>
      </c>
      <c r="AE56" s="327" t="str">
        <f t="shared" si="7"/>
        <v>32C00</v>
      </c>
    </row>
    <row r="57" spans="1:31" ht="35.25" x14ac:dyDescent="0.15">
      <c r="A57" s="42" t="str">
        <f t="shared" si="9"/>
        <v>0</v>
      </c>
      <c r="B57" s="43">
        <v>55</v>
      </c>
      <c r="C57" s="24" t="s">
        <v>735</v>
      </c>
      <c r="D57" s="61" t="s">
        <v>1661</v>
      </c>
      <c r="E57" s="62" t="s">
        <v>1662</v>
      </c>
      <c r="F57" s="63" t="s">
        <v>1663</v>
      </c>
      <c r="G57" s="160">
        <v>2</v>
      </c>
      <c r="H57" s="65">
        <v>2</v>
      </c>
      <c r="I57" s="24">
        <v>0</v>
      </c>
      <c r="J57" s="65">
        <v>0</v>
      </c>
      <c r="K57" s="65">
        <v>0</v>
      </c>
      <c r="L57" s="65" t="s">
        <v>859</v>
      </c>
      <c r="M57" s="65">
        <v>1</v>
      </c>
      <c r="N57" s="65" t="s">
        <v>1660</v>
      </c>
      <c r="O57" s="65">
        <v>0</v>
      </c>
      <c r="P57" s="24">
        <v>1</v>
      </c>
      <c r="Q57" s="65">
        <v>1</v>
      </c>
      <c r="R57" s="65">
        <v>1</v>
      </c>
      <c r="S57" s="65">
        <v>0</v>
      </c>
      <c r="T57" s="65"/>
      <c r="V57" s="49" t="str">
        <f t="shared" si="0"/>
        <v>0</v>
      </c>
      <c r="W57" s="49" t="str">
        <f t="shared" si="1"/>
        <v>0</v>
      </c>
      <c r="X57" s="49" t="str">
        <f t="shared" si="2"/>
        <v>0</v>
      </c>
      <c r="Y57" s="49">
        <f t="shared" si="3"/>
        <v>0</v>
      </c>
      <c r="Z57" s="49">
        <f t="shared" si="4"/>
        <v>1</v>
      </c>
      <c r="AA57" s="49">
        <f t="shared" si="5"/>
        <v>1</v>
      </c>
      <c r="AB57" s="49" t="str">
        <f t="shared" si="10"/>
        <v>1</v>
      </c>
      <c r="AC57" s="49">
        <f t="shared" si="6"/>
        <v>0</v>
      </c>
      <c r="AD57" s="49">
        <v>0</v>
      </c>
      <c r="AE57" s="49" t="str">
        <f t="shared" si="7"/>
        <v>E00</v>
      </c>
    </row>
    <row r="58" spans="1:31" s="327" customFormat="1" ht="222.75" x14ac:dyDescent="0.15">
      <c r="A58" s="318" t="str">
        <f t="shared" si="9"/>
        <v>0</v>
      </c>
      <c r="B58" s="319">
        <v>56</v>
      </c>
      <c r="C58" s="339" t="s">
        <v>1664</v>
      </c>
      <c r="D58" s="340" t="s">
        <v>2688</v>
      </c>
      <c r="E58" s="341" t="s">
        <v>1665</v>
      </c>
      <c r="F58" s="342" t="s">
        <v>2711</v>
      </c>
      <c r="G58" s="343">
        <v>0</v>
      </c>
      <c r="H58" s="344" t="s">
        <v>1666</v>
      </c>
      <c r="I58" s="339">
        <v>0</v>
      </c>
      <c r="J58" s="344">
        <v>0</v>
      </c>
      <c r="K58" s="344">
        <v>0</v>
      </c>
      <c r="L58" s="344" t="s">
        <v>860</v>
      </c>
      <c r="M58" s="344">
        <v>1</v>
      </c>
      <c r="N58" s="344" t="s">
        <v>1601</v>
      </c>
      <c r="O58" s="344">
        <v>1</v>
      </c>
      <c r="P58" s="339">
        <v>0</v>
      </c>
      <c r="Q58" s="344">
        <v>1</v>
      </c>
      <c r="R58" s="344">
        <v>3</v>
      </c>
      <c r="S58" s="344">
        <v>0</v>
      </c>
      <c r="T58" s="344" t="s">
        <v>1024</v>
      </c>
      <c r="V58" s="327" t="str">
        <f t="shared" si="0"/>
        <v>1</v>
      </c>
      <c r="W58" s="327" t="str">
        <f t="shared" si="1"/>
        <v>0</v>
      </c>
      <c r="X58" s="327" t="str">
        <f t="shared" si="2"/>
        <v>0</v>
      </c>
      <c r="Y58" s="327">
        <f t="shared" si="3"/>
        <v>1</v>
      </c>
      <c r="Z58" s="327">
        <f t="shared" si="4"/>
        <v>0</v>
      </c>
      <c r="AA58" s="327">
        <f t="shared" si="5"/>
        <v>1</v>
      </c>
      <c r="AB58" s="327" t="str">
        <f t="shared" si="10"/>
        <v>11</v>
      </c>
      <c r="AC58" s="327">
        <f t="shared" si="6"/>
        <v>0</v>
      </c>
      <c r="AD58" s="327">
        <v>0</v>
      </c>
      <c r="AE58" s="327" t="str">
        <f t="shared" si="7"/>
        <v>5D01</v>
      </c>
    </row>
    <row r="59" spans="1:31" ht="23.25" x14ac:dyDescent="0.15">
      <c r="A59" s="42" t="str">
        <f t="shared" si="9"/>
        <v>0</v>
      </c>
      <c r="B59" s="43">
        <v>57</v>
      </c>
      <c r="C59" s="24" t="s">
        <v>736</v>
      </c>
      <c r="D59" s="61" t="s">
        <v>833</v>
      </c>
      <c r="E59" s="62" t="s">
        <v>1667</v>
      </c>
      <c r="F59" s="63" t="s">
        <v>1668</v>
      </c>
      <c r="G59" s="64">
        <v>0</v>
      </c>
      <c r="H59" s="65">
        <v>1</v>
      </c>
      <c r="I59" s="24">
        <v>0</v>
      </c>
      <c r="J59" s="65">
        <v>0</v>
      </c>
      <c r="K59" s="65">
        <v>0</v>
      </c>
      <c r="L59" s="65" t="s">
        <v>859</v>
      </c>
      <c r="M59" s="65">
        <v>1</v>
      </c>
      <c r="N59" s="65" t="s">
        <v>1601</v>
      </c>
      <c r="O59" s="65">
        <v>0</v>
      </c>
      <c r="P59" s="24">
        <v>1</v>
      </c>
      <c r="Q59" s="65">
        <v>1</v>
      </c>
      <c r="R59" s="65">
        <v>1</v>
      </c>
      <c r="S59" s="65">
        <v>0</v>
      </c>
      <c r="T59" s="65"/>
      <c r="V59" s="49" t="str">
        <f t="shared" si="0"/>
        <v>0</v>
      </c>
      <c r="W59" s="49" t="str">
        <f t="shared" si="1"/>
        <v>0</v>
      </c>
      <c r="X59" s="49" t="str">
        <f t="shared" si="2"/>
        <v>0</v>
      </c>
      <c r="Y59" s="49">
        <f t="shared" si="3"/>
        <v>0</v>
      </c>
      <c r="Z59" s="49">
        <f t="shared" si="4"/>
        <v>1</v>
      </c>
      <c r="AA59" s="49">
        <f t="shared" si="5"/>
        <v>1</v>
      </c>
      <c r="AB59" s="49" t="str">
        <f t="shared" si="10"/>
        <v>1</v>
      </c>
      <c r="AC59" s="49">
        <f t="shared" si="6"/>
        <v>0</v>
      </c>
      <c r="AD59" s="49">
        <v>0</v>
      </c>
      <c r="AE59" s="49" t="str">
        <f t="shared" si="7"/>
        <v>E00</v>
      </c>
    </row>
    <row r="60" spans="1:31" s="327" customFormat="1" ht="23.25" x14ac:dyDescent="0.15">
      <c r="A60" s="318" t="str">
        <f t="shared" si="9"/>
        <v>0</v>
      </c>
      <c r="B60" s="319">
        <v>58</v>
      </c>
      <c r="C60" s="339" t="s">
        <v>737</v>
      </c>
      <c r="D60" s="340" t="s">
        <v>2844</v>
      </c>
      <c r="E60" s="341" t="s">
        <v>1669</v>
      </c>
      <c r="F60" s="342" t="s">
        <v>2712</v>
      </c>
      <c r="G60" s="343">
        <v>0</v>
      </c>
      <c r="H60" s="345">
        <v>1</v>
      </c>
      <c r="I60" s="346">
        <v>0</v>
      </c>
      <c r="J60" s="344">
        <v>0</v>
      </c>
      <c r="K60" s="344">
        <v>0</v>
      </c>
      <c r="L60" s="344" t="s">
        <v>860</v>
      </c>
      <c r="M60" s="344">
        <v>1</v>
      </c>
      <c r="N60" s="344" t="s">
        <v>1601</v>
      </c>
      <c r="O60" s="345">
        <v>0</v>
      </c>
      <c r="P60" s="339">
        <v>0</v>
      </c>
      <c r="Q60" s="344">
        <v>1</v>
      </c>
      <c r="R60" s="344">
        <v>1</v>
      </c>
      <c r="S60" s="344">
        <v>0</v>
      </c>
      <c r="T60" s="344"/>
      <c r="V60" s="327" t="str">
        <f t="shared" si="0"/>
        <v>1</v>
      </c>
      <c r="W60" s="327" t="str">
        <f t="shared" si="1"/>
        <v>0</v>
      </c>
      <c r="X60" s="327" t="str">
        <f t="shared" si="2"/>
        <v>0</v>
      </c>
      <c r="Y60" s="327">
        <f t="shared" si="3"/>
        <v>0</v>
      </c>
      <c r="Z60" s="327">
        <f t="shared" si="4"/>
        <v>0</v>
      </c>
      <c r="AA60" s="327">
        <f t="shared" si="5"/>
        <v>1</v>
      </c>
      <c r="AB60" s="327" t="str">
        <f t="shared" si="10"/>
        <v>1</v>
      </c>
      <c r="AC60" s="327">
        <f t="shared" si="6"/>
        <v>0</v>
      </c>
      <c r="AD60" s="327">
        <v>0</v>
      </c>
      <c r="AE60" s="327" t="str">
        <f t="shared" si="7"/>
        <v>C01</v>
      </c>
    </row>
    <row r="61" spans="1:31" s="327" customFormat="1" x14ac:dyDescent="0.15">
      <c r="A61" s="318" t="str">
        <f t="shared" si="9"/>
        <v>0</v>
      </c>
      <c r="B61" s="319">
        <v>59</v>
      </c>
      <c r="C61" s="339" t="s">
        <v>738</v>
      </c>
      <c r="D61" s="340" t="s">
        <v>2844</v>
      </c>
      <c r="E61" s="341" t="s">
        <v>1670</v>
      </c>
      <c r="F61" s="347" t="s">
        <v>2713</v>
      </c>
      <c r="G61" s="343">
        <v>0</v>
      </c>
      <c r="H61" s="344">
        <v>36000</v>
      </c>
      <c r="I61" s="339">
        <v>0</v>
      </c>
      <c r="J61" s="344">
        <v>0</v>
      </c>
      <c r="K61" s="344">
        <v>0</v>
      </c>
      <c r="L61" s="344" t="s">
        <v>859</v>
      </c>
      <c r="M61" s="344">
        <v>0.1</v>
      </c>
      <c r="N61" s="344" t="s">
        <v>1644</v>
      </c>
      <c r="O61" s="344">
        <v>0</v>
      </c>
      <c r="P61" s="339">
        <v>0</v>
      </c>
      <c r="Q61" s="344">
        <v>1</v>
      </c>
      <c r="R61" s="344">
        <v>5</v>
      </c>
      <c r="S61" s="344">
        <v>0</v>
      </c>
      <c r="T61" s="344"/>
      <c r="V61" s="327" t="str">
        <f t="shared" si="0"/>
        <v>0</v>
      </c>
      <c r="W61" s="327" t="str">
        <f t="shared" si="1"/>
        <v>1</v>
      </c>
      <c r="X61" s="327" t="str">
        <f t="shared" si="2"/>
        <v>0</v>
      </c>
      <c r="Y61" s="327">
        <f t="shared" si="3"/>
        <v>0</v>
      </c>
      <c r="Z61" s="327">
        <f t="shared" si="4"/>
        <v>0</v>
      </c>
      <c r="AA61" s="327">
        <f t="shared" si="5"/>
        <v>1</v>
      </c>
      <c r="AB61" s="327" t="str">
        <f t="shared" si="10"/>
        <v>101</v>
      </c>
      <c r="AC61" s="327">
        <f t="shared" si="6"/>
        <v>0</v>
      </c>
      <c r="AD61" s="327">
        <v>0</v>
      </c>
      <c r="AE61" s="327" t="str">
        <f t="shared" si="7"/>
        <v>32C04</v>
      </c>
    </row>
    <row r="62" spans="1:31" s="327" customFormat="1" ht="36" x14ac:dyDescent="0.15">
      <c r="A62" s="318" t="str">
        <f t="shared" si="9"/>
        <v>0</v>
      </c>
      <c r="B62" s="319">
        <v>60</v>
      </c>
      <c r="C62" s="339" t="s">
        <v>739</v>
      </c>
      <c r="D62" s="340" t="s">
        <v>2687</v>
      </c>
      <c r="E62" s="341" t="s">
        <v>1671</v>
      </c>
      <c r="F62" s="342" t="s">
        <v>2714</v>
      </c>
      <c r="G62" s="343">
        <v>0</v>
      </c>
      <c r="H62" s="344">
        <v>2</v>
      </c>
      <c r="I62" s="339">
        <v>0</v>
      </c>
      <c r="J62" s="344">
        <v>0</v>
      </c>
      <c r="K62" s="344">
        <v>0</v>
      </c>
      <c r="L62" s="344" t="s">
        <v>860</v>
      </c>
      <c r="M62" s="344">
        <v>1</v>
      </c>
      <c r="N62" s="344" t="s">
        <v>1601</v>
      </c>
      <c r="O62" s="344">
        <v>0</v>
      </c>
      <c r="P62" s="339">
        <v>1</v>
      </c>
      <c r="Q62" s="344">
        <v>1</v>
      </c>
      <c r="R62" s="344">
        <v>1</v>
      </c>
      <c r="S62" s="344">
        <v>0</v>
      </c>
      <c r="T62" s="344"/>
      <c r="V62" s="327" t="str">
        <f t="shared" si="0"/>
        <v>1</v>
      </c>
      <c r="W62" s="327" t="str">
        <f t="shared" si="1"/>
        <v>0</v>
      </c>
      <c r="X62" s="327" t="str">
        <f t="shared" si="2"/>
        <v>0</v>
      </c>
      <c r="Y62" s="327">
        <f t="shared" si="3"/>
        <v>0</v>
      </c>
      <c r="Z62" s="327">
        <f t="shared" si="4"/>
        <v>1</v>
      </c>
      <c r="AA62" s="327">
        <f t="shared" si="5"/>
        <v>1</v>
      </c>
      <c r="AB62" s="327" t="str">
        <f t="shared" si="10"/>
        <v>1</v>
      </c>
      <c r="AC62" s="327">
        <f t="shared" si="6"/>
        <v>0</v>
      </c>
      <c r="AD62" s="327">
        <v>0</v>
      </c>
      <c r="AE62" s="327" t="str">
        <f t="shared" si="7"/>
        <v>E01</v>
      </c>
    </row>
    <row r="63" spans="1:31" s="327" customFormat="1" x14ac:dyDescent="0.15">
      <c r="A63" s="318" t="str">
        <f t="shared" si="9"/>
        <v>0</v>
      </c>
      <c r="B63" s="319">
        <v>61</v>
      </c>
      <c r="C63" s="339" t="s">
        <v>740</v>
      </c>
      <c r="D63" s="340" t="s">
        <v>2687</v>
      </c>
      <c r="E63" s="341" t="s">
        <v>1672</v>
      </c>
      <c r="F63" s="347" t="s">
        <v>1673</v>
      </c>
      <c r="G63" s="343">
        <v>0</v>
      </c>
      <c r="H63" s="344">
        <v>60000</v>
      </c>
      <c r="I63" s="339">
        <v>0</v>
      </c>
      <c r="J63" s="344" t="s">
        <v>1637</v>
      </c>
      <c r="K63" s="344">
        <v>0</v>
      </c>
      <c r="L63" s="344" t="s">
        <v>860</v>
      </c>
      <c r="M63" s="344">
        <v>0.01</v>
      </c>
      <c r="N63" s="344" t="s">
        <v>1628</v>
      </c>
      <c r="O63" s="344">
        <v>0</v>
      </c>
      <c r="P63" s="339">
        <v>0</v>
      </c>
      <c r="Q63" s="344">
        <v>1</v>
      </c>
      <c r="R63" s="344">
        <v>5</v>
      </c>
      <c r="S63" s="344">
        <v>0</v>
      </c>
      <c r="T63" s="344"/>
      <c r="V63" s="327" t="str">
        <f t="shared" si="0"/>
        <v>1</v>
      </c>
      <c r="W63" s="327" t="str">
        <f t="shared" si="1"/>
        <v>10</v>
      </c>
      <c r="X63" s="327" t="str">
        <f>DEC2BIN(14)</f>
        <v>1110</v>
      </c>
      <c r="Y63" s="327">
        <f t="shared" si="3"/>
        <v>0</v>
      </c>
      <c r="Z63" s="327">
        <f t="shared" si="4"/>
        <v>0</v>
      </c>
      <c r="AA63" s="327">
        <f t="shared" si="5"/>
        <v>1</v>
      </c>
      <c r="AB63" s="327" t="str">
        <f t="shared" si="10"/>
        <v>101</v>
      </c>
      <c r="AC63" s="327">
        <f t="shared" si="6"/>
        <v>0</v>
      </c>
      <c r="AD63" s="327">
        <v>0</v>
      </c>
      <c r="AE63" s="327" t="str">
        <f t="shared" si="7"/>
        <v>37189</v>
      </c>
    </row>
    <row r="64" spans="1:31" s="327" customFormat="1" x14ac:dyDescent="0.15">
      <c r="A64" s="318" t="str">
        <f t="shared" si="9"/>
        <v>0</v>
      </c>
      <c r="B64" s="319">
        <v>62</v>
      </c>
      <c r="C64" s="339" t="s">
        <v>741</v>
      </c>
      <c r="D64" s="340" t="s">
        <v>2688</v>
      </c>
      <c r="E64" s="341" t="s">
        <v>1674</v>
      </c>
      <c r="F64" s="347" t="s">
        <v>2713</v>
      </c>
      <c r="G64" s="343">
        <v>0</v>
      </c>
      <c r="H64" s="344">
        <v>36000</v>
      </c>
      <c r="I64" s="339">
        <v>0</v>
      </c>
      <c r="J64" s="344">
        <v>0</v>
      </c>
      <c r="K64" s="344">
        <v>0</v>
      </c>
      <c r="L64" s="344" t="s">
        <v>859</v>
      </c>
      <c r="M64" s="344">
        <v>0.1</v>
      </c>
      <c r="N64" s="344" t="s">
        <v>1644</v>
      </c>
      <c r="O64" s="344">
        <v>0</v>
      </c>
      <c r="P64" s="339">
        <v>0</v>
      </c>
      <c r="Q64" s="344">
        <v>1</v>
      </c>
      <c r="R64" s="344">
        <v>5</v>
      </c>
      <c r="S64" s="344">
        <v>0</v>
      </c>
      <c r="T64" s="344"/>
      <c r="V64" s="327" t="str">
        <f t="shared" si="0"/>
        <v>0</v>
      </c>
      <c r="W64" s="327" t="str">
        <f t="shared" si="1"/>
        <v>1</v>
      </c>
      <c r="X64" s="327" t="str">
        <f t="shared" si="2"/>
        <v>0</v>
      </c>
      <c r="Y64" s="327">
        <f t="shared" si="3"/>
        <v>0</v>
      </c>
      <c r="Z64" s="327">
        <f t="shared" si="4"/>
        <v>0</v>
      </c>
      <c r="AA64" s="327">
        <f t="shared" si="5"/>
        <v>1</v>
      </c>
      <c r="AB64" s="327" t="str">
        <f t="shared" si="10"/>
        <v>101</v>
      </c>
      <c r="AC64" s="327">
        <f t="shared" si="6"/>
        <v>0</v>
      </c>
      <c r="AD64" s="327">
        <v>0</v>
      </c>
      <c r="AE64" s="327" t="str">
        <f t="shared" si="7"/>
        <v>32C04</v>
      </c>
    </row>
    <row r="65" spans="1:31" s="327" customFormat="1" x14ac:dyDescent="0.15">
      <c r="A65" s="318" t="str">
        <f t="shared" si="9"/>
        <v>0</v>
      </c>
      <c r="B65" s="319">
        <v>63</v>
      </c>
      <c r="C65" s="339" t="s">
        <v>742</v>
      </c>
      <c r="D65" s="340" t="s">
        <v>2687</v>
      </c>
      <c r="E65" s="341" t="s">
        <v>1675</v>
      </c>
      <c r="F65" s="347" t="s">
        <v>2715</v>
      </c>
      <c r="G65" s="343">
        <v>0</v>
      </c>
      <c r="H65" s="344">
        <v>1000</v>
      </c>
      <c r="I65" s="339">
        <v>0</v>
      </c>
      <c r="J65" s="344">
        <v>0</v>
      </c>
      <c r="K65" s="344">
        <v>0</v>
      </c>
      <c r="L65" s="344" t="s">
        <v>859</v>
      </c>
      <c r="M65" s="344">
        <v>0.1</v>
      </c>
      <c r="N65" s="344" t="s">
        <v>1634</v>
      </c>
      <c r="O65" s="344">
        <v>0</v>
      </c>
      <c r="P65" s="339">
        <v>0</v>
      </c>
      <c r="Q65" s="344">
        <v>1</v>
      </c>
      <c r="R65" s="344">
        <v>4</v>
      </c>
      <c r="S65" s="344">
        <v>0</v>
      </c>
      <c r="T65" s="344"/>
      <c r="V65" s="327" t="str">
        <f t="shared" si="0"/>
        <v>0</v>
      </c>
      <c r="W65" s="327" t="str">
        <f t="shared" si="1"/>
        <v>1</v>
      </c>
      <c r="X65" s="327" t="e">
        <f t="shared" si="2"/>
        <v>#N/A</v>
      </c>
      <c r="Y65" s="327">
        <f t="shared" si="3"/>
        <v>0</v>
      </c>
      <c r="Z65" s="327">
        <f t="shared" si="4"/>
        <v>0</v>
      </c>
      <c r="AA65" s="327">
        <f t="shared" si="5"/>
        <v>1</v>
      </c>
      <c r="AB65" s="327" t="str">
        <f t="shared" si="10"/>
        <v>100</v>
      </c>
      <c r="AC65" s="327">
        <f t="shared" si="6"/>
        <v>0</v>
      </c>
      <c r="AD65" s="327">
        <v>0</v>
      </c>
      <c r="AE65" s="327" t="e">
        <f t="shared" si="7"/>
        <v>#N/A</v>
      </c>
    </row>
    <row r="66" spans="1:31" s="327" customFormat="1" x14ac:dyDescent="0.15">
      <c r="A66" s="318" t="str">
        <f t="shared" si="9"/>
        <v>0</v>
      </c>
      <c r="B66" s="319">
        <v>64</v>
      </c>
      <c r="C66" s="339" t="s">
        <v>743</v>
      </c>
      <c r="D66" s="340" t="s">
        <v>2687</v>
      </c>
      <c r="E66" s="341" t="s">
        <v>1676</v>
      </c>
      <c r="F66" s="347" t="s">
        <v>2716</v>
      </c>
      <c r="G66" s="343">
        <v>0</v>
      </c>
      <c r="H66" s="344">
        <v>3000</v>
      </c>
      <c r="I66" s="339">
        <v>0</v>
      </c>
      <c r="J66" s="344">
        <v>0</v>
      </c>
      <c r="K66" s="344">
        <v>0</v>
      </c>
      <c r="L66" s="344" t="s">
        <v>859</v>
      </c>
      <c r="M66" s="344">
        <v>0.01</v>
      </c>
      <c r="N66" s="344" t="s">
        <v>1644</v>
      </c>
      <c r="O66" s="344">
        <v>0</v>
      </c>
      <c r="P66" s="339">
        <v>0</v>
      </c>
      <c r="Q66" s="344">
        <v>1</v>
      </c>
      <c r="R66" s="344">
        <v>4</v>
      </c>
      <c r="S66" s="344">
        <v>0</v>
      </c>
      <c r="T66" s="344"/>
      <c r="V66" s="327" t="str">
        <f t="shared" si="0"/>
        <v>0</v>
      </c>
      <c r="W66" s="327" t="str">
        <f t="shared" si="1"/>
        <v>10</v>
      </c>
      <c r="X66" s="327" t="str">
        <f t="shared" si="2"/>
        <v>0</v>
      </c>
      <c r="Y66" s="327">
        <f t="shared" si="3"/>
        <v>0</v>
      </c>
      <c r="Z66" s="327">
        <f t="shared" si="4"/>
        <v>0</v>
      </c>
      <c r="AA66" s="327">
        <f t="shared" si="5"/>
        <v>1</v>
      </c>
      <c r="AB66" s="327" t="str">
        <f t="shared" si="10"/>
        <v>100</v>
      </c>
      <c r="AC66" s="327">
        <f t="shared" si="6"/>
        <v>0</v>
      </c>
      <c r="AD66" s="327">
        <v>0</v>
      </c>
      <c r="AE66" s="327" t="str">
        <f t="shared" si="7"/>
        <v>32428</v>
      </c>
    </row>
    <row r="67" spans="1:31" s="327" customFormat="1" x14ac:dyDescent="0.15">
      <c r="A67" s="318" t="str">
        <f t="shared" si="9"/>
        <v>0</v>
      </c>
      <c r="B67" s="319">
        <v>65</v>
      </c>
      <c r="C67" s="339" t="s">
        <v>744</v>
      </c>
      <c r="D67" s="340" t="s">
        <v>2688</v>
      </c>
      <c r="E67" s="341" t="s">
        <v>1677</v>
      </c>
      <c r="F67" s="347" t="s">
        <v>1678</v>
      </c>
      <c r="G67" s="343">
        <v>1000</v>
      </c>
      <c r="H67" s="344">
        <v>2000</v>
      </c>
      <c r="I67" s="339">
        <v>0</v>
      </c>
      <c r="J67" s="344">
        <v>0</v>
      </c>
      <c r="K67" s="344">
        <v>0</v>
      </c>
      <c r="L67" s="344" t="s">
        <v>859</v>
      </c>
      <c r="M67" s="344">
        <v>0.1</v>
      </c>
      <c r="N67" s="344" t="s">
        <v>1634</v>
      </c>
      <c r="O67" s="344">
        <v>0</v>
      </c>
      <c r="P67" s="339">
        <v>0</v>
      </c>
      <c r="Q67" s="344">
        <v>1</v>
      </c>
      <c r="R67" s="344">
        <v>4</v>
      </c>
      <c r="S67" s="344">
        <v>0</v>
      </c>
      <c r="T67" s="344"/>
      <c r="V67" s="327" t="str">
        <f t="shared" si="0"/>
        <v>0</v>
      </c>
      <c r="W67" s="327" t="str">
        <f t="shared" si="1"/>
        <v>1</v>
      </c>
      <c r="X67" s="327" t="e">
        <f t="shared" si="2"/>
        <v>#N/A</v>
      </c>
      <c r="Y67" s="327">
        <f t="shared" si="3"/>
        <v>0</v>
      </c>
      <c r="Z67" s="327">
        <f t="shared" si="4"/>
        <v>0</v>
      </c>
      <c r="AA67" s="327">
        <f t="shared" si="5"/>
        <v>1</v>
      </c>
      <c r="AB67" s="327" t="str">
        <f t="shared" si="10"/>
        <v>100</v>
      </c>
      <c r="AC67" s="327">
        <f t="shared" si="6"/>
        <v>0</v>
      </c>
      <c r="AD67" s="327">
        <v>0</v>
      </c>
      <c r="AE67" s="327" t="e">
        <f t="shared" si="7"/>
        <v>#N/A</v>
      </c>
    </row>
    <row r="68" spans="1:31" s="327" customFormat="1" x14ac:dyDescent="0.15">
      <c r="A68" s="318" t="str">
        <f t="shared" ref="A68:A131" si="11">DEC2HEX(AH68)</f>
        <v>0</v>
      </c>
      <c r="B68" s="319">
        <v>66</v>
      </c>
      <c r="C68" s="339" t="s">
        <v>745</v>
      </c>
      <c r="D68" s="340" t="s">
        <v>2688</v>
      </c>
      <c r="E68" s="341" t="s">
        <v>1029</v>
      </c>
      <c r="F68" s="347" t="s">
        <v>1028</v>
      </c>
      <c r="G68" s="343">
        <v>20</v>
      </c>
      <c r="H68" s="344">
        <v>200</v>
      </c>
      <c r="I68" s="339">
        <v>1</v>
      </c>
      <c r="J68" s="344">
        <v>0</v>
      </c>
      <c r="K68" s="344">
        <v>0</v>
      </c>
      <c r="L68" s="344" t="s">
        <v>859</v>
      </c>
      <c r="M68" s="344">
        <v>0.1</v>
      </c>
      <c r="N68" s="344" t="s">
        <v>1644</v>
      </c>
      <c r="O68" s="344">
        <v>0</v>
      </c>
      <c r="P68" s="339">
        <v>0</v>
      </c>
      <c r="Q68" s="344">
        <v>1</v>
      </c>
      <c r="R68" s="344">
        <v>3</v>
      </c>
      <c r="S68" s="344">
        <v>0</v>
      </c>
      <c r="T68" s="344"/>
      <c r="V68" s="327" t="str">
        <f t="shared" ref="V68:V132" si="12">IF(L68="△",DEC2BIN(0),IF(L68="×",DEC2BIN(1),IF(L68="◎",DEC2BIN(2),DEC2BIN(3))))</f>
        <v>0</v>
      </c>
      <c r="W68" s="327" t="str">
        <f t="shared" ref="W68:W132" si="13">IF(M68=1,DEC2BIN(0),IF(M68=0.1,DEC2BIN(1),IF(M68=0.01,DEC2BIN(2),DEC2BIN(3))))</f>
        <v>1</v>
      </c>
      <c r="X68" s="327" t="str">
        <f t="shared" ref="X68:X131" si="14">LOOKUP(N68,$AG$2:$AG$17,$AH$2:$AH$17)</f>
        <v>0</v>
      </c>
      <c r="Y68" s="327">
        <f t="shared" ref="Y68:Z132" si="15">O68</f>
        <v>0</v>
      </c>
      <c r="Z68" s="327">
        <f t="shared" si="15"/>
        <v>0</v>
      </c>
      <c r="AA68" s="327">
        <f t="shared" ref="AA68:AA132" si="16">Q68</f>
        <v>1</v>
      </c>
      <c r="AB68" s="327" t="str">
        <f t="shared" si="10"/>
        <v>11</v>
      </c>
      <c r="AC68" s="327">
        <f t="shared" ref="AC68:AC132" si="17">S68</f>
        <v>0</v>
      </c>
      <c r="AD68" s="327">
        <v>0</v>
      </c>
      <c r="AE68" s="327" t="str">
        <f t="shared" ref="AE68:AE132" si="18">DEC2HEX(V68+W68*4+X68*16+Y68*256+Z68*512+AA68*1024+AB68*2048+AC68*16384)</f>
        <v>5C04</v>
      </c>
    </row>
    <row r="69" spans="1:31" s="327" customFormat="1" x14ac:dyDescent="0.15">
      <c r="A69" s="318" t="str">
        <f t="shared" si="11"/>
        <v>0</v>
      </c>
      <c r="B69" s="319">
        <v>67</v>
      </c>
      <c r="C69" s="339" t="s">
        <v>1679</v>
      </c>
      <c r="D69" s="340" t="s">
        <v>2688</v>
      </c>
      <c r="E69" s="341" t="s">
        <v>1680</v>
      </c>
      <c r="F69" s="347" t="s">
        <v>1028</v>
      </c>
      <c r="G69" s="343">
        <v>1000</v>
      </c>
      <c r="H69" s="344">
        <v>1000</v>
      </c>
      <c r="I69" s="339">
        <v>200</v>
      </c>
      <c r="J69" s="344">
        <v>0</v>
      </c>
      <c r="K69" s="344">
        <v>0</v>
      </c>
      <c r="L69" s="344" t="s">
        <v>859</v>
      </c>
      <c r="M69" s="344">
        <v>0.1</v>
      </c>
      <c r="N69" s="344" t="s">
        <v>1634</v>
      </c>
      <c r="O69" s="344">
        <v>0</v>
      </c>
      <c r="P69" s="339">
        <v>0</v>
      </c>
      <c r="Q69" s="344">
        <v>1</v>
      </c>
      <c r="R69" s="344">
        <v>4</v>
      </c>
      <c r="S69" s="344">
        <v>0</v>
      </c>
      <c r="T69" s="344"/>
    </row>
    <row r="70" spans="1:31" ht="35.25" x14ac:dyDescent="0.15">
      <c r="A70" s="42" t="str">
        <f t="shared" si="11"/>
        <v>0</v>
      </c>
      <c r="B70" s="43">
        <v>68</v>
      </c>
      <c r="C70" s="24" t="s">
        <v>746</v>
      </c>
      <c r="D70" s="61" t="s">
        <v>1030</v>
      </c>
      <c r="E70" s="62" t="s">
        <v>1681</v>
      </c>
      <c r="F70" s="63" t="s">
        <v>1682</v>
      </c>
      <c r="G70" s="137">
        <v>1</v>
      </c>
      <c r="H70" s="65">
        <v>1</v>
      </c>
      <c r="I70" s="24">
        <v>0</v>
      </c>
      <c r="J70" s="65">
        <v>0</v>
      </c>
      <c r="K70" s="65">
        <v>0</v>
      </c>
      <c r="L70" s="65" t="s">
        <v>860</v>
      </c>
      <c r="M70" s="65">
        <v>1</v>
      </c>
      <c r="N70" s="65" t="s">
        <v>1601</v>
      </c>
      <c r="O70" s="65">
        <v>0</v>
      </c>
      <c r="P70" s="24">
        <v>1</v>
      </c>
      <c r="Q70" s="65">
        <v>1</v>
      </c>
      <c r="R70" s="65">
        <v>1</v>
      </c>
      <c r="S70" s="65">
        <v>0</v>
      </c>
      <c r="T70" s="65"/>
      <c r="V70" s="49" t="str">
        <f t="shared" si="12"/>
        <v>1</v>
      </c>
      <c r="W70" s="49" t="str">
        <f t="shared" si="13"/>
        <v>0</v>
      </c>
      <c r="X70" s="49" t="str">
        <f>DEC2BIN(14)</f>
        <v>1110</v>
      </c>
      <c r="Y70" s="49">
        <f t="shared" si="15"/>
        <v>0</v>
      </c>
      <c r="Z70" s="49">
        <f t="shared" si="15"/>
        <v>1</v>
      </c>
      <c r="AA70" s="49">
        <f t="shared" si="16"/>
        <v>1</v>
      </c>
      <c r="AB70" s="49" t="str">
        <f t="shared" ref="AB70:AB133" si="19">DEC2BIN(R70)</f>
        <v>1</v>
      </c>
      <c r="AC70" s="49">
        <f t="shared" si="17"/>
        <v>0</v>
      </c>
      <c r="AD70" s="49">
        <v>0</v>
      </c>
      <c r="AE70" s="49" t="str">
        <f t="shared" si="18"/>
        <v>5361</v>
      </c>
    </row>
    <row r="71" spans="1:31" s="327" customFormat="1" ht="14.45" customHeight="1" x14ac:dyDescent="0.15">
      <c r="A71" s="318" t="str">
        <f t="shared" si="11"/>
        <v>0</v>
      </c>
      <c r="B71" s="319">
        <v>69</v>
      </c>
      <c r="C71" s="339" t="s">
        <v>747</v>
      </c>
      <c r="D71" s="340" t="s">
        <v>2687</v>
      </c>
      <c r="E71" s="341" t="s">
        <v>1683</v>
      </c>
      <c r="F71" s="347" t="s">
        <v>1019</v>
      </c>
      <c r="G71" s="343">
        <v>0</v>
      </c>
      <c r="H71" s="344">
        <v>60000</v>
      </c>
      <c r="I71" s="339">
        <v>0</v>
      </c>
      <c r="J71" s="344" t="s">
        <v>1637</v>
      </c>
      <c r="K71" s="344">
        <v>0</v>
      </c>
      <c r="L71" s="344" t="s">
        <v>859</v>
      </c>
      <c r="M71" s="344">
        <v>0.01</v>
      </c>
      <c r="N71" s="344" t="s">
        <v>1628</v>
      </c>
      <c r="O71" s="344">
        <v>0</v>
      </c>
      <c r="P71" s="339">
        <v>0</v>
      </c>
      <c r="Q71" s="344">
        <v>1</v>
      </c>
      <c r="R71" s="344">
        <v>5</v>
      </c>
      <c r="S71" s="344">
        <v>0</v>
      </c>
      <c r="T71" s="344"/>
      <c r="V71" s="327" t="str">
        <f t="shared" si="12"/>
        <v>0</v>
      </c>
      <c r="W71" s="327" t="str">
        <f t="shared" si="13"/>
        <v>10</v>
      </c>
      <c r="X71" s="327" t="str">
        <f t="shared" si="14"/>
        <v>0</v>
      </c>
      <c r="Y71" s="327">
        <f t="shared" si="15"/>
        <v>0</v>
      </c>
      <c r="Z71" s="327">
        <f t="shared" si="15"/>
        <v>0</v>
      </c>
      <c r="AA71" s="327">
        <f t="shared" si="16"/>
        <v>1</v>
      </c>
      <c r="AB71" s="327" t="str">
        <f t="shared" si="19"/>
        <v>101</v>
      </c>
      <c r="AC71" s="327">
        <f t="shared" si="17"/>
        <v>0</v>
      </c>
      <c r="AD71" s="327">
        <v>0</v>
      </c>
      <c r="AE71" s="327" t="str">
        <f t="shared" si="18"/>
        <v>32C28</v>
      </c>
    </row>
    <row r="72" spans="1:31" s="327" customFormat="1" x14ac:dyDescent="0.15">
      <c r="A72" s="318" t="str">
        <f t="shared" si="11"/>
        <v>0</v>
      </c>
      <c r="B72" s="319">
        <v>70</v>
      </c>
      <c r="C72" s="339" t="s">
        <v>748</v>
      </c>
      <c r="D72" s="340" t="s">
        <v>2687</v>
      </c>
      <c r="E72" s="341" t="s">
        <v>1684</v>
      </c>
      <c r="F72" s="342" t="s">
        <v>2715</v>
      </c>
      <c r="G72" s="343">
        <v>0</v>
      </c>
      <c r="H72" s="344">
        <v>1000</v>
      </c>
      <c r="I72" s="339">
        <v>0</v>
      </c>
      <c r="J72" s="344">
        <v>0</v>
      </c>
      <c r="K72" s="344">
        <v>0</v>
      </c>
      <c r="L72" s="344" t="s">
        <v>859</v>
      </c>
      <c r="M72" s="344">
        <v>0.1</v>
      </c>
      <c r="N72" s="344" t="s">
        <v>1634</v>
      </c>
      <c r="O72" s="344">
        <v>0</v>
      </c>
      <c r="P72" s="339">
        <v>0</v>
      </c>
      <c r="Q72" s="344">
        <v>1</v>
      </c>
      <c r="R72" s="344">
        <v>4</v>
      </c>
      <c r="S72" s="344">
        <v>0</v>
      </c>
      <c r="T72" s="344"/>
      <c r="V72" s="327" t="str">
        <f t="shared" si="12"/>
        <v>0</v>
      </c>
      <c r="W72" s="327" t="str">
        <f t="shared" si="13"/>
        <v>1</v>
      </c>
      <c r="X72" s="327" t="e">
        <f t="shared" si="14"/>
        <v>#N/A</v>
      </c>
      <c r="Y72" s="327">
        <f t="shared" si="15"/>
        <v>0</v>
      </c>
      <c r="Z72" s="327">
        <f t="shared" si="15"/>
        <v>0</v>
      </c>
      <c r="AA72" s="327">
        <f t="shared" si="16"/>
        <v>1</v>
      </c>
      <c r="AB72" s="327" t="str">
        <f t="shared" si="19"/>
        <v>100</v>
      </c>
      <c r="AC72" s="327">
        <f t="shared" si="17"/>
        <v>0</v>
      </c>
      <c r="AD72" s="327">
        <v>0</v>
      </c>
      <c r="AE72" s="327" t="e">
        <f t="shared" si="18"/>
        <v>#N/A</v>
      </c>
    </row>
    <row r="73" spans="1:31" s="327" customFormat="1" x14ac:dyDescent="0.15">
      <c r="A73" s="318" t="str">
        <f t="shared" si="11"/>
        <v>0</v>
      </c>
      <c r="B73" s="319">
        <v>71</v>
      </c>
      <c r="C73" s="339" t="s">
        <v>749</v>
      </c>
      <c r="D73" s="340" t="s">
        <v>2687</v>
      </c>
      <c r="E73" s="341" t="s">
        <v>1685</v>
      </c>
      <c r="F73" s="342" t="s">
        <v>2716</v>
      </c>
      <c r="G73" s="343">
        <v>0</v>
      </c>
      <c r="H73" s="344">
        <v>3000</v>
      </c>
      <c r="I73" s="339">
        <v>0</v>
      </c>
      <c r="J73" s="344">
        <v>0</v>
      </c>
      <c r="K73" s="344">
        <v>0</v>
      </c>
      <c r="L73" s="344" t="s">
        <v>859</v>
      </c>
      <c r="M73" s="344">
        <v>0.01</v>
      </c>
      <c r="N73" s="344" t="s">
        <v>1644</v>
      </c>
      <c r="O73" s="344">
        <v>0</v>
      </c>
      <c r="P73" s="339">
        <v>0</v>
      </c>
      <c r="Q73" s="344">
        <v>1</v>
      </c>
      <c r="R73" s="344">
        <v>4</v>
      </c>
      <c r="S73" s="344">
        <v>0</v>
      </c>
      <c r="T73" s="344"/>
      <c r="V73" s="327" t="str">
        <f t="shared" si="12"/>
        <v>0</v>
      </c>
      <c r="W73" s="327" t="str">
        <f t="shared" si="13"/>
        <v>10</v>
      </c>
      <c r="X73" s="327" t="str">
        <f t="shared" si="14"/>
        <v>0</v>
      </c>
      <c r="Y73" s="327">
        <f t="shared" si="15"/>
        <v>0</v>
      </c>
      <c r="Z73" s="327">
        <f t="shared" si="15"/>
        <v>0</v>
      </c>
      <c r="AA73" s="327">
        <f t="shared" si="16"/>
        <v>1</v>
      </c>
      <c r="AB73" s="327" t="str">
        <f t="shared" si="19"/>
        <v>100</v>
      </c>
      <c r="AC73" s="327">
        <f t="shared" si="17"/>
        <v>0</v>
      </c>
      <c r="AD73" s="327">
        <v>0</v>
      </c>
      <c r="AE73" s="327" t="str">
        <f t="shared" si="18"/>
        <v>32428</v>
      </c>
    </row>
    <row r="74" spans="1:31" s="327" customFormat="1" ht="23.25" x14ac:dyDescent="0.15">
      <c r="A74" s="318" t="str">
        <f t="shared" si="11"/>
        <v>0</v>
      </c>
      <c r="B74" s="319">
        <v>72</v>
      </c>
      <c r="C74" s="339" t="s">
        <v>750</v>
      </c>
      <c r="D74" s="340" t="s">
        <v>2688</v>
      </c>
      <c r="E74" s="341" t="s">
        <v>1686</v>
      </c>
      <c r="F74" s="342" t="s">
        <v>2717</v>
      </c>
      <c r="G74" s="343">
        <v>1</v>
      </c>
      <c r="H74" s="344">
        <v>1</v>
      </c>
      <c r="I74" s="339">
        <v>0</v>
      </c>
      <c r="J74" s="344">
        <v>0</v>
      </c>
      <c r="K74" s="344">
        <v>0</v>
      </c>
      <c r="L74" s="344" t="s">
        <v>860</v>
      </c>
      <c r="M74" s="344">
        <v>1</v>
      </c>
      <c r="N74" s="344" t="s">
        <v>1601</v>
      </c>
      <c r="O74" s="344">
        <v>0</v>
      </c>
      <c r="P74" s="339">
        <v>0</v>
      </c>
      <c r="Q74" s="344">
        <v>1</v>
      </c>
      <c r="R74" s="344">
        <v>1</v>
      </c>
      <c r="S74" s="344">
        <v>0</v>
      </c>
      <c r="T74" s="344"/>
      <c r="V74" s="327" t="str">
        <f t="shared" si="12"/>
        <v>1</v>
      </c>
      <c r="W74" s="327" t="str">
        <f t="shared" si="13"/>
        <v>0</v>
      </c>
      <c r="X74" s="327" t="str">
        <f t="shared" si="14"/>
        <v>0</v>
      </c>
      <c r="Y74" s="327">
        <f t="shared" si="15"/>
        <v>0</v>
      </c>
      <c r="Z74" s="327">
        <f t="shared" si="15"/>
        <v>0</v>
      </c>
      <c r="AA74" s="327">
        <f t="shared" si="16"/>
        <v>1</v>
      </c>
      <c r="AB74" s="327" t="str">
        <f t="shared" si="19"/>
        <v>1</v>
      </c>
      <c r="AC74" s="327">
        <f t="shared" si="17"/>
        <v>0</v>
      </c>
      <c r="AD74" s="327">
        <v>0</v>
      </c>
      <c r="AE74" s="327" t="str">
        <f t="shared" si="18"/>
        <v>C01</v>
      </c>
    </row>
    <row r="75" spans="1:31" s="327" customFormat="1" ht="23.25" x14ac:dyDescent="0.15">
      <c r="A75" s="318" t="str">
        <f t="shared" si="11"/>
        <v>0</v>
      </c>
      <c r="B75" s="319">
        <v>73</v>
      </c>
      <c r="C75" s="339" t="s">
        <v>751</v>
      </c>
      <c r="D75" s="340" t="s">
        <v>2688</v>
      </c>
      <c r="E75" s="341" t="s">
        <v>1687</v>
      </c>
      <c r="F75" s="342" t="s">
        <v>2717</v>
      </c>
      <c r="G75" s="343">
        <v>0</v>
      </c>
      <c r="H75" s="344">
        <v>1</v>
      </c>
      <c r="I75" s="339">
        <v>0</v>
      </c>
      <c r="J75" s="344">
        <v>0</v>
      </c>
      <c r="K75" s="344">
        <v>0</v>
      </c>
      <c r="L75" s="344" t="s">
        <v>860</v>
      </c>
      <c r="M75" s="344">
        <v>1</v>
      </c>
      <c r="N75" s="344" t="s">
        <v>1601</v>
      </c>
      <c r="O75" s="344">
        <v>0</v>
      </c>
      <c r="P75" s="339">
        <v>0</v>
      </c>
      <c r="Q75" s="344">
        <v>1</v>
      </c>
      <c r="R75" s="344">
        <v>1</v>
      </c>
      <c r="S75" s="344">
        <v>0</v>
      </c>
      <c r="T75" s="344"/>
      <c r="V75" s="327" t="str">
        <f t="shared" si="12"/>
        <v>1</v>
      </c>
      <c r="W75" s="327" t="str">
        <f t="shared" si="13"/>
        <v>0</v>
      </c>
      <c r="X75" s="327" t="str">
        <f t="shared" si="14"/>
        <v>0</v>
      </c>
      <c r="Y75" s="327">
        <f t="shared" si="15"/>
        <v>0</v>
      </c>
      <c r="Z75" s="327">
        <f t="shared" si="15"/>
        <v>0</v>
      </c>
      <c r="AA75" s="327">
        <f t="shared" si="16"/>
        <v>1</v>
      </c>
      <c r="AB75" s="327" t="str">
        <f t="shared" si="19"/>
        <v>1</v>
      </c>
      <c r="AC75" s="327">
        <f t="shared" si="17"/>
        <v>0</v>
      </c>
      <c r="AD75" s="327">
        <v>0</v>
      </c>
      <c r="AE75" s="327" t="str">
        <f t="shared" si="18"/>
        <v>C01</v>
      </c>
    </row>
    <row r="76" spans="1:31" s="327" customFormat="1" x14ac:dyDescent="0.15">
      <c r="A76" s="318" t="str">
        <f t="shared" si="11"/>
        <v>0</v>
      </c>
      <c r="B76" s="319">
        <v>74</v>
      </c>
      <c r="C76" s="348" t="s">
        <v>1921</v>
      </c>
      <c r="D76" s="349" t="s">
        <v>2687</v>
      </c>
      <c r="E76" s="350" t="s">
        <v>1922</v>
      </c>
      <c r="F76" s="351" t="s">
        <v>2718</v>
      </c>
      <c r="G76" s="352">
        <v>700</v>
      </c>
      <c r="H76" s="353">
        <v>750</v>
      </c>
      <c r="I76" s="348">
        <v>650</v>
      </c>
      <c r="J76" s="353">
        <v>0</v>
      </c>
      <c r="K76" s="353">
        <v>0</v>
      </c>
      <c r="L76" s="353" t="s">
        <v>860</v>
      </c>
      <c r="M76" s="353">
        <v>1</v>
      </c>
      <c r="N76" s="353" t="s">
        <v>1923</v>
      </c>
      <c r="O76" s="353">
        <v>0</v>
      </c>
      <c r="P76" s="348">
        <v>0</v>
      </c>
      <c r="Q76" s="353">
        <v>1</v>
      </c>
      <c r="R76" s="353">
        <v>3</v>
      </c>
      <c r="S76" s="353">
        <v>0</v>
      </c>
      <c r="T76" s="344"/>
      <c r="V76" s="327" t="str">
        <f t="shared" si="12"/>
        <v>1</v>
      </c>
      <c r="W76" s="327" t="str">
        <f t="shared" si="13"/>
        <v>0</v>
      </c>
      <c r="X76" s="327" t="str">
        <f t="shared" si="14"/>
        <v>0</v>
      </c>
      <c r="Y76" s="327">
        <f t="shared" si="15"/>
        <v>0</v>
      </c>
      <c r="Z76" s="327">
        <f t="shared" si="15"/>
        <v>0</v>
      </c>
      <c r="AA76" s="327">
        <f t="shared" si="16"/>
        <v>1</v>
      </c>
      <c r="AB76" s="327" t="str">
        <f t="shared" si="19"/>
        <v>11</v>
      </c>
      <c r="AC76" s="327">
        <f t="shared" si="17"/>
        <v>0</v>
      </c>
      <c r="AD76" s="327">
        <v>0</v>
      </c>
      <c r="AE76" s="327" t="str">
        <f t="shared" si="18"/>
        <v>5C01</v>
      </c>
    </row>
    <row r="77" spans="1:31" s="327" customFormat="1" ht="23.25" x14ac:dyDescent="0.15">
      <c r="A77" s="318" t="str">
        <f t="shared" si="11"/>
        <v>0</v>
      </c>
      <c r="B77" s="319">
        <v>75</v>
      </c>
      <c r="C77" s="339" t="s">
        <v>752</v>
      </c>
      <c r="D77" s="340" t="s">
        <v>2845</v>
      </c>
      <c r="E77" s="341" t="s">
        <v>1689</v>
      </c>
      <c r="F77" s="342" t="s">
        <v>2717</v>
      </c>
      <c r="G77" s="343">
        <v>0</v>
      </c>
      <c r="H77" s="344">
        <v>1</v>
      </c>
      <c r="I77" s="339">
        <v>0</v>
      </c>
      <c r="J77" s="344">
        <v>0</v>
      </c>
      <c r="K77" s="344">
        <v>0</v>
      </c>
      <c r="L77" s="344" t="s">
        <v>1630</v>
      </c>
      <c r="M77" s="344">
        <v>1</v>
      </c>
      <c r="N77" s="344" t="s">
        <v>1601</v>
      </c>
      <c r="O77" s="344">
        <v>0</v>
      </c>
      <c r="P77" s="339">
        <v>0</v>
      </c>
      <c r="Q77" s="344">
        <v>1</v>
      </c>
      <c r="R77" s="344">
        <v>1</v>
      </c>
      <c r="S77" s="344">
        <v>0</v>
      </c>
      <c r="T77" s="344"/>
      <c r="V77" s="327" t="str">
        <f t="shared" si="12"/>
        <v>1</v>
      </c>
      <c r="W77" s="327" t="str">
        <f t="shared" si="13"/>
        <v>0</v>
      </c>
      <c r="X77" s="327" t="str">
        <f t="shared" si="14"/>
        <v>0</v>
      </c>
      <c r="Y77" s="327">
        <f t="shared" si="15"/>
        <v>0</v>
      </c>
      <c r="Z77" s="327">
        <f t="shared" si="15"/>
        <v>0</v>
      </c>
      <c r="AA77" s="327">
        <f t="shared" si="16"/>
        <v>1</v>
      </c>
      <c r="AB77" s="327" t="str">
        <f t="shared" si="19"/>
        <v>1</v>
      </c>
      <c r="AC77" s="327">
        <f t="shared" si="17"/>
        <v>0</v>
      </c>
      <c r="AD77" s="327">
        <v>0</v>
      </c>
      <c r="AE77" s="327" t="str">
        <f t="shared" si="18"/>
        <v>C01</v>
      </c>
    </row>
    <row r="78" spans="1:31" s="327" customFormat="1" ht="31.9" customHeight="1" x14ac:dyDescent="0.15">
      <c r="A78" s="318" t="str">
        <f t="shared" si="11"/>
        <v>0</v>
      </c>
      <c r="B78" s="319">
        <v>76</v>
      </c>
      <c r="C78" s="339" t="s">
        <v>753</v>
      </c>
      <c r="D78" s="340" t="s">
        <v>2845</v>
      </c>
      <c r="E78" s="341" t="s">
        <v>1690</v>
      </c>
      <c r="F78" s="342" t="s">
        <v>2719</v>
      </c>
      <c r="G78" s="343">
        <v>0</v>
      </c>
      <c r="H78" s="344">
        <v>100</v>
      </c>
      <c r="I78" s="339">
        <v>0</v>
      </c>
      <c r="J78" s="344">
        <v>0</v>
      </c>
      <c r="K78" s="344">
        <v>0</v>
      </c>
      <c r="L78" s="344" t="s">
        <v>859</v>
      </c>
      <c r="M78" s="344">
        <v>0.1</v>
      </c>
      <c r="N78" s="344" t="s">
        <v>1644</v>
      </c>
      <c r="O78" s="344">
        <v>0</v>
      </c>
      <c r="P78" s="339">
        <v>0</v>
      </c>
      <c r="Q78" s="344">
        <v>1</v>
      </c>
      <c r="R78" s="344">
        <v>3</v>
      </c>
      <c r="S78" s="344">
        <v>0</v>
      </c>
      <c r="T78" s="344"/>
      <c r="V78" s="327" t="str">
        <f t="shared" si="12"/>
        <v>0</v>
      </c>
      <c r="W78" s="327" t="str">
        <f t="shared" si="13"/>
        <v>1</v>
      </c>
      <c r="X78" s="327" t="str">
        <f t="shared" si="14"/>
        <v>0</v>
      </c>
      <c r="Y78" s="327">
        <f t="shared" si="15"/>
        <v>0</v>
      </c>
      <c r="Z78" s="327">
        <f t="shared" si="15"/>
        <v>0</v>
      </c>
      <c r="AA78" s="327">
        <f t="shared" si="16"/>
        <v>1</v>
      </c>
      <c r="AB78" s="327" t="str">
        <f t="shared" si="19"/>
        <v>11</v>
      </c>
      <c r="AC78" s="327">
        <f t="shared" si="17"/>
        <v>0</v>
      </c>
      <c r="AD78" s="327">
        <v>0</v>
      </c>
      <c r="AE78" s="327" t="str">
        <f t="shared" si="18"/>
        <v>5C04</v>
      </c>
    </row>
    <row r="79" spans="1:31" ht="36.75" customHeight="1" x14ac:dyDescent="0.15">
      <c r="A79" s="42" t="str">
        <f t="shared" si="11"/>
        <v>0</v>
      </c>
      <c r="B79" s="43">
        <v>77</v>
      </c>
      <c r="C79" s="44" t="s">
        <v>1691</v>
      </c>
      <c r="D79" s="25" t="s">
        <v>834</v>
      </c>
      <c r="E79" s="45" t="s">
        <v>1692</v>
      </c>
      <c r="F79" s="66" t="s">
        <v>1693</v>
      </c>
      <c r="G79" s="47">
        <v>1</v>
      </c>
      <c r="H79" s="48">
        <v>2</v>
      </c>
      <c r="I79" s="44">
        <v>0</v>
      </c>
      <c r="J79" s="48">
        <v>0</v>
      </c>
      <c r="K79" s="48">
        <v>0</v>
      </c>
      <c r="L79" s="48" t="s">
        <v>860</v>
      </c>
      <c r="M79" s="48">
        <v>1</v>
      </c>
      <c r="N79" s="48" t="s">
        <v>1601</v>
      </c>
      <c r="O79" s="48">
        <v>0</v>
      </c>
      <c r="P79" s="44">
        <v>0</v>
      </c>
      <c r="Q79" s="48">
        <v>1</v>
      </c>
      <c r="R79" s="48">
        <v>1</v>
      </c>
      <c r="S79" s="48">
        <v>0</v>
      </c>
      <c r="T79" s="48"/>
      <c r="V79" s="49" t="str">
        <f t="shared" si="12"/>
        <v>1</v>
      </c>
      <c r="W79" s="49" t="str">
        <f>IF(R89=1,DEC2BIN(0),IF(R89=0.1,DEC2BIN(1),IF(R89=0.01,DEC2BIN(2),DEC2BIN(3))))</f>
        <v>11</v>
      </c>
      <c r="X79" s="49" t="str">
        <f t="shared" si="14"/>
        <v>0</v>
      </c>
      <c r="Y79" s="49">
        <f t="shared" si="15"/>
        <v>0</v>
      </c>
      <c r="Z79" s="49">
        <f t="shared" si="15"/>
        <v>0</v>
      </c>
      <c r="AA79" s="49">
        <f t="shared" si="16"/>
        <v>1</v>
      </c>
      <c r="AB79" s="49" t="str">
        <f t="shared" si="19"/>
        <v>1</v>
      </c>
      <c r="AC79" s="49">
        <f t="shared" si="17"/>
        <v>0</v>
      </c>
      <c r="AD79" s="49">
        <v>0</v>
      </c>
      <c r="AE79" s="49" t="str">
        <f t="shared" si="18"/>
        <v>C2D</v>
      </c>
    </row>
    <row r="80" spans="1:31" ht="51" customHeight="1" x14ac:dyDescent="0.15">
      <c r="A80" s="42" t="str">
        <f t="shared" si="11"/>
        <v>0</v>
      </c>
      <c r="B80" s="43">
        <v>78</v>
      </c>
      <c r="C80" s="44" t="s">
        <v>445</v>
      </c>
      <c r="D80" s="25" t="s">
        <v>1031</v>
      </c>
      <c r="E80" s="45" t="s">
        <v>1694</v>
      </c>
      <c r="F80" s="66" t="s">
        <v>1695</v>
      </c>
      <c r="G80" s="47">
        <v>300</v>
      </c>
      <c r="H80" s="44">
        <v>60000</v>
      </c>
      <c r="I80" s="44">
        <v>0</v>
      </c>
      <c r="J80" s="48">
        <v>0</v>
      </c>
      <c r="K80" s="48">
        <v>0</v>
      </c>
      <c r="L80" s="48" t="s">
        <v>1696</v>
      </c>
      <c r="M80" s="48">
        <v>1</v>
      </c>
      <c r="N80" s="48" t="s">
        <v>1697</v>
      </c>
      <c r="O80" s="48">
        <v>0</v>
      </c>
      <c r="P80" s="44">
        <v>1</v>
      </c>
      <c r="Q80" s="48">
        <v>1</v>
      </c>
      <c r="R80" s="48">
        <v>5</v>
      </c>
      <c r="S80" s="48">
        <v>0</v>
      </c>
      <c r="T80" s="48"/>
      <c r="V80" s="49" t="str">
        <f t="shared" si="12"/>
        <v>0</v>
      </c>
      <c r="W80" s="49" t="str">
        <f t="shared" si="13"/>
        <v>0</v>
      </c>
      <c r="X80" s="49" t="str">
        <f t="shared" si="14"/>
        <v>0</v>
      </c>
      <c r="Y80" s="49">
        <f t="shared" si="15"/>
        <v>0</v>
      </c>
      <c r="Z80" s="49">
        <f t="shared" si="15"/>
        <v>1</v>
      </c>
      <c r="AA80" s="49">
        <f t="shared" si="16"/>
        <v>1</v>
      </c>
      <c r="AB80" s="49" t="str">
        <f t="shared" si="19"/>
        <v>101</v>
      </c>
      <c r="AC80" s="49">
        <f t="shared" si="17"/>
        <v>0</v>
      </c>
      <c r="AD80" s="49">
        <v>0</v>
      </c>
      <c r="AE80" s="49" t="str">
        <f t="shared" si="18"/>
        <v>32E00</v>
      </c>
    </row>
    <row r="81" spans="1:31" x14ac:dyDescent="0.15">
      <c r="A81" s="42" t="str">
        <f t="shared" si="11"/>
        <v>0</v>
      </c>
      <c r="B81" s="43">
        <v>79</v>
      </c>
      <c r="C81" s="44" t="s">
        <v>446</v>
      </c>
      <c r="D81" s="25" t="s">
        <v>1032</v>
      </c>
      <c r="E81" s="45" t="s">
        <v>1698</v>
      </c>
      <c r="F81" s="66" t="s">
        <v>1699</v>
      </c>
      <c r="G81" s="47">
        <v>300</v>
      </c>
      <c r="H81" s="48">
        <v>60000</v>
      </c>
      <c r="I81" s="44">
        <v>0</v>
      </c>
      <c r="J81" s="48">
        <v>0</v>
      </c>
      <c r="K81" s="48">
        <v>0</v>
      </c>
      <c r="L81" s="48" t="s">
        <v>859</v>
      </c>
      <c r="M81" s="48">
        <v>1</v>
      </c>
      <c r="N81" s="48" t="s">
        <v>1697</v>
      </c>
      <c r="O81" s="48">
        <v>0</v>
      </c>
      <c r="P81" s="44">
        <v>1</v>
      </c>
      <c r="Q81" s="48">
        <v>1</v>
      </c>
      <c r="R81" s="48">
        <v>5</v>
      </c>
      <c r="S81" s="48">
        <v>0</v>
      </c>
      <c r="T81" s="48"/>
      <c r="V81" s="49" t="str">
        <f t="shared" si="12"/>
        <v>0</v>
      </c>
      <c r="W81" s="49" t="str">
        <f t="shared" si="13"/>
        <v>0</v>
      </c>
      <c r="X81" s="49" t="str">
        <f t="shared" si="14"/>
        <v>0</v>
      </c>
      <c r="Y81" s="49">
        <f t="shared" si="15"/>
        <v>0</v>
      </c>
      <c r="Z81" s="49">
        <f t="shared" si="15"/>
        <v>1</v>
      </c>
      <c r="AA81" s="49">
        <f t="shared" si="16"/>
        <v>1</v>
      </c>
      <c r="AB81" s="49" t="str">
        <f t="shared" si="19"/>
        <v>101</v>
      </c>
      <c r="AC81" s="49">
        <f t="shared" si="17"/>
        <v>0</v>
      </c>
      <c r="AD81" s="49">
        <v>0</v>
      </c>
      <c r="AE81" s="49" t="str">
        <f t="shared" si="18"/>
        <v>32E00</v>
      </c>
    </row>
    <row r="82" spans="1:31" s="327" customFormat="1" x14ac:dyDescent="0.15">
      <c r="A82" s="318" t="str">
        <f t="shared" si="11"/>
        <v>0</v>
      </c>
      <c r="B82" s="319">
        <v>80</v>
      </c>
      <c r="C82" s="320" t="s">
        <v>447</v>
      </c>
      <c r="D82" s="321" t="s">
        <v>2844</v>
      </c>
      <c r="E82" s="322" t="s">
        <v>883</v>
      </c>
      <c r="F82" s="354" t="s">
        <v>2720</v>
      </c>
      <c r="G82" s="324">
        <v>60</v>
      </c>
      <c r="H82" s="325">
        <v>60000</v>
      </c>
      <c r="I82" s="320">
        <v>0</v>
      </c>
      <c r="J82" s="325">
        <v>0</v>
      </c>
      <c r="K82" s="325">
        <v>0</v>
      </c>
      <c r="L82" s="325" t="s">
        <v>859</v>
      </c>
      <c r="M82" s="325">
        <v>1</v>
      </c>
      <c r="N82" s="325" t="s">
        <v>1697</v>
      </c>
      <c r="O82" s="325">
        <v>0</v>
      </c>
      <c r="P82" s="320">
        <v>0</v>
      </c>
      <c r="Q82" s="325">
        <v>1</v>
      </c>
      <c r="R82" s="325">
        <v>5</v>
      </c>
      <c r="S82" s="325">
        <v>0</v>
      </c>
      <c r="T82" s="325"/>
      <c r="V82" s="327" t="str">
        <f t="shared" si="12"/>
        <v>0</v>
      </c>
      <c r="W82" s="327" t="str">
        <f t="shared" si="13"/>
        <v>0</v>
      </c>
      <c r="X82" s="327" t="str">
        <f t="shared" si="14"/>
        <v>0</v>
      </c>
      <c r="Y82" s="327">
        <f t="shared" si="15"/>
        <v>0</v>
      </c>
      <c r="Z82" s="327">
        <f t="shared" si="15"/>
        <v>0</v>
      </c>
      <c r="AA82" s="327">
        <f t="shared" si="16"/>
        <v>1</v>
      </c>
      <c r="AB82" s="327" t="str">
        <f t="shared" si="19"/>
        <v>101</v>
      </c>
      <c r="AC82" s="327">
        <f t="shared" si="17"/>
        <v>0</v>
      </c>
      <c r="AD82" s="327">
        <v>0</v>
      </c>
      <c r="AE82" s="327" t="str">
        <f t="shared" si="18"/>
        <v>32C00</v>
      </c>
    </row>
    <row r="83" spans="1:31" s="327" customFormat="1" x14ac:dyDescent="0.15">
      <c r="A83" s="318" t="str">
        <f t="shared" si="11"/>
        <v>0</v>
      </c>
      <c r="B83" s="319">
        <v>81</v>
      </c>
      <c r="C83" s="320" t="s">
        <v>448</v>
      </c>
      <c r="D83" s="321" t="s">
        <v>2844</v>
      </c>
      <c r="E83" s="322" t="s">
        <v>884</v>
      </c>
      <c r="F83" s="354" t="s">
        <v>2721</v>
      </c>
      <c r="G83" s="324">
        <v>60</v>
      </c>
      <c r="H83" s="325">
        <v>60000</v>
      </c>
      <c r="I83" s="320">
        <v>0</v>
      </c>
      <c r="J83" s="325">
        <v>0</v>
      </c>
      <c r="K83" s="325">
        <v>0</v>
      </c>
      <c r="L83" s="325" t="s">
        <v>859</v>
      </c>
      <c r="M83" s="325">
        <v>1</v>
      </c>
      <c r="N83" s="325" t="s">
        <v>1697</v>
      </c>
      <c r="O83" s="325">
        <v>0</v>
      </c>
      <c r="P83" s="320">
        <v>0</v>
      </c>
      <c r="Q83" s="325">
        <v>1</v>
      </c>
      <c r="R83" s="325">
        <v>5</v>
      </c>
      <c r="S83" s="325">
        <v>0</v>
      </c>
      <c r="T83" s="325"/>
      <c r="V83" s="327" t="str">
        <f t="shared" si="12"/>
        <v>0</v>
      </c>
      <c r="W83" s="327" t="str">
        <f t="shared" si="13"/>
        <v>0</v>
      </c>
      <c r="X83" s="327" t="str">
        <f t="shared" si="14"/>
        <v>0</v>
      </c>
      <c r="Y83" s="327">
        <f t="shared" si="15"/>
        <v>0</v>
      </c>
      <c r="Z83" s="327">
        <f t="shared" si="15"/>
        <v>0</v>
      </c>
      <c r="AA83" s="327">
        <f t="shared" si="16"/>
        <v>1</v>
      </c>
      <c r="AB83" s="327" t="str">
        <f t="shared" si="19"/>
        <v>101</v>
      </c>
      <c r="AC83" s="327">
        <f t="shared" si="17"/>
        <v>0</v>
      </c>
      <c r="AD83" s="327">
        <v>0</v>
      </c>
      <c r="AE83" s="327" t="str">
        <f t="shared" si="18"/>
        <v>32C00</v>
      </c>
    </row>
    <row r="84" spans="1:31" s="327" customFormat="1" x14ac:dyDescent="0.15">
      <c r="A84" s="318" t="str">
        <f t="shared" si="11"/>
        <v>0</v>
      </c>
      <c r="B84" s="319">
        <v>82</v>
      </c>
      <c r="C84" s="320" t="s">
        <v>449</v>
      </c>
      <c r="D84" s="321" t="s">
        <v>2844</v>
      </c>
      <c r="E84" s="322" t="s">
        <v>1700</v>
      </c>
      <c r="F84" s="354" t="s">
        <v>2722</v>
      </c>
      <c r="G84" s="324">
        <v>60</v>
      </c>
      <c r="H84" s="325">
        <v>60000</v>
      </c>
      <c r="I84" s="320">
        <v>0</v>
      </c>
      <c r="J84" s="325">
        <v>0</v>
      </c>
      <c r="K84" s="325">
        <v>0</v>
      </c>
      <c r="L84" s="325" t="s">
        <v>859</v>
      </c>
      <c r="M84" s="325">
        <v>1</v>
      </c>
      <c r="N84" s="325" t="s">
        <v>1697</v>
      </c>
      <c r="O84" s="325">
        <v>0</v>
      </c>
      <c r="P84" s="320">
        <v>0</v>
      </c>
      <c r="Q84" s="325">
        <v>1</v>
      </c>
      <c r="R84" s="325">
        <v>5</v>
      </c>
      <c r="S84" s="325">
        <v>0</v>
      </c>
      <c r="T84" s="325"/>
      <c r="V84" s="327" t="str">
        <f t="shared" si="12"/>
        <v>0</v>
      </c>
      <c r="W84" s="327" t="str">
        <f t="shared" si="13"/>
        <v>0</v>
      </c>
      <c r="X84" s="327" t="str">
        <f t="shared" si="14"/>
        <v>0</v>
      </c>
      <c r="Y84" s="327">
        <f t="shared" si="15"/>
        <v>0</v>
      </c>
      <c r="Z84" s="327">
        <f t="shared" si="15"/>
        <v>0</v>
      </c>
      <c r="AA84" s="327">
        <f t="shared" si="16"/>
        <v>1</v>
      </c>
      <c r="AB84" s="327" t="str">
        <f t="shared" si="19"/>
        <v>101</v>
      </c>
      <c r="AC84" s="327">
        <f t="shared" si="17"/>
        <v>0</v>
      </c>
      <c r="AD84" s="327">
        <v>0</v>
      </c>
      <c r="AE84" s="327" t="str">
        <f t="shared" si="18"/>
        <v>32C00</v>
      </c>
    </row>
    <row r="85" spans="1:31" s="327" customFormat="1" x14ac:dyDescent="0.15">
      <c r="A85" s="318" t="str">
        <f t="shared" si="11"/>
        <v>0</v>
      </c>
      <c r="B85" s="319">
        <v>83</v>
      </c>
      <c r="C85" s="320" t="s">
        <v>450</v>
      </c>
      <c r="D85" s="321" t="s">
        <v>2844</v>
      </c>
      <c r="E85" s="322" t="s">
        <v>1701</v>
      </c>
      <c r="F85" s="354" t="s">
        <v>2722</v>
      </c>
      <c r="G85" s="324">
        <v>60</v>
      </c>
      <c r="H85" s="325">
        <v>60000</v>
      </c>
      <c r="I85" s="320">
        <v>0</v>
      </c>
      <c r="J85" s="325">
        <v>0</v>
      </c>
      <c r="K85" s="325">
        <v>0</v>
      </c>
      <c r="L85" s="325" t="s">
        <v>859</v>
      </c>
      <c r="M85" s="325">
        <v>1</v>
      </c>
      <c r="N85" s="325" t="s">
        <v>1697</v>
      </c>
      <c r="O85" s="325">
        <v>0</v>
      </c>
      <c r="P85" s="320">
        <v>0</v>
      </c>
      <c r="Q85" s="325">
        <v>1</v>
      </c>
      <c r="R85" s="325">
        <v>5</v>
      </c>
      <c r="S85" s="325">
        <v>0</v>
      </c>
      <c r="T85" s="325"/>
      <c r="V85" s="327" t="str">
        <f t="shared" si="12"/>
        <v>0</v>
      </c>
      <c r="W85" s="327" t="str">
        <f t="shared" si="13"/>
        <v>0</v>
      </c>
      <c r="X85" s="327" t="str">
        <f t="shared" si="14"/>
        <v>0</v>
      </c>
      <c r="Y85" s="327">
        <f t="shared" si="15"/>
        <v>0</v>
      </c>
      <c r="Z85" s="327">
        <f t="shared" si="15"/>
        <v>0</v>
      </c>
      <c r="AA85" s="327">
        <f t="shared" si="16"/>
        <v>1</v>
      </c>
      <c r="AB85" s="327" t="str">
        <f t="shared" si="19"/>
        <v>101</v>
      </c>
      <c r="AC85" s="327">
        <f t="shared" si="17"/>
        <v>0</v>
      </c>
      <c r="AD85" s="327">
        <v>0</v>
      </c>
      <c r="AE85" s="327" t="str">
        <f t="shared" si="18"/>
        <v>32C00</v>
      </c>
    </row>
    <row r="86" spans="1:31" s="327" customFormat="1" x14ac:dyDescent="0.15">
      <c r="A86" s="318" t="str">
        <f t="shared" si="11"/>
        <v>0</v>
      </c>
      <c r="B86" s="319">
        <v>84</v>
      </c>
      <c r="C86" s="320" t="s">
        <v>451</v>
      </c>
      <c r="D86" s="321" t="s">
        <v>2844</v>
      </c>
      <c r="E86" s="322" t="s">
        <v>1702</v>
      </c>
      <c r="F86" s="354" t="s">
        <v>2723</v>
      </c>
      <c r="G86" s="324">
        <v>60</v>
      </c>
      <c r="H86" s="325">
        <v>60000</v>
      </c>
      <c r="I86" s="320">
        <v>0</v>
      </c>
      <c r="J86" s="325">
        <v>0</v>
      </c>
      <c r="K86" s="325">
        <v>0</v>
      </c>
      <c r="L86" s="325" t="s">
        <v>859</v>
      </c>
      <c r="M86" s="325">
        <v>1</v>
      </c>
      <c r="N86" s="325" t="s">
        <v>1697</v>
      </c>
      <c r="O86" s="325">
        <v>0</v>
      </c>
      <c r="P86" s="355">
        <v>0</v>
      </c>
      <c r="Q86" s="325">
        <v>1</v>
      </c>
      <c r="R86" s="325">
        <v>5</v>
      </c>
      <c r="S86" s="325">
        <v>0</v>
      </c>
      <c r="T86" s="325"/>
      <c r="V86" s="327" t="str">
        <f t="shared" si="12"/>
        <v>0</v>
      </c>
      <c r="W86" s="327" t="str">
        <f t="shared" si="13"/>
        <v>0</v>
      </c>
      <c r="X86" s="327" t="str">
        <f t="shared" si="14"/>
        <v>0</v>
      </c>
      <c r="Y86" s="327">
        <f t="shared" si="15"/>
        <v>0</v>
      </c>
      <c r="Z86" s="327">
        <f t="shared" si="15"/>
        <v>0</v>
      </c>
      <c r="AA86" s="327">
        <f t="shared" si="16"/>
        <v>1</v>
      </c>
      <c r="AB86" s="327" t="str">
        <f t="shared" si="19"/>
        <v>101</v>
      </c>
      <c r="AC86" s="327">
        <f t="shared" si="17"/>
        <v>0</v>
      </c>
      <c r="AD86" s="327">
        <v>0</v>
      </c>
      <c r="AE86" s="327" t="str">
        <f t="shared" si="18"/>
        <v>32C00</v>
      </c>
    </row>
    <row r="87" spans="1:31" s="327" customFormat="1" x14ac:dyDescent="0.15">
      <c r="A87" s="318" t="str">
        <f t="shared" si="11"/>
        <v>0</v>
      </c>
      <c r="B87" s="319">
        <v>85</v>
      </c>
      <c r="C87" s="320" t="s">
        <v>452</v>
      </c>
      <c r="D87" s="321" t="s">
        <v>2844</v>
      </c>
      <c r="E87" s="322" t="s">
        <v>1703</v>
      </c>
      <c r="F87" s="354" t="s">
        <v>2722</v>
      </c>
      <c r="G87" s="324">
        <v>60</v>
      </c>
      <c r="H87" s="325">
        <v>60000</v>
      </c>
      <c r="I87" s="320">
        <v>0</v>
      </c>
      <c r="J87" s="325">
        <v>0</v>
      </c>
      <c r="K87" s="325">
        <v>0</v>
      </c>
      <c r="L87" s="325" t="s">
        <v>859</v>
      </c>
      <c r="M87" s="325">
        <v>1</v>
      </c>
      <c r="N87" s="325" t="s">
        <v>1697</v>
      </c>
      <c r="O87" s="325">
        <v>0</v>
      </c>
      <c r="P87" s="320">
        <v>0</v>
      </c>
      <c r="Q87" s="325">
        <v>1</v>
      </c>
      <c r="R87" s="325">
        <v>5</v>
      </c>
      <c r="S87" s="325">
        <v>0</v>
      </c>
      <c r="T87" s="325"/>
      <c r="V87" s="327" t="str">
        <f t="shared" si="12"/>
        <v>0</v>
      </c>
      <c r="W87" s="327" t="str">
        <f t="shared" si="13"/>
        <v>0</v>
      </c>
      <c r="X87" s="327" t="str">
        <f t="shared" si="14"/>
        <v>0</v>
      </c>
      <c r="Y87" s="327">
        <f t="shared" si="15"/>
        <v>0</v>
      </c>
      <c r="Z87" s="327">
        <f t="shared" si="15"/>
        <v>0</v>
      </c>
      <c r="AA87" s="327">
        <f t="shared" si="16"/>
        <v>1</v>
      </c>
      <c r="AB87" s="327" t="str">
        <f t="shared" si="19"/>
        <v>101</v>
      </c>
      <c r="AC87" s="327">
        <f t="shared" si="17"/>
        <v>0</v>
      </c>
      <c r="AD87" s="327">
        <v>0</v>
      </c>
      <c r="AE87" s="327" t="str">
        <f t="shared" si="18"/>
        <v>32C00</v>
      </c>
    </row>
    <row r="88" spans="1:31" s="327" customFormat="1" x14ac:dyDescent="0.15">
      <c r="A88" s="318" t="str">
        <f t="shared" si="11"/>
        <v>0</v>
      </c>
      <c r="B88" s="319">
        <v>86</v>
      </c>
      <c r="C88" s="320" t="s">
        <v>453</v>
      </c>
      <c r="D88" s="321" t="s">
        <v>2844</v>
      </c>
      <c r="E88" s="322" t="s">
        <v>1704</v>
      </c>
      <c r="F88" s="354" t="s">
        <v>2722</v>
      </c>
      <c r="G88" s="324">
        <v>60</v>
      </c>
      <c r="H88" s="325">
        <v>60000</v>
      </c>
      <c r="I88" s="320">
        <v>0</v>
      </c>
      <c r="J88" s="325">
        <v>0</v>
      </c>
      <c r="K88" s="325">
        <v>0</v>
      </c>
      <c r="L88" s="325" t="s">
        <v>1696</v>
      </c>
      <c r="M88" s="325">
        <v>1</v>
      </c>
      <c r="N88" s="325" t="s">
        <v>1697</v>
      </c>
      <c r="O88" s="325">
        <v>0</v>
      </c>
      <c r="P88" s="320">
        <v>0</v>
      </c>
      <c r="Q88" s="325">
        <v>1</v>
      </c>
      <c r="R88" s="325">
        <v>5</v>
      </c>
      <c r="S88" s="325">
        <v>0</v>
      </c>
      <c r="T88" s="325"/>
      <c r="V88" s="327" t="str">
        <f t="shared" si="12"/>
        <v>0</v>
      </c>
      <c r="W88" s="327" t="str">
        <f t="shared" si="13"/>
        <v>0</v>
      </c>
      <c r="X88" s="327" t="str">
        <f t="shared" si="14"/>
        <v>0</v>
      </c>
      <c r="Y88" s="327">
        <f t="shared" si="15"/>
        <v>0</v>
      </c>
      <c r="Z88" s="327">
        <f t="shared" si="15"/>
        <v>0</v>
      </c>
      <c r="AA88" s="327">
        <f t="shared" si="16"/>
        <v>1</v>
      </c>
      <c r="AB88" s="327" t="str">
        <f t="shared" si="19"/>
        <v>101</v>
      </c>
      <c r="AC88" s="327">
        <f t="shared" si="17"/>
        <v>0</v>
      </c>
      <c r="AD88" s="327">
        <v>0</v>
      </c>
      <c r="AE88" s="327" t="str">
        <f t="shared" si="18"/>
        <v>32C00</v>
      </c>
    </row>
    <row r="89" spans="1:31" s="327" customFormat="1" x14ac:dyDescent="0.15">
      <c r="A89" s="318" t="str">
        <f t="shared" si="11"/>
        <v>0</v>
      </c>
      <c r="B89" s="319">
        <v>87</v>
      </c>
      <c r="C89" s="320" t="s">
        <v>454</v>
      </c>
      <c r="D89" s="321" t="s">
        <v>2844</v>
      </c>
      <c r="E89" s="322" t="s">
        <v>1705</v>
      </c>
      <c r="F89" s="354" t="s">
        <v>2724</v>
      </c>
      <c r="G89" s="324">
        <v>60</v>
      </c>
      <c r="H89" s="325">
        <v>60000</v>
      </c>
      <c r="I89" s="320">
        <v>0</v>
      </c>
      <c r="J89" s="325">
        <v>0</v>
      </c>
      <c r="K89" s="325">
        <v>0</v>
      </c>
      <c r="L89" s="325" t="s">
        <v>1696</v>
      </c>
      <c r="M89" s="325">
        <v>1</v>
      </c>
      <c r="N89" s="325" t="s">
        <v>1697</v>
      </c>
      <c r="O89" s="325">
        <v>0</v>
      </c>
      <c r="P89" s="320">
        <v>1</v>
      </c>
      <c r="Q89" s="325">
        <v>1</v>
      </c>
      <c r="R89" s="325">
        <v>5</v>
      </c>
      <c r="S89" s="325">
        <v>0</v>
      </c>
      <c r="T89" s="325"/>
      <c r="V89" s="327" t="str">
        <f t="shared" si="12"/>
        <v>0</v>
      </c>
      <c r="W89" s="327" t="str">
        <f t="shared" si="13"/>
        <v>0</v>
      </c>
      <c r="X89" s="327" t="str">
        <f t="shared" si="14"/>
        <v>0</v>
      </c>
      <c r="Y89" s="327">
        <f t="shared" si="15"/>
        <v>0</v>
      </c>
      <c r="Z89" s="327">
        <f t="shared" si="15"/>
        <v>1</v>
      </c>
      <c r="AA89" s="327">
        <f t="shared" si="16"/>
        <v>1</v>
      </c>
      <c r="AB89" s="327" t="e">
        <f>DEC2BIN(#REF!)</f>
        <v>#REF!</v>
      </c>
      <c r="AC89" s="327">
        <f t="shared" si="17"/>
        <v>0</v>
      </c>
      <c r="AD89" s="327">
        <v>0</v>
      </c>
      <c r="AE89" s="327" t="e">
        <f t="shared" si="18"/>
        <v>#REF!</v>
      </c>
    </row>
    <row r="90" spans="1:31" s="327" customFormat="1" x14ac:dyDescent="0.15">
      <c r="A90" s="318" t="str">
        <f t="shared" si="11"/>
        <v>0</v>
      </c>
      <c r="B90" s="319">
        <v>88</v>
      </c>
      <c r="C90" s="320" t="s">
        <v>455</v>
      </c>
      <c r="D90" s="321" t="s">
        <v>2844</v>
      </c>
      <c r="E90" s="322" t="s">
        <v>1706</v>
      </c>
      <c r="F90" s="354" t="s">
        <v>2722</v>
      </c>
      <c r="G90" s="324">
        <v>60</v>
      </c>
      <c r="H90" s="325">
        <v>60000</v>
      </c>
      <c r="I90" s="320">
        <v>0</v>
      </c>
      <c r="J90" s="325">
        <v>0</v>
      </c>
      <c r="K90" s="325">
        <v>0</v>
      </c>
      <c r="L90" s="325" t="s">
        <v>1696</v>
      </c>
      <c r="M90" s="325">
        <v>1</v>
      </c>
      <c r="N90" s="325" t="s">
        <v>1697</v>
      </c>
      <c r="O90" s="325">
        <v>0</v>
      </c>
      <c r="P90" s="320">
        <v>1</v>
      </c>
      <c r="Q90" s="325">
        <v>1</v>
      </c>
      <c r="R90" s="325">
        <v>5</v>
      </c>
      <c r="S90" s="325">
        <v>0</v>
      </c>
      <c r="T90" s="325"/>
      <c r="V90" s="327" t="str">
        <f t="shared" si="12"/>
        <v>0</v>
      </c>
      <c r="W90" s="327" t="str">
        <f t="shared" si="13"/>
        <v>0</v>
      </c>
      <c r="X90" s="327" t="str">
        <f t="shared" si="14"/>
        <v>0</v>
      </c>
      <c r="Y90" s="327">
        <f t="shared" si="15"/>
        <v>0</v>
      </c>
      <c r="Z90" s="327">
        <f t="shared" si="15"/>
        <v>1</v>
      </c>
      <c r="AA90" s="327">
        <f t="shared" si="16"/>
        <v>1</v>
      </c>
      <c r="AB90" s="327" t="str">
        <f t="shared" si="19"/>
        <v>101</v>
      </c>
      <c r="AC90" s="327">
        <f t="shared" si="17"/>
        <v>0</v>
      </c>
      <c r="AD90" s="327">
        <v>0</v>
      </c>
      <c r="AE90" s="327" t="str">
        <f t="shared" si="18"/>
        <v>32E00</v>
      </c>
    </row>
    <row r="91" spans="1:31" s="327" customFormat="1" ht="56.25" x14ac:dyDescent="0.15">
      <c r="A91" s="318" t="str">
        <f t="shared" si="11"/>
        <v>0</v>
      </c>
      <c r="B91" s="319">
        <v>89</v>
      </c>
      <c r="C91" s="320" t="s">
        <v>456</v>
      </c>
      <c r="D91" s="321" t="s">
        <v>2845</v>
      </c>
      <c r="E91" s="322" t="s">
        <v>1707</v>
      </c>
      <c r="F91" s="354" t="s">
        <v>1708</v>
      </c>
      <c r="G91" s="324">
        <v>0</v>
      </c>
      <c r="H91" s="325">
        <v>4</v>
      </c>
      <c r="I91" s="320">
        <v>0</v>
      </c>
      <c r="J91" s="325">
        <v>0</v>
      </c>
      <c r="K91" s="325">
        <v>0</v>
      </c>
      <c r="L91" s="325" t="s">
        <v>860</v>
      </c>
      <c r="M91" s="325">
        <v>1</v>
      </c>
      <c r="N91" s="325" t="s">
        <v>1660</v>
      </c>
      <c r="O91" s="325">
        <v>0</v>
      </c>
      <c r="P91" s="320">
        <v>0</v>
      </c>
      <c r="Q91" s="325">
        <v>1</v>
      </c>
      <c r="R91" s="325">
        <v>1</v>
      </c>
      <c r="S91" s="325">
        <v>0</v>
      </c>
      <c r="T91" s="325"/>
      <c r="V91" s="327" t="str">
        <f t="shared" si="12"/>
        <v>1</v>
      </c>
      <c r="W91" s="327" t="str">
        <f t="shared" si="13"/>
        <v>0</v>
      </c>
      <c r="X91" s="327" t="str">
        <f t="shared" si="14"/>
        <v>0</v>
      </c>
      <c r="Y91" s="327">
        <f t="shared" si="15"/>
        <v>0</v>
      </c>
      <c r="Z91" s="327">
        <f t="shared" si="15"/>
        <v>0</v>
      </c>
      <c r="AA91" s="327">
        <f t="shared" si="16"/>
        <v>1</v>
      </c>
      <c r="AB91" s="327" t="str">
        <f t="shared" si="19"/>
        <v>1</v>
      </c>
      <c r="AC91" s="327">
        <f t="shared" si="17"/>
        <v>0</v>
      </c>
      <c r="AD91" s="327">
        <v>0</v>
      </c>
      <c r="AE91" s="327" t="str">
        <f t="shared" si="18"/>
        <v>C01</v>
      </c>
    </row>
    <row r="92" spans="1:31" s="327" customFormat="1" ht="45" x14ac:dyDescent="0.15">
      <c r="A92" s="318" t="str">
        <f t="shared" si="11"/>
        <v>0</v>
      </c>
      <c r="B92" s="319">
        <v>90</v>
      </c>
      <c r="C92" s="320" t="s">
        <v>457</v>
      </c>
      <c r="D92" s="321" t="s">
        <v>2845</v>
      </c>
      <c r="E92" s="322" t="s">
        <v>1709</v>
      </c>
      <c r="F92" s="354" t="s">
        <v>1710</v>
      </c>
      <c r="G92" s="322">
        <v>0</v>
      </c>
      <c r="H92" s="325">
        <v>60000</v>
      </c>
      <c r="I92" s="325">
        <v>0</v>
      </c>
      <c r="J92" s="325" t="s">
        <v>1637</v>
      </c>
      <c r="K92" s="325">
        <v>0</v>
      </c>
      <c r="L92" s="325" t="s">
        <v>1594</v>
      </c>
      <c r="M92" s="325">
        <v>0.01</v>
      </c>
      <c r="N92" s="325" t="s">
        <v>1628</v>
      </c>
      <c r="O92" s="325">
        <v>0</v>
      </c>
      <c r="P92" s="325">
        <v>0</v>
      </c>
      <c r="Q92" s="325">
        <v>1</v>
      </c>
      <c r="R92" s="325">
        <v>5</v>
      </c>
      <c r="S92" s="325">
        <v>0</v>
      </c>
      <c r="T92" s="325"/>
      <c r="V92" s="327" t="str">
        <f t="shared" si="12"/>
        <v>0</v>
      </c>
      <c r="W92" s="327" t="str">
        <f t="shared" si="13"/>
        <v>10</v>
      </c>
      <c r="X92" s="327" t="str">
        <f t="shared" si="14"/>
        <v>0</v>
      </c>
      <c r="Y92" s="327">
        <f t="shared" si="15"/>
        <v>0</v>
      </c>
      <c r="Z92" s="327">
        <f t="shared" si="15"/>
        <v>0</v>
      </c>
      <c r="AA92" s="327">
        <f t="shared" si="16"/>
        <v>1</v>
      </c>
      <c r="AB92" s="327" t="str">
        <f t="shared" si="19"/>
        <v>101</v>
      </c>
      <c r="AC92" s="327">
        <f t="shared" si="17"/>
        <v>0</v>
      </c>
      <c r="AD92" s="327">
        <v>0</v>
      </c>
      <c r="AE92" s="327" t="str">
        <f t="shared" si="18"/>
        <v>32C28</v>
      </c>
    </row>
    <row r="93" spans="1:31" s="327" customFormat="1" ht="67.5" x14ac:dyDescent="0.15">
      <c r="A93" s="318" t="str">
        <f t="shared" si="11"/>
        <v>0</v>
      </c>
      <c r="B93" s="319">
        <v>91</v>
      </c>
      <c r="C93" s="320" t="s">
        <v>458</v>
      </c>
      <c r="D93" s="321" t="s">
        <v>2845</v>
      </c>
      <c r="E93" s="322" t="s">
        <v>1711</v>
      </c>
      <c r="F93" s="354" t="s">
        <v>1712</v>
      </c>
      <c r="G93" s="322">
        <v>0</v>
      </c>
      <c r="H93" s="325">
        <v>60000</v>
      </c>
      <c r="I93" s="325">
        <v>0</v>
      </c>
      <c r="J93" s="325" t="s">
        <v>1656</v>
      </c>
      <c r="K93" s="325">
        <v>0</v>
      </c>
      <c r="L93" s="325" t="s">
        <v>1696</v>
      </c>
      <c r="M93" s="325">
        <v>0.01</v>
      </c>
      <c r="N93" s="325" t="s">
        <v>1648</v>
      </c>
      <c r="O93" s="325">
        <v>0</v>
      </c>
      <c r="P93" s="325">
        <v>0</v>
      </c>
      <c r="Q93" s="325">
        <v>1</v>
      </c>
      <c r="R93" s="325">
        <v>5</v>
      </c>
      <c r="S93" s="325">
        <v>0</v>
      </c>
      <c r="T93" s="325"/>
      <c r="V93" s="327" t="str">
        <f t="shared" si="12"/>
        <v>0</v>
      </c>
      <c r="W93" s="327" t="str">
        <f t="shared" si="13"/>
        <v>10</v>
      </c>
      <c r="X93" s="327" t="str">
        <f t="shared" si="14"/>
        <v>0</v>
      </c>
      <c r="Y93" s="327">
        <f t="shared" si="15"/>
        <v>0</v>
      </c>
      <c r="Z93" s="327">
        <f t="shared" si="15"/>
        <v>0</v>
      </c>
      <c r="AA93" s="327">
        <f t="shared" si="16"/>
        <v>1</v>
      </c>
      <c r="AB93" s="327" t="str">
        <f t="shared" si="19"/>
        <v>101</v>
      </c>
      <c r="AC93" s="327">
        <f t="shared" si="17"/>
        <v>0</v>
      </c>
      <c r="AD93" s="327">
        <v>0</v>
      </c>
      <c r="AE93" s="327" t="str">
        <f t="shared" si="18"/>
        <v>32C28</v>
      </c>
    </row>
    <row r="94" spans="1:31" s="327" customFormat="1" ht="14.45" customHeight="1" x14ac:dyDescent="0.15">
      <c r="A94" s="318" t="str">
        <f t="shared" si="11"/>
        <v>0</v>
      </c>
      <c r="B94" s="319">
        <v>92</v>
      </c>
      <c r="C94" s="320" t="s">
        <v>459</v>
      </c>
      <c r="D94" s="321" t="s">
        <v>2844</v>
      </c>
      <c r="E94" s="322" t="s">
        <v>1713</v>
      </c>
      <c r="F94" s="354" t="s">
        <v>2725</v>
      </c>
      <c r="G94" s="324">
        <v>20</v>
      </c>
      <c r="H94" s="325">
        <v>6000</v>
      </c>
      <c r="I94" s="320">
        <v>0</v>
      </c>
      <c r="J94" s="325">
        <v>0</v>
      </c>
      <c r="K94" s="325">
        <v>0</v>
      </c>
      <c r="L94" s="325" t="s">
        <v>859</v>
      </c>
      <c r="M94" s="325">
        <v>0.01</v>
      </c>
      <c r="N94" s="325" t="s">
        <v>1697</v>
      </c>
      <c r="O94" s="325">
        <v>0</v>
      </c>
      <c r="P94" s="320">
        <v>0</v>
      </c>
      <c r="Q94" s="325">
        <v>1</v>
      </c>
      <c r="R94" s="325">
        <v>4</v>
      </c>
      <c r="S94" s="325">
        <v>0</v>
      </c>
      <c r="T94" s="325"/>
      <c r="V94" s="327" t="str">
        <f t="shared" si="12"/>
        <v>0</v>
      </c>
      <c r="W94" s="327" t="str">
        <f t="shared" si="13"/>
        <v>10</v>
      </c>
      <c r="X94" s="327" t="str">
        <f t="shared" si="14"/>
        <v>0</v>
      </c>
      <c r="Y94" s="327">
        <f t="shared" si="15"/>
        <v>0</v>
      </c>
      <c r="Z94" s="327">
        <f t="shared" si="15"/>
        <v>0</v>
      </c>
      <c r="AA94" s="327">
        <f t="shared" si="16"/>
        <v>1</v>
      </c>
      <c r="AB94" s="327" t="str">
        <f t="shared" si="19"/>
        <v>100</v>
      </c>
      <c r="AC94" s="327">
        <f t="shared" si="17"/>
        <v>0</v>
      </c>
      <c r="AD94" s="327">
        <v>0</v>
      </c>
      <c r="AE94" s="327" t="str">
        <f t="shared" si="18"/>
        <v>32428</v>
      </c>
    </row>
    <row r="95" spans="1:31" s="327" customFormat="1" ht="14.45" customHeight="1" x14ac:dyDescent="0.15">
      <c r="A95" s="318" t="str">
        <f t="shared" si="11"/>
        <v>0</v>
      </c>
      <c r="B95" s="319">
        <v>93</v>
      </c>
      <c r="C95" s="320" t="s">
        <v>460</v>
      </c>
      <c r="D95" s="321" t="s">
        <v>2847</v>
      </c>
      <c r="E95" s="322" t="s">
        <v>1714</v>
      </c>
      <c r="F95" s="354" t="s">
        <v>2725</v>
      </c>
      <c r="G95" s="324">
        <v>20</v>
      </c>
      <c r="H95" s="325">
        <v>6000</v>
      </c>
      <c r="I95" s="320">
        <v>0</v>
      </c>
      <c r="J95" s="325">
        <v>0</v>
      </c>
      <c r="K95" s="325">
        <v>0</v>
      </c>
      <c r="L95" s="325" t="s">
        <v>859</v>
      </c>
      <c r="M95" s="325">
        <v>0.01</v>
      </c>
      <c r="N95" s="325" t="s">
        <v>1697</v>
      </c>
      <c r="O95" s="325">
        <v>0</v>
      </c>
      <c r="P95" s="320">
        <v>0</v>
      </c>
      <c r="Q95" s="325">
        <v>1</v>
      </c>
      <c r="R95" s="325">
        <v>4</v>
      </c>
      <c r="S95" s="325">
        <v>0</v>
      </c>
      <c r="T95" s="325"/>
      <c r="V95" s="327" t="str">
        <f t="shared" si="12"/>
        <v>0</v>
      </c>
      <c r="W95" s="327" t="str">
        <f t="shared" si="13"/>
        <v>10</v>
      </c>
      <c r="X95" s="327" t="str">
        <f t="shared" si="14"/>
        <v>0</v>
      </c>
      <c r="Y95" s="327">
        <f t="shared" si="15"/>
        <v>0</v>
      </c>
      <c r="Z95" s="327">
        <f t="shared" si="15"/>
        <v>0</v>
      </c>
      <c r="AA95" s="327">
        <f t="shared" si="16"/>
        <v>1</v>
      </c>
      <c r="AB95" s="327" t="str">
        <f t="shared" si="19"/>
        <v>100</v>
      </c>
      <c r="AC95" s="327">
        <f t="shared" si="17"/>
        <v>0</v>
      </c>
      <c r="AD95" s="327">
        <v>0</v>
      </c>
      <c r="AE95" s="327" t="str">
        <f t="shared" si="18"/>
        <v>32428</v>
      </c>
    </row>
    <row r="96" spans="1:31" s="327" customFormat="1" ht="63.2" customHeight="1" x14ac:dyDescent="0.15">
      <c r="A96" s="318" t="str">
        <f t="shared" si="11"/>
        <v>0</v>
      </c>
      <c r="B96" s="319">
        <v>94</v>
      </c>
      <c r="C96" s="320" t="s">
        <v>461</v>
      </c>
      <c r="D96" s="321" t="s">
        <v>2844</v>
      </c>
      <c r="E96" s="322" t="s">
        <v>1715</v>
      </c>
      <c r="F96" s="354" t="s">
        <v>2725</v>
      </c>
      <c r="G96" s="324">
        <v>20</v>
      </c>
      <c r="H96" s="325">
        <v>6000</v>
      </c>
      <c r="I96" s="320">
        <v>0</v>
      </c>
      <c r="J96" s="325">
        <v>0</v>
      </c>
      <c r="K96" s="325">
        <v>0</v>
      </c>
      <c r="L96" s="325" t="s">
        <v>859</v>
      </c>
      <c r="M96" s="325">
        <v>0.01</v>
      </c>
      <c r="N96" s="325" t="s">
        <v>1697</v>
      </c>
      <c r="O96" s="325">
        <v>0</v>
      </c>
      <c r="P96" s="320">
        <v>0</v>
      </c>
      <c r="Q96" s="325">
        <v>1</v>
      </c>
      <c r="R96" s="325">
        <v>4</v>
      </c>
      <c r="S96" s="325">
        <v>0</v>
      </c>
      <c r="T96" s="325"/>
      <c r="V96" s="327" t="str">
        <f t="shared" si="12"/>
        <v>0</v>
      </c>
      <c r="W96" s="327" t="str">
        <f t="shared" si="13"/>
        <v>10</v>
      </c>
      <c r="X96" s="327" t="str">
        <f t="shared" si="14"/>
        <v>0</v>
      </c>
      <c r="Y96" s="327">
        <f t="shared" si="15"/>
        <v>0</v>
      </c>
      <c r="Z96" s="327">
        <f t="shared" si="15"/>
        <v>0</v>
      </c>
      <c r="AA96" s="327">
        <f t="shared" si="16"/>
        <v>1</v>
      </c>
      <c r="AB96" s="327" t="str">
        <f t="shared" si="19"/>
        <v>100</v>
      </c>
      <c r="AC96" s="327">
        <f t="shared" si="17"/>
        <v>0</v>
      </c>
      <c r="AD96" s="327">
        <v>0</v>
      </c>
      <c r="AE96" s="327" t="str">
        <f t="shared" si="18"/>
        <v>32428</v>
      </c>
    </row>
    <row r="97" spans="1:31" s="327" customFormat="1" ht="14.45" customHeight="1" x14ac:dyDescent="0.15">
      <c r="A97" s="318" t="str">
        <f t="shared" si="11"/>
        <v>0</v>
      </c>
      <c r="B97" s="319">
        <v>95</v>
      </c>
      <c r="C97" s="320" t="s">
        <v>1033</v>
      </c>
      <c r="D97" s="321" t="s">
        <v>2844</v>
      </c>
      <c r="E97" s="322" t="s">
        <v>1716</v>
      </c>
      <c r="F97" s="354" t="s">
        <v>2725</v>
      </c>
      <c r="G97" s="324">
        <v>20</v>
      </c>
      <c r="H97" s="325">
        <v>6000</v>
      </c>
      <c r="I97" s="320">
        <v>0</v>
      </c>
      <c r="J97" s="325">
        <v>0</v>
      </c>
      <c r="K97" s="325">
        <v>0</v>
      </c>
      <c r="L97" s="325" t="s">
        <v>859</v>
      </c>
      <c r="M97" s="325">
        <v>0.01</v>
      </c>
      <c r="N97" s="325" t="s">
        <v>1697</v>
      </c>
      <c r="O97" s="325">
        <v>0</v>
      </c>
      <c r="P97" s="320">
        <v>0</v>
      </c>
      <c r="Q97" s="325">
        <v>1</v>
      </c>
      <c r="R97" s="325">
        <v>4</v>
      </c>
      <c r="S97" s="325">
        <v>0</v>
      </c>
      <c r="T97" s="325"/>
      <c r="V97" s="327" t="str">
        <f t="shared" si="12"/>
        <v>0</v>
      </c>
      <c r="W97" s="327" t="str">
        <f t="shared" si="13"/>
        <v>10</v>
      </c>
      <c r="X97" s="327" t="str">
        <f t="shared" si="14"/>
        <v>0</v>
      </c>
      <c r="Y97" s="327">
        <f t="shared" si="15"/>
        <v>0</v>
      </c>
      <c r="Z97" s="327">
        <f t="shared" si="15"/>
        <v>0</v>
      </c>
      <c r="AA97" s="327">
        <f t="shared" si="16"/>
        <v>1</v>
      </c>
      <c r="AB97" s="327" t="str">
        <f t="shared" si="19"/>
        <v>100</v>
      </c>
      <c r="AC97" s="327">
        <f t="shared" si="17"/>
        <v>0</v>
      </c>
      <c r="AD97" s="327">
        <v>0</v>
      </c>
      <c r="AE97" s="327" t="str">
        <f t="shared" si="18"/>
        <v>32428</v>
      </c>
    </row>
    <row r="98" spans="1:31" s="327" customFormat="1" ht="14.45" customHeight="1" x14ac:dyDescent="0.15">
      <c r="A98" s="318" t="str">
        <f t="shared" si="11"/>
        <v>0</v>
      </c>
      <c r="B98" s="319">
        <v>96</v>
      </c>
      <c r="C98" s="320" t="s">
        <v>1229</v>
      </c>
      <c r="D98" s="321" t="s">
        <v>2845</v>
      </c>
      <c r="E98" s="322" t="s">
        <v>1717</v>
      </c>
      <c r="F98" s="356" t="s">
        <v>1718</v>
      </c>
      <c r="G98" s="324">
        <v>200</v>
      </c>
      <c r="H98" s="320">
        <v>1000</v>
      </c>
      <c r="I98" s="320">
        <v>0</v>
      </c>
      <c r="J98" s="325">
        <v>0</v>
      </c>
      <c r="K98" s="325">
        <v>0</v>
      </c>
      <c r="L98" s="325" t="s">
        <v>859</v>
      </c>
      <c r="M98" s="325">
        <v>0.1</v>
      </c>
      <c r="N98" s="325" t="s">
        <v>1719</v>
      </c>
      <c r="O98" s="325">
        <v>0</v>
      </c>
      <c r="P98" s="320">
        <v>0</v>
      </c>
      <c r="Q98" s="325">
        <v>1</v>
      </c>
      <c r="R98" s="325">
        <v>4</v>
      </c>
      <c r="S98" s="325">
        <v>0</v>
      </c>
      <c r="T98" s="320"/>
      <c r="V98" s="327" t="str">
        <f t="shared" si="12"/>
        <v>0</v>
      </c>
      <c r="W98" s="327" t="str">
        <f t="shared" si="13"/>
        <v>1</v>
      </c>
      <c r="X98" s="327" t="e">
        <f t="shared" si="14"/>
        <v>#N/A</v>
      </c>
      <c r="Y98" s="327">
        <f t="shared" si="15"/>
        <v>0</v>
      </c>
      <c r="Z98" s="327">
        <f t="shared" si="15"/>
        <v>0</v>
      </c>
      <c r="AA98" s="327">
        <f t="shared" si="16"/>
        <v>1</v>
      </c>
      <c r="AB98" s="327" t="str">
        <f t="shared" si="19"/>
        <v>100</v>
      </c>
      <c r="AC98" s="327">
        <f t="shared" si="17"/>
        <v>0</v>
      </c>
      <c r="AD98" s="327">
        <v>0</v>
      </c>
      <c r="AE98" s="327" t="e">
        <f t="shared" si="18"/>
        <v>#N/A</v>
      </c>
    </row>
    <row r="99" spans="1:31" s="327" customFormat="1" ht="14.45" customHeight="1" x14ac:dyDescent="0.15">
      <c r="A99" s="318" t="str">
        <f t="shared" si="11"/>
        <v>0</v>
      </c>
      <c r="B99" s="319">
        <v>97</v>
      </c>
      <c r="C99" s="320" t="s">
        <v>1230</v>
      </c>
      <c r="D99" s="321" t="s">
        <v>2845</v>
      </c>
      <c r="E99" s="322" t="s">
        <v>1720</v>
      </c>
      <c r="F99" s="356" t="s">
        <v>1721</v>
      </c>
      <c r="G99" s="324">
        <v>200</v>
      </c>
      <c r="H99" s="320">
        <v>1000</v>
      </c>
      <c r="I99" s="320">
        <v>0</v>
      </c>
      <c r="J99" s="325">
        <v>0</v>
      </c>
      <c r="K99" s="325">
        <v>0</v>
      </c>
      <c r="L99" s="325" t="s">
        <v>859</v>
      </c>
      <c r="M99" s="325">
        <v>0.1</v>
      </c>
      <c r="N99" s="325" t="s">
        <v>1634</v>
      </c>
      <c r="O99" s="325">
        <v>0</v>
      </c>
      <c r="P99" s="320">
        <v>0</v>
      </c>
      <c r="Q99" s="325">
        <v>1</v>
      </c>
      <c r="R99" s="325">
        <v>4</v>
      </c>
      <c r="S99" s="325">
        <v>0</v>
      </c>
      <c r="T99" s="320"/>
      <c r="V99" s="327" t="str">
        <f t="shared" si="12"/>
        <v>0</v>
      </c>
      <c r="W99" s="327" t="str">
        <f t="shared" si="13"/>
        <v>1</v>
      </c>
      <c r="X99" s="327" t="e">
        <f t="shared" si="14"/>
        <v>#N/A</v>
      </c>
      <c r="Y99" s="327">
        <f t="shared" si="15"/>
        <v>0</v>
      </c>
      <c r="Z99" s="327">
        <f t="shared" si="15"/>
        <v>0</v>
      </c>
      <c r="AA99" s="327">
        <f t="shared" si="16"/>
        <v>1</v>
      </c>
      <c r="AB99" s="327" t="str">
        <f t="shared" si="19"/>
        <v>100</v>
      </c>
      <c r="AC99" s="327">
        <f t="shared" si="17"/>
        <v>0</v>
      </c>
      <c r="AD99" s="327">
        <v>0</v>
      </c>
      <c r="AE99" s="327" t="e">
        <f t="shared" si="18"/>
        <v>#N/A</v>
      </c>
    </row>
    <row r="100" spans="1:31" s="327" customFormat="1" ht="14.45" customHeight="1" x14ac:dyDescent="0.15">
      <c r="A100" s="318" t="str">
        <f t="shared" si="11"/>
        <v>0</v>
      </c>
      <c r="B100" s="319">
        <v>98</v>
      </c>
      <c r="C100" s="320" t="s">
        <v>1231</v>
      </c>
      <c r="D100" s="321" t="s">
        <v>2845</v>
      </c>
      <c r="E100" s="322" t="s">
        <v>1722</v>
      </c>
      <c r="F100" s="356" t="s">
        <v>1723</v>
      </c>
      <c r="G100" s="324">
        <v>200</v>
      </c>
      <c r="H100" s="320">
        <v>1000</v>
      </c>
      <c r="I100" s="320">
        <v>0</v>
      </c>
      <c r="J100" s="325">
        <v>0</v>
      </c>
      <c r="K100" s="325">
        <v>0</v>
      </c>
      <c r="L100" s="325" t="s">
        <v>859</v>
      </c>
      <c r="M100" s="325">
        <v>0.1</v>
      </c>
      <c r="N100" s="325" t="s">
        <v>1634</v>
      </c>
      <c r="O100" s="325">
        <v>0</v>
      </c>
      <c r="P100" s="320">
        <v>0</v>
      </c>
      <c r="Q100" s="325">
        <v>1</v>
      </c>
      <c r="R100" s="325">
        <v>4</v>
      </c>
      <c r="S100" s="325">
        <v>0</v>
      </c>
      <c r="T100" s="320"/>
      <c r="V100" s="327" t="str">
        <f t="shared" si="12"/>
        <v>0</v>
      </c>
      <c r="W100" s="327" t="str">
        <f t="shared" si="13"/>
        <v>1</v>
      </c>
      <c r="X100" s="327" t="e">
        <f t="shared" si="14"/>
        <v>#N/A</v>
      </c>
      <c r="Y100" s="327">
        <f t="shared" si="15"/>
        <v>0</v>
      </c>
      <c r="Z100" s="327">
        <f t="shared" si="15"/>
        <v>0</v>
      </c>
      <c r="AA100" s="327">
        <f t="shared" si="16"/>
        <v>1</v>
      </c>
      <c r="AB100" s="327" t="str">
        <f t="shared" si="19"/>
        <v>100</v>
      </c>
      <c r="AC100" s="327">
        <f t="shared" si="17"/>
        <v>0</v>
      </c>
      <c r="AD100" s="327">
        <v>0</v>
      </c>
      <c r="AE100" s="327" t="e">
        <f t="shared" si="18"/>
        <v>#N/A</v>
      </c>
    </row>
    <row r="101" spans="1:31" s="327" customFormat="1" ht="14.45" customHeight="1" x14ac:dyDescent="0.15">
      <c r="A101" s="318" t="str">
        <f t="shared" si="11"/>
        <v>0</v>
      </c>
      <c r="B101" s="319">
        <v>99</v>
      </c>
      <c r="C101" s="320" t="s">
        <v>1232</v>
      </c>
      <c r="D101" s="321" t="s">
        <v>2845</v>
      </c>
      <c r="E101" s="322" t="s">
        <v>1724</v>
      </c>
      <c r="F101" s="356" t="s">
        <v>1725</v>
      </c>
      <c r="G101" s="324">
        <v>200</v>
      </c>
      <c r="H101" s="320">
        <v>1000</v>
      </c>
      <c r="I101" s="320">
        <v>0</v>
      </c>
      <c r="J101" s="325">
        <v>0</v>
      </c>
      <c r="K101" s="325">
        <v>0</v>
      </c>
      <c r="L101" s="325" t="s">
        <v>859</v>
      </c>
      <c r="M101" s="325">
        <v>0.1</v>
      </c>
      <c r="N101" s="325" t="s">
        <v>1634</v>
      </c>
      <c r="O101" s="325">
        <v>0</v>
      </c>
      <c r="P101" s="320">
        <v>0</v>
      </c>
      <c r="Q101" s="325">
        <v>1</v>
      </c>
      <c r="R101" s="325">
        <v>4</v>
      </c>
      <c r="S101" s="325">
        <v>0</v>
      </c>
      <c r="T101" s="320"/>
      <c r="V101" s="327" t="str">
        <f t="shared" si="12"/>
        <v>0</v>
      </c>
      <c r="W101" s="327" t="str">
        <f t="shared" si="13"/>
        <v>1</v>
      </c>
      <c r="X101" s="327" t="e">
        <f t="shared" si="14"/>
        <v>#N/A</v>
      </c>
      <c r="Y101" s="327">
        <f t="shared" si="15"/>
        <v>0</v>
      </c>
      <c r="Z101" s="327">
        <f t="shared" si="15"/>
        <v>0</v>
      </c>
      <c r="AA101" s="327">
        <f t="shared" si="16"/>
        <v>1</v>
      </c>
      <c r="AB101" s="327" t="str">
        <f t="shared" si="19"/>
        <v>100</v>
      </c>
      <c r="AC101" s="327">
        <f t="shared" si="17"/>
        <v>0</v>
      </c>
      <c r="AD101" s="327">
        <v>0</v>
      </c>
      <c r="AE101" s="327" t="e">
        <f t="shared" si="18"/>
        <v>#N/A</v>
      </c>
    </row>
    <row r="102" spans="1:31" ht="101.25" x14ac:dyDescent="0.15">
      <c r="A102" s="42" t="str">
        <f t="shared" si="11"/>
        <v>0</v>
      </c>
      <c r="B102" s="43">
        <v>100</v>
      </c>
      <c r="C102" s="38" t="s">
        <v>462</v>
      </c>
      <c r="D102" s="50" t="s">
        <v>1726</v>
      </c>
      <c r="E102" s="51" t="s">
        <v>1727</v>
      </c>
      <c r="F102" s="54" t="s">
        <v>1728</v>
      </c>
      <c r="G102" s="52">
        <v>0</v>
      </c>
      <c r="H102" s="53">
        <v>1</v>
      </c>
      <c r="I102" s="38">
        <v>0</v>
      </c>
      <c r="J102" s="53">
        <v>0</v>
      </c>
      <c r="K102" s="53">
        <v>0</v>
      </c>
      <c r="L102" s="53" t="s">
        <v>860</v>
      </c>
      <c r="M102" s="53">
        <v>1</v>
      </c>
      <c r="N102" s="53" t="s">
        <v>1601</v>
      </c>
      <c r="O102" s="53">
        <v>0</v>
      </c>
      <c r="P102" s="38">
        <v>0</v>
      </c>
      <c r="Q102" s="53">
        <v>1</v>
      </c>
      <c r="R102" s="53">
        <v>1</v>
      </c>
      <c r="S102" s="53">
        <v>0</v>
      </c>
      <c r="T102" s="53"/>
      <c r="V102" s="49" t="str">
        <f t="shared" si="12"/>
        <v>1</v>
      </c>
      <c r="W102" s="49" t="str">
        <f t="shared" si="13"/>
        <v>0</v>
      </c>
      <c r="X102" s="49" t="str">
        <f t="shared" si="14"/>
        <v>0</v>
      </c>
      <c r="Y102" s="49">
        <f t="shared" si="15"/>
        <v>0</v>
      </c>
      <c r="Z102" s="49">
        <f t="shared" si="15"/>
        <v>0</v>
      </c>
      <c r="AA102" s="49">
        <f t="shared" si="16"/>
        <v>1</v>
      </c>
      <c r="AB102" s="49" t="str">
        <f t="shared" si="19"/>
        <v>1</v>
      </c>
      <c r="AC102" s="49">
        <f t="shared" si="17"/>
        <v>0</v>
      </c>
      <c r="AD102" s="49">
        <v>0</v>
      </c>
      <c r="AE102" s="49" t="str">
        <f t="shared" si="18"/>
        <v>C01</v>
      </c>
    </row>
    <row r="103" spans="1:31" x14ac:dyDescent="0.15">
      <c r="A103" s="42" t="str">
        <f t="shared" si="11"/>
        <v>0</v>
      </c>
      <c r="B103" s="43">
        <v>101</v>
      </c>
      <c r="C103" s="38" t="s">
        <v>463</v>
      </c>
      <c r="D103" s="50" t="s">
        <v>1729</v>
      </c>
      <c r="E103" s="51" t="s">
        <v>1730</v>
      </c>
      <c r="F103" s="68" t="s">
        <v>1731</v>
      </c>
      <c r="G103" s="52">
        <v>0</v>
      </c>
      <c r="H103" s="53">
        <v>99</v>
      </c>
      <c r="I103" s="38">
        <v>0</v>
      </c>
      <c r="J103" s="53">
        <v>0</v>
      </c>
      <c r="K103" s="53">
        <v>0</v>
      </c>
      <c r="L103" s="53" t="s">
        <v>860</v>
      </c>
      <c r="M103" s="53">
        <v>1</v>
      </c>
      <c r="N103" s="53" t="s">
        <v>1601</v>
      </c>
      <c r="O103" s="53">
        <v>0</v>
      </c>
      <c r="P103" s="38">
        <v>1</v>
      </c>
      <c r="Q103" s="53">
        <v>1</v>
      </c>
      <c r="R103" s="53">
        <v>2</v>
      </c>
      <c r="S103" s="53">
        <v>0</v>
      </c>
      <c r="T103" s="53"/>
      <c r="V103" s="49" t="str">
        <f t="shared" si="12"/>
        <v>1</v>
      </c>
      <c r="W103" s="49" t="str">
        <f t="shared" si="13"/>
        <v>0</v>
      </c>
      <c r="X103" s="49" t="str">
        <f t="shared" si="14"/>
        <v>0</v>
      </c>
      <c r="Y103" s="49">
        <f t="shared" si="15"/>
        <v>0</v>
      </c>
      <c r="Z103" s="49">
        <f t="shared" si="15"/>
        <v>1</v>
      </c>
      <c r="AA103" s="49">
        <f t="shared" si="16"/>
        <v>1</v>
      </c>
      <c r="AB103" s="49" t="str">
        <f t="shared" si="19"/>
        <v>10</v>
      </c>
      <c r="AC103" s="49">
        <f t="shared" si="17"/>
        <v>0</v>
      </c>
      <c r="AD103" s="49">
        <v>0</v>
      </c>
      <c r="AE103" s="49" t="str">
        <f t="shared" si="18"/>
        <v>5601</v>
      </c>
    </row>
    <row r="104" spans="1:31" x14ac:dyDescent="0.15">
      <c r="A104" s="42" t="str">
        <f t="shared" si="11"/>
        <v>0</v>
      </c>
      <c r="B104" s="43">
        <v>102</v>
      </c>
      <c r="C104" s="38" t="s">
        <v>464</v>
      </c>
      <c r="D104" s="50" t="s">
        <v>1732</v>
      </c>
      <c r="E104" s="51" t="s">
        <v>1733</v>
      </c>
      <c r="F104" s="68" t="s">
        <v>1731</v>
      </c>
      <c r="G104" s="52">
        <v>0</v>
      </c>
      <c r="H104" s="53">
        <v>99</v>
      </c>
      <c r="I104" s="38">
        <v>0</v>
      </c>
      <c r="J104" s="53">
        <v>0</v>
      </c>
      <c r="K104" s="53">
        <v>0</v>
      </c>
      <c r="L104" s="53" t="s">
        <v>860</v>
      </c>
      <c r="M104" s="53">
        <v>1</v>
      </c>
      <c r="N104" s="53" t="s">
        <v>1601</v>
      </c>
      <c r="O104" s="53">
        <v>0</v>
      </c>
      <c r="P104" s="38">
        <v>1</v>
      </c>
      <c r="Q104" s="53">
        <v>1</v>
      </c>
      <c r="R104" s="53">
        <v>2</v>
      </c>
      <c r="S104" s="53">
        <v>0</v>
      </c>
      <c r="T104" s="53"/>
      <c r="V104" s="49" t="str">
        <f t="shared" si="12"/>
        <v>1</v>
      </c>
      <c r="W104" s="49" t="str">
        <f t="shared" si="13"/>
        <v>0</v>
      </c>
      <c r="X104" s="49" t="str">
        <f t="shared" si="14"/>
        <v>0</v>
      </c>
      <c r="Y104" s="49">
        <f t="shared" si="15"/>
        <v>0</v>
      </c>
      <c r="Z104" s="49">
        <f t="shared" si="15"/>
        <v>1</v>
      </c>
      <c r="AA104" s="49">
        <f t="shared" si="16"/>
        <v>1</v>
      </c>
      <c r="AB104" s="49" t="str">
        <f t="shared" si="19"/>
        <v>10</v>
      </c>
      <c r="AC104" s="49">
        <f t="shared" si="17"/>
        <v>0</v>
      </c>
      <c r="AD104" s="49">
        <v>0</v>
      </c>
      <c r="AE104" s="49" t="str">
        <f t="shared" si="18"/>
        <v>5601</v>
      </c>
    </row>
    <row r="105" spans="1:31" x14ac:dyDescent="0.15">
      <c r="A105" s="42" t="str">
        <f t="shared" si="11"/>
        <v>0</v>
      </c>
      <c r="B105" s="43">
        <v>103</v>
      </c>
      <c r="C105" s="38" t="s">
        <v>465</v>
      </c>
      <c r="D105" s="50" t="s">
        <v>1734</v>
      </c>
      <c r="E105" s="51" t="s">
        <v>1320</v>
      </c>
      <c r="F105" s="68" t="s">
        <v>1731</v>
      </c>
      <c r="G105" s="52">
        <v>0</v>
      </c>
      <c r="H105" s="53">
        <v>99</v>
      </c>
      <c r="I105" s="38">
        <v>0</v>
      </c>
      <c r="J105" s="53">
        <v>0</v>
      </c>
      <c r="K105" s="53">
        <v>0</v>
      </c>
      <c r="L105" s="53" t="s">
        <v>860</v>
      </c>
      <c r="M105" s="53">
        <v>1</v>
      </c>
      <c r="N105" s="53" t="s">
        <v>1601</v>
      </c>
      <c r="O105" s="53">
        <v>0</v>
      </c>
      <c r="P105" s="38">
        <v>1</v>
      </c>
      <c r="Q105" s="53">
        <v>1</v>
      </c>
      <c r="R105" s="53">
        <v>2</v>
      </c>
      <c r="S105" s="53">
        <v>0</v>
      </c>
      <c r="T105" s="53"/>
      <c r="V105" s="49" t="str">
        <f t="shared" si="12"/>
        <v>1</v>
      </c>
      <c r="W105" s="49" t="str">
        <f t="shared" si="13"/>
        <v>0</v>
      </c>
      <c r="X105" s="49" t="str">
        <f t="shared" si="14"/>
        <v>0</v>
      </c>
      <c r="Y105" s="49">
        <f t="shared" si="15"/>
        <v>0</v>
      </c>
      <c r="Z105" s="49">
        <f t="shared" si="15"/>
        <v>1</v>
      </c>
      <c r="AA105" s="49">
        <f t="shared" si="16"/>
        <v>1</v>
      </c>
      <c r="AB105" s="49" t="str">
        <f t="shared" si="19"/>
        <v>10</v>
      </c>
      <c r="AC105" s="49">
        <f t="shared" si="17"/>
        <v>0</v>
      </c>
      <c r="AD105" s="49">
        <v>0</v>
      </c>
      <c r="AE105" s="49" t="str">
        <f t="shared" si="18"/>
        <v>5601</v>
      </c>
    </row>
    <row r="106" spans="1:31" x14ac:dyDescent="0.15">
      <c r="A106" s="42" t="str">
        <f t="shared" si="11"/>
        <v>0</v>
      </c>
      <c r="B106" s="43">
        <v>104</v>
      </c>
      <c r="C106" s="38" t="s">
        <v>466</v>
      </c>
      <c r="D106" s="50" t="s">
        <v>1735</v>
      </c>
      <c r="E106" s="51" t="s">
        <v>1321</v>
      </c>
      <c r="F106" s="68" t="s">
        <v>1731</v>
      </c>
      <c r="G106" s="52">
        <v>0</v>
      </c>
      <c r="H106" s="53">
        <v>99</v>
      </c>
      <c r="I106" s="38">
        <v>0</v>
      </c>
      <c r="J106" s="53">
        <v>0</v>
      </c>
      <c r="K106" s="53">
        <v>0</v>
      </c>
      <c r="L106" s="53" t="s">
        <v>860</v>
      </c>
      <c r="M106" s="53">
        <v>1</v>
      </c>
      <c r="N106" s="53" t="s">
        <v>1601</v>
      </c>
      <c r="O106" s="53">
        <v>0</v>
      </c>
      <c r="P106" s="38">
        <v>1</v>
      </c>
      <c r="Q106" s="53">
        <v>1</v>
      </c>
      <c r="R106" s="53">
        <v>2</v>
      </c>
      <c r="S106" s="53">
        <v>0</v>
      </c>
      <c r="T106" s="53"/>
      <c r="V106" s="49" t="str">
        <f t="shared" si="12"/>
        <v>1</v>
      </c>
      <c r="W106" s="49" t="str">
        <f t="shared" si="13"/>
        <v>0</v>
      </c>
      <c r="X106" s="49" t="str">
        <f t="shared" si="14"/>
        <v>0</v>
      </c>
      <c r="Y106" s="49">
        <f t="shared" si="15"/>
        <v>0</v>
      </c>
      <c r="Z106" s="49">
        <f t="shared" si="15"/>
        <v>1</v>
      </c>
      <c r="AA106" s="49">
        <f t="shared" si="16"/>
        <v>1</v>
      </c>
      <c r="AB106" s="49" t="str">
        <f t="shared" si="19"/>
        <v>10</v>
      </c>
      <c r="AC106" s="49">
        <f t="shared" si="17"/>
        <v>0</v>
      </c>
      <c r="AD106" s="49">
        <v>0</v>
      </c>
      <c r="AE106" s="49" t="str">
        <f t="shared" si="18"/>
        <v>5601</v>
      </c>
    </row>
    <row r="107" spans="1:31" x14ac:dyDescent="0.15">
      <c r="A107" s="42" t="str">
        <f t="shared" si="11"/>
        <v>0</v>
      </c>
      <c r="B107" s="43">
        <v>105</v>
      </c>
      <c r="C107" s="38" t="s">
        <v>467</v>
      </c>
      <c r="D107" s="50" t="s">
        <v>1736</v>
      </c>
      <c r="E107" s="51" t="s">
        <v>1322</v>
      </c>
      <c r="F107" s="68" t="s">
        <v>1731</v>
      </c>
      <c r="G107" s="52">
        <v>0</v>
      </c>
      <c r="H107" s="53">
        <v>99</v>
      </c>
      <c r="I107" s="38">
        <v>0</v>
      </c>
      <c r="J107" s="53">
        <v>0</v>
      </c>
      <c r="K107" s="53">
        <v>0</v>
      </c>
      <c r="L107" s="53" t="s">
        <v>860</v>
      </c>
      <c r="M107" s="53">
        <v>1</v>
      </c>
      <c r="N107" s="53" t="s">
        <v>1601</v>
      </c>
      <c r="O107" s="53">
        <v>0</v>
      </c>
      <c r="P107" s="38">
        <v>1</v>
      </c>
      <c r="Q107" s="53">
        <v>1</v>
      </c>
      <c r="R107" s="53">
        <v>2</v>
      </c>
      <c r="S107" s="53">
        <v>0</v>
      </c>
      <c r="T107" s="53"/>
      <c r="V107" s="49" t="str">
        <f t="shared" si="12"/>
        <v>1</v>
      </c>
      <c r="W107" s="49" t="str">
        <f t="shared" si="13"/>
        <v>0</v>
      </c>
      <c r="X107" s="49" t="str">
        <f t="shared" si="14"/>
        <v>0</v>
      </c>
      <c r="Y107" s="49">
        <f t="shared" si="15"/>
        <v>0</v>
      </c>
      <c r="Z107" s="49">
        <f t="shared" si="15"/>
        <v>1</v>
      </c>
      <c r="AA107" s="49">
        <f t="shared" si="16"/>
        <v>1</v>
      </c>
      <c r="AB107" s="49" t="str">
        <f t="shared" si="19"/>
        <v>10</v>
      </c>
      <c r="AC107" s="49">
        <f t="shared" si="17"/>
        <v>0</v>
      </c>
      <c r="AD107" s="49">
        <v>0</v>
      </c>
      <c r="AE107" s="49" t="str">
        <f t="shared" si="18"/>
        <v>5601</v>
      </c>
    </row>
    <row r="108" spans="1:31" x14ac:dyDescent="0.15">
      <c r="A108" s="42" t="str">
        <f t="shared" si="11"/>
        <v>0</v>
      </c>
      <c r="B108" s="43">
        <v>106</v>
      </c>
      <c r="C108" s="38" t="s">
        <v>909</v>
      </c>
      <c r="D108" s="50" t="s">
        <v>1737</v>
      </c>
      <c r="E108" s="51" t="s">
        <v>1323</v>
      </c>
      <c r="F108" s="68" t="s">
        <v>1731</v>
      </c>
      <c r="G108" s="52">
        <v>0</v>
      </c>
      <c r="H108" s="53">
        <v>99</v>
      </c>
      <c r="I108" s="38">
        <v>0</v>
      </c>
      <c r="J108" s="53">
        <v>0</v>
      </c>
      <c r="K108" s="53">
        <v>0</v>
      </c>
      <c r="L108" s="53" t="s">
        <v>860</v>
      </c>
      <c r="M108" s="53">
        <v>1</v>
      </c>
      <c r="N108" s="53" t="s">
        <v>1601</v>
      </c>
      <c r="O108" s="53">
        <v>0</v>
      </c>
      <c r="P108" s="38">
        <v>1</v>
      </c>
      <c r="Q108" s="53">
        <v>1</v>
      </c>
      <c r="R108" s="53">
        <v>2</v>
      </c>
      <c r="S108" s="53">
        <v>0</v>
      </c>
      <c r="T108" s="53"/>
      <c r="V108" s="49" t="str">
        <f t="shared" si="12"/>
        <v>1</v>
      </c>
      <c r="W108" s="49" t="str">
        <f t="shared" si="13"/>
        <v>0</v>
      </c>
      <c r="X108" s="49" t="str">
        <f t="shared" si="14"/>
        <v>0</v>
      </c>
      <c r="Y108" s="49">
        <f t="shared" si="15"/>
        <v>0</v>
      </c>
      <c r="Z108" s="49">
        <f t="shared" si="15"/>
        <v>1</v>
      </c>
      <c r="AA108" s="49">
        <f t="shared" si="16"/>
        <v>1</v>
      </c>
      <c r="AB108" s="49" t="str">
        <f t="shared" si="19"/>
        <v>10</v>
      </c>
      <c r="AC108" s="49">
        <f t="shared" si="17"/>
        <v>0</v>
      </c>
      <c r="AD108" s="49">
        <v>0</v>
      </c>
      <c r="AE108" s="49" t="str">
        <f t="shared" si="18"/>
        <v>5601</v>
      </c>
    </row>
    <row r="109" spans="1:31" s="327" customFormat="1" x14ac:dyDescent="0.15">
      <c r="A109" s="318" t="str">
        <f t="shared" si="11"/>
        <v>0</v>
      </c>
      <c r="B109" s="319">
        <v>107</v>
      </c>
      <c r="C109" s="328" t="s">
        <v>910</v>
      </c>
      <c r="D109" s="329" t="s">
        <v>2681</v>
      </c>
      <c r="E109" s="330" t="s">
        <v>2726</v>
      </c>
      <c r="F109" s="357" t="s">
        <v>1738</v>
      </c>
      <c r="G109" s="277">
        <v>0</v>
      </c>
      <c r="H109" s="331">
        <v>99</v>
      </c>
      <c r="I109" s="328">
        <v>0</v>
      </c>
      <c r="J109" s="331">
        <v>0</v>
      </c>
      <c r="K109" s="331">
        <v>0</v>
      </c>
      <c r="L109" s="331" t="s">
        <v>860</v>
      </c>
      <c r="M109" s="331">
        <v>1</v>
      </c>
      <c r="N109" s="331" t="s">
        <v>1660</v>
      </c>
      <c r="O109" s="331">
        <v>0</v>
      </c>
      <c r="P109" s="328">
        <v>1</v>
      </c>
      <c r="Q109" s="331">
        <v>1</v>
      </c>
      <c r="R109" s="331">
        <v>2</v>
      </c>
      <c r="S109" s="331">
        <v>0</v>
      </c>
      <c r="T109" s="331"/>
      <c r="V109" s="327" t="str">
        <f t="shared" si="12"/>
        <v>1</v>
      </c>
      <c r="W109" s="327" t="str">
        <f t="shared" si="13"/>
        <v>0</v>
      </c>
      <c r="X109" s="327" t="str">
        <f t="shared" si="14"/>
        <v>0</v>
      </c>
      <c r="Y109" s="327">
        <f t="shared" si="15"/>
        <v>0</v>
      </c>
      <c r="Z109" s="327">
        <f t="shared" si="15"/>
        <v>1</v>
      </c>
      <c r="AA109" s="327">
        <f t="shared" si="16"/>
        <v>1</v>
      </c>
      <c r="AB109" s="327" t="str">
        <f t="shared" si="19"/>
        <v>10</v>
      </c>
      <c r="AC109" s="327">
        <f t="shared" si="17"/>
        <v>0</v>
      </c>
      <c r="AD109" s="327">
        <v>0</v>
      </c>
      <c r="AE109" s="327" t="str">
        <f t="shared" si="18"/>
        <v>5601</v>
      </c>
    </row>
    <row r="110" spans="1:31" s="327" customFormat="1" x14ac:dyDescent="0.15">
      <c r="A110" s="318" t="str">
        <f t="shared" si="11"/>
        <v>0</v>
      </c>
      <c r="B110" s="319">
        <v>108</v>
      </c>
      <c r="C110" s="328" t="s">
        <v>911</v>
      </c>
      <c r="D110" s="329" t="s">
        <v>2845</v>
      </c>
      <c r="E110" s="330" t="s">
        <v>1739</v>
      </c>
      <c r="F110" s="357" t="s">
        <v>1738</v>
      </c>
      <c r="G110" s="277">
        <v>0</v>
      </c>
      <c r="H110" s="331">
        <v>99</v>
      </c>
      <c r="I110" s="328">
        <v>0</v>
      </c>
      <c r="J110" s="331">
        <v>0</v>
      </c>
      <c r="K110" s="331">
        <v>0</v>
      </c>
      <c r="L110" s="331" t="s">
        <v>860</v>
      </c>
      <c r="M110" s="331">
        <v>1</v>
      </c>
      <c r="N110" s="331" t="s">
        <v>1660</v>
      </c>
      <c r="O110" s="331">
        <v>0</v>
      </c>
      <c r="P110" s="328">
        <v>0</v>
      </c>
      <c r="Q110" s="331">
        <v>1</v>
      </c>
      <c r="R110" s="331">
        <v>2</v>
      </c>
      <c r="S110" s="331">
        <v>0</v>
      </c>
      <c r="T110" s="331"/>
      <c r="V110" s="327" t="str">
        <f t="shared" si="12"/>
        <v>1</v>
      </c>
      <c r="W110" s="327" t="str">
        <f t="shared" si="13"/>
        <v>0</v>
      </c>
      <c r="X110" s="327" t="str">
        <f t="shared" si="14"/>
        <v>0</v>
      </c>
      <c r="Y110" s="327">
        <f t="shared" si="15"/>
        <v>0</v>
      </c>
      <c r="Z110" s="327">
        <f t="shared" si="15"/>
        <v>0</v>
      </c>
      <c r="AA110" s="327">
        <f t="shared" si="16"/>
        <v>1</v>
      </c>
      <c r="AB110" s="327" t="str">
        <f t="shared" si="19"/>
        <v>10</v>
      </c>
      <c r="AC110" s="327">
        <f t="shared" si="17"/>
        <v>0</v>
      </c>
      <c r="AD110" s="327">
        <v>0</v>
      </c>
      <c r="AE110" s="327" t="str">
        <f t="shared" si="18"/>
        <v>5401</v>
      </c>
    </row>
    <row r="111" spans="1:31" s="327" customFormat="1" ht="24.75" customHeight="1" x14ac:dyDescent="0.15">
      <c r="A111" s="318" t="str">
        <f t="shared" si="11"/>
        <v>0</v>
      </c>
      <c r="B111" s="319">
        <v>109</v>
      </c>
      <c r="C111" s="328" t="s">
        <v>468</v>
      </c>
      <c r="D111" s="329" t="s">
        <v>2844</v>
      </c>
      <c r="E111" s="330" t="s">
        <v>1324</v>
      </c>
      <c r="F111" s="357" t="s">
        <v>1738</v>
      </c>
      <c r="G111" s="277">
        <v>0</v>
      </c>
      <c r="H111" s="331">
        <v>99</v>
      </c>
      <c r="I111" s="328">
        <v>0</v>
      </c>
      <c r="J111" s="331">
        <v>0</v>
      </c>
      <c r="K111" s="331">
        <v>0</v>
      </c>
      <c r="L111" s="331" t="s">
        <v>860</v>
      </c>
      <c r="M111" s="331">
        <v>1</v>
      </c>
      <c r="N111" s="331" t="s">
        <v>1660</v>
      </c>
      <c r="O111" s="331">
        <v>0</v>
      </c>
      <c r="P111" s="328">
        <v>0</v>
      </c>
      <c r="Q111" s="331">
        <v>1</v>
      </c>
      <c r="R111" s="331">
        <v>2</v>
      </c>
      <c r="S111" s="331">
        <v>0</v>
      </c>
      <c r="T111" s="331"/>
      <c r="V111" s="327" t="str">
        <f t="shared" si="12"/>
        <v>1</v>
      </c>
      <c r="W111" s="327" t="str">
        <f t="shared" si="13"/>
        <v>0</v>
      </c>
      <c r="X111" s="327" t="str">
        <f t="shared" si="14"/>
        <v>0</v>
      </c>
      <c r="Y111" s="327">
        <f t="shared" si="15"/>
        <v>0</v>
      </c>
      <c r="Z111" s="327">
        <f t="shared" si="15"/>
        <v>0</v>
      </c>
      <c r="AA111" s="327">
        <f t="shared" si="16"/>
        <v>1</v>
      </c>
      <c r="AB111" s="327" t="str">
        <f t="shared" si="19"/>
        <v>10</v>
      </c>
      <c r="AC111" s="327">
        <f t="shared" si="17"/>
        <v>0</v>
      </c>
      <c r="AD111" s="327">
        <v>0</v>
      </c>
      <c r="AE111" s="327" t="str">
        <f t="shared" si="18"/>
        <v>5401</v>
      </c>
    </row>
    <row r="112" spans="1:31" s="327" customFormat="1" ht="24.75" customHeight="1" x14ac:dyDescent="0.15">
      <c r="A112" s="318" t="str">
        <f t="shared" si="11"/>
        <v>0</v>
      </c>
      <c r="B112" s="319">
        <v>110</v>
      </c>
      <c r="C112" s="328" t="s">
        <v>469</v>
      </c>
      <c r="D112" s="329" t="s">
        <v>2681</v>
      </c>
      <c r="E112" s="330" t="s">
        <v>1034</v>
      </c>
      <c r="F112" s="357" t="s">
        <v>1738</v>
      </c>
      <c r="G112" s="277">
        <v>0</v>
      </c>
      <c r="H112" s="331">
        <v>99</v>
      </c>
      <c r="I112" s="328">
        <v>0</v>
      </c>
      <c r="J112" s="331">
        <v>0</v>
      </c>
      <c r="K112" s="331">
        <v>0</v>
      </c>
      <c r="L112" s="331" t="s">
        <v>860</v>
      </c>
      <c r="M112" s="331">
        <v>1</v>
      </c>
      <c r="N112" s="331" t="s">
        <v>1660</v>
      </c>
      <c r="O112" s="331">
        <v>0</v>
      </c>
      <c r="P112" s="328">
        <v>0</v>
      </c>
      <c r="Q112" s="331">
        <v>1</v>
      </c>
      <c r="R112" s="331">
        <v>2</v>
      </c>
      <c r="S112" s="331">
        <v>0</v>
      </c>
      <c r="T112" s="331"/>
      <c r="V112" s="327" t="str">
        <f t="shared" si="12"/>
        <v>1</v>
      </c>
      <c r="W112" s="327" t="str">
        <f t="shared" si="13"/>
        <v>0</v>
      </c>
      <c r="X112" s="327" t="str">
        <f t="shared" si="14"/>
        <v>0</v>
      </c>
      <c r="Y112" s="327">
        <f t="shared" si="15"/>
        <v>0</v>
      </c>
      <c r="Z112" s="327">
        <f t="shared" si="15"/>
        <v>0</v>
      </c>
      <c r="AA112" s="327">
        <f t="shared" si="16"/>
        <v>1</v>
      </c>
      <c r="AB112" s="327" t="str">
        <f t="shared" si="19"/>
        <v>10</v>
      </c>
      <c r="AC112" s="327">
        <f t="shared" si="17"/>
        <v>0</v>
      </c>
      <c r="AD112" s="327">
        <v>0</v>
      </c>
      <c r="AE112" s="327" t="str">
        <f t="shared" si="18"/>
        <v>5401</v>
      </c>
    </row>
    <row r="113" spans="1:31" s="327" customFormat="1" ht="24.75" customHeight="1" x14ac:dyDescent="0.15">
      <c r="A113" s="318" t="str">
        <f t="shared" si="11"/>
        <v>0</v>
      </c>
      <c r="B113" s="319">
        <v>111</v>
      </c>
      <c r="C113" s="328" t="s">
        <v>470</v>
      </c>
      <c r="D113" s="329" t="s">
        <v>2844</v>
      </c>
      <c r="E113" s="330" t="s">
        <v>1740</v>
      </c>
      <c r="F113" s="358" t="s">
        <v>2727</v>
      </c>
      <c r="G113" s="277">
        <v>10</v>
      </c>
      <c r="H113" s="331">
        <v>1000</v>
      </c>
      <c r="I113" s="328">
        <v>0</v>
      </c>
      <c r="J113" s="331">
        <v>0</v>
      </c>
      <c r="K113" s="331">
        <v>0</v>
      </c>
      <c r="L113" s="331" t="s">
        <v>859</v>
      </c>
      <c r="M113" s="331">
        <v>1E-3</v>
      </c>
      <c r="N113" s="331" t="s">
        <v>1697</v>
      </c>
      <c r="O113" s="331">
        <v>0</v>
      </c>
      <c r="P113" s="328">
        <v>0</v>
      </c>
      <c r="Q113" s="331">
        <v>1</v>
      </c>
      <c r="R113" s="331">
        <v>4</v>
      </c>
      <c r="S113" s="331">
        <v>0</v>
      </c>
      <c r="T113" s="331"/>
      <c r="V113" s="327" t="str">
        <f t="shared" si="12"/>
        <v>0</v>
      </c>
      <c r="W113" s="327" t="str">
        <f t="shared" si="13"/>
        <v>11</v>
      </c>
      <c r="X113" s="327" t="str">
        <f t="shared" si="14"/>
        <v>0</v>
      </c>
      <c r="Y113" s="327">
        <f t="shared" si="15"/>
        <v>0</v>
      </c>
      <c r="Z113" s="327">
        <f t="shared" si="15"/>
        <v>0</v>
      </c>
      <c r="AA113" s="327">
        <f t="shared" si="16"/>
        <v>1</v>
      </c>
      <c r="AB113" s="327" t="str">
        <f t="shared" si="19"/>
        <v>100</v>
      </c>
      <c r="AC113" s="327">
        <f t="shared" si="17"/>
        <v>0</v>
      </c>
      <c r="AD113" s="327">
        <v>0</v>
      </c>
      <c r="AE113" s="327" t="str">
        <f t="shared" si="18"/>
        <v>3242C</v>
      </c>
    </row>
    <row r="114" spans="1:31" ht="24.75" customHeight="1" x14ac:dyDescent="0.15">
      <c r="A114" s="42" t="str">
        <f t="shared" si="11"/>
        <v>0</v>
      </c>
      <c r="B114" s="43">
        <v>112</v>
      </c>
      <c r="C114" s="38" t="s">
        <v>471</v>
      </c>
      <c r="D114" s="50" t="s">
        <v>1467</v>
      </c>
      <c r="E114" s="51" t="s">
        <v>1741</v>
      </c>
      <c r="F114" s="69" t="s">
        <v>1025</v>
      </c>
      <c r="G114" s="52">
        <v>0</v>
      </c>
      <c r="H114" s="53">
        <v>36000</v>
      </c>
      <c r="I114" s="38">
        <v>0</v>
      </c>
      <c r="J114" s="53">
        <v>0</v>
      </c>
      <c r="K114" s="53">
        <v>0</v>
      </c>
      <c r="L114" s="53" t="s">
        <v>859</v>
      </c>
      <c r="M114" s="53">
        <v>0.1</v>
      </c>
      <c r="N114" s="53" t="s">
        <v>1697</v>
      </c>
      <c r="O114" s="53">
        <v>0</v>
      </c>
      <c r="P114" s="38">
        <v>0</v>
      </c>
      <c r="Q114" s="53">
        <v>1</v>
      </c>
      <c r="R114" s="53">
        <v>5</v>
      </c>
      <c r="S114" s="53">
        <v>0</v>
      </c>
      <c r="T114" s="53"/>
      <c r="V114" s="49" t="str">
        <f t="shared" si="12"/>
        <v>0</v>
      </c>
      <c r="W114" s="49" t="str">
        <f t="shared" si="13"/>
        <v>1</v>
      </c>
      <c r="X114" s="49" t="str">
        <f t="shared" si="14"/>
        <v>0</v>
      </c>
      <c r="Y114" s="49">
        <f t="shared" si="15"/>
        <v>0</v>
      </c>
      <c r="Z114" s="49">
        <f t="shared" si="15"/>
        <v>0</v>
      </c>
      <c r="AA114" s="49">
        <f t="shared" si="16"/>
        <v>1</v>
      </c>
      <c r="AB114" s="49" t="str">
        <f t="shared" si="19"/>
        <v>101</v>
      </c>
      <c r="AC114" s="49">
        <f t="shared" si="17"/>
        <v>0</v>
      </c>
      <c r="AD114" s="49">
        <v>0</v>
      </c>
      <c r="AE114" s="49" t="str">
        <f t="shared" si="18"/>
        <v>32C04</v>
      </c>
    </row>
    <row r="115" spans="1:31" x14ac:dyDescent="0.15">
      <c r="A115" s="42" t="str">
        <f t="shared" si="11"/>
        <v>0</v>
      </c>
      <c r="B115" s="43">
        <v>113</v>
      </c>
      <c r="C115" s="38" t="s">
        <v>472</v>
      </c>
      <c r="D115" s="50" t="s">
        <v>1468</v>
      </c>
      <c r="E115" s="51" t="s">
        <v>1325</v>
      </c>
      <c r="F115" s="69" t="s">
        <v>1025</v>
      </c>
      <c r="G115" s="52">
        <v>0</v>
      </c>
      <c r="H115" s="53">
        <v>36000</v>
      </c>
      <c r="I115" s="38">
        <v>0</v>
      </c>
      <c r="J115" s="53">
        <v>0</v>
      </c>
      <c r="K115" s="53">
        <v>0</v>
      </c>
      <c r="L115" s="53" t="s">
        <v>859</v>
      </c>
      <c r="M115" s="53">
        <v>0.1</v>
      </c>
      <c r="N115" s="53" t="s">
        <v>1697</v>
      </c>
      <c r="O115" s="53">
        <v>0</v>
      </c>
      <c r="P115" s="38">
        <v>0</v>
      </c>
      <c r="Q115" s="53">
        <v>1</v>
      </c>
      <c r="R115" s="53">
        <v>5</v>
      </c>
      <c r="S115" s="53">
        <v>0</v>
      </c>
      <c r="T115" s="53"/>
      <c r="V115" s="49" t="str">
        <f t="shared" si="12"/>
        <v>0</v>
      </c>
      <c r="W115" s="49" t="str">
        <f t="shared" si="13"/>
        <v>1</v>
      </c>
      <c r="X115" s="49" t="str">
        <f t="shared" si="14"/>
        <v>0</v>
      </c>
      <c r="Y115" s="49">
        <f t="shared" si="15"/>
        <v>0</v>
      </c>
      <c r="Z115" s="49">
        <f t="shared" si="15"/>
        <v>0</v>
      </c>
      <c r="AA115" s="49">
        <f t="shared" si="16"/>
        <v>1</v>
      </c>
      <c r="AB115" s="49" t="str">
        <f t="shared" si="19"/>
        <v>101</v>
      </c>
      <c r="AC115" s="49">
        <f t="shared" si="17"/>
        <v>0</v>
      </c>
      <c r="AD115" s="49">
        <v>0</v>
      </c>
      <c r="AE115" s="49" t="str">
        <f t="shared" si="18"/>
        <v>32C04</v>
      </c>
    </row>
    <row r="116" spans="1:31" ht="72" x14ac:dyDescent="0.15">
      <c r="A116" s="42" t="str">
        <f t="shared" si="11"/>
        <v>0</v>
      </c>
      <c r="B116" s="43">
        <v>114</v>
      </c>
      <c r="C116" s="38" t="s">
        <v>473</v>
      </c>
      <c r="D116" s="50" t="s">
        <v>1742</v>
      </c>
      <c r="E116" s="51" t="s">
        <v>1743</v>
      </c>
      <c r="F116" s="69" t="s">
        <v>1744</v>
      </c>
      <c r="G116" s="52">
        <v>0</v>
      </c>
      <c r="H116" s="53">
        <v>1111</v>
      </c>
      <c r="I116" s="38">
        <v>0</v>
      </c>
      <c r="J116" s="53">
        <v>0</v>
      </c>
      <c r="K116" s="53">
        <v>0</v>
      </c>
      <c r="L116" s="53" t="s">
        <v>860</v>
      </c>
      <c r="M116" s="53">
        <v>1</v>
      </c>
      <c r="N116" s="53" t="s">
        <v>1660</v>
      </c>
      <c r="O116" s="53">
        <v>1</v>
      </c>
      <c r="P116" s="38">
        <v>0</v>
      </c>
      <c r="Q116" s="53">
        <v>1</v>
      </c>
      <c r="R116" s="53">
        <v>4</v>
      </c>
      <c r="S116" s="53">
        <v>0</v>
      </c>
      <c r="T116" s="53" t="s">
        <v>1035</v>
      </c>
      <c r="V116" s="49" t="str">
        <f t="shared" si="12"/>
        <v>1</v>
      </c>
      <c r="W116" s="49" t="str">
        <f t="shared" si="13"/>
        <v>0</v>
      </c>
      <c r="X116" s="49" t="str">
        <f t="shared" si="14"/>
        <v>0</v>
      </c>
      <c r="Y116" s="49">
        <f t="shared" si="15"/>
        <v>1</v>
      </c>
      <c r="Z116" s="49">
        <f t="shared" si="15"/>
        <v>0</v>
      </c>
      <c r="AA116" s="49">
        <f t="shared" si="16"/>
        <v>1</v>
      </c>
      <c r="AB116" s="49" t="str">
        <f t="shared" si="19"/>
        <v>100</v>
      </c>
      <c r="AC116" s="49">
        <f t="shared" si="17"/>
        <v>0</v>
      </c>
      <c r="AD116" s="49">
        <v>0</v>
      </c>
      <c r="AE116" s="49" t="str">
        <f t="shared" si="18"/>
        <v>32501</v>
      </c>
    </row>
    <row r="117" spans="1:31" ht="70.5" x14ac:dyDescent="0.15">
      <c r="A117" s="42" t="str">
        <f t="shared" si="11"/>
        <v>0</v>
      </c>
      <c r="B117" s="43">
        <v>115</v>
      </c>
      <c r="C117" s="38" t="s">
        <v>474</v>
      </c>
      <c r="D117" s="312" t="s">
        <v>2684</v>
      </c>
      <c r="E117" s="51" t="s">
        <v>1745</v>
      </c>
      <c r="F117" s="314" t="s">
        <v>2685</v>
      </c>
      <c r="G117" s="52">
        <v>0</v>
      </c>
      <c r="H117" s="53">
        <v>11</v>
      </c>
      <c r="I117" s="38">
        <v>0</v>
      </c>
      <c r="J117" s="53">
        <v>0</v>
      </c>
      <c r="K117" s="53">
        <v>0</v>
      </c>
      <c r="L117" s="53" t="s">
        <v>860</v>
      </c>
      <c r="M117" s="53">
        <v>1</v>
      </c>
      <c r="N117" s="53" t="s">
        <v>1660</v>
      </c>
      <c r="O117" s="53">
        <v>1</v>
      </c>
      <c r="P117" s="38">
        <v>0</v>
      </c>
      <c r="Q117" s="53">
        <v>1</v>
      </c>
      <c r="R117" s="53">
        <v>4</v>
      </c>
      <c r="S117" s="53">
        <v>0</v>
      </c>
      <c r="T117" s="53" t="s">
        <v>1036</v>
      </c>
      <c r="V117" s="49" t="str">
        <f t="shared" si="12"/>
        <v>1</v>
      </c>
      <c r="W117" s="49" t="str">
        <f t="shared" si="13"/>
        <v>0</v>
      </c>
      <c r="X117" s="49" t="str">
        <f t="shared" si="14"/>
        <v>0</v>
      </c>
      <c r="Y117" s="49">
        <f t="shared" si="15"/>
        <v>1</v>
      </c>
      <c r="Z117" s="49">
        <f t="shared" si="15"/>
        <v>0</v>
      </c>
      <c r="AA117" s="49">
        <f t="shared" si="16"/>
        <v>1</v>
      </c>
      <c r="AB117" s="49" t="str">
        <f t="shared" si="19"/>
        <v>100</v>
      </c>
      <c r="AC117" s="49">
        <f t="shared" si="17"/>
        <v>0</v>
      </c>
      <c r="AD117" s="49">
        <v>0</v>
      </c>
      <c r="AE117" s="49" t="str">
        <f t="shared" si="18"/>
        <v>32501</v>
      </c>
    </row>
    <row r="118" spans="1:31" s="327" customFormat="1" ht="81.75" x14ac:dyDescent="0.15">
      <c r="A118" s="318" t="str">
        <f t="shared" si="11"/>
        <v>0</v>
      </c>
      <c r="B118" s="319">
        <v>116</v>
      </c>
      <c r="C118" s="328" t="s">
        <v>475</v>
      </c>
      <c r="D118" s="329" t="s">
        <v>2845</v>
      </c>
      <c r="E118" s="330" t="s">
        <v>1746</v>
      </c>
      <c r="F118" s="358" t="s">
        <v>2728</v>
      </c>
      <c r="G118" s="277">
        <v>0</v>
      </c>
      <c r="H118" s="331">
        <v>11</v>
      </c>
      <c r="I118" s="328">
        <v>0</v>
      </c>
      <c r="J118" s="331">
        <v>0</v>
      </c>
      <c r="K118" s="331">
        <v>0</v>
      </c>
      <c r="L118" s="331" t="s">
        <v>860</v>
      </c>
      <c r="M118" s="331">
        <v>1</v>
      </c>
      <c r="N118" s="331" t="s">
        <v>1660</v>
      </c>
      <c r="O118" s="331">
        <v>1</v>
      </c>
      <c r="P118" s="328">
        <v>0</v>
      </c>
      <c r="Q118" s="331">
        <v>1</v>
      </c>
      <c r="R118" s="331">
        <v>4</v>
      </c>
      <c r="S118" s="331">
        <v>0</v>
      </c>
      <c r="T118" s="331" t="s">
        <v>1747</v>
      </c>
      <c r="V118" s="327" t="str">
        <f t="shared" si="12"/>
        <v>1</v>
      </c>
      <c r="W118" s="327" t="str">
        <f t="shared" si="13"/>
        <v>0</v>
      </c>
      <c r="X118" s="327" t="str">
        <f t="shared" si="14"/>
        <v>0</v>
      </c>
      <c r="Y118" s="327">
        <f t="shared" si="15"/>
        <v>1</v>
      </c>
      <c r="Z118" s="327">
        <f t="shared" si="15"/>
        <v>0</v>
      </c>
      <c r="AA118" s="327">
        <f t="shared" si="16"/>
        <v>1</v>
      </c>
      <c r="AB118" s="327" t="str">
        <f t="shared" si="19"/>
        <v>100</v>
      </c>
      <c r="AC118" s="327">
        <f t="shared" si="17"/>
        <v>0</v>
      </c>
      <c r="AD118" s="327">
        <v>0</v>
      </c>
      <c r="AE118" s="327" t="str">
        <f t="shared" si="18"/>
        <v>32501</v>
      </c>
    </row>
    <row r="119" spans="1:31" s="327" customFormat="1" ht="141.75" x14ac:dyDescent="0.15">
      <c r="A119" s="318" t="str">
        <f t="shared" si="11"/>
        <v>0</v>
      </c>
      <c r="B119" s="319">
        <v>117</v>
      </c>
      <c r="C119" s="328" t="s">
        <v>476</v>
      </c>
      <c r="D119" s="329" t="s">
        <v>2729</v>
      </c>
      <c r="E119" s="330" t="s">
        <v>1748</v>
      </c>
      <c r="F119" s="358" t="s">
        <v>2730</v>
      </c>
      <c r="G119" s="277">
        <v>0</v>
      </c>
      <c r="H119" s="331">
        <v>1111</v>
      </c>
      <c r="I119" s="328">
        <v>0</v>
      </c>
      <c r="J119" s="331">
        <v>0</v>
      </c>
      <c r="K119" s="331">
        <v>0</v>
      </c>
      <c r="L119" s="331" t="s">
        <v>859</v>
      </c>
      <c r="M119" s="331">
        <v>1</v>
      </c>
      <c r="N119" s="331" t="s">
        <v>1660</v>
      </c>
      <c r="O119" s="331">
        <v>1</v>
      </c>
      <c r="P119" s="328">
        <v>0</v>
      </c>
      <c r="Q119" s="331">
        <v>1</v>
      </c>
      <c r="R119" s="331">
        <v>4</v>
      </c>
      <c r="S119" s="331">
        <v>0</v>
      </c>
      <c r="T119" s="331" t="s">
        <v>1749</v>
      </c>
      <c r="V119" s="327" t="str">
        <f t="shared" si="12"/>
        <v>0</v>
      </c>
      <c r="W119" s="327" t="str">
        <f t="shared" si="13"/>
        <v>0</v>
      </c>
      <c r="X119" s="327" t="str">
        <f t="shared" si="14"/>
        <v>0</v>
      </c>
      <c r="Y119" s="327">
        <f t="shared" si="15"/>
        <v>1</v>
      </c>
      <c r="Z119" s="327">
        <f t="shared" si="15"/>
        <v>0</v>
      </c>
      <c r="AA119" s="327">
        <f t="shared" si="16"/>
        <v>1</v>
      </c>
      <c r="AB119" s="327" t="str">
        <f t="shared" si="19"/>
        <v>100</v>
      </c>
      <c r="AC119" s="327">
        <f t="shared" si="17"/>
        <v>0</v>
      </c>
      <c r="AD119" s="327">
        <v>0</v>
      </c>
      <c r="AE119" s="327" t="str">
        <f t="shared" si="18"/>
        <v>32500</v>
      </c>
    </row>
    <row r="120" spans="1:31" s="327" customFormat="1" x14ac:dyDescent="0.15">
      <c r="A120" s="318" t="str">
        <f t="shared" si="11"/>
        <v>0</v>
      </c>
      <c r="B120" s="319">
        <v>118</v>
      </c>
      <c r="C120" s="328" t="s">
        <v>477</v>
      </c>
      <c r="D120" s="329" t="s">
        <v>2844</v>
      </c>
      <c r="E120" s="330" t="s">
        <v>1750</v>
      </c>
      <c r="F120" s="358" t="s">
        <v>2731</v>
      </c>
      <c r="G120" s="277">
        <v>3</v>
      </c>
      <c r="H120" s="331">
        <v>10000</v>
      </c>
      <c r="I120" s="328">
        <v>0</v>
      </c>
      <c r="J120" s="331">
        <v>0</v>
      </c>
      <c r="K120" s="331">
        <v>0</v>
      </c>
      <c r="L120" s="331" t="s">
        <v>859</v>
      </c>
      <c r="M120" s="331">
        <v>0.01</v>
      </c>
      <c r="N120" s="331" t="s">
        <v>1751</v>
      </c>
      <c r="O120" s="331">
        <v>0</v>
      </c>
      <c r="P120" s="328">
        <v>0</v>
      </c>
      <c r="Q120" s="331">
        <v>1</v>
      </c>
      <c r="R120" s="331">
        <v>5</v>
      </c>
      <c r="S120" s="331">
        <v>0</v>
      </c>
      <c r="T120" s="331"/>
      <c r="V120" s="327" t="str">
        <f t="shared" si="12"/>
        <v>0</v>
      </c>
      <c r="W120" s="327" t="str">
        <f t="shared" si="13"/>
        <v>10</v>
      </c>
      <c r="X120" s="327" t="str">
        <f t="shared" si="14"/>
        <v>0</v>
      </c>
      <c r="Y120" s="327">
        <f t="shared" si="15"/>
        <v>0</v>
      </c>
      <c r="Z120" s="327">
        <f t="shared" si="15"/>
        <v>0</v>
      </c>
      <c r="AA120" s="327">
        <f t="shared" si="16"/>
        <v>1</v>
      </c>
      <c r="AB120" s="327" t="str">
        <f t="shared" si="19"/>
        <v>101</v>
      </c>
      <c r="AC120" s="327">
        <f t="shared" si="17"/>
        <v>0</v>
      </c>
      <c r="AD120" s="327">
        <v>0</v>
      </c>
      <c r="AE120" s="327" t="str">
        <f t="shared" si="18"/>
        <v>32C28</v>
      </c>
    </row>
    <row r="121" spans="1:31" s="327" customFormat="1" ht="48" x14ac:dyDescent="0.15">
      <c r="A121" s="318" t="str">
        <f t="shared" si="11"/>
        <v>0</v>
      </c>
      <c r="B121" s="319">
        <v>119</v>
      </c>
      <c r="C121" s="328" t="s">
        <v>478</v>
      </c>
      <c r="D121" s="329" t="s">
        <v>2844</v>
      </c>
      <c r="E121" s="330" t="s">
        <v>1752</v>
      </c>
      <c r="F121" s="358" t="s">
        <v>2732</v>
      </c>
      <c r="G121" s="277">
        <v>0</v>
      </c>
      <c r="H121" s="359">
        <v>3</v>
      </c>
      <c r="I121" s="360">
        <v>0</v>
      </c>
      <c r="J121" s="331">
        <v>0</v>
      </c>
      <c r="K121" s="331">
        <v>0</v>
      </c>
      <c r="L121" s="331" t="s">
        <v>860</v>
      </c>
      <c r="M121" s="359">
        <v>1</v>
      </c>
      <c r="N121" s="331" t="s">
        <v>1601</v>
      </c>
      <c r="O121" s="359">
        <v>0</v>
      </c>
      <c r="P121" s="328">
        <v>0</v>
      </c>
      <c r="Q121" s="331">
        <v>1</v>
      </c>
      <c r="R121" s="331">
        <v>1</v>
      </c>
      <c r="S121" s="331">
        <v>0</v>
      </c>
      <c r="T121" s="331"/>
      <c r="V121" s="327" t="str">
        <f t="shared" si="12"/>
        <v>1</v>
      </c>
      <c r="W121" s="327" t="str">
        <f t="shared" si="13"/>
        <v>0</v>
      </c>
      <c r="X121" s="327" t="str">
        <f t="shared" si="14"/>
        <v>0</v>
      </c>
      <c r="Y121" s="327">
        <f t="shared" si="15"/>
        <v>0</v>
      </c>
      <c r="Z121" s="327">
        <f t="shared" si="15"/>
        <v>0</v>
      </c>
      <c r="AA121" s="327">
        <f t="shared" si="16"/>
        <v>1</v>
      </c>
      <c r="AB121" s="327" t="str">
        <f t="shared" si="19"/>
        <v>1</v>
      </c>
      <c r="AC121" s="327">
        <f t="shared" si="17"/>
        <v>0</v>
      </c>
      <c r="AD121" s="327">
        <v>0</v>
      </c>
      <c r="AE121" s="327" t="str">
        <f t="shared" si="18"/>
        <v>C01</v>
      </c>
    </row>
    <row r="122" spans="1:31" s="327" customFormat="1" ht="14.45" customHeight="1" x14ac:dyDescent="0.15">
      <c r="A122" s="318" t="str">
        <f t="shared" si="11"/>
        <v>0</v>
      </c>
      <c r="B122" s="319">
        <v>120</v>
      </c>
      <c r="C122" s="328" t="s">
        <v>912</v>
      </c>
      <c r="D122" s="329" t="s">
        <v>2844</v>
      </c>
      <c r="E122" s="330" t="s">
        <v>1753</v>
      </c>
      <c r="F122" s="358" t="s">
        <v>2733</v>
      </c>
      <c r="G122" s="277">
        <v>0</v>
      </c>
      <c r="H122" s="331" t="s">
        <v>1754</v>
      </c>
      <c r="I122" s="328">
        <v>0</v>
      </c>
      <c r="J122" s="331">
        <v>0</v>
      </c>
      <c r="K122" s="331">
        <v>0</v>
      </c>
      <c r="L122" s="331" t="s">
        <v>1653</v>
      </c>
      <c r="M122" s="331">
        <v>1</v>
      </c>
      <c r="N122" s="331" t="s">
        <v>1660</v>
      </c>
      <c r="O122" s="331">
        <v>1</v>
      </c>
      <c r="P122" s="328">
        <v>0</v>
      </c>
      <c r="Q122" s="331">
        <v>1</v>
      </c>
      <c r="R122" s="331">
        <v>3</v>
      </c>
      <c r="S122" s="331">
        <v>0</v>
      </c>
      <c r="T122" s="331" t="s">
        <v>1037</v>
      </c>
      <c r="V122" s="327" t="str">
        <f t="shared" si="12"/>
        <v>1</v>
      </c>
      <c r="W122" s="327" t="str">
        <f t="shared" si="13"/>
        <v>0</v>
      </c>
      <c r="X122" s="327" t="str">
        <f t="shared" si="14"/>
        <v>0</v>
      </c>
      <c r="Y122" s="327">
        <f t="shared" si="15"/>
        <v>1</v>
      </c>
      <c r="Z122" s="327">
        <f t="shared" si="15"/>
        <v>0</v>
      </c>
      <c r="AA122" s="327">
        <f t="shared" si="16"/>
        <v>1</v>
      </c>
      <c r="AB122" s="327" t="str">
        <f t="shared" si="19"/>
        <v>11</v>
      </c>
      <c r="AC122" s="327">
        <f t="shared" si="17"/>
        <v>0</v>
      </c>
      <c r="AD122" s="327">
        <v>0</v>
      </c>
      <c r="AE122" s="327" t="str">
        <f t="shared" si="18"/>
        <v>5D01</v>
      </c>
    </row>
    <row r="123" spans="1:31" s="327" customFormat="1" x14ac:dyDescent="0.15">
      <c r="A123" s="318" t="str">
        <f t="shared" si="11"/>
        <v>0</v>
      </c>
      <c r="B123" s="319">
        <v>121</v>
      </c>
      <c r="C123" s="328" t="s">
        <v>1295</v>
      </c>
      <c r="D123" s="329" t="s">
        <v>1657</v>
      </c>
      <c r="E123" s="330" t="s">
        <v>1755</v>
      </c>
      <c r="F123" s="361" t="s">
        <v>1657</v>
      </c>
      <c r="G123" s="277">
        <v>0</v>
      </c>
      <c r="H123" s="331">
        <v>65535</v>
      </c>
      <c r="I123" s="328">
        <v>0</v>
      </c>
      <c r="J123" s="331">
        <v>0</v>
      </c>
      <c r="K123" s="331">
        <v>0</v>
      </c>
      <c r="L123" s="331" t="s">
        <v>860</v>
      </c>
      <c r="M123" s="331">
        <v>1</v>
      </c>
      <c r="N123" s="331" t="s">
        <v>1660</v>
      </c>
      <c r="O123" s="331">
        <v>0</v>
      </c>
      <c r="P123" s="328">
        <v>0</v>
      </c>
      <c r="Q123" s="331">
        <v>0</v>
      </c>
      <c r="R123" s="331">
        <v>5</v>
      </c>
      <c r="S123" s="331">
        <v>0</v>
      </c>
      <c r="T123" s="331"/>
      <c r="V123" s="327" t="str">
        <f t="shared" si="12"/>
        <v>1</v>
      </c>
      <c r="W123" s="327" t="str">
        <f t="shared" si="13"/>
        <v>0</v>
      </c>
      <c r="X123" s="327" t="str">
        <f t="shared" si="14"/>
        <v>0</v>
      </c>
      <c r="Y123" s="327">
        <f t="shared" si="15"/>
        <v>0</v>
      </c>
      <c r="Z123" s="327">
        <f t="shared" si="15"/>
        <v>0</v>
      </c>
      <c r="AA123" s="327">
        <f t="shared" si="16"/>
        <v>0</v>
      </c>
      <c r="AB123" s="327" t="str">
        <f t="shared" si="19"/>
        <v>101</v>
      </c>
      <c r="AC123" s="327">
        <f t="shared" si="17"/>
        <v>0</v>
      </c>
      <c r="AD123" s="327">
        <v>0</v>
      </c>
      <c r="AE123" s="327" t="str">
        <f t="shared" si="18"/>
        <v>32801</v>
      </c>
    </row>
    <row r="124" spans="1:31" s="327" customFormat="1" x14ac:dyDescent="0.15">
      <c r="A124" s="318" t="str">
        <f t="shared" si="11"/>
        <v>0</v>
      </c>
      <c r="B124" s="319">
        <v>122</v>
      </c>
      <c r="C124" s="328" t="s">
        <v>1296</v>
      </c>
      <c r="D124" s="329" t="s">
        <v>1657</v>
      </c>
      <c r="E124" s="330" t="s">
        <v>1756</v>
      </c>
      <c r="F124" s="361" t="s">
        <v>1657</v>
      </c>
      <c r="G124" s="277">
        <v>0</v>
      </c>
      <c r="H124" s="331">
        <v>65535</v>
      </c>
      <c r="I124" s="328">
        <v>0</v>
      </c>
      <c r="J124" s="331">
        <v>0</v>
      </c>
      <c r="K124" s="331">
        <v>0</v>
      </c>
      <c r="L124" s="331" t="s">
        <v>1653</v>
      </c>
      <c r="M124" s="331">
        <v>1</v>
      </c>
      <c r="N124" s="331" t="s">
        <v>1660</v>
      </c>
      <c r="O124" s="331">
        <v>0</v>
      </c>
      <c r="P124" s="328">
        <v>0</v>
      </c>
      <c r="Q124" s="331">
        <v>0</v>
      </c>
      <c r="R124" s="331">
        <v>5</v>
      </c>
      <c r="S124" s="331">
        <v>0</v>
      </c>
      <c r="T124" s="331"/>
      <c r="V124" s="327" t="str">
        <f t="shared" si="12"/>
        <v>1</v>
      </c>
      <c r="W124" s="327" t="str">
        <f t="shared" si="13"/>
        <v>0</v>
      </c>
      <c r="X124" s="327" t="str">
        <f t="shared" si="14"/>
        <v>0</v>
      </c>
      <c r="Y124" s="327">
        <f t="shared" si="15"/>
        <v>0</v>
      </c>
      <c r="Z124" s="327">
        <f t="shared" si="15"/>
        <v>0</v>
      </c>
      <c r="AA124" s="327">
        <f t="shared" si="16"/>
        <v>0</v>
      </c>
      <c r="AB124" s="327" t="str">
        <f t="shared" si="19"/>
        <v>101</v>
      </c>
      <c r="AC124" s="327">
        <f t="shared" si="17"/>
        <v>0</v>
      </c>
      <c r="AD124" s="327">
        <v>0</v>
      </c>
      <c r="AE124" s="327" t="str">
        <f t="shared" si="18"/>
        <v>32801</v>
      </c>
    </row>
    <row r="125" spans="1:31" x14ac:dyDescent="0.15">
      <c r="A125" s="42" t="str">
        <f t="shared" si="11"/>
        <v>0</v>
      </c>
      <c r="B125" s="43">
        <v>123</v>
      </c>
      <c r="C125" s="55" t="s">
        <v>1266</v>
      </c>
      <c r="D125" s="56" t="s">
        <v>1469</v>
      </c>
      <c r="E125" s="57" t="s">
        <v>1757</v>
      </c>
      <c r="F125" s="71" t="s">
        <v>1758</v>
      </c>
      <c r="G125" s="59">
        <v>0</v>
      </c>
      <c r="H125" s="60">
        <v>99</v>
      </c>
      <c r="I125" s="55">
        <v>0</v>
      </c>
      <c r="J125" s="60">
        <v>0</v>
      </c>
      <c r="K125" s="60">
        <v>0</v>
      </c>
      <c r="L125" s="60" t="s">
        <v>859</v>
      </c>
      <c r="M125" s="60">
        <v>1</v>
      </c>
      <c r="N125" s="60" t="s">
        <v>1660</v>
      </c>
      <c r="O125" s="60">
        <v>0</v>
      </c>
      <c r="P125" s="55">
        <v>1</v>
      </c>
      <c r="Q125" s="60">
        <v>1</v>
      </c>
      <c r="R125" s="60">
        <v>2</v>
      </c>
      <c r="S125" s="60">
        <v>0</v>
      </c>
      <c r="T125" s="60"/>
      <c r="V125" s="49" t="str">
        <f t="shared" si="12"/>
        <v>0</v>
      </c>
      <c r="W125" s="49" t="str">
        <f t="shared" si="13"/>
        <v>0</v>
      </c>
      <c r="X125" s="49" t="str">
        <f t="shared" si="14"/>
        <v>0</v>
      </c>
      <c r="Y125" s="49">
        <f t="shared" si="15"/>
        <v>0</v>
      </c>
      <c r="Z125" s="49">
        <f t="shared" si="15"/>
        <v>1</v>
      </c>
      <c r="AA125" s="49">
        <f t="shared" si="16"/>
        <v>1</v>
      </c>
      <c r="AB125" s="49" t="str">
        <f t="shared" si="19"/>
        <v>10</v>
      </c>
      <c r="AC125" s="49">
        <f t="shared" si="17"/>
        <v>0</v>
      </c>
      <c r="AD125" s="49">
        <v>0</v>
      </c>
      <c r="AE125" s="49" t="str">
        <f t="shared" si="18"/>
        <v>5600</v>
      </c>
    </row>
    <row r="126" spans="1:31" x14ac:dyDescent="0.15">
      <c r="A126" s="42" t="str">
        <f t="shared" si="11"/>
        <v>0</v>
      </c>
      <c r="B126" s="43">
        <v>124</v>
      </c>
      <c r="C126" s="55" t="s">
        <v>479</v>
      </c>
      <c r="D126" s="56" t="s">
        <v>1470</v>
      </c>
      <c r="E126" s="57" t="s">
        <v>1326</v>
      </c>
      <c r="F126" s="71" t="s">
        <v>1758</v>
      </c>
      <c r="G126" s="59">
        <v>0</v>
      </c>
      <c r="H126" s="60">
        <v>99</v>
      </c>
      <c r="I126" s="55">
        <v>0</v>
      </c>
      <c r="J126" s="60">
        <v>0</v>
      </c>
      <c r="K126" s="60">
        <v>0</v>
      </c>
      <c r="L126" s="60" t="s">
        <v>859</v>
      </c>
      <c r="M126" s="60">
        <v>1</v>
      </c>
      <c r="N126" s="60" t="s">
        <v>1660</v>
      </c>
      <c r="O126" s="60">
        <v>0</v>
      </c>
      <c r="P126" s="55">
        <v>1</v>
      </c>
      <c r="Q126" s="60">
        <v>1</v>
      </c>
      <c r="R126" s="60">
        <v>2</v>
      </c>
      <c r="S126" s="60">
        <v>0</v>
      </c>
      <c r="T126" s="60"/>
      <c r="V126" s="49" t="str">
        <f t="shared" si="12"/>
        <v>0</v>
      </c>
      <c r="W126" s="49" t="str">
        <f t="shared" si="13"/>
        <v>0</v>
      </c>
      <c r="X126" s="49" t="str">
        <f t="shared" si="14"/>
        <v>0</v>
      </c>
      <c r="Y126" s="49">
        <f t="shared" si="15"/>
        <v>0</v>
      </c>
      <c r="Z126" s="49">
        <f t="shared" si="15"/>
        <v>1</v>
      </c>
      <c r="AA126" s="49">
        <f t="shared" si="16"/>
        <v>1</v>
      </c>
      <c r="AB126" s="49" t="str">
        <f t="shared" si="19"/>
        <v>10</v>
      </c>
      <c r="AC126" s="49">
        <f t="shared" si="17"/>
        <v>0</v>
      </c>
      <c r="AD126" s="49">
        <v>0</v>
      </c>
      <c r="AE126" s="49" t="str">
        <f t="shared" si="18"/>
        <v>5600</v>
      </c>
    </row>
    <row r="127" spans="1:31" ht="14.45" customHeight="1" x14ac:dyDescent="0.15">
      <c r="A127" s="42" t="str">
        <f t="shared" si="11"/>
        <v>0</v>
      </c>
      <c r="B127" s="43">
        <v>125</v>
      </c>
      <c r="C127" s="55" t="s">
        <v>480</v>
      </c>
      <c r="D127" s="56" t="s">
        <v>1759</v>
      </c>
      <c r="E127" s="57" t="s">
        <v>1760</v>
      </c>
      <c r="F127" s="71" t="s">
        <v>1758</v>
      </c>
      <c r="G127" s="136">
        <v>34</v>
      </c>
      <c r="H127" s="60">
        <v>99</v>
      </c>
      <c r="I127" s="55">
        <v>0</v>
      </c>
      <c r="J127" s="60">
        <v>0</v>
      </c>
      <c r="K127" s="60">
        <v>0</v>
      </c>
      <c r="L127" s="60" t="s">
        <v>859</v>
      </c>
      <c r="M127" s="60">
        <v>1</v>
      </c>
      <c r="N127" s="60" t="s">
        <v>1660</v>
      </c>
      <c r="O127" s="60">
        <v>0</v>
      </c>
      <c r="P127" s="55">
        <v>1</v>
      </c>
      <c r="Q127" s="60">
        <v>1</v>
      </c>
      <c r="R127" s="60">
        <v>2</v>
      </c>
      <c r="S127" s="60">
        <v>0</v>
      </c>
      <c r="T127" s="60"/>
      <c r="V127" s="49" t="str">
        <f t="shared" si="12"/>
        <v>0</v>
      </c>
      <c r="W127" s="49" t="str">
        <f t="shared" si="13"/>
        <v>0</v>
      </c>
      <c r="X127" s="49" t="str">
        <f t="shared" si="14"/>
        <v>0</v>
      </c>
      <c r="Y127" s="49">
        <f t="shared" si="15"/>
        <v>0</v>
      </c>
      <c r="Z127" s="49">
        <f t="shared" si="15"/>
        <v>1</v>
      </c>
      <c r="AA127" s="49">
        <f t="shared" si="16"/>
        <v>1</v>
      </c>
      <c r="AB127" s="49" t="str">
        <f t="shared" si="19"/>
        <v>10</v>
      </c>
      <c r="AC127" s="49">
        <f t="shared" si="17"/>
        <v>0</v>
      </c>
      <c r="AD127" s="49">
        <v>0</v>
      </c>
      <c r="AE127" s="49" t="str">
        <f t="shared" si="18"/>
        <v>5600</v>
      </c>
    </row>
    <row r="128" spans="1:31" ht="14.45" customHeight="1" x14ac:dyDescent="0.15">
      <c r="A128" s="42" t="str">
        <f t="shared" si="11"/>
        <v>0</v>
      </c>
      <c r="B128" s="43">
        <v>126</v>
      </c>
      <c r="C128" s="55" t="s">
        <v>481</v>
      </c>
      <c r="D128" s="56" t="s">
        <v>1761</v>
      </c>
      <c r="E128" s="57" t="s">
        <v>1762</v>
      </c>
      <c r="F128" s="71" t="s">
        <v>1758</v>
      </c>
      <c r="G128" s="136">
        <v>34</v>
      </c>
      <c r="H128" s="60">
        <v>99</v>
      </c>
      <c r="I128" s="55">
        <v>0</v>
      </c>
      <c r="J128" s="60">
        <v>0</v>
      </c>
      <c r="K128" s="60">
        <v>0</v>
      </c>
      <c r="L128" s="60" t="s">
        <v>1696</v>
      </c>
      <c r="M128" s="60">
        <v>1</v>
      </c>
      <c r="N128" s="60" t="s">
        <v>1660</v>
      </c>
      <c r="O128" s="60">
        <v>0</v>
      </c>
      <c r="P128" s="55">
        <v>1</v>
      </c>
      <c r="Q128" s="60">
        <v>1</v>
      </c>
      <c r="R128" s="60">
        <v>2</v>
      </c>
      <c r="S128" s="60">
        <v>0</v>
      </c>
      <c r="T128" s="60"/>
      <c r="V128" s="49" t="str">
        <f t="shared" si="12"/>
        <v>0</v>
      </c>
      <c r="W128" s="49" t="str">
        <f t="shared" si="13"/>
        <v>0</v>
      </c>
      <c r="X128" s="49" t="str">
        <f t="shared" si="14"/>
        <v>0</v>
      </c>
      <c r="Y128" s="49">
        <f t="shared" si="15"/>
        <v>0</v>
      </c>
      <c r="Z128" s="49">
        <f t="shared" si="15"/>
        <v>1</v>
      </c>
      <c r="AA128" s="49">
        <f t="shared" si="16"/>
        <v>1</v>
      </c>
      <c r="AB128" s="49" t="str">
        <f t="shared" si="19"/>
        <v>10</v>
      </c>
      <c r="AC128" s="49">
        <f t="shared" si="17"/>
        <v>0</v>
      </c>
      <c r="AD128" s="49">
        <v>0</v>
      </c>
      <c r="AE128" s="49" t="str">
        <f t="shared" si="18"/>
        <v>5600</v>
      </c>
    </row>
    <row r="129" spans="1:31" x14ac:dyDescent="0.15">
      <c r="A129" s="42" t="str">
        <f t="shared" si="11"/>
        <v>0</v>
      </c>
      <c r="B129" s="43">
        <v>127</v>
      </c>
      <c r="C129" s="55" t="s">
        <v>482</v>
      </c>
      <c r="D129" s="56" t="s">
        <v>1471</v>
      </c>
      <c r="E129" s="57" t="s">
        <v>1763</v>
      </c>
      <c r="F129" s="58" t="s">
        <v>1038</v>
      </c>
      <c r="G129" s="59">
        <v>0</v>
      </c>
      <c r="H129" s="60">
        <v>36000</v>
      </c>
      <c r="I129" s="55">
        <v>0</v>
      </c>
      <c r="J129" s="60">
        <v>0</v>
      </c>
      <c r="K129" s="60">
        <v>0</v>
      </c>
      <c r="L129" s="60" t="s">
        <v>859</v>
      </c>
      <c r="M129" s="60">
        <v>0.1</v>
      </c>
      <c r="N129" s="60" t="s">
        <v>1697</v>
      </c>
      <c r="O129" s="60">
        <v>0</v>
      </c>
      <c r="P129" s="55">
        <v>0</v>
      </c>
      <c r="Q129" s="60">
        <v>1</v>
      </c>
      <c r="R129" s="60">
        <v>5</v>
      </c>
      <c r="S129" s="60">
        <v>0</v>
      </c>
      <c r="T129" s="60"/>
      <c r="V129" s="49" t="str">
        <f t="shared" si="12"/>
        <v>0</v>
      </c>
      <c r="W129" s="49" t="str">
        <f t="shared" si="13"/>
        <v>1</v>
      </c>
      <c r="X129" s="49" t="str">
        <f>DEC2BIN(14)</f>
        <v>1110</v>
      </c>
      <c r="Y129" s="49">
        <f t="shared" si="15"/>
        <v>0</v>
      </c>
      <c r="Z129" s="49">
        <f t="shared" si="15"/>
        <v>0</v>
      </c>
      <c r="AA129" s="49">
        <f t="shared" si="16"/>
        <v>1</v>
      </c>
      <c r="AB129" s="49" t="str">
        <f t="shared" si="19"/>
        <v>101</v>
      </c>
      <c r="AC129" s="49">
        <f t="shared" si="17"/>
        <v>0</v>
      </c>
      <c r="AD129" s="49">
        <v>0</v>
      </c>
      <c r="AE129" s="49" t="str">
        <f t="shared" si="18"/>
        <v>37164</v>
      </c>
    </row>
    <row r="130" spans="1:31" x14ac:dyDescent="0.15">
      <c r="A130" s="42" t="str">
        <f t="shared" si="11"/>
        <v>0</v>
      </c>
      <c r="B130" s="43">
        <v>128</v>
      </c>
      <c r="C130" s="55" t="s">
        <v>483</v>
      </c>
      <c r="D130" s="56" t="s">
        <v>1472</v>
      </c>
      <c r="E130" s="57" t="s">
        <v>1327</v>
      </c>
      <c r="F130" s="58" t="s">
        <v>1038</v>
      </c>
      <c r="G130" s="59">
        <v>0</v>
      </c>
      <c r="H130" s="60">
        <v>36000</v>
      </c>
      <c r="I130" s="55">
        <v>0</v>
      </c>
      <c r="J130" s="60">
        <v>0</v>
      </c>
      <c r="K130" s="60">
        <v>0</v>
      </c>
      <c r="L130" s="60" t="s">
        <v>859</v>
      </c>
      <c r="M130" s="60">
        <v>0.1</v>
      </c>
      <c r="N130" s="60" t="s">
        <v>1697</v>
      </c>
      <c r="O130" s="60">
        <v>0</v>
      </c>
      <c r="P130" s="55">
        <v>0</v>
      </c>
      <c r="Q130" s="60">
        <v>1</v>
      </c>
      <c r="R130" s="60">
        <v>5</v>
      </c>
      <c r="S130" s="60">
        <v>0</v>
      </c>
      <c r="T130" s="60"/>
      <c r="V130" s="49" t="str">
        <f t="shared" si="12"/>
        <v>0</v>
      </c>
      <c r="W130" s="49" t="str">
        <f t="shared" si="13"/>
        <v>1</v>
      </c>
      <c r="X130" s="49" t="str">
        <f t="shared" si="14"/>
        <v>0</v>
      </c>
      <c r="Y130" s="49">
        <f t="shared" si="15"/>
        <v>0</v>
      </c>
      <c r="Z130" s="49">
        <f t="shared" si="15"/>
        <v>0</v>
      </c>
      <c r="AA130" s="49">
        <f t="shared" si="16"/>
        <v>1</v>
      </c>
      <c r="AB130" s="49" t="str">
        <f t="shared" si="19"/>
        <v>101</v>
      </c>
      <c r="AC130" s="49">
        <f t="shared" si="17"/>
        <v>0</v>
      </c>
      <c r="AD130" s="49">
        <v>0</v>
      </c>
      <c r="AE130" s="49" t="str">
        <f t="shared" si="18"/>
        <v>32C04</v>
      </c>
    </row>
    <row r="131" spans="1:31" ht="14.45" customHeight="1" x14ac:dyDescent="0.15">
      <c r="A131" s="42" t="str">
        <f t="shared" si="11"/>
        <v>0</v>
      </c>
      <c r="B131" s="43">
        <v>129</v>
      </c>
      <c r="C131" s="55" t="s">
        <v>484</v>
      </c>
      <c r="D131" s="56" t="s">
        <v>1764</v>
      </c>
      <c r="E131" s="57" t="s">
        <v>1765</v>
      </c>
      <c r="F131" s="58" t="s">
        <v>1038</v>
      </c>
      <c r="G131" s="59">
        <v>0</v>
      </c>
      <c r="H131" s="60">
        <v>36000</v>
      </c>
      <c r="I131" s="55">
        <v>0</v>
      </c>
      <c r="J131" s="60">
        <v>0</v>
      </c>
      <c r="K131" s="60">
        <v>0</v>
      </c>
      <c r="L131" s="60" t="s">
        <v>859</v>
      </c>
      <c r="M131" s="60">
        <v>0.1</v>
      </c>
      <c r="N131" s="60" t="s">
        <v>1697</v>
      </c>
      <c r="O131" s="60">
        <v>0</v>
      </c>
      <c r="P131" s="55">
        <v>0</v>
      </c>
      <c r="Q131" s="60">
        <v>1</v>
      </c>
      <c r="R131" s="60">
        <v>5</v>
      </c>
      <c r="S131" s="60">
        <v>0</v>
      </c>
      <c r="T131" s="60"/>
      <c r="U131" s="49" t="s">
        <v>1766</v>
      </c>
      <c r="V131" s="49" t="str">
        <f t="shared" si="12"/>
        <v>0</v>
      </c>
      <c r="W131" s="49" t="str">
        <f t="shared" si="13"/>
        <v>1</v>
      </c>
      <c r="X131" s="49" t="str">
        <f t="shared" si="14"/>
        <v>0</v>
      </c>
      <c r="Y131" s="49">
        <f t="shared" si="15"/>
        <v>0</v>
      </c>
      <c r="Z131" s="49">
        <f t="shared" si="15"/>
        <v>0</v>
      </c>
      <c r="AA131" s="49">
        <f t="shared" si="16"/>
        <v>1</v>
      </c>
      <c r="AB131" s="49" t="str">
        <f t="shared" si="19"/>
        <v>101</v>
      </c>
      <c r="AC131" s="49">
        <f t="shared" si="17"/>
        <v>0</v>
      </c>
      <c r="AD131" s="49">
        <v>0</v>
      </c>
      <c r="AE131" s="49" t="str">
        <f t="shared" si="18"/>
        <v>32C04</v>
      </c>
    </row>
    <row r="132" spans="1:31" ht="14.45" customHeight="1" x14ac:dyDescent="0.15">
      <c r="A132" s="42" t="str">
        <f t="shared" ref="A132:A195" si="20">DEC2HEX(AH132)</f>
        <v>0</v>
      </c>
      <c r="B132" s="43">
        <v>130</v>
      </c>
      <c r="C132" s="55" t="s">
        <v>485</v>
      </c>
      <c r="D132" s="56" t="s">
        <v>1767</v>
      </c>
      <c r="E132" s="57" t="s">
        <v>1768</v>
      </c>
      <c r="F132" s="58" t="s">
        <v>1038</v>
      </c>
      <c r="G132" s="59">
        <v>0</v>
      </c>
      <c r="H132" s="60">
        <v>36000</v>
      </c>
      <c r="I132" s="55">
        <v>0</v>
      </c>
      <c r="J132" s="60">
        <v>0</v>
      </c>
      <c r="K132" s="60">
        <v>0</v>
      </c>
      <c r="L132" s="60" t="s">
        <v>1696</v>
      </c>
      <c r="M132" s="60">
        <v>0.1</v>
      </c>
      <c r="N132" s="60" t="s">
        <v>1697</v>
      </c>
      <c r="O132" s="60">
        <v>0</v>
      </c>
      <c r="P132" s="55">
        <v>0</v>
      </c>
      <c r="Q132" s="60">
        <v>1</v>
      </c>
      <c r="R132" s="60">
        <v>5</v>
      </c>
      <c r="S132" s="60">
        <v>0</v>
      </c>
      <c r="T132" s="60"/>
      <c r="V132" s="49" t="str">
        <f t="shared" si="12"/>
        <v>0</v>
      </c>
      <c r="W132" s="49" t="str">
        <f t="shared" si="13"/>
        <v>1</v>
      </c>
      <c r="X132" s="49" t="str">
        <f>DEC2BIN(14)</f>
        <v>1110</v>
      </c>
      <c r="Y132" s="49">
        <f t="shared" si="15"/>
        <v>0</v>
      </c>
      <c r="Z132" s="49">
        <f t="shared" si="15"/>
        <v>0</v>
      </c>
      <c r="AA132" s="49">
        <f t="shared" si="16"/>
        <v>1</v>
      </c>
      <c r="AB132" s="49" t="str">
        <f t="shared" si="19"/>
        <v>101</v>
      </c>
      <c r="AC132" s="49">
        <f t="shared" si="17"/>
        <v>0</v>
      </c>
      <c r="AD132" s="49">
        <v>0</v>
      </c>
      <c r="AE132" s="49" t="str">
        <f t="shared" si="18"/>
        <v>37164</v>
      </c>
    </row>
    <row r="133" spans="1:31" ht="72" x14ac:dyDescent="0.15">
      <c r="A133" s="42" t="str">
        <f t="shared" si="20"/>
        <v>0</v>
      </c>
      <c r="B133" s="43">
        <v>131</v>
      </c>
      <c r="C133" s="55" t="s">
        <v>486</v>
      </c>
      <c r="D133" s="56" t="s">
        <v>1039</v>
      </c>
      <c r="E133" s="57" t="s">
        <v>1769</v>
      </c>
      <c r="F133" s="58" t="s">
        <v>1770</v>
      </c>
      <c r="G133" s="59">
        <v>0</v>
      </c>
      <c r="H133" s="60">
        <v>1111</v>
      </c>
      <c r="I133" s="55">
        <v>0</v>
      </c>
      <c r="J133" s="60">
        <v>0</v>
      </c>
      <c r="K133" s="60">
        <v>0</v>
      </c>
      <c r="L133" s="60" t="s">
        <v>860</v>
      </c>
      <c r="M133" s="60">
        <v>1</v>
      </c>
      <c r="N133" s="60" t="s">
        <v>1660</v>
      </c>
      <c r="O133" s="60">
        <v>1</v>
      </c>
      <c r="P133" s="55">
        <v>0</v>
      </c>
      <c r="Q133" s="60">
        <v>1</v>
      </c>
      <c r="R133" s="60">
        <v>4</v>
      </c>
      <c r="S133" s="60">
        <v>0</v>
      </c>
      <c r="T133" s="60" t="s">
        <v>1040</v>
      </c>
      <c r="V133" s="49" t="str">
        <f t="shared" ref="V133:V200" si="21">IF(L133="△",DEC2BIN(0),IF(L133="×",DEC2BIN(1),IF(L133="◎",DEC2BIN(2),DEC2BIN(3))))</f>
        <v>1</v>
      </c>
      <c r="W133" s="49" t="str">
        <f t="shared" ref="W133:W200" si="22">IF(M133=1,DEC2BIN(0),IF(M133=0.1,DEC2BIN(1),IF(M133=0.01,DEC2BIN(2),DEC2BIN(3))))</f>
        <v>0</v>
      </c>
      <c r="X133" s="49" t="str">
        <f t="shared" ref="X133:X151" si="23">DEC2BIN(14)</f>
        <v>1110</v>
      </c>
      <c r="Y133" s="49">
        <f t="shared" ref="Y133:Y200" si="24">O133</f>
        <v>1</v>
      </c>
      <c r="Z133" s="49">
        <f t="shared" ref="Z133:Z200" si="25">P133</f>
        <v>0</v>
      </c>
      <c r="AA133" s="49">
        <f t="shared" ref="AA133:AA200" si="26">Q133</f>
        <v>1</v>
      </c>
      <c r="AB133" s="49" t="str">
        <f t="shared" si="19"/>
        <v>100</v>
      </c>
      <c r="AC133" s="49">
        <f t="shared" ref="AC133:AC200" si="27">S133</f>
        <v>0</v>
      </c>
      <c r="AD133" s="49">
        <v>0</v>
      </c>
      <c r="AE133" s="49" t="str">
        <f t="shared" ref="AE133:AE200" si="28">DEC2HEX(V133+W133*4+X133*16+Y133*256+Z133*512+AA133*1024+AB133*2048+AC133*16384)</f>
        <v>36A61</v>
      </c>
    </row>
    <row r="134" spans="1:31" s="327" customFormat="1" ht="72" x14ac:dyDescent="0.15">
      <c r="A134" s="318" t="str">
        <f t="shared" si="20"/>
        <v>0</v>
      </c>
      <c r="B134" s="319">
        <v>132</v>
      </c>
      <c r="C134" s="333" t="s">
        <v>487</v>
      </c>
      <c r="D134" s="334" t="s">
        <v>2844</v>
      </c>
      <c r="E134" s="335" t="s">
        <v>1771</v>
      </c>
      <c r="F134" s="336" t="s">
        <v>2734</v>
      </c>
      <c r="G134" s="337">
        <v>0</v>
      </c>
      <c r="H134" s="338">
        <v>11</v>
      </c>
      <c r="I134" s="333">
        <v>0</v>
      </c>
      <c r="J134" s="338">
        <v>0</v>
      </c>
      <c r="K134" s="338">
        <v>0</v>
      </c>
      <c r="L134" s="338" t="s">
        <v>859</v>
      </c>
      <c r="M134" s="338">
        <v>1</v>
      </c>
      <c r="N134" s="338" t="s">
        <v>1660</v>
      </c>
      <c r="O134" s="338">
        <v>1</v>
      </c>
      <c r="P134" s="333">
        <v>0</v>
      </c>
      <c r="Q134" s="338">
        <v>1</v>
      </c>
      <c r="R134" s="338">
        <v>2</v>
      </c>
      <c r="S134" s="338">
        <v>0</v>
      </c>
      <c r="T134" s="338" t="s">
        <v>1041</v>
      </c>
      <c r="V134" s="327" t="str">
        <f t="shared" si="21"/>
        <v>0</v>
      </c>
      <c r="W134" s="327" t="str">
        <f t="shared" si="22"/>
        <v>0</v>
      </c>
      <c r="X134" s="327" t="str">
        <f t="shared" si="23"/>
        <v>1110</v>
      </c>
      <c r="Y134" s="327">
        <f t="shared" si="24"/>
        <v>1</v>
      </c>
      <c r="Z134" s="327">
        <f t="shared" si="25"/>
        <v>0</v>
      </c>
      <c r="AA134" s="327">
        <f t="shared" si="26"/>
        <v>1</v>
      </c>
      <c r="AB134" s="327" t="str">
        <f t="shared" ref="AB134:AB201" si="29">DEC2BIN(R134)</f>
        <v>10</v>
      </c>
      <c r="AC134" s="327">
        <f t="shared" si="27"/>
        <v>0</v>
      </c>
      <c r="AD134" s="327">
        <v>0</v>
      </c>
      <c r="AE134" s="327" t="str">
        <f t="shared" si="28"/>
        <v>9A60</v>
      </c>
    </row>
    <row r="135" spans="1:31" s="327" customFormat="1" x14ac:dyDescent="0.15">
      <c r="A135" s="318" t="str">
        <f t="shared" si="20"/>
        <v>0</v>
      </c>
      <c r="B135" s="319">
        <v>133</v>
      </c>
      <c r="C135" s="333" t="s">
        <v>488</v>
      </c>
      <c r="D135" s="334" t="s">
        <v>2845</v>
      </c>
      <c r="E135" s="335" t="s">
        <v>1772</v>
      </c>
      <c r="F135" s="336" t="s">
        <v>1773</v>
      </c>
      <c r="G135" s="337">
        <v>5000</v>
      </c>
      <c r="H135" s="338">
        <v>60000</v>
      </c>
      <c r="I135" s="333">
        <v>0</v>
      </c>
      <c r="J135" s="338" t="s">
        <v>1774</v>
      </c>
      <c r="K135" s="338">
        <v>0</v>
      </c>
      <c r="L135" s="338" t="s">
        <v>859</v>
      </c>
      <c r="M135" s="338">
        <v>0.01</v>
      </c>
      <c r="N135" s="338" t="s">
        <v>1648</v>
      </c>
      <c r="O135" s="338">
        <v>0</v>
      </c>
      <c r="P135" s="333">
        <v>0</v>
      </c>
      <c r="Q135" s="338">
        <v>1</v>
      </c>
      <c r="R135" s="338">
        <v>5</v>
      </c>
      <c r="S135" s="338">
        <v>0</v>
      </c>
      <c r="T135" s="338"/>
      <c r="V135" s="327" t="str">
        <f t="shared" si="21"/>
        <v>0</v>
      </c>
      <c r="W135" s="327" t="str">
        <f t="shared" si="22"/>
        <v>10</v>
      </c>
      <c r="X135" s="327" t="str">
        <f t="shared" si="23"/>
        <v>1110</v>
      </c>
      <c r="Y135" s="327">
        <f t="shared" si="24"/>
        <v>0</v>
      </c>
      <c r="Z135" s="327">
        <f t="shared" si="25"/>
        <v>0</v>
      </c>
      <c r="AA135" s="327">
        <f t="shared" si="26"/>
        <v>1</v>
      </c>
      <c r="AB135" s="327" t="str">
        <f t="shared" si="29"/>
        <v>101</v>
      </c>
      <c r="AC135" s="327">
        <f t="shared" si="27"/>
        <v>0</v>
      </c>
      <c r="AD135" s="327">
        <v>0</v>
      </c>
      <c r="AE135" s="327" t="str">
        <f t="shared" si="28"/>
        <v>37188</v>
      </c>
    </row>
    <row r="136" spans="1:31" s="327" customFormat="1" x14ac:dyDescent="0.15">
      <c r="A136" s="318" t="str">
        <f t="shared" si="20"/>
        <v>0</v>
      </c>
      <c r="B136" s="319">
        <v>134</v>
      </c>
      <c r="C136" s="333" t="s">
        <v>489</v>
      </c>
      <c r="D136" s="334" t="s">
        <v>2844</v>
      </c>
      <c r="E136" s="335" t="s">
        <v>1775</v>
      </c>
      <c r="F136" s="336" t="s">
        <v>1773</v>
      </c>
      <c r="G136" s="337">
        <v>4900</v>
      </c>
      <c r="H136" s="338">
        <v>60000</v>
      </c>
      <c r="I136" s="333">
        <v>0</v>
      </c>
      <c r="J136" s="338" t="s">
        <v>1774</v>
      </c>
      <c r="K136" s="338">
        <v>0</v>
      </c>
      <c r="L136" s="338" t="s">
        <v>859</v>
      </c>
      <c r="M136" s="338">
        <v>0.01</v>
      </c>
      <c r="N136" s="338" t="s">
        <v>1648</v>
      </c>
      <c r="O136" s="338">
        <v>0</v>
      </c>
      <c r="P136" s="333">
        <v>0</v>
      </c>
      <c r="Q136" s="338">
        <v>1</v>
      </c>
      <c r="R136" s="338">
        <v>5</v>
      </c>
      <c r="S136" s="338">
        <v>0</v>
      </c>
      <c r="T136" s="338"/>
      <c r="V136" s="327" t="str">
        <f t="shared" si="21"/>
        <v>0</v>
      </c>
      <c r="W136" s="327" t="str">
        <f t="shared" si="22"/>
        <v>10</v>
      </c>
      <c r="X136" s="327" t="str">
        <f t="shared" si="23"/>
        <v>1110</v>
      </c>
      <c r="Y136" s="327">
        <f t="shared" si="24"/>
        <v>0</v>
      </c>
      <c r="Z136" s="327">
        <f t="shared" si="25"/>
        <v>0</v>
      </c>
      <c r="AA136" s="327">
        <f t="shared" si="26"/>
        <v>1</v>
      </c>
      <c r="AB136" s="327" t="str">
        <f t="shared" si="29"/>
        <v>101</v>
      </c>
      <c r="AC136" s="327">
        <f t="shared" si="27"/>
        <v>0</v>
      </c>
      <c r="AD136" s="327">
        <v>0</v>
      </c>
      <c r="AE136" s="327" t="str">
        <f t="shared" si="28"/>
        <v>37188</v>
      </c>
    </row>
    <row r="137" spans="1:31" s="327" customFormat="1" x14ac:dyDescent="0.15">
      <c r="A137" s="318" t="str">
        <f t="shared" si="20"/>
        <v>0</v>
      </c>
      <c r="B137" s="319">
        <v>135</v>
      </c>
      <c r="C137" s="333" t="s">
        <v>490</v>
      </c>
      <c r="D137" s="334" t="s">
        <v>2845</v>
      </c>
      <c r="E137" s="335" t="s">
        <v>1776</v>
      </c>
      <c r="F137" s="336" t="s">
        <v>1773</v>
      </c>
      <c r="G137" s="337">
        <v>2500</v>
      </c>
      <c r="H137" s="338">
        <v>60000</v>
      </c>
      <c r="I137" s="333">
        <v>0</v>
      </c>
      <c r="J137" s="338" t="s">
        <v>1774</v>
      </c>
      <c r="K137" s="338">
        <v>0</v>
      </c>
      <c r="L137" s="338" t="s">
        <v>859</v>
      </c>
      <c r="M137" s="338">
        <v>0.01</v>
      </c>
      <c r="N137" s="338" t="s">
        <v>1648</v>
      </c>
      <c r="O137" s="338">
        <v>0</v>
      </c>
      <c r="P137" s="333">
        <v>0</v>
      </c>
      <c r="Q137" s="338">
        <v>1</v>
      </c>
      <c r="R137" s="338">
        <v>5</v>
      </c>
      <c r="S137" s="338">
        <v>0</v>
      </c>
      <c r="T137" s="338"/>
      <c r="V137" s="327" t="str">
        <f t="shared" si="21"/>
        <v>0</v>
      </c>
      <c r="W137" s="327" t="str">
        <f t="shared" si="22"/>
        <v>10</v>
      </c>
      <c r="X137" s="327" t="str">
        <f t="shared" si="23"/>
        <v>1110</v>
      </c>
      <c r="Y137" s="327">
        <f t="shared" si="24"/>
        <v>0</v>
      </c>
      <c r="Z137" s="327">
        <f t="shared" si="25"/>
        <v>0</v>
      </c>
      <c r="AA137" s="327">
        <f t="shared" si="26"/>
        <v>1</v>
      </c>
      <c r="AB137" s="327" t="str">
        <f t="shared" si="29"/>
        <v>101</v>
      </c>
      <c r="AC137" s="327">
        <f t="shared" si="27"/>
        <v>0</v>
      </c>
      <c r="AD137" s="327">
        <v>0</v>
      </c>
      <c r="AE137" s="327" t="str">
        <f t="shared" si="28"/>
        <v>37188</v>
      </c>
    </row>
    <row r="138" spans="1:31" s="327" customFormat="1" x14ac:dyDescent="0.15">
      <c r="A138" s="318" t="str">
        <f t="shared" si="20"/>
        <v>0</v>
      </c>
      <c r="B138" s="319">
        <v>136</v>
      </c>
      <c r="C138" s="333" t="s">
        <v>491</v>
      </c>
      <c r="D138" s="334" t="s">
        <v>2845</v>
      </c>
      <c r="E138" s="335" t="s">
        <v>1777</v>
      </c>
      <c r="F138" s="336" t="s">
        <v>1773</v>
      </c>
      <c r="G138" s="337">
        <v>2400</v>
      </c>
      <c r="H138" s="338">
        <v>60000</v>
      </c>
      <c r="I138" s="333">
        <v>0</v>
      </c>
      <c r="J138" s="338" t="s">
        <v>1774</v>
      </c>
      <c r="K138" s="338">
        <v>0</v>
      </c>
      <c r="L138" s="338" t="s">
        <v>859</v>
      </c>
      <c r="M138" s="338">
        <v>0.01</v>
      </c>
      <c r="N138" s="338" t="s">
        <v>1648</v>
      </c>
      <c r="O138" s="338">
        <v>0</v>
      </c>
      <c r="P138" s="333">
        <v>0</v>
      </c>
      <c r="Q138" s="338">
        <v>1</v>
      </c>
      <c r="R138" s="338">
        <v>5</v>
      </c>
      <c r="S138" s="338">
        <v>0</v>
      </c>
      <c r="T138" s="338"/>
      <c r="V138" s="327" t="str">
        <f t="shared" si="21"/>
        <v>0</v>
      </c>
      <c r="W138" s="327" t="str">
        <f t="shared" si="22"/>
        <v>10</v>
      </c>
      <c r="X138" s="327" t="str">
        <f t="shared" si="23"/>
        <v>1110</v>
      </c>
      <c r="Y138" s="327">
        <f t="shared" si="24"/>
        <v>0</v>
      </c>
      <c r="Z138" s="327">
        <f t="shared" si="25"/>
        <v>0</v>
      </c>
      <c r="AA138" s="327">
        <f t="shared" si="26"/>
        <v>1</v>
      </c>
      <c r="AB138" s="327" t="str">
        <f t="shared" si="29"/>
        <v>101</v>
      </c>
      <c r="AC138" s="327">
        <f t="shared" si="27"/>
        <v>0</v>
      </c>
      <c r="AD138" s="327">
        <v>0</v>
      </c>
      <c r="AE138" s="327" t="str">
        <f t="shared" si="28"/>
        <v>37188</v>
      </c>
    </row>
    <row r="139" spans="1:31" s="327" customFormat="1" x14ac:dyDescent="0.15">
      <c r="A139" s="318" t="str">
        <f t="shared" si="20"/>
        <v>0</v>
      </c>
      <c r="B139" s="319">
        <v>137</v>
      </c>
      <c r="C139" s="333" t="s">
        <v>492</v>
      </c>
      <c r="D139" s="334" t="s">
        <v>2845</v>
      </c>
      <c r="E139" s="335" t="s">
        <v>1778</v>
      </c>
      <c r="F139" s="336" t="s">
        <v>1773</v>
      </c>
      <c r="G139" s="337">
        <v>250</v>
      </c>
      <c r="H139" s="338">
        <v>60000</v>
      </c>
      <c r="I139" s="333">
        <v>0</v>
      </c>
      <c r="J139" s="338" t="s">
        <v>1774</v>
      </c>
      <c r="K139" s="338">
        <v>0</v>
      </c>
      <c r="L139" s="338" t="s">
        <v>859</v>
      </c>
      <c r="M139" s="338">
        <v>0.01</v>
      </c>
      <c r="N139" s="338" t="s">
        <v>1648</v>
      </c>
      <c r="O139" s="338">
        <v>0</v>
      </c>
      <c r="P139" s="333">
        <v>0</v>
      </c>
      <c r="Q139" s="338">
        <v>1</v>
      </c>
      <c r="R139" s="338">
        <v>5</v>
      </c>
      <c r="S139" s="338">
        <v>0</v>
      </c>
      <c r="T139" s="338"/>
      <c r="V139" s="327" t="str">
        <f t="shared" si="21"/>
        <v>0</v>
      </c>
      <c r="W139" s="327" t="str">
        <f t="shared" si="22"/>
        <v>10</v>
      </c>
      <c r="X139" s="327" t="str">
        <f t="shared" si="23"/>
        <v>1110</v>
      </c>
      <c r="Y139" s="327">
        <f t="shared" si="24"/>
        <v>0</v>
      </c>
      <c r="Z139" s="327">
        <f t="shared" si="25"/>
        <v>0</v>
      </c>
      <c r="AA139" s="327">
        <f t="shared" si="26"/>
        <v>1</v>
      </c>
      <c r="AB139" s="327" t="str">
        <f t="shared" si="29"/>
        <v>101</v>
      </c>
      <c r="AC139" s="327">
        <f t="shared" si="27"/>
        <v>0</v>
      </c>
      <c r="AD139" s="327">
        <v>0</v>
      </c>
      <c r="AE139" s="327" t="str">
        <f t="shared" si="28"/>
        <v>37188</v>
      </c>
    </row>
    <row r="140" spans="1:31" s="327" customFormat="1" ht="35.25" x14ac:dyDescent="0.15">
      <c r="A140" s="318" t="str">
        <f t="shared" si="20"/>
        <v>0</v>
      </c>
      <c r="B140" s="319">
        <v>138</v>
      </c>
      <c r="C140" s="333" t="s">
        <v>1297</v>
      </c>
      <c r="D140" s="334" t="s">
        <v>2844</v>
      </c>
      <c r="E140" s="335" t="s">
        <v>1779</v>
      </c>
      <c r="F140" s="336" t="s">
        <v>2735</v>
      </c>
      <c r="G140" s="337">
        <v>50</v>
      </c>
      <c r="H140" s="338">
        <v>500</v>
      </c>
      <c r="I140" s="333">
        <v>0</v>
      </c>
      <c r="J140" s="338">
        <v>0</v>
      </c>
      <c r="K140" s="338">
        <v>0</v>
      </c>
      <c r="L140" s="338" t="s">
        <v>859</v>
      </c>
      <c r="M140" s="338">
        <v>0.1</v>
      </c>
      <c r="N140" s="338" t="s">
        <v>1719</v>
      </c>
      <c r="O140" s="338">
        <v>0</v>
      </c>
      <c r="P140" s="333">
        <v>0</v>
      </c>
      <c r="Q140" s="338">
        <v>1</v>
      </c>
      <c r="R140" s="338">
        <v>3</v>
      </c>
      <c r="S140" s="338">
        <v>0</v>
      </c>
      <c r="T140" s="338"/>
      <c r="V140" s="327" t="str">
        <f t="shared" si="21"/>
        <v>0</v>
      </c>
      <c r="W140" s="327" t="str">
        <f t="shared" si="22"/>
        <v>1</v>
      </c>
      <c r="X140" s="327" t="str">
        <f t="shared" si="23"/>
        <v>1110</v>
      </c>
      <c r="Y140" s="327">
        <f t="shared" si="24"/>
        <v>0</v>
      </c>
      <c r="Z140" s="327">
        <f t="shared" si="25"/>
        <v>0</v>
      </c>
      <c r="AA140" s="327">
        <f t="shared" si="26"/>
        <v>1</v>
      </c>
      <c r="AB140" s="327" t="str">
        <f t="shared" si="29"/>
        <v>11</v>
      </c>
      <c r="AC140" s="327">
        <f t="shared" si="27"/>
        <v>0</v>
      </c>
      <c r="AD140" s="327">
        <v>0</v>
      </c>
      <c r="AE140" s="327" t="str">
        <f t="shared" si="28"/>
        <v>A164</v>
      </c>
    </row>
    <row r="141" spans="1:31" s="327" customFormat="1" x14ac:dyDescent="0.15">
      <c r="A141" s="318" t="str">
        <f t="shared" si="20"/>
        <v>0</v>
      </c>
      <c r="B141" s="319">
        <v>139</v>
      </c>
      <c r="C141" s="333" t="s">
        <v>1298</v>
      </c>
      <c r="D141" s="334" t="s">
        <v>2844</v>
      </c>
      <c r="E141" s="335" t="s">
        <v>1799</v>
      </c>
      <c r="F141" s="336" t="s">
        <v>2736</v>
      </c>
      <c r="G141" s="337">
        <v>50</v>
      </c>
      <c r="H141" s="338">
        <v>5000</v>
      </c>
      <c r="I141" s="333">
        <v>1</v>
      </c>
      <c r="J141" s="338">
        <v>0</v>
      </c>
      <c r="K141" s="338">
        <v>0</v>
      </c>
      <c r="L141" s="338" t="s">
        <v>859</v>
      </c>
      <c r="M141" s="338">
        <v>0.01</v>
      </c>
      <c r="N141" s="338" t="s">
        <v>1697</v>
      </c>
      <c r="O141" s="338">
        <v>0</v>
      </c>
      <c r="P141" s="333">
        <v>0</v>
      </c>
      <c r="Q141" s="338">
        <v>1</v>
      </c>
      <c r="R141" s="338">
        <v>4</v>
      </c>
      <c r="S141" s="338">
        <v>0</v>
      </c>
      <c r="T141" s="338"/>
      <c r="V141" s="327" t="str">
        <f t="shared" si="21"/>
        <v>0</v>
      </c>
      <c r="W141" s="327" t="str">
        <f t="shared" si="22"/>
        <v>10</v>
      </c>
      <c r="X141" s="327" t="str">
        <f t="shared" si="23"/>
        <v>1110</v>
      </c>
      <c r="Y141" s="327">
        <f t="shared" si="24"/>
        <v>0</v>
      </c>
      <c r="Z141" s="327">
        <f t="shared" si="25"/>
        <v>0</v>
      </c>
      <c r="AA141" s="327">
        <f t="shared" si="26"/>
        <v>1</v>
      </c>
      <c r="AB141" s="327" t="str">
        <f t="shared" si="29"/>
        <v>100</v>
      </c>
      <c r="AC141" s="327">
        <f t="shared" si="27"/>
        <v>0</v>
      </c>
      <c r="AD141" s="327">
        <v>0</v>
      </c>
      <c r="AE141" s="327" t="str">
        <f t="shared" si="28"/>
        <v>36988</v>
      </c>
    </row>
    <row r="142" spans="1:31" ht="94.5" x14ac:dyDescent="0.15">
      <c r="A142" s="42" t="str">
        <f t="shared" si="20"/>
        <v>0</v>
      </c>
      <c r="B142" s="43">
        <v>140</v>
      </c>
      <c r="C142" s="38" t="s">
        <v>493</v>
      </c>
      <c r="D142" s="50" t="s">
        <v>835</v>
      </c>
      <c r="E142" s="51" t="s">
        <v>1800</v>
      </c>
      <c r="F142" s="107" t="s">
        <v>2679</v>
      </c>
      <c r="G142" s="52">
        <v>0</v>
      </c>
      <c r="H142" s="53">
        <v>33</v>
      </c>
      <c r="I142" s="38">
        <v>0</v>
      </c>
      <c r="J142" s="53">
        <v>0</v>
      </c>
      <c r="K142" s="53">
        <v>0</v>
      </c>
      <c r="L142" s="53" t="s">
        <v>1653</v>
      </c>
      <c r="M142" s="53">
        <v>1</v>
      </c>
      <c r="N142" s="53" t="s">
        <v>1660</v>
      </c>
      <c r="O142" s="53">
        <v>1</v>
      </c>
      <c r="P142" s="38">
        <v>0</v>
      </c>
      <c r="Q142" s="53">
        <v>1</v>
      </c>
      <c r="R142" s="53">
        <v>2</v>
      </c>
      <c r="S142" s="53">
        <v>0</v>
      </c>
      <c r="T142" s="157" t="s">
        <v>2680</v>
      </c>
      <c r="V142" s="49" t="str">
        <f t="shared" si="21"/>
        <v>1</v>
      </c>
      <c r="W142" s="49" t="str">
        <f t="shared" si="22"/>
        <v>0</v>
      </c>
      <c r="X142" s="49" t="str">
        <f t="shared" si="23"/>
        <v>1110</v>
      </c>
      <c r="Y142" s="49">
        <f t="shared" si="24"/>
        <v>1</v>
      </c>
      <c r="Z142" s="49">
        <f t="shared" si="25"/>
        <v>0</v>
      </c>
      <c r="AA142" s="49">
        <f t="shared" si="26"/>
        <v>1</v>
      </c>
      <c r="AB142" s="49" t="str">
        <f t="shared" si="29"/>
        <v>10</v>
      </c>
      <c r="AC142" s="49">
        <f t="shared" si="27"/>
        <v>0</v>
      </c>
      <c r="AD142" s="49">
        <v>0</v>
      </c>
      <c r="AE142" s="49" t="str">
        <f t="shared" si="28"/>
        <v>9A61</v>
      </c>
    </row>
    <row r="143" spans="1:31" x14ac:dyDescent="0.15">
      <c r="A143" s="42" t="str">
        <f t="shared" si="20"/>
        <v>0</v>
      </c>
      <c r="B143" s="43">
        <v>141</v>
      </c>
      <c r="C143" s="38" t="s">
        <v>494</v>
      </c>
      <c r="D143" s="50" t="s">
        <v>1801</v>
      </c>
      <c r="E143" s="51" t="s">
        <v>1802</v>
      </c>
      <c r="F143" s="69" t="s">
        <v>1803</v>
      </c>
      <c r="G143" s="52">
        <v>1000</v>
      </c>
      <c r="H143" s="53">
        <v>1100</v>
      </c>
      <c r="I143" s="38">
        <v>-1100</v>
      </c>
      <c r="J143" s="53">
        <v>0</v>
      </c>
      <c r="K143" s="53" t="s">
        <v>1804</v>
      </c>
      <c r="L143" s="53" t="s">
        <v>859</v>
      </c>
      <c r="M143" s="53">
        <v>0.1</v>
      </c>
      <c r="N143" s="53" t="s">
        <v>1719</v>
      </c>
      <c r="O143" s="53">
        <v>0</v>
      </c>
      <c r="P143" s="38">
        <v>0</v>
      </c>
      <c r="Q143" s="53">
        <v>1</v>
      </c>
      <c r="R143" s="53">
        <v>4</v>
      </c>
      <c r="S143" s="53">
        <v>1</v>
      </c>
      <c r="T143" s="53"/>
      <c r="V143" s="49" t="str">
        <f t="shared" si="21"/>
        <v>0</v>
      </c>
      <c r="W143" s="49" t="str">
        <f t="shared" si="22"/>
        <v>1</v>
      </c>
      <c r="X143" s="49" t="str">
        <f t="shared" si="23"/>
        <v>1110</v>
      </c>
      <c r="Y143" s="49">
        <f t="shared" si="24"/>
        <v>0</v>
      </c>
      <c r="Z143" s="49">
        <f t="shared" si="25"/>
        <v>0</v>
      </c>
      <c r="AA143" s="49">
        <f t="shared" si="26"/>
        <v>1</v>
      </c>
      <c r="AB143" s="49" t="str">
        <f t="shared" si="29"/>
        <v>100</v>
      </c>
      <c r="AC143" s="49">
        <f t="shared" si="27"/>
        <v>1</v>
      </c>
      <c r="AD143" s="49">
        <v>0</v>
      </c>
      <c r="AE143" s="49" t="str">
        <f t="shared" si="28"/>
        <v>3A964</v>
      </c>
    </row>
    <row r="144" spans="1:31" ht="14.45" customHeight="1" x14ac:dyDescent="0.15">
      <c r="A144" s="42" t="str">
        <f t="shared" si="20"/>
        <v>0</v>
      </c>
      <c r="B144" s="43">
        <v>142</v>
      </c>
      <c r="C144" s="38" t="s">
        <v>495</v>
      </c>
      <c r="D144" s="50" t="s">
        <v>1805</v>
      </c>
      <c r="E144" s="51" t="s">
        <v>1806</v>
      </c>
      <c r="F144" s="69" t="s">
        <v>1807</v>
      </c>
      <c r="G144" s="52">
        <v>1000</v>
      </c>
      <c r="H144" s="53">
        <v>1000</v>
      </c>
      <c r="I144" s="38">
        <v>-1000</v>
      </c>
      <c r="J144" s="53">
        <v>0</v>
      </c>
      <c r="K144" s="53">
        <v>0</v>
      </c>
      <c r="L144" s="53" t="s">
        <v>859</v>
      </c>
      <c r="M144" s="53">
        <v>0.1</v>
      </c>
      <c r="N144" s="53" t="s">
        <v>1719</v>
      </c>
      <c r="O144" s="53">
        <v>0</v>
      </c>
      <c r="P144" s="38">
        <v>0</v>
      </c>
      <c r="Q144" s="53">
        <v>1</v>
      </c>
      <c r="R144" s="53">
        <v>4</v>
      </c>
      <c r="S144" s="53">
        <v>1</v>
      </c>
      <c r="T144" s="53"/>
      <c r="V144" s="49" t="str">
        <f t="shared" si="21"/>
        <v>0</v>
      </c>
      <c r="W144" s="49" t="str">
        <f t="shared" si="22"/>
        <v>1</v>
      </c>
      <c r="X144" s="49" t="str">
        <f t="shared" si="23"/>
        <v>1110</v>
      </c>
      <c r="Y144" s="49">
        <f t="shared" si="24"/>
        <v>0</v>
      </c>
      <c r="Z144" s="49">
        <f t="shared" si="25"/>
        <v>0</v>
      </c>
      <c r="AA144" s="49">
        <f t="shared" si="26"/>
        <v>1</v>
      </c>
      <c r="AB144" s="49" t="str">
        <f t="shared" si="29"/>
        <v>100</v>
      </c>
      <c r="AC144" s="49">
        <f t="shared" si="27"/>
        <v>1</v>
      </c>
      <c r="AD144" s="49">
        <v>0</v>
      </c>
      <c r="AE144" s="49" t="str">
        <f t="shared" si="28"/>
        <v>3A964</v>
      </c>
    </row>
    <row r="145" spans="1:31" x14ac:dyDescent="0.15">
      <c r="A145" s="42" t="str">
        <f t="shared" si="20"/>
        <v>0</v>
      </c>
      <c r="B145" s="43">
        <v>143</v>
      </c>
      <c r="C145" s="38" t="s">
        <v>496</v>
      </c>
      <c r="D145" s="50" t="s">
        <v>1808</v>
      </c>
      <c r="E145" s="51" t="s">
        <v>1809</v>
      </c>
      <c r="F145" s="69" t="s">
        <v>1810</v>
      </c>
      <c r="G145" s="52">
        <v>0</v>
      </c>
      <c r="H145" s="53">
        <v>1100</v>
      </c>
      <c r="I145" s="38">
        <v>-1100</v>
      </c>
      <c r="J145" s="53" t="s">
        <v>1811</v>
      </c>
      <c r="K145" s="53">
        <v>0</v>
      </c>
      <c r="L145" s="53" t="s">
        <v>859</v>
      </c>
      <c r="M145" s="53">
        <v>0.1</v>
      </c>
      <c r="N145" s="53" t="s">
        <v>1719</v>
      </c>
      <c r="O145" s="53">
        <v>0</v>
      </c>
      <c r="P145" s="38">
        <v>0</v>
      </c>
      <c r="Q145" s="53">
        <v>1</v>
      </c>
      <c r="R145" s="53">
        <v>4</v>
      </c>
      <c r="S145" s="53">
        <v>1</v>
      </c>
      <c r="T145" s="53"/>
      <c r="V145" s="49" t="str">
        <f t="shared" si="21"/>
        <v>0</v>
      </c>
      <c r="W145" s="49" t="str">
        <f t="shared" si="22"/>
        <v>1</v>
      </c>
      <c r="X145" s="49" t="str">
        <f t="shared" si="23"/>
        <v>1110</v>
      </c>
      <c r="Y145" s="49">
        <f t="shared" si="24"/>
        <v>0</v>
      </c>
      <c r="Z145" s="49">
        <f t="shared" si="25"/>
        <v>0</v>
      </c>
      <c r="AA145" s="49">
        <f t="shared" si="26"/>
        <v>1</v>
      </c>
      <c r="AB145" s="49" t="str">
        <f t="shared" si="29"/>
        <v>100</v>
      </c>
      <c r="AC145" s="49">
        <f t="shared" si="27"/>
        <v>1</v>
      </c>
      <c r="AD145" s="49">
        <v>0</v>
      </c>
      <c r="AE145" s="49" t="str">
        <f t="shared" si="28"/>
        <v>3A964</v>
      </c>
    </row>
    <row r="146" spans="1:31" ht="14.45" customHeight="1" x14ac:dyDescent="0.15">
      <c r="A146" s="42" t="str">
        <f t="shared" si="20"/>
        <v>0</v>
      </c>
      <c r="B146" s="43">
        <v>144</v>
      </c>
      <c r="C146" s="38" t="s">
        <v>497</v>
      </c>
      <c r="D146" s="50" t="s">
        <v>1812</v>
      </c>
      <c r="E146" s="51" t="s">
        <v>1813</v>
      </c>
      <c r="F146" s="69" t="s">
        <v>1807</v>
      </c>
      <c r="G146" s="52">
        <v>0</v>
      </c>
      <c r="H146" s="53">
        <v>1000</v>
      </c>
      <c r="I146" s="38">
        <v>-1000</v>
      </c>
      <c r="J146" s="53">
        <v>0</v>
      </c>
      <c r="K146" s="53">
        <v>0</v>
      </c>
      <c r="L146" s="53" t="s">
        <v>859</v>
      </c>
      <c r="M146" s="53">
        <v>0.1</v>
      </c>
      <c r="N146" s="53" t="s">
        <v>1719</v>
      </c>
      <c r="O146" s="53">
        <v>0</v>
      </c>
      <c r="P146" s="38">
        <v>0</v>
      </c>
      <c r="Q146" s="53">
        <v>1</v>
      </c>
      <c r="R146" s="53">
        <v>4</v>
      </c>
      <c r="S146" s="53">
        <v>1</v>
      </c>
      <c r="T146" s="53"/>
      <c r="V146" s="49" t="str">
        <f t="shared" si="21"/>
        <v>0</v>
      </c>
      <c r="W146" s="49" t="str">
        <f t="shared" si="22"/>
        <v>1</v>
      </c>
      <c r="X146" s="49" t="str">
        <f t="shared" si="23"/>
        <v>1110</v>
      </c>
      <c r="Y146" s="49">
        <f t="shared" si="24"/>
        <v>0</v>
      </c>
      <c r="Z146" s="49">
        <f t="shared" si="25"/>
        <v>0</v>
      </c>
      <c r="AA146" s="49">
        <f t="shared" si="26"/>
        <v>1</v>
      </c>
      <c r="AB146" s="49" t="str">
        <f t="shared" si="29"/>
        <v>100</v>
      </c>
      <c r="AC146" s="49">
        <f t="shared" si="27"/>
        <v>1</v>
      </c>
      <c r="AD146" s="49">
        <v>0</v>
      </c>
      <c r="AE146" s="49" t="str">
        <f t="shared" si="28"/>
        <v>3A964</v>
      </c>
    </row>
    <row r="147" spans="1:31" x14ac:dyDescent="0.15">
      <c r="A147" s="42" t="str">
        <f t="shared" si="20"/>
        <v>0</v>
      </c>
      <c r="B147" s="43">
        <v>145</v>
      </c>
      <c r="C147" s="38" t="s">
        <v>498</v>
      </c>
      <c r="D147" s="50" t="s">
        <v>1814</v>
      </c>
      <c r="E147" s="51" t="s">
        <v>1815</v>
      </c>
      <c r="F147" s="69" t="s">
        <v>1816</v>
      </c>
      <c r="G147" s="52">
        <v>1000</v>
      </c>
      <c r="H147" s="53">
        <v>1100</v>
      </c>
      <c r="I147" s="38">
        <v>-1100</v>
      </c>
      <c r="J147" s="53">
        <v>0</v>
      </c>
      <c r="K147" s="53" t="s">
        <v>1817</v>
      </c>
      <c r="L147" s="53" t="s">
        <v>859</v>
      </c>
      <c r="M147" s="53">
        <v>0.1</v>
      </c>
      <c r="N147" s="53" t="s">
        <v>1719</v>
      </c>
      <c r="O147" s="53">
        <v>0</v>
      </c>
      <c r="P147" s="38">
        <v>0</v>
      </c>
      <c r="Q147" s="53">
        <v>1</v>
      </c>
      <c r="R147" s="53">
        <v>4</v>
      </c>
      <c r="S147" s="53">
        <v>1</v>
      </c>
      <c r="T147" s="53"/>
      <c r="V147" s="49" t="str">
        <f t="shared" si="21"/>
        <v>0</v>
      </c>
      <c r="W147" s="49" t="str">
        <f t="shared" si="22"/>
        <v>1</v>
      </c>
      <c r="X147" s="49" t="str">
        <f t="shared" si="23"/>
        <v>1110</v>
      </c>
      <c r="Y147" s="49">
        <f t="shared" si="24"/>
        <v>0</v>
      </c>
      <c r="Z147" s="49">
        <f t="shared" si="25"/>
        <v>0</v>
      </c>
      <c r="AA147" s="49">
        <f t="shared" si="26"/>
        <v>1</v>
      </c>
      <c r="AB147" s="49" t="str">
        <f t="shared" si="29"/>
        <v>100</v>
      </c>
      <c r="AC147" s="49">
        <f t="shared" si="27"/>
        <v>1</v>
      </c>
      <c r="AD147" s="49">
        <v>0</v>
      </c>
      <c r="AE147" s="49" t="str">
        <f t="shared" si="28"/>
        <v>3A964</v>
      </c>
    </row>
    <row r="148" spans="1:31" ht="14.45" customHeight="1" x14ac:dyDescent="0.15">
      <c r="A148" s="42" t="str">
        <f t="shared" si="20"/>
        <v>0</v>
      </c>
      <c r="B148" s="43">
        <v>146</v>
      </c>
      <c r="C148" s="38" t="s">
        <v>499</v>
      </c>
      <c r="D148" s="50" t="s">
        <v>1818</v>
      </c>
      <c r="E148" s="51" t="s">
        <v>1819</v>
      </c>
      <c r="F148" s="69" t="s">
        <v>1807</v>
      </c>
      <c r="G148" s="52">
        <v>1000</v>
      </c>
      <c r="H148" s="53">
        <v>1000</v>
      </c>
      <c r="I148" s="38">
        <v>-1000</v>
      </c>
      <c r="J148" s="53">
        <v>0</v>
      </c>
      <c r="K148" s="53">
        <v>0</v>
      </c>
      <c r="L148" s="53" t="s">
        <v>859</v>
      </c>
      <c r="M148" s="53">
        <v>0.1</v>
      </c>
      <c r="N148" s="53" t="s">
        <v>1719</v>
      </c>
      <c r="O148" s="53">
        <v>0</v>
      </c>
      <c r="P148" s="38">
        <v>0</v>
      </c>
      <c r="Q148" s="53">
        <v>1</v>
      </c>
      <c r="R148" s="53">
        <v>4</v>
      </c>
      <c r="S148" s="53">
        <v>1</v>
      </c>
      <c r="T148" s="53"/>
      <c r="V148" s="49" t="str">
        <f t="shared" si="21"/>
        <v>0</v>
      </c>
      <c r="W148" s="49" t="str">
        <f t="shared" si="22"/>
        <v>1</v>
      </c>
      <c r="X148" s="49" t="str">
        <f t="shared" si="23"/>
        <v>1110</v>
      </c>
      <c r="Y148" s="49">
        <f t="shared" si="24"/>
        <v>0</v>
      </c>
      <c r="Z148" s="49">
        <f t="shared" si="25"/>
        <v>0</v>
      </c>
      <c r="AA148" s="49">
        <f t="shared" si="26"/>
        <v>1</v>
      </c>
      <c r="AB148" s="49" t="str">
        <f t="shared" si="29"/>
        <v>100</v>
      </c>
      <c r="AC148" s="49">
        <f t="shared" si="27"/>
        <v>1</v>
      </c>
      <c r="AD148" s="49">
        <v>0</v>
      </c>
      <c r="AE148" s="49" t="str">
        <f t="shared" si="28"/>
        <v>3A964</v>
      </c>
    </row>
    <row r="149" spans="1:31" x14ac:dyDescent="0.15">
      <c r="A149" s="42" t="str">
        <f t="shared" si="20"/>
        <v>0</v>
      </c>
      <c r="B149" s="43">
        <v>147</v>
      </c>
      <c r="C149" s="38" t="s">
        <v>500</v>
      </c>
      <c r="D149" s="50" t="s">
        <v>1820</v>
      </c>
      <c r="E149" s="51" t="s">
        <v>1821</v>
      </c>
      <c r="F149" s="69" t="s">
        <v>1822</v>
      </c>
      <c r="G149" s="52">
        <v>0</v>
      </c>
      <c r="H149" s="53">
        <v>1100</v>
      </c>
      <c r="I149" s="38">
        <v>-1100</v>
      </c>
      <c r="J149" s="53" t="s">
        <v>1823</v>
      </c>
      <c r="K149" s="53" t="s">
        <v>1824</v>
      </c>
      <c r="L149" s="53" t="s">
        <v>859</v>
      </c>
      <c r="M149" s="53">
        <v>0.1</v>
      </c>
      <c r="N149" s="53" t="s">
        <v>1719</v>
      </c>
      <c r="O149" s="53">
        <v>0</v>
      </c>
      <c r="P149" s="38">
        <v>0</v>
      </c>
      <c r="Q149" s="53">
        <v>1</v>
      </c>
      <c r="R149" s="53">
        <v>4</v>
      </c>
      <c r="S149" s="53">
        <v>1</v>
      </c>
      <c r="T149" s="53"/>
      <c r="V149" s="49" t="str">
        <f t="shared" si="21"/>
        <v>0</v>
      </c>
      <c r="W149" s="49" t="str">
        <f t="shared" si="22"/>
        <v>1</v>
      </c>
      <c r="X149" s="49" t="str">
        <f t="shared" si="23"/>
        <v>1110</v>
      </c>
      <c r="Y149" s="49">
        <f t="shared" si="24"/>
        <v>0</v>
      </c>
      <c r="Z149" s="49">
        <f t="shared" si="25"/>
        <v>0</v>
      </c>
      <c r="AA149" s="49">
        <f t="shared" si="26"/>
        <v>1</v>
      </c>
      <c r="AB149" s="49" t="str">
        <f t="shared" si="29"/>
        <v>100</v>
      </c>
      <c r="AC149" s="49">
        <f t="shared" si="27"/>
        <v>1</v>
      </c>
      <c r="AD149" s="49">
        <v>0</v>
      </c>
      <c r="AE149" s="49" t="str">
        <f t="shared" si="28"/>
        <v>3A964</v>
      </c>
    </row>
    <row r="150" spans="1:31" ht="14.45" customHeight="1" x14ac:dyDescent="0.15">
      <c r="A150" s="42" t="str">
        <f t="shared" si="20"/>
        <v>0</v>
      </c>
      <c r="B150" s="43">
        <v>148</v>
      </c>
      <c r="C150" s="38" t="s">
        <v>501</v>
      </c>
      <c r="D150" s="50" t="s">
        <v>1825</v>
      </c>
      <c r="E150" s="51" t="s">
        <v>1826</v>
      </c>
      <c r="F150" s="69" t="s">
        <v>1807</v>
      </c>
      <c r="G150" s="52">
        <v>0</v>
      </c>
      <c r="H150" s="53">
        <v>1000</v>
      </c>
      <c r="I150" s="38">
        <v>-1000</v>
      </c>
      <c r="J150" s="53">
        <v>0</v>
      </c>
      <c r="K150" s="53">
        <v>0</v>
      </c>
      <c r="L150" s="53" t="s">
        <v>859</v>
      </c>
      <c r="M150" s="53">
        <v>0.1</v>
      </c>
      <c r="N150" s="53" t="s">
        <v>1719</v>
      </c>
      <c r="O150" s="53">
        <v>0</v>
      </c>
      <c r="P150" s="38">
        <v>0</v>
      </c>
      <c r="Q150" s="53">
        <v>1</v>
      </c>
      <c r="R150" s="53">
        <v>4</v>
      </c>
      <c r="S150" s="53">
        <v>1</v>
      </c>
      <c r="T150" s="53"/>
      <c r="V150" s="49" t="str">
        <f t="shared" si="21"/>
        <v>0</v>
      </c>
      <c r="W150" s="49" t="str">
        <f t="shared" si="22"/>
        <v>1</v>
      </c>
      <c r="X150" s="49" t="str">
        <f t="shared" si="23"/>
        <v>1110</v>
      </c>
      <c r="Y150" s="49">
        <f t="shared" si="24"/>
        <v>0</v>
      </c>
      <c r="Z150" s="49">
        <f t="shared" si="25"/>
        <v>0</v>
      </c>
      <c r="AA150" s="49">
        <f t="shared" si="26"/>
        <v>1</v>
      </c>
      <c r="AB150" s="49" t="str">
        <f t="shared" si="29"/>
        <v>100</v>
      </c>
      <c r="AC150" s="49">
        <f t="shared" si="27"/>
        <v>1</v>
      </c>
      <c r="AD150" s="49">
        <v>0</v>
      </c>
      <c r="AE150" s="49" t="str">
        <f t="shared" si="28"/>
        <v>3A964</v>
      </c>
    </row>
    <row r="151" spans="1:31" x14ac:dyDescent="0.15">
      <c r="A151" s="42" t="str">
        <f t="shared" si="20"/>
        <v>0</v>
      </c>
      <c r="B151" s="43">
        <v>149</v>
      </c>
      <c r="C151" s="38" t="s">
        <v>502</v>
      </c>
      <c r="D151" s="50" t="s">
        <v>1827</v>
      </c>
      <c r="E151" s="51" t="s">
        <v>1828</v>
      </c>
      <c r="F151" s="69" t="s">
        <v>1829</v>
      </c>
      <c r="G151" s="52">
        <v>0</v>
      </c>
      <c r="H151" s="53">
        <v>1100</v>
      </c>
      <c r="I151" s="38">
        <v>-1100</v>
      </c>
      <c r="J151" s="51" t="s">
        <v>1817</v>
      </c>
      <c r="K151" s="51" t="s">
        <v>1830</v>
      </c>
      <c r="L151" s="53" t="s">
        <v>859</v>
      </c>
      <c r="M151" s="53">
        <v>0.1</v>
      </c>
      <c r="N151" s="53" t="s">
        <v>1634</v>
      </c>
      <c r="O151" s="53">
        <v>0</v>
      </c>
      <c r="P151" s="38">
        <v>0</v>
      </c>
      <c r="Q151" s="53">
        <v>1</v>
      </c>
      <c r="R151" s="53">
        <v>4</v>
      </c>
      <c r="S151" s="53">
        <v>1</v>
      </c>
      <c r="T151" s="53"/>
      <c r="V151" s="49" t="str">
        <f t="shared" si="21"/>
        <v>0</v>
      </c>
      <c r="W151" s="49" t="str">
        <f t="shared" si="22"/>
        <v>1</v>
      </c>
      <c r="X151" s="49" t="str">
        <f t="shared" si="23"/>
        <v>1110</v>
      </c>
      <c r="Y151" s="49">
        <f t="shared" si="24"/>
        <v>0</v>
      </c>
      <c r="Z151" s="49">
        <f t="shared" si="25"/>
        <v>0</v>
      </c>
      <c r="AA151" s="49">
        <f t="shared" si="26"/>
        <v>1</v>
      </c>
      <c r="AB151" s="49" t="str">
        <f t="shared" si="29"/>
        <v>100</v>
      </c>
      <c r="AC151" s="49">
        <f t="shared" si="27"/>
        <v>1</v>
      </c>
      <c r="AD151" s="49">
        <v>0</v>
      </c>
      <c r="AE151" s="49" t="str">
        <f t="shared" si="28"/>
        <v>3A964</v>
      </c>
    </row>
    <row r="152" spans="1:31" ht="14.45" customHeight="1" x14ac:dyDescent="0.15">
      <c r="A152" s="42" t="str">
        <f t="shared" si="20"/>
        <v>0</v>
      </c>
      <c r="B152" s="43">
        <v>150</v>
      </c>
      <c r="C152" s="38" t="s">
        <v>503</v>
      </c>
      <c r="D152" s="50" t="s">
        <v>1831</v>
      </c>
      <c r="E152" s="51" t="s">
        <v>1832</v>
      </c>
      <c r="F152" s="69" t="s">
        <v>1807</v>
      </c>
      <c r="G152" s="52">
        <v>0</v>
      </c>
      <c r="H152" s="53">
        <v>1000</v>
      </c>
      <c r="I152" s="38">
        <v>-1000</v>
      </c>
      <c r="J152" s="53">
        <v>0</v>
      </c>
      <c r="K152" s="53">
        <v>0</v>
      </c>
      <c r="L152" s="53" t="s">
        <v>859</v>
      </c>
      <c r="M152" s="53">
        <v>0.1</v>
      </c>
      <c r="N152" s="53" t="s">
        <v>1634</v>
      </c>
      <c r="O152" s="53">
        <v>0</v>
      </c>
      <c r="P152" s="38">
        <v>0</v>
      </c>
      <c r="Q152" s="53">
        <v>1</v>
      </c>
      <c r="R152" s="53">
        <v>4</v>
      </c>
      <c r="S152" s="53">
        <v>1</v>
      </c>
      <c r="T152" s="53"/>
      <c r="V152" s="49" t="str">
        <f t="shared" si="21"/>
        <v>0</v>
      </c>
      <c r="W152" s="49" t="str">
        <f t="shared" si="22"/>
        <v>1</v>
      </c>
      <c r="X152" s="49" t="e">
        <f t="shared" ref="X152:X200" si="30">LOOKUP(N152,$AG$2:$AG$17,$AH$2:$AH$17)</f>
        <v>#N/A</v>
      </c>
      <c r="Y152" s="49">
        <f t="shared" si="24"/>
        <v>0</v>
      </c>
      <c r="Z152" s="49">
        <f t="shared" si="25"/>
        <v>0</v>
      </c>
      <c r="AA152" s="49">
        <f t="shared" si="26"/>
        <v>1</v>
      </c>
      <c r="AB152" s="49" t="str">
        <f t="shared" si="29"/>
        <v>100</v>
      </c>
      <c r="AC152" s="49">
        <f t="shared" si="27"/>
        <v>1</v>
      </c>
      <c r="AD152" s="49">
        <v>0</v>
      </c>
      <c r="AE152" s="49" t="e">
        <f t="shared" si="28"/>
        <v>#N/A</v>
      </c>
    </row>
    <row r="153" spans="1:31" x14ac:dyDescent="0.15">
      <c r="A153" s="42" t="str">
        <f t="shared" si="20"/>
        <v>0</v>
      </c>
      <c r="B153" s="43">
        <v>151</v>
      </c>
      <c r="C153" s="38" t="s">
        <v>504</v>
      </c>
      <c r="D153" s="50" t="s">
        <v>1833</v>
      </c>
      <c r="E153" s="51" t="s">
        <v>1834</v>
      </c>
      <c r="F153" s="69" t="s">
        <v>1835</v>
      </c>
      <c r="G153" s="52">
        <v>0</v>
      </c>
      <c r="H153" s="53">
        <v>1100</v>
      </c>
      <c r="I153" s="38">
        <v>-1100</v>
      </c>
      <c r="J153" s="53" t="s">
        <v>1824</v>
      </c>
      <c r="K153" s="53">
        <v>0</v>
      </c>
      <c r="L153" s="53" t="s">
        <v>859</v>
      </c>
      <c r="M153" s="53">
        <v>0.1</v>
      </c>
      <c r="N153" s="53" t="s">
        <v>1719</v>
      </c>
      <c r="O153" s="70">
        <v>0</v>
      </c>
      <c r="P153" s="38">
        <v>0</v>
      </c>
      <c r="Q153" s="53">
        <v>1</v>
      </c>
      <c r="R153" s="53">
        <v>4</v>
      </c>
      <c r="S153" s="53">
        <v>1</v>
      </c>
      <c r="T153" s="53"/>
      <c r="V153" s="49" t="str">
        <f t="shared" si="21"/>
        <v>0</v>
      </c>
      <c r="W153" s="49" t="str">
        <f t="shared" si="22"/>
        <v>1</v>
      </c>
      <c r="X153" s="49" t="e">
        <f t="shared" si="30"/>
        <v>#N/A</v>
      </c>
      <c r="Y153" s="49">
        <f t="shared" si="24"/>
        <v>0</v>
      </c>
      <c r="Z153" s="49">
        <f t="shared" si="25"/>
        <v>0</v>
      </c>
      <c r="AA153" s="49">
        <f t="shared" si="26"/>
        <v>1</v>
      </c>
      <c r="AB153" s="49" t="str">
        <f t="shared" si="29"/>
        <v>100</v>
      </c>
      <c r="AC153" s="49">
        <f t="shared" si="27"/>
        <v>1</v>
      </c>
      <c r="AD153" s="49">
        <v>0</v>
      </c>
      <c r="AE153" s="49" t="e">
        <f t="shared" si="28"/>
        <v>#N/A</v>
      </c>
    </row>
    <row r="154" spans="1:31" ht="14.45" customHeight="1" x14ac:dyDescent="0.15">
      <c r="A154" s="42" t="str">
        <f t="shared" si="20"/>
        <v>0</v>
      </c>
      <c r="B154" s="43">
        <v>152</v>
      </c>
      <c r="C154" s="38" t="s">
        <v>505</v>
      </c>
      <c r="D154" s="50" t="s">
        <v>1836</v>
      </c>
      <c r="E154" s="51" t="s">
        <v>1837</v>
      </c>
      <c r="F154" s="69" t="s">
        <v>1807</v>
      </c>
      <c r="G154" s="52">
        <v>0</v>
      </c>
      <c r="H154" s="53">
        <v>1000</v>
      </c>
      <c r="I154" s="38">
        <v>-1000</v>
      </c>
      <c r="J154" s="53">
        <v>0</v>
      </c>
      <c r="K154" s="53">
        <v>0</v>
      </c>
      <c r="L154" s="53" t="s">
        <v>859</v>
      </c>
      <c r="M154" s="53">
        <v>0.1</v>
      </c>
      <c r="N154" s="53" t="s">
        <v>1719</v>
      </c>
      <c r="O154" s="53">
        <v>0</v>
      </c>
      <c r="P154" s="38">
        <v>0</v>
      </c>
      <c r="Q154" s="53">
        <v>1</v>
      </c>
      <c r="R154" s="53">
        <v>4</v>
      </c>
      <c r="S154" s="53">
        <v>1</v>
      </c>
      <c r="T154" s="53"/>
      <c r="V154" s="49" t="str">
        <f t="shared" si="21"/>
        <v>0</v>
      </c>
      <c r="W154" s="49" t="str">
        <f t="shared" si="22"/>
        <v>1</v>
      </c>
      <c r="X154" s="49" t="e">
        <f t="shared" si="30"/>
        <v>#N/A</v>
      </c>
      <c r="Y154" s="49">
        <f t="shared" si="24"/>
        <v>0</v>
      </c>
      <c r="Z154" s="49">
        <f t="shared" si="25"/>
        <v>0</v>
      </c>
      <c r="AA154" s="49">
        <f t="shared" si="26"/>
        <v>1</v>
      </c>
      <c r="AB154" s="49" t="str">
        <f t="shared" si="29"/>
        <v>100</v>
      </c>
      <c r="AC154" s="49">
        <f t="shared" si="27"/>
        <v>1</v>
      </c>
      <c r="AD154" s="49">
        <v>0</v>
      </c>
      <c r="AE154" s="49" t="e">
        <f t="shared" si="28"/>
        <v>#N/A</v>
      </c>
    </row>
    <row r="155" spans="1:31" x14ac:dyDescent="0.15">
      <c r="A155" s="42" t="str">
        <f t="shared" si="20"/>
        <v>0</v>
      </c>
      <c r="B155" s="43">
        <v>153</v>
      </c>
      <c r="C155" s="38" t="s">
        <v>506</v>
      </c>
      <c r="D155" s="50" t="s">
        <v>1838</v>
      </c>
      <c r="E155" s="51" t="s">
        <v>885</v>
      </c>
      <c r="F155" s="69" t="s">
        <v>1839</v>
      </c>
      <c r="G155" s="52">
        <v>1000</v>
      </c>
      <c r="H155" s="53">
        <v>1100</v>
      </c>
      <c r="I155" s="38">
        <v>-1100</v>
      </c>
      <c r="J155" s="53">
        <v>0</v>
      </c>
      <c r="K155" s="53" t="s">
        <v>1840</v>
      </c>
      <c r="L155" s="53" t="s">
        <v>859</v>
      </c>
      <c r="M155" s="53">
        <v>0.1</v>
      </c>
      <c r="N155" s="53" t="s">
        <v>1634</v>
      </c>
      <c r="O155" s="53">
        <v>0</v>
      </c>
      <c r="P155" s="38">
        <v>0</v>
      </c>
      <c r="Q155" s="53">
        <v>1</v>
      </c>
      <c r="R155" s="53">
        <v>4</v>
      </c>
      <c r="S155" s="53">
        <v>1</v>
      </c>
      <c r="T155" s="53"/>
      <c r="V155" s="49" t="str">
        <f t="shared" si="21"/>
        <v>0</v>
      </c>
      <c r="W155" s="49" t="str">
        <f t="shared" si="22"/>
        <v>1</v>
      </c>
      <c r="X155" s="49" t="e">
        <f t="shared" si="30"/>
        <v>#N/A</v>
      </c>
      <c r="Y155" s="49">
        <f t="shared" si="24"/>
        <v>0</v>
      </c>
      <c r="Z155" s="49">
        <f t="shared" si="25"/>
        <v>0</v>
      </c>
      <c r="AA155" s="49">
        <f t="shared" si="26"/>
        <v>1</v>
      </c>
      <c r="AB155" s="49" t="str">
        <f t="shared" si="29"/>
        <v>100</v>
      </c>
      <c r="AC155" s="49">
        <f t="shared" si="27"/>
        <v>1</v>
      </c>
      <c r="AD155" s="49">
        <v>0</v>
      </c>
      <c r="AE155" s="49" t="e">
        <f t="shared" si="28"/>
        <v>#N/A</v>
      </c>
    </row>
    <row r="156" spans="1:31" ht="14.45" customHeight="1" x14ac:dyDescent="0.15">
      <c r="A156" s="42" t="str">
        <f t="shared" si="20"/>
        <v>0</v>
      </c>
      <c r="B156" s="43">
        <v>154</v>
      </c>
      <c r="C156" s="38" t="s">
        <v>507</v>
      </c>
      <c r="D156" s="50" t="s">
        <v>1841</v>
      </c>
      <c r="E156" s="51" t="s">
        <v>886</v>
      </c>
      <c r="F156" s="69" t="s">
        <v>1807</v>
      </c>
      <c r="G156" s="52">
        <v>1000</v>
      </c>
      <c r="H156" s="53">
        <v>1000</v>
      </c>
      <c r="I156" s="38">
        <v>-1000</v>
      </c>
      <c r="J156" s="53">
        <v>0</v>
      </c>
      <c r="K156" s="53">
        <v>0</v>
      </c>
      <c r="L156" s="53" t="s">
        <v>859</v>
      </c>
      <c r="M156" s="53">
        <v>0.1</v>
      </c>
      <c r="N156" s="53" t="s">
        <v>1634</v>
      </c>
      <c r="O156" s="53">
        <v>0</v>
      </c>
      <c r="P156" s="38">
        <v>0</v>
      </c>
      <c r="Q156" s="53">
        <v>1</v>
      </c>
      <c r="R156" s="53">
        <v>4</v>
      </c>
      <c r="S156" s="53">
        <v>1</v>
      </c>
      <c r="T156" s="53"/>
      <c r="V156" s="49" t="str">
        <f t="shared" si="21"/>
        <v>0</v>
      </c>
      <c r="W156" s="49" t="str">
        <f t="shared" si="22"/>
        <v>1</v>
      </c>
      <c r="X156" s="49" t="str">
        <f>DEC2BIN(14)</f>
        <v>1110</v>
      </c>
      <c r="Y156" s="49">
        <f t="shared" si="24"/>
        <v>0</v>
      </c>
      <c r="Z156" s="49">
        <f t="shared" si="25"/>
        <v>0</v>
      </c>
      <c r="AA156" s="49">
        <f t="shared" si="26"/>
        <v>1</v>
      </c>
      <c r="AB156" s="49" t="str">
        <f t="shared" si="29"/>
        <v>100</v>
      </c>
      <c r="AC156" s="49">
        <f t="shared" si="27"/>
        <v>1</v>
      </c>
      <c r="AD156" s="49">
        <v>0</v>
      </c>
      <c r="AE156" s="49" t="str">
        <f t="shared" si="28"/>
        <v>3A964</v>
      </c>
    </row>
    <row r="157" spans="1:31" x14ac:dyDescent="0.15">
      <c r="A157" s="42" t="str">
        <f t="shared" si="20"/>
        <v>0</v>
      </c>
      <c r="B157" s="43">
        <v>155</v>
      </c>
      <c r="C157" s="38" t="s">
        <v>508</v>
      </c>
      <c r="D157" s="50" t="s">
        <v>1842</v>
      </c>
      <c r="E157" s="51" t="s">
        <v>887</v>
      </c>
      <c r="F157" s="69" t="s">
        <v>1843</v>
      </c>
      <c r="G157" s="52">
        <v>0</v>
      </c>
      <c r="H157" s="53">
        <v>1100</v>
      </c>
      <c r="I157" s="38">
        <v>-1100</v>
      </c>
      <c r="J157" s="51" t="s">
        <v>1844</v>
      </c>
      <c r="K157" s="51" t="s">
        <v>1845</v>
      </c>
      <c r="L157" s="53" t="s">
        <v>859</v>
      </c>
      <c r="M157" s="53">
        <v>0.1</v>
      </c>
      <c r="N157" s="53" t="s">
        <v>1634</v>
      </c>
      <c r="O157" s="53">
        <v>0</v>
      </c>
      <c r="P157" s="38">
        <v>0</v>
      </c>
      <c r="Q157" s="53">
        <v>1</v>
      </c>
      <c r="R157" s="53">
        <v>4</v>
      </c>
      <c r="S157" s="53">
        <v>1</v>
      </c>
      <c r="T157" s="53"/>
      <c r="V157" s="49" t="str">
        <f t="shared" si="21"/>
        <v>0</v>
      </c>
      <c r="W157" s="49" t="str">
        <f t="shared" si="22"/>
        <v>1</v>
      </c>
      <c r="X157" s="49" t="e">
        <f t="shared" si="30"/>
        <v>#N/A</v>
      </c>
      <c r="Y157" s="49">
        <f t="shared" si="24"/>
        <v>0</v>
      </c>
      <c r="Z157" s="49">
        <f t="shared" si="25"/>
        <v>0</v>
      </c>
      <c r="AA157" s="49">
        <f t="shared" si="26"/>
        <v>1</v>
      </c>
      <c r="AB157" s="49" t="str">
        <f t="shared" si="29"/>
        <v>100</v>
      </c>
      <c r="AC157" s="49">
        <f t="shared" si="27"/>
        <v>1</v>
      </c>
      <c r="AD157" s="49">
        <v>0</v>
      </c>
      <c r="AE157" s="49" t="e">
        <f t="shared" si="28"/>
        <v>#N/A</v>
      </c>
    </row>
    <row r="158" spans="1:31" ht="14.45" customHeight="1" x14ac:dyDescent="0.15">
      <c r="A158" s="42" t="str">
        <f t="shared" si="20"/>
        <v>0</v>
      </c>
      <c r="B158" s="43">
        <v>156</v>
      </c>
      <c r="C158" s="38" t="s">
        <v>509</v>
      </c>
      <c r="D158" s="50" t="s">
        <v>1846</v>
      </c>
      <c r="E158" s="51" t="s">
        <v>888</v>
      </c>
      <c r="F158" s="69" t="s">
        <v>1807</v>
      </c>
      <c r="G158" s="52">
        <v>0</v>
      </c>
      <c r="H158" s="53">
        <v>1000</v>
      </c>
      <c r="I158" s="38">
        <v>-1000</v>
      </c>
      <c r="J158" s="53">
        <v>0</v>
      </c>
      <c r="K158" s="53">
        <v>0</v>
      </c>
      <c r="L158" s="53" t="s">
        <v>859</v>
      </c>
      <c r="M158" s="53">
        <v>0.1</v>
      </c>
      <c r="N158" s="53" t="s">
        <v>1634</v>
      </c>
      <c r="O158" s="53">
        <v>0</v>
      </c>
      <c r="P158" s="38">
        <v>0</v>
      </c>
      <c r="Q158" s="53">
        <v>1</v>
      </c>
      <c r="R158" s="53">
        <v>4</v>
      </c>
      <c r="S158" s="53">
        <v>1</v>
      </c>
      <c r="T158" s="53"/>
      <c r="V158" s="49" t="str">
        <f t="shared" si="21"/>
        <v>0</v>
      </c>
      <c r="W158" s="49" t="str">
        <f t="shared" si="22"/>
        <v>1</v>
      </c>
      <c r="X158" s="49" t="str">
        <f>DEC2BIN(14)</f>
        <v>1110</v>
      </c>
      <c r="Y158" s="49">
        <f t="shared" si="24"/>
        <v>0</v>
      </c>
      <c r="Z158" s="49">
        <f t="shared" si="25"/>
        <v>0</v>
      </c>
      <c r="AA158" s="49">
        <f t="shared" si="26"/>
        <v>1</v>
      </c>
      <c r="AB158" s="49" t="str">
        <f t="shared" si="29"/>
        <v>100</v>
      </c>
      <c r="AC158" s="49">
        <f t="shared" si="27"/>
        <v>1</v>
      </c>
      <c r="AD158" s="49">
        <v>0</v>
      </c>
      <c r="AE158" s="49" t="str">
        <f t="shared" si="28"/>
        <v>3A964</v>
      </c>
    </row>
    <row r="159" spans="1:31" x14ac:dyDescent="0.15">
      <c r="A159" s="42" t="str">
        <f t="shared" si="20"/>
        <v>0</v>
      </c>
      <c r="B159" s="43">
        <v>157</v>
      </c>
      <c r="C159" s="38" t="s">
        <v>510</v>
      </c>
      <c r="D159" s="50" t="s">
        <v>1847</v>
      </c>
      <c r="E159" s="51" t="s">
        <v>889</v>
      </c>
      <c r="F159" s="69" t="s">
        <v>1848</v>
      </c>
      <c r="G159" s="52">
        <v>0</v>
      </c>
      <c r="H159" s="53">
        <v>1100</v>
      </c>
      <c r="I159" s="38">
        <v>-1100</v>
      </c>
      <c r="J159" s="51" t="s">
        <v>1849</v>
      </c>
      <c r="K159" s="51" t="s">
        <v>1850</v>
      </c>
      <c r="L159" s="53" t="s">
        <v>859</v>
      </c>
      <c r="M159" s="53">
        <v>0.1</v>
      </c>
      <c r="N159" s="53" t="s">
        <v>1634</v>
      </c>
      <c r="O159" s="53">
        <v>0</v>
      </c>
      <c r="P159" s="38">
        <v>0</v>
      </c>
      <c r="Q159" s="53">
        <v>1</v>
      </c>
      <c r="R159" s="53">
        <v>4</v>
      </c>
      <c r="S159" s="53">
        <v>1</v>
      </c>
      <c r="T159" s="53"/>
      <c r="V159" s="49" t="str">
        <f t="shared" si="21"/>
        <v>0</v>
      </c>
      <c r="W159" s="49" t="str">
        <f t="shared" si="22"/>
        <v>1</v>
      </c>
      <c r="X159" s="49" t="e">
        <f t="shared" si="30"/>
        <v>#N/A</v>
      </c>
      <c r="Y159" s="49">
        <f t="shared" si="24"/>
        <v>0</v>
      </c>
      <c r="Z159" s="49">
        <f t="shared" si="25"/>
        <v>0</v>
      </c>
      <c r="AA159" s="49">
        <f t="shared" si="26"/>
        <v>1</v>
      </c>
      <c r="AB159" s="49" t="str">
        <f t="shared" si="29"/>
        <v>100</v>
      </c>
      <c r="AC159" s="49">
        <f t="shared" si="27"/>
        <v>1</v>
      </c>
      <c r="AD159" s="49">
        <v>0</v>
      </c>
      <c r="AE159" s="49" t="e">
        <f t="shared" si="28"/>
        <v>#N/A</v>
      </c>
    </row>
    <row r="160" spans="1:31" ht="14.45" customHeight="1" x14ac:dyDescent="0.15">
      <c r="A160" s="42" t="str">
        <f t="shared" si="20"/>
        <v>0</v>
      </c>
      <c r="B160" s="43">
        <v>158</v>
      </c>
      <c r="C160" s="38" t="s">
        <v>511</v>
      </c>
      <c r="D160" s="50" t="s">
        <v>1851</v>
      </c>
      <c r="E160" s="51" t="s">
        <v>890</v>
      </c>
      <c r="F160" s="69" t="s">
        <v>1807</v>
      </c>
      <c r="G160" s="52">
        <v>0</v>
      </c>
      <c r="H160" s="53">
        <v>1000</v>
      </c>
      <c r="I160" s="38">
        <v>-1000</v>
      </c>
      <c r="J160" s="53">
        <v>0</v>
      </c>
      <c r="K160" s="53">
        <v>0</v>
      </c>
      <c r="L160" s="53" t="s">
        <v>859</v>
      </c>
      <c r="M160" s="53">
        <v>0.1</v>
      </c>
      <c r="N160" s="53" t="s">
        <v>1634</v>
      </c>
      <c r="O160" s="53">
        <v>0</v>
      </c>
      <c r="P160" s="38">
        <v>0</v>
      </c>
      <c r="Q160" s="53">
        <v>1</v>
      </c>
      <c r="R160" s="53">
        <v>4</v>
      </c>
      <c r="S160" s="53">
        <v>1</v>
      </c>
      <c r="T160" s="53"/>
      <c r="V160" s="49" t="str">
        <f t="shared" si="21"/>
        <v>0</v>
      </c>
      <c r="W160" s="49" t="str">
        <f t="shared" si="22"/>
        <v>1</v>
      </c>
      <c r="X160" s="49" t="e">
        <f t="shared" si="30"/>
        <v>#N/A</v>
      </c>
      <c r="Y160" s="49">
        <f t="shared" si="24"/>
        <v>0</v>
      </c>
      <c r="Z160" s="49">
        <f t="shared" si="25"/>
        <v>0</v>
      </c>
      <c r="AA160" s="49">
        <f t="shared" si="26"/>
        <v>1</v>
      </c>
      <c r="AB160" s="49" t="str">
        <f t="shared" si="29"/>
        <v>100</v>
      </c>
      <c r="AC160" s="49">
        <f t="shared" si="27"/>
        <v>1</v>
      </c>
      <c r="AD160" s="49">
        <v>0</v>
      </c>
      <c r="AE160" s="49" t="e">
        <f t="shared" si="28"/>
        <v>#N/A</v>
      </c>
    </row>
    <row r="161" spans="1:31" x14ac:dyDescent="0.15">
      <c r="A161" s="42" t="str">
        <f t="shared" si="20"/>
        <v>0</v>
      </c>
      <c r="B161" s="43">
        <v>159</v>
      </c>
      <c r="C161" s="38" t="s">
        <v>512</v>
      </c>
      <c r="D161" s="50" t="s">
        <v>1852</v>
      </c>
      <c r="E161" s="51" t="s">
        <v>891</v>
      </c>
      <c r="F161" s="69" t="s">
        <v>1853</v>
      </c>
      <c r="G161" s="52">
        <v>0</v>
      </c>
      <c r="H161" s="53">
        <v>1100</v>
      </c>
      <c r="I161" s="38">
        <v>-1100</v>
      </c>
      <c r="J161" s="53" t="s">
        <v>1845</v>
      </c>
      <c r="K161" s="53">
        <v>0</v>
      </c>
      <c r="L161" s="53" t="s">
        <v>859</v>
      </c>
      <c r="M161" s="53">
        <v>0.1</v>
      </c>
      <c r="N161" s="53" t="s">
        <v>1634</v>
      </c>
      <c r="O161" s="53">
        <v>0</v>
      </c>
      <c r="P161" s="38">
        <v>0</v>
      </c>
      <c r="Q161" s="53">
        <v>1</v>
      </c>
      <c r="R161" s="53">
        <v>4</v>
      </c>
      <c r="S161" s="53">
        <v>1</v>
      </c>
      <c r="T161" s="53"/>
      <c r="V161" s="49" t="str">
        <f t="shared" si="21"/>
        <v>0</v>
      </c>
      <c r="W161" s="49" t="str">
        <f t="shared" si="22"/>
        <v>1</v>
      </c>
      <c r="X161" s="49" t="e">
        <f t="shared" si="30"/>
        <v>#N/A</v>
      </c>
      <c r="Y161" s="49">
        <f t="shared" si="24"/>
        <v>0</v>
      </c>
      <c r="Z161" s="49">
        <f t="shared" si="25"/>
        <v>0</v>
      </c>
      <c r="AA161" s="49">
        <f t="shared" si="26"/>
        <v>1</v>
      </c>
      <c r="AB161" s="49" t="str">
        <f t="shared" si="29"/>
        <v>100</v>
      </c>
      <c r="AC161" s="49">
        <f t="shared" si="27"/>
        <v>1</v>
      </c>
      <c r="AD161" s="49">
        <v>0</v>
      </c>
      <c r="AE161" s="49" t="e">
        <f t="shared" si="28"/>
        <v>#N/A</v>
      </c>
    </row>
    <row r="162" spans="1:31" ht="14.45" customHeight="1" x14ac:dyDescent="0.15">
      <c r="A162" s="42" t="str">
        <f t="shared" si="20"/>
        <v>0</v>
      </c>
      <c r="B162" s="43">
        <v>160</v>
      </c>
      <c r="C162" s="38" t="s">
        <v>513</v>
      </c>
      <c r="D162" s="50" t="s">
        <v>1854</v>
      </c>
      <c r="E162" s="51" t="s">
        <v>892</v>
      </c>
      <c r="F162" s="69" t="s">
        <v>1807</v>
      </c>
      <c r="G162" s="52">
        <v>0</v>
      </c>
      <c r="H162" s="53">
        <v>1000</v>
      </c>
      <c r="I162" s="38">
        <v>-1000</v>
      </c>
      <c r="J162" s="53">
        <v>0</v>
      </c>
      <c r="K162" s="53">
        <v>0</v>
      </c>
      <c r="L162" s="53" t="s">
        <v>859</v>
      </c>
      <c r="M162" s="53">
        <v>0.1</v>
      </c>
      <c r="N162" s="53" t="s">
        <v>1719</v>
      </c>
      <c r="O162" s="53">
        <v>0</v>
      </c>
      <c r="P162" s="38">
        <v>0</v>
      </c>
      <c r="Q162" s="53">
        <v>1</v>
      </c>
      <c r="R162" s="53">
        <v>4</v>
      </c>
      <c r="S162" s="53">
        <v>1</v>
      </c>
      <c r="T162" s="53"/>
      <c r="V162" s="49" t="str">
        <f t="shared" si="21"/>
        <v>0</v>
      </c>
      <c r="W162" s="49" t="str">
        <f t="shared" si="22"/>
        <v>1</v>
      </c>
      <c r="X162" s="49" t="e">
        <f t="shared" si="30"/>
        <v>#N/A</v>
      </c>
      <c r="Y162" s="49">
        <f t="shared" si="24"/>
        <v>0</v>
      </c>
      <c r="Z162" s="49">
        <f t="shared" si="25"/>
        <v>0</v>
      </c>
      <c r="AA162" s="49">
        <f t="shared" si="26"/>
        <v>1</v>
      </c>
      <c r="AB162" s="49" t="str">
        <f t="shared" si="29"/>
        <v>100</v>
      </c>
      <c r="AC162" s="49">
        <f t="shared" si="27"/>
        <v>1</v>
      </c>
      <c r="AD162" s="49">
        <v>0</v>
      </c>
      <c r="AE162" s="49" t="e">
        <f t="shared" si="28"/>
        <v>#N/A</v>
      </c>
    </row>
    <row r="163" spans="1:31" x14ac:dyDescent="0.15">
      <c r="A163" s="42" t="str">
        <f t="shared" si="20"/>
        <v>0</v>
      </c>
      <c r="B163" s="43">
        <v>161</v>
      </c>
      <c r="C163" s="38" t="s">
        <v>514</v>
      </c>
      <c r="D163" s="50" t="s">
        <v>1473</v>
      </c>
      <c r="E163" s="51" t="s">
        <v>1855</v>
      </c>
      <c r="F163" s="69" t="s">
        <v>1042</v>
      </c>
      <c r="G163" s="52">
        <v>10</v>
      </c>
      <c r="H163" s="53">
        <v>10000</v>
      </c>
      <c r="I163" s="38">
        <v>0</v>
      </c>
      <c r="J163" s="53">
        <v>0</v>
      </c>
      <c r="K163" s="53">
        <v>0</v>
      </c>
      <c r="L163" s="53" t="s">
        <v>859</v>
      </c>
      <c r="M163" s="53">
        <v>1E-3</v>
      </c>
      <c r="N163" s="53" t="s">
        <v>1697</v>
      </c>
      <c r="O163" s="53">
        <v>0</v>
      </c>
      <c r="P163" s="38">
        <v>0</v>
      </c>
      <c r="Q163" s="53">
        <v>1</v>
      </c>
      <c r="R163" s="53">
        <v>5</v>
      </c>
      <c r="S163" s="53">
        <v>0</v>
      </c>
      <c r="T163" s="53"/>
      <c r="V163" s="49" t="str">
        <f t="shared" si="21"/>
        <v>0</v>
      </c>
      <c r="W163" s="49" t="str">
        <f t="shared" si="22"/>
        <v>11</v>
      </c>
      <c r="X163" s="49" t="str">
        <f>DEC2BIN(14)</f>
        <v>1110</v>
      </c>
      <c r="Y163" s="49">
        <f t="shared" si="24"/>
        <v>0</v>
      </c>
      <c r="Z163" s="49">
        <f t="shared" si="25"/>
        <v>0</v>
      </c>
      <c r="AA163" s="49">
        <f t="shared" si="26"/>
        <v>1</v>
      </c>
      <c r="AB163" s="49" t="str">
        <f t="shared" si="29"/>
        <v>101</v>
      </c>
      <c r="AC163" s="49">
        <f t="shared" si="27"/>
        <v>0</v>
      </c>
      <c r="AD163" s="49">
        <v>0</v>
      </c>
      <c r="AE163" s="49" t="str">
        <f t="shared" si="28"/>
        <v>3718C</v>
      </c>
    </row>
    <row r="164" spans="1:31" x14ac:dyDescent="0.15">
      <c r="A164" s="42" t="str">
        <f t="shared" si="20"/>
        <v>0</v>
      </c>
      <c r="B164" s="43">
        <v>162</v>
      </c>
      <c r="C164" s="38" t="s">
        <v>515</v>
      </c>
      <c r="D164" s="50" t="s">
        <v>1474</v>
      </c>
      <c r="E164" s="51" t="s">
        <v>893</v>
      </c>
      <c r="F164" s="69" t="s">
        <v>1042</v>
      </c>
      <c r="G164" s="52">
        <v>10</v>
      </c>
      <c r="H164" s="53">
        <v>10000</v>
      </c>
      <c r="I164" s="38">
        <v>0</v>
      </c>
      <c r="J164" s="53">
        <v>0</v>
      </c>
      <c r="K164" s="53">
        <v>0</v>
      </c>
      <c r="L164" s="53" t="s">
        <v>859</v>
      </c>
      <c r="M164" s="53">
        <v>1E-3</v>
      </c>
      <c r="N164" s="53" t="s">
        <v>1697</v>
      </c>
      <c r="O164" s="53">
        <v>0</v>
      </c>
      <c r="P164" s="38">
        <v>0</v>
      </c>
      <c r="Q164" s="53">
        <v>1</v>
      </c>
      <c r="R164" s="53">
        <v>5</v>
      </c>
      <c r="S164" s="53">
        <v>0</v>
      </c>
      <c r="T164" s="53"/>
      <c r="V164" s="49" t="str">
        <f t="shared" si="21"/>
        <v>0</v>
      </c>
      <c r="W164" s="49" t="str">
        <f t="shared" si="22"/>
        <v>11</v>
      </c>
      <c r="X164" s="49" t="str">
        <f>DEC2BIN(14)</f>
        <v>1110</v>
      </c>
      <c r="Y164" s="49">
        <f t="shared" si="24"/>
        <v>0</v>
      </c>
      <c r="Z164" s="49">
        <f t="shared" si="25"/>
        <v>0</v>
      </c>
      <c r="AA164" s="49">
        <f t="shared" si="26"/>
        <v>1</v>
      </c>
      <c r="AB164" s="49" t="str">
        <f t="shared" si="29"/>
        <v>101</v>
      </c>
      <c r="AC164" s="49">
        <f t="shared" si="27"/>
        <v>0</v>
      </c>
      <c r="AD164" s="49">
        <v>0</v>
      </c>
      <c r="AE164" s="49" t="str">
        <f t="shared" si="28"/>
        <v>3718C</v>
      </c>
    </row>
    <row r="165" spans="1:31" s="327" customFormat="1" x14ac:dyDescent="0.15">
      <c r="A165" s="318" t="str">
        <f t="shared" si="20"/>
        <v>0</v>
      </c>
      <c r="B165" s="319">
        <v>163</v>
      </c>
      <c r="C165" s="328" t="s">
        <v>516</v>
      </c>
      <c r="D165" s="329" t="s">
        <v>2678</v>
      </c>
      <c r="E165" s="330" t="s">
        <v>894</v>
      </c>
      <c r="F165" s="358" t="s">
        <v>2737</v>
      </c>
      <c r="G165" s="277">
        <v>10</v>
      </c>
      <c r="H165" s="331">
        <v>10000</v>
      </c>
      <c r="I165" s="328">
        <v>0</v>
      </c>
      <c r="J165" s="331">
        <v>0</v>
      </c>
      <c r="K165" s="331">
        <v>0</v>
      </c>
      <c r="L165" s="331" t="s">
        <v>859</v>
      </c>
      <c r="M165" s="331">
        <v>1E-3</v>
      </c>
      <c r="N165" s="331" t="s">
        <v>1697</v>
      </c>
      <c r="O165" s="331">
        <v>0</v>
      </c>
      <c r="P165" s="328">
        <v>0</v>
      </c>
      <c r="Q165" s="331">
        <v>1</v>
      </c>
      <c r="R165" s="331">
        <v>5</v>
      </c>
      <c r="S165" s="331">
        <v>0</v>
      </c>
      <c r="T165" s="331"/>
      <c r="V165" s="327" t="str">
        <f t="shared" si="21"/>
        <v>0</v>
      </c>
      <c r="W165" s="327" t="str">
        <f t="shared" si="22"/>
        <v>11</v>
      </c>
      <c r="X165" s="327" t="str">
        <f t="shared" si="30"/>
        <v>0</v>
      </c>
      <c r="Y165" s="327">
        <f t="shared" si="24"/>
        <v>0</v>
      </c>
      <c r="Z165" s="327">
        <f t="shared" si="25"/>
        <v>0</v>
      </c>
      <c r="AA165" s="327">
        <f t="shared" si="26"/>
        <v>1</v>
      </c>
      <c r="AB165" s="327" t="str">
        <f t="shared" si="29"/>
        <v>101</v>
      </c>
      <c r="AC165" s="327">
        <f t="shared" si="27"/>
        <v>0</v>
      </c>
      <c r="AD165" s="327">
        <v>0</v>
      </c>
      <c r="AE165" s="327" t="str">
        <f t="shared" si="28"/>
        <v>32C2C</v>
      </c>
    </row>
    <row r="166" spans="1:31" s="327" customFormat="1" x14ac:dyDescent="0.15">
      <c r="A166" s="318" t="str">
        <f t="shared" si="20"/>
        <v>0</v>
      </c>
      <c r="B166" s="319">
        <v>164</v>
      </c>
      <c r="C166" s="328" t="s">
        <v>517</v>
      </c>
      <c r="D166" s="329" t="s">
        <v>2681</v>
      </c>
      <c r="E166" s="330" t="s">
        <v>1856</v>
      </c>
      <c r="F166" s="358" t="s">
        <v>2738</v>
      </c>
      <c r="G166" s="277">
        <v>500</v>
      </c>
      <c r="H166" s="331">
        <v>3000</v>
      </c>
      <c r="I166" s="328">
        <v>0</v>
      </c>
      <c r="J166" s="331">
        <v>0</v>
      </c>
      <c r="K166" s="331" t="s">
        <v>1857</v>
      </c>
      <c r="L166" s="331" t="s">
        <v>859</v>
      </c>
      <c r="M166" s="331">
        <v>0.1</v>
      </c>
      <c r="N166" s="331" t="s">
        <v>1858</v>
      </c>
      <c r="O166" s="331">
        <v>0</v>
      </c>
      <c r="P166" s="328">
        <v>0</v>
      </c>
      <c r="Q166" s="331">
        <v>1</v>
      </c>
      <c r="R166" s="331">
        <v>4</v>
      </c>
      <c r="S166" s="331">
        <v>0</v>
      </c>
      <c r="T166" s="331"/>
      <c r="V166" s="327" t="str">
        <f t="shared" si="21"/>
        <v>0</v>
      </c>
      <c r="W166" s="327" t="str">
        <f t="shared" si="22"/>
        <v>1</v>
      </c>
      <c r="X166" s="327" t="str">
        <f>DEC2BIN(14)</f>
        <v>1110</v>
      </c>
      <c r="Y166" s="327">
        <f t="shared" si="24"/>
        <v>0</v>
      </c>
      <c r="Z166" s="327">
        <f t="shared" si="25"/>
        <v>0</v>
      </c>
      <c r="AA166" s="327">
        <f t="shared" si="26"/>
        <v>1</v>
      </c>
      <c r="AB166" s="327" t="str">
        <f t="shared" si="29"/>
        <v>100</v>
      </c>
      <c r="AC166" s="327">
        <f t="shared" si="27"/>
        <v>0</v>
      </c>
      <c r="AD166" s="327">
        <v>0</v>
      </c>
      <c r="AE166" s="327" t="str">
        <f t="shared" si="28"/>
        <v>36964</v>
      </c>
    </row>
    <row r="167" spans="1:31" s="327" customFormat="1" x14ac:dyDescent="0.15">
      <c r="A167" s="318" t="str">
        <f t="shared" si="20"/>
        <v>0</v>
      </c>
      <c r="B167" s="319">
        <v>165</v>
      </c>
      <c r="C167" s="328" t="s">
        <v>518</v>
      </c>
      <c r="D167" s="329" t="s">
        <v>2681</v>
      </c>
      <c r="E167" s="330" t="s">
        <v>1859</v>
      </c>
      <c r="F167" s="358" t="s">
        <v>2739</v>
      </c>
      <c r="G167" s="277">
        <v>1000</v>
      </c>
      <c r="H167" s="331">
        <v>1000</v>
      </c>
      <c r="I167" s="328">
        <v>-1000</v>
      </c>
      <c r="J167" s="331">
        <v>0</v>
      </c>
      <c r="K167" s="331">
        <v>0</v>
      </c>
      <c r="L167" s="331" t="s">
        <v>859</v>
      </c>
      <c r="M167" s="331">
        <v>0.1</v>
      </c>
      <c r="N167" s="331" t="s">
        <v>1719</v>
      </c>
      <c r="O167" s="331">
        <v>0</v>
      </c>
      <c r="P167" s="328">
        <v>0</v>
      </c>
      <c r="Q167" s="331">
        <v>1</v>
      </c>
      <c r="R167" s="331">
        <v>4</v>
      </c>
      <c r="S167" s="331">
        <v>1</v>
      </c>
      <c r="T167" s="331"/>
      <c r="V167" s="327" t="str">
        <f t="shared" si="21"/>
        <v>0</v>
      </c>
      <c r="W167" s="327" t="str">
        <f t="shared" si="22"/>
        <v>1</v>
      </c>
      <c r="X167" s="327" t="str">
        <f>DEC2BIN(14)</f>
        <v>1110</v>
      </c>
      <c r="Y167" s="327">
        <f t="shared" si="24"/>
        <v>0</v>
      </c>
      <c r="Z167" s="327">
        <f t="shared" si="25"/>
        <v>0</v>
      </c>
      <c r="AA167" s="327">
        <f t="shared" si="26"/>
        <v>1</v>
      </c>
      <c r="AB167" s="327" t="str">
        <f t="shared" si="29"/>
        <v>100</v>
      </c>
      <c r="AC167" s="327">
        <f t="shared" si="27"/>
        <v>1</v>
      </c>
      <c r="AD167" s="327">
        <v>0</v>
      </c>
      <c r="AE167" s="327" t="str">
        <f t="shared" si="28"/>
        <v>3A964</v>
      </c>
    </row>
    <row r="168" spans="1:31" s="327" customFormat="1" ht="14.45" customHeight="1" x14ac:dyDescent="0.15">
      <c r="A168" s="318" t="str">
        <f t="shared" si="20"/>
        <v>0</v>
      </c>
      <c r="B168" s="319">
        <v>166</v>
      </c>
      <c r="C168" s="328" t="s">
        <v>519</v>
      </c>
      <c r="D168" s="329" t="s">
        <v>2681</v>
      </c>
      <c r="E168" s="330" t="s">
        <v>1860</v>
      </c>
      <c r="F168" s="358" t="s">
        <v>2740</v>
      </c>
      <c r="G168" s="277">
        <v>0</v>
      </c>
      <c r="H168" s="331">
        <v>1000</v>
      </c>
      <c r="I168" s="328">
        <v>0</v>
      </c>
      <c r="J168" s="331" t="s">
        <v>1861</v>
      </c>
      <c r="K168" s="331">
        <v>0</v>
      </c>
      <c r="L168" s="331" t="s">
        <v>859</v>
      </c>
      <c r="M168" s="331">
        <v>0.1</v>
      </c>
      <c r="N168" s="331" t="s">
        <v>1858</v>
      </c>
      <c r="O168" s="331">
        <v>0</v>
      </c>
      <c r="P168" s="328">
        <v>0</v>
      </c>
      <c r="Q168" s="331">
        <v>1</v>
      </c>
      <c r="R168" s="331">
        <v>4</v>
      </c>
      <c r="S168" s="331">
        <v>0</v>
      </c>
      <c r="T168" s="331"/>
      <c r="V168" s="327" t="str">
        <f t="shared" si="21"/>
        <v>0</v>
      </c>
      <c r="W168" s="327" t="str">
        <f t="shared" si="22"/>
        <v>1</v>
      </c>
      <c r="X168" s="327" t="str">
        <f t="shared" si="30"/>
        <v>0</v>
      </c>
      <c r="Y168" s="327">
        <f t="shared" si="24"/>
        <v>0</v>
      </c>
      <c r="Z168" s="327">
        <f t="shared" si="25"/>
        <v>0</v>
      </c>
      <c r="AA168" s="327">
        <f t="shared" si="26"/>
        <v>1</v>
      </c>
      <c r="AB168" s="327" t="str">
        <f t="shared" si="29"/>
        <v>100</v>
      </c>
      <c r="AC168" s="327">
        <f t="shared" si="27"/>
        <v>0</v>
      </c>
      <c r="AD168" s="327">
        <v>0</v>
      </c>
      <c r="AE168" s="327" t="str">
        <f t="shared" si="28"/>
        <v>32404</v>
      </c>
    </row>
    <row r="169" spans="1:31" s="327" customFormat="1" x14ac:dyDescent="0.15">
      <c r="A169" s="318" t="str">
        <f t="shared" si="20"/>
        <v>0</v>
      </c>
      <c r="B169" s="319">
        <v>167</v>
      </c>
      <c r="C169" s="328" t="s">
        <v>520</v>
      </c>
      <c r="D169" s="329" t="s">
        <v>2681</v>
      </c>
      <c r="E169" s="330" t="s">
        <v>1862</v>
      </c>
      <c r="F169" s="358" t="s">
        <v>2739</v>
      </c>
      <c r="G169" s="277">
        <v>0</v>
      </c>
      <c r="H169" s="331">
        <v>1000</v>
      </c>
      <c r="I169" s="328">
        <v>-1000</v>
      </c>
      <c r="J169" s="331">
        <v>0</v>
      </c>
      <c r="K169" s="331">
        <v>0</v>
      </c>
      <c r="L169" s="331" t="s">
        <v>859</v>
      </c>
      <c r="M169" s="331">
        <v>0.1</v>
      </c>
      <c r="N169" s="331" t="s">
        <v>1719</v>
      </c>
      <c r="O169" s="331">
        <v>0</v>
      </c>
      <c r="P169" s="328">
        <v>0</v>
      </c>
      <c r="Q169" s="331">
        <v>1</v>
      </c>
      <c r="R169" s="331">
        <v>4</v>
      </c>
      <c r="S169" s="331">
        <v>1</v>
      </c>
      <c r="T169" s="331"/>
      <c r="V169" s="327" t="str">
        <f t="shared" si="21"/>
        <v>0</v>
      </c>
      <c r="W169" s="327" t="str">
        <f t="shared" si="22"/>
        <v>1</v>
      </c>
      <c r="X169" s="327" t="e">
        <f t="shared" si="30"/>
        <v>#N/A</v>
      </c>
      <c r="Y169" s="327">
        <f t="shared" si="24"/>
        <v>0</v>
      </c>
      <c r="Z169" s="327">
        <f t="shared" si="25"/>
        <v>0</v>
      </c>
      <c r="AA169" s="327">
        <f t="shared" si="26"/>
        <v>1</v>
      </c>
      <c r="AB169" s="327" t="str">
        <f t="shared" si="29"/>
        <v>100</v>
      </c>
      <c r="AC169" s="327">
        <f t="shared" si="27"/>
        <v>1</v>
      </c>
      <c r="AD169" s="327">
        <v>0</v>
      </c>
      <c r="AE169" s="327" t="e">
        <f t="shared" si="28"/>
        <v>#N/A</v>
      </c>
    </row>
    <row r="170" spans="1:31" s="327" customFormat="1" ht="14.45" customHeight="1" x14ac:dyDescent="0.15">
      <c r="A170" s="318" t="str">
        <f t="shared" si="20"/>
        <v>0</v>
      </c>
      <c r="B170" s="319">
        <v>168</v>
      </c>
      <c r="C170" s="328" t="s">
        <v>521</v>
      </c>
      <c r="D170" s="329" t="s">
        <v>2681</v>
      </c>
      <c r="E170" s="330" t="s">
        <v>1863</v>
      </c>
      <c r="F170" s="358" t="s">
        <v>2741</v>
      </c>
      <c r="G170" s="277">
        <v>1</v>
      </c>
      <c r="H170" s="331">
        <v>1000</v>
      </c>
      <c r="I170" s="328">
        <v>0</v>
      </c>
      <c r="J170" s="331">
        <v>0</v>
      </c>
      <c r="K170" s="331">
        <v>0</v>
      </c>
      <c r="L170" s="331" t="s">
        <v>859</v>
      </c>
      <c r="M170" s="331">
        <v>1E-3</v>
      </c>
      <c r="N170" s="331" t="s">
        <v>1644</v>
      </c>
      <c r="O170" s="331">
        <v>0</v>
      </c>
      <c r="P170" s="328">
        <v>0</v>
      </c>
      <c r="Q170" s="331">
        <v>1</v>
      </c>
      <c r="R170" s="331">
        <v>4</v>
      </c>
      <c r="S170" s="331">
        <v>0</v>
      </c>
      <c r="T170" s="331"/>
      <c r="V170" s="327" t="str">
        <f t="shared" si="21"/>
        <v>0</v>
      </c>
      <c r="W170" s="327" t="str">
        <f t="shared" si="22"/>
        <v>11</v>
      </c>
      <c r="X170" s="327" t="str">
        <f t="shared" si="30"/>
        <v>0</v>
      </c>
      <c r="Y170" s="327">
        <f t="shared" si="24"/>
        <v>0</v>
      </c>
      <c r="Z170" s="327">
        <f t="shared" si="25"/>
        <v>0</v>
      </c>
      <c r="AA170" s="327">
        <f t="shared" si="26"/>
        <v>1</v>
      </c>
      <c r="AB170" s="327" t="str">
        <f t="shared" si="29"/>
        <v>100</v>
      </c>
      <c r="AC170" s="327">
        <f t="shared" si="27"/>
        <v>0</v>
      </c>
      <c r="AD170" s="327">
        <v>0</v>
      </c>
      <c r="AE170" s="327" t="str">
        <f t="shared" si="28"/>
        <v>3242C</v>
      </c>
    </row>
    <row r="171" spans="1:31" s="327" customFormat="1" x14ac:dyDescent="0.15">
      <c r="A171" s="318" t="str">
        <f t="shared" si="20"/>
        <v>0</v>
      </c>
      <c r="B171" s="319">
        <v>169</v>
      </c>
      <c r="C171" s="328" t="s">
        <v>1299</v>
      </c>
      <c r="D171" s="329" t="s">
        <v>2683</v>
      </c>
      <c r="E171" s="330" t="s">
        <v>1864</v>
      </c>
      <c r="F171" s="358" t="s">
        <v>2742</v>
      </c>
      <c r="G171" s="277">
        <v>1000</v>
      </c>
      <c r="H171" s="331">
        <v>1000</v>
      </c>
      <c r="I171" s="328">
        <v>0</v>
      </c>
      <c r="J171" s="331">
        <v>0</v>
      </c>
      <c r="K171" s="331">
        <v>0</v>
      </c>
      <c r="L171" s="331" t="s">
        <v>859</v>
      </c>
      <c r="M171" s="331">
        <v>0.1</v>
      </c>
      <c r="N171" s="331" t="s">
        <v>1010</v>
      </c>
      <c r="O171" s="331">
        <v>0</v>
      </c>
      <c r="P171" s="328">
        <v>0</v>
      </c>
      <c r="Q171" s="331">
        <v>1</v>
      </c>
      <c r="R171" s="331">
        <v>4</v>
      </c>
      <c r="S171" s="331">
        <v>1</v>
      </c>
      <c r="T171" s="331"/>
      <c r="V171" s="327" t="str">
        <f t="shared" si="21"/>
        <v>0</v>
      </c>
      <c r="W171" s="327" t="str">
        <f t="shared" si="22"/>
        <v>1</v>
      </c>
      <c r="X171" s="327" t="e">
        <f t="shared" si="30"/>
        <v>#N/A</v>
      </c>
      <c r="Y171" s="327">
        <f t="shared" si="24"/>
        <v>0</v>
      </c>
      <c r="Z171" s="327">
        <f t="shared" si="25"/>
        <v>0</v>
      </c>
      <c r="AA171" s="327">
        <f t="shared" si="26"/>
        <v>1</v>
      </c>
      <c r="AB171" s="327" t="str">
        <f t="shared" si="29"/>
        <v>100</v>
      </c>
      <c r="AC171" s="327">
        <f t="shared" si="27"/>
        <v>1</v>
      </c>
      <c r="AD171" s="327">
        <v>0</v>
      </c>
      <c r="AE171" s="327" t="e">
        <f t="shared" si="28"/>
        <v>#N/A</v>
      </c>
    </row>
    <row r="172" spans="1:31" s="327" customFormat="1" x14ac:dyDescent="0.15">
      <c r="A172" s="318" t="str">
        <f t="shared" si="20"/>
        <v>0</v>
      </c>
      <c r="B172" s="319">
        <v>170</v>
      </c>
      <c r="C172" s="333" t="s">
        <v>522</v>
      </c>
      <c r="D172" s="334" t="s">
        <v>2681</v>
      </c>
      <c r="E172" s="335" t="s">
        <v>1865</v>
      </c>
      <c r="F172" s="362" t="s">
        <v>1866</v>
      </c>
      <c r="G172" s="337">
        <v>2</v>
      </c>
      <c r="H172" s="338">
        <v>99</v>
      </c>
      <c r="I172" s="333">
        <v>0</v>
      </c>
      <c r="J172" s="338">
        <v>0</v>
      </c>
      <c r="K172" s="338">
        <v>0</v>
      </c>
      <c r="L172" s="338" t="s">
        <v>859</v>
      </c>
      <c r="M172" s="338">
        <v>1</v>
      </c>
      <c r="N172" s="338" t="s">
        <v>1601</v>
      </c>
      <c r="O172" s="338">
        <v>0</v>
      </c>
      <c r="P172" s="333">
        <v>1</v>
      </c>
      <c r="Q172" s="338">
        <v>1</v>
      </c>
      <c r="R172" s="338">
        <v>2</v>
      </c>
      <c r="S172" s="338">
        <v>0</v>
      </c>
      <c r="T172" s="338"/>
      <c r="V172" s="327" t="str">
        <f t="shared" si="21"/>
        <v>0</v>
      </c>
      <c r="W172" s="327" t="str">
        <f t="shared" si="22"/>
        <v>0</v>
      </c>
      <c r="X172" s="327" t="str">
        <f t="shared" si="30"/>
        <v>0</v>
      </c>
      <c r="Y172" s="327">
        <f t="shared" si="24"/>
        <v>0</v>
      </c>
      <c r="Z172" s="327">
        <f t="shared" si="25"/>
        <v>1</v>
      </c>
      <c r="AA172" s="327">
        <f t="shared" si="26"/>
        <v>1</v>
      </c>
      <c r="AB172" s="327" t="str">
        <f t="shared" si="29"/>
        <v>10</v>
      </c>
      <c r="AC172" s="327">
        <f t="shared" si="27"/>
        <v>0</v>
      </c>
      <c r="AD172" s="327">
        <v>0</v>
      </c>
      <c r="AE172" s="327" t="str">
        <f t="shared" si="28"/>
        <v>5600</v>
      </c>
    </row>
    <row r="173" spans="1:31" s="327" customFormat="1" x14ac:dyDescent="0.15">
      <c r="A173" s="318" t="str">
        <f t="shared" si="20"/>
        <v>0</v>
      </c>
      <c r="B173" s="319">
        <v>171</v>
      </c>
      <c r="C173" s="333" t="s">
        <v>523</v>
      </c>
      <c r="D173" s="334" t="s">
        <v>2681</v>
      </c>
      <c r="E173" s="335" t="s">
        <v>895</v>
      </c>
      <c r="F173" s="362" t="s">
        <v>1866</v>
      </c>
      <c r="G173" s="337">
        <v>1</v>
      </c>
      <c r="H173" s="338">
        <v>99</v>
      </c>
      <c r="I173" s="333">
        <v>0</v>
      </c>
      <c r="J173" s="338">
        <v>0</v>
      </c>
      <c r="K173" s="338">
        <v>0</v>
      </c>
      <c r="L173" s="338" t="s">
        <v>859</v>
      </c>
      <c r="M173" s="338">
        <v>1</v>
      </c>
      <c r="N173" s="338" t="s">
        <v>1601</v>
      </c>
      <c r="O173" s="338">
        <v>0</v>
      </c>
      <c r="P173" s="333">
        <v>1</v>
      </c>
      <c r="Q173" s="338">
        <v>1</v>
      </c>
      <c r="R173" s="338">
        <v>2</v>
      </c>
      <c r="S173" s="338">
        <v>0</v>
      </c>
      <c r="T173" s="338"/>
      <c r="V173" s="327" t="str">
        <f t="shared" si="21"/>
        <v>0</v>
      </c>
      <c r="W173" s="327" t="str">
        <f t="shared" si="22"/>
        <v>0</v>
      </c>
      <c r="X173" s="327" t="str">
        <f t="shared" si="30"/>
        <v>0</v>
      </c>
      <c r="Y173" s="327">
        <f t="shared" si="24"/>
        <v>0</v>
      </c>
      <c r="Z173" s="327">
        <f t="shared" si="25"/>
        <v>1</v>
      </c>
      <c r="AA173" s="327">
        <f t="shared" si="26"/>
        <v>1</v>
      </c>
      <c r="AB173" s="327" t="str">
        <f t="shared" si="29"/>
        <v>10</v>
      </c>
      <c r="AC173" s="327">
        <f t="shared" si="27"/>
        <v>0</v>
      </c>
      <c r="AD173" s="327">
        <v>0</v>
      </c>
      <c r="AE173" s="327" t="str">
        <f t="shared" si="28"/>
        <v>5600</v>
      </c>
    </row>
    <row r="174" spans="1:31" s="327" customFormat="1" x14ac:dyDescent="0.15">
      <c r="A174" s="318" t="str">
        <f t="shared" si="20"/>
        <v>0</v>
      </c>
      <c r="B174" s="319">
        <v>172</v>
      </c>
      <c r="C174" s="333" t="s">
        <v>524</v>
      </c>
      <c r="D174" s="334" t="s">
        <v>2681</v>
      </c>
      <c r="E174" s="335" t="s">
        <v>1867</v>
      </c>
      <c r="F174" s="362" t="s">
        <v>1866</v>
      </c>
      <c r="G174" s="337">
        <v>0</v>
      </c>
      <c r="H174" s="338">
        <v>99</v>
      </c>
      <c r="I174" s="333">
        <v>0</v>
      </c>
      <c r="J174" s="338">
        <v>0</v>
      </c>
      <c r="K174" s="338">
        <v>0</v>
      </c>
      <c r="L174" s="338" t="s">
        <v>859</v>
      </c>
      <c r="M174" s="338">
        <v>1</v>
      </c>
      <c r="N174" s="338" t="s">
        <v>1601</v>
      </c>
      <c r="O174" s="338">
        <v>0</v>
      </c>
      <c r="P174" s="333">
        <v>1</v>
      </c>
      <c r="Q174" s="338">
        <v>1</v>
      </c>
      <c r="R174" s="338">
        <v>2</v>
      </c>
      <c r="S174" s="338">
        <v>0</v>
      </c>
      <c r="T174" s="338"/>
      <c r="V174" s="327" t="str">
        <f t="shared" si="21"/>
        <v>0</v>
      </c>
      <c r="W174" s="327" t="str">
        <f t="shared" si="22"/>
        <v>0</v>
      </c>
      <c r="X174" s="327" t="str">
        <f t="shared" si="30"/>
        <v>0</v>
      </c>
      <c r="Y174" s="327">
        <f t="shared" si="24"/>
        <v>0</v>
      </c>
      <c r="Z174" s="327">
        <f t="shared" si="25"/>
        <v>1</v>
      </c>
      <c r="AA174" s="327">
        <f t="shared" si="26"/>
        <v>1</v>
      </c>
      <c r="AB174" s="327" t="str">
        <f t="shared" si="29"/>
        <v>10</v>
      </c>
      <c r="AC174" s="327">
        <f t="shared" si="27"/>
        <v>0</v>
      </c>
      <c r="AD174" s="327">
        <v>0</v>
      </c>
      <c r="AE174" s="327" t="str">
        <f t="shared" si="28"/>
        <v>5600</v>
      </c>
    </row>
    <row r="175" spans="1:31" s="327" customFormat="1" x14ac:dyDescent="0.15">
      <c r="A175" s="318" t="str">
        <f t="shared" si="20"/>
        <v>0</v>
      </c>
      <c r="B175" s="319">
        <v>173</v>
      </c>
      <c r="C175" s="333" t="s">
        <v>525</v>
      </c>
      <c r="D175" s="334" t="s">
        <v>2681</v>
      </c>
      <c r="E175" s="335" t="s">
        <v>1868</v>
      </c>
      <c r="F175" s="336" t="s">
        <v>2739</v>
      </c>
      <c r="G175" s="337">
        <v>0</v>
      </c>
      <c r="H175" s="338">
        <v>1000</v>
      </c>
      <c r="I175" s="333">
        <v>-1000</v>
      </c>
      <c r="J175" s="338">
        <v>0</v>
      </c>
      <c r="K175" s="338">
        <v>0</v>
      </c>
      <c r="L175" s="338" t="s">
        <v>859</v>
      </c>
      <c r="M175" s="338">
        <v>0.1</v>
      </c>
      <c r="N175" s="338" t="s">
        <v>1634</v>
      </c>
      <c r="O175" s="338">
        <v>0</v>
      </c>
      <c r="P175" s="333">
        <v>0</v>
      </c>
      <c r="Q175" s="338">
        <v>1</v>
      </c>
      <c r="R175" s="338">
        <v>4</v>
      </c>
      <c r="S175" s="338">
        <v>1</v>
      </c>
      <c r="T175" s="338"/>
      <c r="V175" s="327" t="str">
        <f t="shared" si="21"/>
        <v>0</v>
      </c>
      <c r="W175" s="327" t="str">
        <f t="shared" si="22"/>
        <v>1</v>
      </c>
      <c r="X175" s="327" t="e">
        <f t="shared" si="30"/>
        <v>#N/A</v>
      </c>
      <c r="Y175" s="327">
        <f t="shared" si="24"/>
        <v>0</v>
      </c>
      <c r="Z175" s="327">
        <f t="shared" si="25"/>
        <v>0</v>
      </c>
      <c r="AA175" s="327">
        <f t="shared" si="26"/>
        <v>1</v>
      </c>
      <c r="AB175" s="327" t="str">
        <f t="shared" si="29"/>
        <v>100</v>
      </c>
      <c r="AC175" s="327">
        <f t="shared" si="27"/>
        <v>1</v>
      </c>
      <c r="AD175" s="327">
        <v>0</v>
      </c>
      <c r="AE175" s="327" t="e">
        <f t="shared" si="28"/>
        <v>#N/A</v>
      </c>
    </row>
    <row r="176" spans="1:31" s="327" customFormat="1" x14ac:dyDescent="0.15">
      <c r="A176" s="318" t="str">
        <f t="shared" si="20"/>
        <v>0</v>
      </c>
      <c r="B176" s="319">
        <v>174</v>
      </c>
      <c r="C176" s="333" t="s">
        <v>526</v>
      </c>
      <c r="D176" s="334" t="s">
        <v>2681</v>
      </c>
      <c r="E176" s="335" t="s">
        <v>1869</v>
      </c>
      <c r="F176" s="363" t="s">
        <v>2743</v>
      </c>
      <c r="G176" s="337">
        <v>1000</v>
      </c>
      <c r="H176" s="338">
        <v>2000</v>
      </c>
      <c r="I176" s="333">
        <v>-2000</v>
      </c>
      <c r="J176" s="338">
        <v>0</v>
      </c>
      <c r="K176" s="338">
        <v>0</v>
      </c>
      <c r="L176" s="338" t="s">
        <v>859</v>
      </c>
      <c r="M176" s="338">
        <v>1E-3</v>
      </c>
      <c r="N176" s="338" t="s">
        <v>1601</v>
      </c>
      <c r="O176" s="338">
        <v>0</v>
      </c>
      <c r="P176" s="333">
        <v>0</v>
      </c>
      <c r="Q176" s="338">
        <v>1</v>
      </c>
      <c r="R176" s="338">
        <v>4</v>
      </c>
      <c r="S176" s="338">
        <v>1</v>
      </c>
      <c r="T176" s="338"/>
      <c r="V176" s="327" t="str">
        <f t="shared" si="21"/>
        <v>0</v>
      </c>
      <c r="W176" s="327" t="str">
        <f t="shared" si="22"/>
        <v>11</v>
      </c>
      <c r="X176" s="327" t="str">
        <f t="shared" si="30"/>
        <v>0</v>
      </c>
      <c r="Y176" s="327">
        <f t="shared" si="24"/>
        <v>0</v>
      </c>
      <c r="Z176" s="327">
        <f t="shared" si="25"/>
        <v>0</v>
      </c>
      <c r="AA176" s="327">
        <f t="shared" si="26"/>
        <v>1</v>
      </c>
      <c r="AB176" s="327" t="str">
        <f t="shared" si="29"/>
        <v>100</v>
      </c>
      <c r="AC176" s="327">
        <f t="shared" si="27"/>
        <v>1</v>
      </c>
      <c r="AD176" s="327">
        <v>0</v>
      </c>
      <c r="AE176" s="327" t="str">
        <f t="shared" si="28"/>
        <v>3642C</v>
      </c>
    </row>
    <row r="177" spans="1:31" s="327" customFormat="1" x14ac:dyDescent="0.15">
      <c r="A177" s="318" t="str">
        <f t="shared" si="20"/>
        <v>0</v>
      </c>
      <c r="B177" s="319">
        <v>175</v>
      </c>
      <c r="C177" s="333" t="s">
        <v>527</v>
      </c>
      <c r="D177" s="334" t="s">
        <v>2681</v>
      </c>
      <c r="E177" s="335" t="s">
        <v>1870</v>
      </c>
      <c r="F177" s="336" t="s">
        <v>2719</v>
      </c>
      <c r="G177" s="337">
        <v>0</v>
      </c>
      <c r="H177" s="338">
        <v>100</v>
      </c>
      <c r="I177" s="333">
        <v>0</v>
      </c>
      <c r="J177" s="338">
        <v>0</v>
      </c>
      <c r="K177" s="338">
        <v>0</v>
      </c>
      <c r="L177" s="338" t="s">
        <v>859</v>
      </c>
      <c r="M177" s="338">
        <v>0.1</v>
      </c>
      <c r="N177" s="338" t="s">
        <v>1644</v>
      </c>
      <c r="O177" s="338">
        <v>0</v>
      </c>
      <c r="P177" s="333">
        <v>0</v>
      </c>
      <c r="Q177" s="338">
        <v>1</v>
      </c>
      <c r="R177" s="338">
        <v>3</v>
      </c>
      <c r="S177" s="338">
        <v>0</v>
      </c>
      <c r="T177" s="338"/>
      <c r="V177" s="327" t="str">
        <f t="shared" si="21"/>
        <v>0</v>
      </c>
      <c r="W177" s="327" t="str">
        <f t="shared" si="22"/>
        <v>1</v>
      </c>
      <c r="X177" s="327" t="str">
        <f t="shared" si="30"/>
        <v>0</v>
      </c>
      <c r="Y177" s="327">
        <f t="shared" si="24"/>
        <v>0</v>
      </c>
      <c r="Z177" s="327">
        <f t="shared" si="25"/>
        <v>0</v>
      </c>
      <c r="AA177" s="327">
        <f t="shared" si="26"/>
        <v>1</v>
      </c>
      <c r="AB177" s="327" t="str">
        <f t="shared" si="29"/>
        <v>11</v>
      </c>
      <c r="AC177" s="327">
        <f t="shared" si="27"/>
        <v>0</v>
      </c>
      <c r="AD177" s="327">
        <v>0</v>
      </c>
      <c r="AE177" s="327" t="str">
        <f t="shared" si="28"/>
        <v>5C04</v>
      </c>
    </row>
    <row r="178" spans="1:31" s="327" customFormat="1" x14ac:dyDescent="0.15">
      <c r="A178" s="318" t="str">
        <f t="shared" si="20"/>
        <v>0</v>
      </c>
      <c r="B178" s="319">
        <v>176</v>
      </c>
      <c r="C178" s="333" t="s">
        <v>528</v>
      </c>
      <c r="D178" s="334" t="s">
        <v>2681</v>
      </c>
      <c r="E178" s="335" t="s">
        <v>896</v>
      </c>
      <c r="F178" s="336" t="s">
        <v>2739</v>
      </c>
      <c r="G178" s="337">
        <v>0</v>
      </c>
      <c r="H178" s="338">
        <v>1000</v>
      </c>
      <c r="I178" s="333">
        <v>-1000</v>
      </c>
      <c r="J178" s="338">
        <v>0</v>
      </c>
      <c r="K178" s="338">
        <v>0</v>
      </c>
      <c r="L178" s="338" t="s">
        <v>859</v>
      </c>
      <c r="M178" s="338">
        <v>0.1</v>
      </c>
      <c r="N178" s="338" t="s">
        <v>1634</v>
      </c>
      <c r="O178" s="338">
        <v>0</v>
      </c>
      <c r="P178" s="333">
        <v>0</v>
      </c>
      <c r="Q178" s="338">
        <v>1</v>
      </c>
      <c r="R178" s="338">
        <v>4</v>
      </c>
      <c r="S178" s="338">
        <v>1</v>
      </c>
      <c r="T178" s="338"/>
      <c r="V178" s="327" t="str">
        <f t="shared" si="21"/>
        <v>0</v>
      </c>
      <c r="W178" s="327" t="str">
        <f t="shared" si="22"/>
        <v>1</v>
      </c>
      <c r="X178" s="327" t="e">
        <f t="shared" si="30"/>
        <v>#N/A</v>
      </c>
      <c r="Y178" s="327">
        <f t="shared" si="24"/>
        <v>0</v>
      </c>
      <c r="Z178" s="327">
        <f t="shared" si="25"/>
        <v>0</v>
      </c>
      <c r="AA178" s="327">
        <f t="shared" si="26"/>
        <v>1</v>
      </c>
      <c r="AB178" s="327" t="str">
        <f t="shared" si="29"/>
        <v>100</v>
      </c>
      <c r="AC178" s="327">
        <f t="shared" si="27"/>
        <v>1</v>
      </c>
      <c r="AD178" s="327">
        <v>0</v>
      </c>
      <c r="AE178" s="327" t="e">
        <f t="shared" si="28"/>
        <v>#N/A</v>
      </c>
    </row>
    <row r="179" spans="1:31" s="327" customFormat="1" x14ac:dyDescent="0.15">
      <c r="A179" s="318" t="str">
        <f t="shared" si="20"/>
        <v>0</v>
      </c>
      <c r="B179" s="319">
        <v>177</v>
      </c>
      <c r="C179" s="333" t="s">
        <v>529</v>
      </c>
      <c r="D179" s="334" t="s">
        <v>2681</v>
      </c>
      <c r="E179" s="335" t="s">
        <v>897</v>
      </c>
      <c r="F179" s="363" t="s">
        <v>2743</v>
      </c>
      <c r="G179" s="337">
        <v>1000</v>
      </c>
      <c r="H179" s="338">
        <v>2000</v>
      </c>
      <c r="I179" s="333">
        <v>-2000</v>
      </c>
      <c r="J179" s="338">
        <v>0</v>
      </c>
      <c r="K179" s="338">
        <v>0</v>
      </c>
      <c r="L179" s="338" t="s">
        <v>859</v>
      </c>
      <c r="M179" s="338">
        <v>1E-3</v>
      </c>
      <c r="N179" s="338" t="s">
        <v>1601</v>
      </c>
      <c r="O179" s="338">
        <v>0</v>
      </c>
      <c r="P179" s="333">
        <v>0</v>
      </c>
      <c r="Q179" s="338">
        <v>1</v>
      </c>
      <c r="R179" s="338">
        <v>4</v>
      </c>
      <c r="S179" s="338">
        <v>1</v>
      </c>
      <c r="T179" s="338"/>
      <c r="V179" s="327" t="str">
        <f t="shared" si="21"/>
        <v>0</v>
      </c>
      <c r="W179" s="327" t="str">
        <f t="shared" si="22"/>
        <v>11</v>
      </c>
      <c r="X179" s="327" t="str">
        <f t="shared" si="30"/>
        <v>0</v>
      </c>
      <c r="Y179" s="327">
        <f t="shared" si="24"/>
        <v>0</v>
      </c>
      <c r="Z179" s="327">
        <f t="shared" si="25"/>
        <v>0</v>
      </c>
      <c r="AA179" s="327">
        <f t="shared" si="26"/>
        <v>1</v>
      </c>
      <c r="AB179" s="327" t="str">
        <f t="shared" si="29"/>
        <v>100</v>
      </c>
      <c r="AC179" s="327">
        <f t="shared" si="27"/>
        <v>1</v>
      </c>
      <c r="AD179" s="327">
        <v>0</v>
      </c>
      <c r="AE179" s="327" t="str">
        <f t="shared" si="28"/>
        <v>3642C</v>
      </c>
    </row>
    <row r="180" spans="1:31" s="327" customFormat="1" x14ac:dyDescent="0.15">
      <c r="A180" s="318" t="str">
        <f t="shared" si="20"/>
        <v>0</v>
      </c>
      <c r="B180" s="319">
        <v>178</v>
      </c>
      <c r="C180" s="333" t="s">
        <v>530</v>
      </c>
      <c r="D180" s="334" t="s">
        <v>2681</v>
      </c>
      <c r="E180" s="335" t="s">
        <v>898</v>
      </c>
      <c r="F180" s="336" t="s">
        <v>2719</v>
      </c>
      <c r="G180" s="337">
        <v>0</v>
      </c>
      <c r="H180" s="338">
        <v>100</v>
      </c>
      <c r="I180" s="333">
        <v>0</v>
      </c>
      <c r="J180" s="338">
        <v>0</v>
      </c>
      <c r="K180" s="338">
        <v>0</v>
      </c>
      <c r="L180" s="338" t="s">
        <v>859</v>
      </c>
      <c r="M180" s="338">
        <v>0.1</v>
      </c>
      <c r="N180" s="338" t="s">
        <v>1644</v>
      </c>
      <c r="O180" s="338">
        <v>0</v>
      </c>
      <c r="P180" s="333">
        <v>0</v>
      </c>
      <c r="Q180" s="338">
        <v>1</v>
      </c>
      <c r="R180" s="338">
        <v>3</v>
      </c>
      <c r="S180" s="338">
        <v>0</v>
      </c>
      <c r="T180" s="338"/>
      <c r="V180" s="327" t="str">
        <f t="shared" si="21"/>
        <v>0</v>
      </c>
      <c r="W180" s="327" t="str">
        <f t="shared" si="22"/>
        <v>1</v>
      </c>
      <c r="X180" s="327" t="str">
        <f t="shared" si="30"/>
        <v>0</v>
      </c>
      <c r="Y180" s="327">
        <f t="shared" si="24"/>
        <v>0</v>
      </c>
      <c r="Z180" s="327">
        <f t="shared" si="25"/>
        <v>0</v>
      </c>
      <c r="AA180" s="327">
        <f t="shared" si="26"/>
        <v>1</v>
      </c>
      <c r="AB180" s="327" t="str">
        <f t="shared" si="29"/>
        <v>11</v>
      </c>
      <c r="AC180" s="327">
        <f t="shared" si="27"/>
        <v>0</v>
      </c>
      <c r="AD180" s="327">
        <v>0</v>
      </c>
      <c r="AE180" s="327" t="str">
        <f t="shared" si="28"/>
        <v>5C04</v>
      </c>
    </row>
    <row r="181" spans="1:31" s="327" customFormat="1" ht="14.45" customHeight="1" x14ac:dyDescent="0.15">
      <c r="A181" s="318" t="str">
        <f t="shared" si="20"/>
        <v>0</v>
      </c>
      <c r="B181" s="319">
        <v>179</v>
      </c>
      <c r="C181" s="333" t="s">
        <v>531</v>
      </c>
      <c r="D181" s="334" t="s">
        <v>2681</v>
      </c>
      <c r="E181" s="335" t="s">
        <v>1871</v>
      </c>
      <c r="F181" s="336" t="s">
        <v>2744</v>
      </c>
      <c r="G181" s="337">
        <v>500</v>
      </c>
      <c r="H181" s="338">
        <v>500</v>
      </c>
      <c r="I181" s="333">
        <v>1</v>
      </c>
      <c r="J181" s="338">
        <v>0</v>
      </c>
      <c r="K181" s="338">
        <v>0</v>
      </c>
      <c r="L181" s="338" t="s">
        <v>859</v>
      </c>
      <c r="M181" s="338">
        <v>0.1</v>
      </c>
      <c r="N181" s="338" t="s">
        <v>1872</v>
      </c>
      <c r="O181" s="338">
        <v>0</v>
      </c>
      <c r="P181" s="333">
        <v>0</v>
      </c>
      <c r="Q181" s="338">
        <v>1</v>
      </c>
      <c r="R181" s="338">
        <v>4</v>
      </c>
      <c r="S181" s="338">
        <v>0</v>
      </c>
      <c r="T181" s="338"/>
      <c r="V181" s="327" t="str">
        <f t="shared" si="21"/>
        <v>0</v>
      </c>
      <c r="W181" s="327" t="str">
        <f t="shared" si="22"/>
        <v>1</v>
      </c>
      <c r="X181" s="327" t="str">
        <f t="shared" si="30"/>
        <v>0</v>
      </c>
      <c r="Y181" s="327">
        <f t="shared" si="24"/>
        <v>0</v>
      </c>
      <c r="Z181" s="327">
        <f t="shared" si="25"/>
        <v>0</v>
      </c>
      <c r="AA181" s="327">
        <f t="shared" si="26"/>
        <v>1</v>
      </c>
      <c r="AB181" s="327" t="str">
        <f t="shared" si="29"/>
        <v>100</v>
      </c>
      <c r="AC181" s="327">
        <f t="shared" si="27"/>
        <v>0</v>
      </c>
      <c r="AD181" s="327">
        <v>0</v>
      </c>
      <c r="AE181" s="327" t="str">
        <f t="shared" si="28"/>
        <v>32404</v>
      </c>
    </row>
    <row r="182" spans="1:31" s="327" customFormat="1" ht="57.75" x14ac:dyDescent="0.15">
      <c r="A182" s="318" t="str">
        <f t="shared" si="20"/>
        <v>0</v>
      </c>
      <c r="B182" s="319">
        <v>180</v>
      </c>
      <c r="C182" s="333" t="s">
        <v>532</v>
      </c>
      <c r="D182" s="334" t="s">
        <v>2681</v>
      </c>
      <c r="E182" s="335" t="s">
        <v>1873</v>
      </c>
      <c r="F182" s="336" t="s">
        <v>2745</v>
      </c>
      <c r="G182" s="337">
        <v>0</v>
      </c>
      <c r="H182" s="338">
        <v>2</v>
      </c>
      <c r="I182" s="333">
        <v>0</v>
      </c>
      <c r="J182" s="338">
        <v>0</v>
      </c>
      <c r="K182" s="338">
        <v>0</v>
      </c>
      <c r="L182" s="338" t="s">
        <v>1630</v>
      </c>
      <c r="M182" s="338">
        <v>1</v>
      </c>
      <c r="N182" s="338" t="s">
        <v>1601</v>
      </c>
      <c r="O182" s="338">
        <v>0</v>
      </c>
      <c r="P182" s="333">
        <v>0</v>
      </c>
      <c r="Q182" s="338">
        <v>1</v>
      </c>
      <c r="R182" s="338">
        <v>1</v>
      </c>
      <c r="S182" s="338">
        <v>0</v>
      </c>
      <c r="T182" s="338"/>
      <c r="V182" s="327" t="str">
        <f t="shared" si="21"/>
        <v>1</v>
      </c>
      <c r="W182" s="327" t="str">
        <f t="shared" si="22"/>
        <v>0</v>
      </c>
      <c r="X182" s="327" t="str">
        <f t="shared" si="30"/>
        <v>0</v>
      </c>
      <c r="Y182" s="327">
        <f t="shared" si="24"/>
        <v>0</v>
      </c>
      <c r="Z182" s="327">
        <f t="shared" si="25"/>
        <v>0</v>
      </c>
      <c r="AA182" s="327">
        <f t="shared" si="26"/>
        <v>1</v>
      </c>
      <c r="AB182" s="327" t="str">
        <f t="shared" si="29"/>
        <v>1</v>
      </c>
      <c r="AC182" s="327">
        <f t="shared" si="27"/>
        <v>0</v>
      </c>
      <c r="AD182" s="327">
        <v>0</v>
      </c>
      <c r="AE182" s="327" t="str">
        <f t="shared" si="28"/>
        <v>C01</v>
      </c>
    </row>
    <row r="183" spans="1:31" s="327" customFormat="1" x14ac:dyDescent="0.15">
      <c r="A183" s="318" t="str">
        <f t="shared" si="20"/>
        <v>0</v>
      </c>
      <c r="B183" s="319">
        <v>181</v>
      </c>
      <c r="C183" s="333" t="s">
        <v>533</v>
      </c>
      <c r="D183" s="334" t="s">
        <v>2681</v>
      </c>
      <c r="E183" s="335" t="s">
        <v>1874</v>
      </c>
      <c r="F183" s="336" t="s">
        <v>2746</v>
      </c>
      <c r="G183" s="337">
        <v>1</v>
      </c>
      <c r="H183" s="338">
        <v>1000</v>
      </c>
      <c r="I183" s="333">
        <v>0</v>
      </c>
      <c r="J183" s="338">
        <v>0</v>
      </c>
      <c r="K183" s="338">
        <v>0</v>
      </c>
      <c r="L183" s="338" t="s">
        <v>859</v>
      </c>
      <c r="M183" s="338">
        <v>0.01</v>
      </c>
      <c r="N183" s="338" t="s">
        <v>1644</v>
      </c>
      <c r="O183" s="338">
        <v>0</v>
      </c>
      <c r="P183" s="333">
        <v>0</v>
      </c>
      <c r="Q183" s="338">
        <v>1</v>
      </c>
      <c r="R183" s="338">
        <v>4</v>
      </c>
      <c r="S183" s="338">
        <v>0</v>
      </c>
      <c r="T183" s="338"/>
      <c r="V183" s="327" t="str">
        <f t="shared" si="21"/>
        <v>0</v>
      </c>
      <c r="W183" s="327" t="str">
        <f t="shared" si="22"/>
        <v>10</v>
      </c>
      <c r="X183" s="327" t="str">
        <f t="shared" si="30"/>
        <v>0</v>
      </c>
      <c r="Y183" s="327">
        <f t="shared" si="24"/>
        <v>0</v>
      </c>
      <c r="Z183" s="327">
        <f t="shared" si="25"/>
        <v>0</v>
      </c>
      <c r="AA183" s="327">
        <f t="shared" si="26"/>
        <v>1</v>
      </c>
      <c r="AB183" s="327" t="str">
        <f t="shared" si="29"/>
        <v>100</v>
      </c>
      <c r="AC183" s="327">
        <f t="shared" si="27"/>
        <v>0</v>
      </c>
      <c r="AD183" s="327">
        <v>0</v>
      </c>
      <c r="AE183" s="327" t="str">
        <f t="shared" si="28"/>
        <v>32428</v>
      </c>
    </row>
    <row r="184" spans="1:31" s="327" customFormat="1" ht="46.5" customHeight="1" x14ac:dyDescent="0.15">
      <c r="A184" s="318" t="str">
        <f t="shared" si="20"/>
        <v>0</v>
      </c>
      <c r="B184" s="319">
        <v>182</v>
      </c>
      <c r="C184" s="328" t="s">
        <v>534</v>
      </c>
      <c r="D184" s="329" t="s">
        <v>2681</v>
      </c>
      <c r="E184" s="330" t="s">
        <v>1875</v>
      </c>
      <c r="F184" s="358" t="s">
        <v>2747</v>
      </c>
      <c r="G184" s="277">
        <v>0</v>
      </c>
      <c r="H184" s="331">
        <v>2</v>
      </c>
      <c r="I184" s="328">
        <v>0</v>
      </c>
      <c r="J184" s="331">
        <v>0</v>
      </c>
      <c r="K184" s="331">
        <v>0</v>
      </c>
      <c r="L184" s="331" t="s">
        <v>860</v>
      </c>
      <c r="M184" s="331">
        <v>1</v>
      </c>
      <c r="N184" s="331" t="s">
        <v>1601</v>
      </c>
      <c r="O184" s="331">
        <v>0</v>
      </c>
      <c r="P184" s="328">
        <v>0</v>
      </c>
      <c r="Q184" s="331">
        <v>0</v>
      </c>
      <c r="R184" s="331">
        <v>1</v>
      </c>
      <c r="S184" s="331">
        <v>0</v>
      </c>
      <c r="T184" s="331"/>
      <c r="V184" s="327" t="str">
        <f t="shared" si="21"/>
        <v>1</v>
      </c>
      <c r="W184" s="327" t="str">
        <f t="shared" si="22"/>
        <v>0</v>
      </c>
      <c r="X184" s="327" t="str">
        <f t="shared" si="30"/>
        <v>0</v>
      </c>
      <c r="Y184" s="327">
        <f t="shared" si="24"/>
        <v>0</v>
      </c>
      <c r="Z184" s="327">
        <f t="shared" si="25"/>
        <v>0</v>
      </c>
      <c r="AA184" s="327">
        <f t="shared" si="26"/>
        <v>0</v>
      </c>
      <c r="AB184" s="327" t="str">
        <f t="shared" si="29"/>
        <v>1</v>
      </c>
      <c r="AC184" s="327">
        <f t="shared" si="27"/>
        <v>0</v>
      </c>
      <c r="AD184" s="327">
        <v>0</v>
      </c>
      <c r="AE184" s="327" t="str">
        <f t="shared" si="28"/>
        <v>801</v>
      </c>
    </row>
    <row r="185" spans="1:31" s="327" customFormat="1" x14ac:dyDescent="0.15">
      <c r="A185" s="318" t="str">
        <f t="shared" si="20"/>
        <v>0</v>
      </c>
      <c r="B185" s="319">
        <v>183</v>
      </c>
      <c r="C185" s="328" t="s">
        <v>1876</v>
      </c>
      <c r="D185" s="329" t="s">
        <v>2682</v>
      </c>
      <c r="E185" s="330" t="s">
        <v>1877</v>
      </c>
      <c r="F185" s="358" t="s">
        <v>2748</v>
      </c>
      <c r="G185" s="277">
        <v>100</v>
      </c>
      <c r="H185" s="331">
        <v>1000</v>
      </c>
      <c r="I185" s="328">
        <v>0</v>
      </c>
      <c r="J185" s="331">
        <v>0</v>
      </c>
      <c r="K185" s="331">
        <v>0</v>
      </c>
      <c r="L185" s="331" t="s">
        <v>861</v>
      </c>
      <c r="M185" s="331">
        <v>0.01</v>
      </c>
      <c r="N185" s="331" t="s">
        <v>1688</v>
      </c>
      <c r="O185" s="331">
        <v>0</v>
      </c>
      <c r="P185" s="328">
        <v>0</v>
      </c>
      <c r="Q185" s="331">
        <v>1</v>
      </c>
      <c r="R185" s="331">
        <v>4</v>
      </c>
      <c r="S185" s="331">
        <v>0</v>
      </c>
      <c r="T185" s="331"/>
      <c r="V185" s="327" t="str">
        <f>IF(L185="△",DEC2BIN(0),IF(L185="×",DEC2BIN(1),IF(L185="◎",DEC2BIN(2),DEC2BIN(3))))</f>
        <v>10</v>
      </c>
      <c r="W185" s="327" t="str">
        <f>IF(M185=1,DEC2BIN(0),IF(M185=0.1,DEC2BIN(1),IF(M185=0.01,DEC2BIN(2),DEC2BIN(3))))</f>
        <v>10</v>
      </c>
      <c r="X185" s="327" t="str">
        <f>LOOKUP(N185,$AG$2:$AG$17,$AH$2:$AH$17)</f>
        <v>0</v>
      </c>
      <c r="Y185" s="327">
        <f>O185</f>
        <v>0</v>
      </c>
      <c r="Z185" s="327">
        <f>P185</f>
        <v>0</v>
      </c>
      <c r="AA185" s="327">
        <f>Q185</f>
        <v>1</v>
      </c>
      <c r="AB185" s="327" t="str">
        <f>DEC2BIN(R185)</f>
        <v>100</v>
      </c>
      <c r="AC185" s="327">
        <f>S185</f>
        <v>0</v>
      </c>
      <c r="AD185" s="327">
        <v>0</v>
      </c>
      <c r="AE185" s="327" t="str">
        <f>DEC2HEX(V185+W185*4+X185*16+Y185*256+Z185*512+AA185*1024+AB185*2048+AC185*16384)</f>
        <v>32432</v>
      </c>
    </row>
    <row r="186" spans="1:31" s="327" customFormat="1" x14ac:dyDescent="0.15">
      <c r="A186" s="318" t="str">
        <f t="shared" si="20"/>
        <v>0</v>
      </c>
      <c r="B186" s="319">
        <v>184</v>
      </c>
      <c r="C186" s="328" t="s">
        <v>535</v>
      </c>
      <c r="D186" s="329" t="s">
        <v>2681</v>
      </c>
      <c r="E186" s="330" t="s">
        <v>1878</v>
      </c>
      <c r="F186" s="358" t="s">
        <v>2748</v>
      </c>
      <c r="G186" s="277">
        <v>100</v>
      </c>
      <c r="H186" s="331">
        <v>1000</v>
      </c>
      <c r="I186" s="328">
        <v>0</v>
      </c>
      <c r="J186" s="331">
        <v>0</v>
      </c>
      <c r="K186" s="331">
        <v>0</v>
      </c>
      <c r="L186" s="331" t="s">
        <v>860</v>
      </c>
      <c r="M186" s="331">
        <v>0.01</v>
      </c>
      <c r="N186" s="331" t="s">
        <v>1879</v>
      </c>
      <c r="O186" s="331">
        <v>0</v>
      </c>
      <c r="P186" s="328">
        <v>0</v>
      </c>
      <c r="Q186" s="331">
        <v>1</v>
      </c>
      <c r="R186" s="331">
        <v>4</v>
      </c>
      <c r="S186" s="331">
        <v>0</v>
      </c>
      <c r="T186" s="331"/>
      <c r="V186" s="327" t="str">
        <f t="shared" si="21"/>
        <v>1</v>
      </c>
      <c r="W186" s="327" t="str">
        <f t="shared" si="22"/>
        <v>10</v>
      </c>
      <c r="X186" s="327" t="str">
        <f t="shared" si="30"/>
        <v>0</v>
      </c>
      <c r="Y186" s="327">
        <f t="shared" si="24"/>
        <v>0</v>
      </c>
      <c r="Z186" s="327">
        <f t="shared" si="25"/>
        <v>0</v>
      </c>
      <c r="AA186" s="327">
        <f t="shared" si="26"/>
        <v>1</v>
      </c>
      <c r="AB186" s="327" t="str">
        <f t="shared" si="29"/>
        <v>100</v>
      </c>
      <c r="AC186" s="327">
        <f t="shared" si="27"/>
        <v>0</v>
      </c>
      <c r="AD186" s="327">
        <v>0</v>
      </c>
      <c r="AE186" s="327" t="str">
        <f t="shared" si="28"/>
        <v>32429</v>
      </c>
    </row>
    <row r="187" spans="1:31" s="327" customFormat="1" x14ac:dyDescent="0.15">
      <c r="A187" s="318" t="str">
        <f t="shared" si="20"/>
        <v>0</v>
      </c>
      <c r="B187" s="319">
        <v>185</v>
      </c>
      <c r="C187" s="328" t="s">
        <v>536</v>
      </c>
      <c r="D187" s="329" t="s">
        <v>2681</v>
      </c>
      <c r="E187" s="330" t="s">
        <v>1880</v>
      </c>
      <c r="F187" s="358" t="s">
        <v>2749</v>
      </c>
      <c r="G187" s="277">
        <v>900</v>
      </c>
      <c r="H187" s="331">
        <v>1000</v>
      </c>
      <c r="I187" s="328">
        <v>0</v>
      </c>
      <c r="J187" s="331">
        <v>0</v>
      </c>
      <c r="K187" s="331">
        <v>0</v>
      </c>
      <c r="L187" s="331" t="s">
        <v>861</v>
      </c>
      <c r="M187" s="331">
        <v>0.01</v>
      </c>
      <c r="N187" s="331" t="s">
        <v>1879</v>
      </c>
      <c r="O187" s="331">
        <v>0</v>
      </c>
      <c r="P187" s="328">
        <v>0</v>
      </c>
      <c r="Q187" s="331">
        <v>1</v>
      </c>
      <c r="R187" s="331">
        <v>4</v>
      </c>
      <c r="S187" s="331">
        <v>0</v>
      </c>
      <c r="T187" s="331"/>
    </row>
    <row r="188" spans="1:31" s="327" customFormat="1" x14ac:dyDescent="0.15">
      <c r="A188" s="318" t="str">
        <f t="shared" si="20"/>
        <v>0</v>
      </c>
      <c r="B188" s="319">
        <v>186</v>
      </c>
      <c r="C188" s="328" t="s">
        <v>537</v>
      </c>
      <c r="D188" s="329" t="s">
        <v>2681</v>
      </c>
      <c r="E188" s="330" t="s">
        <v>1881</v>
      </c>
      <c r="F188" s="358" t="s">
        <v>2750</v>
      </c>
      <c r="G188" s="277">
        <v>900</v>
      </c>
      <c r="H188" s="331">
        <v>1000</v>
      </c>
      <c r="I188" s="328">
        <v>0</v>
      </c>
      <c r="J188" s="331">
        <v>0</v>
      </c>
      <c r="K188" s="331">
        <v>0</v>
      </c>
      <c r="L188" s="331" t="s">
        <v>860</v>
      </c>
      <c r="M188" s="331">
        <v>0.01</v>
      </c>
      <c r="N188" s="331" t="s">
        <v>1879</v>
      </c>
      <c r="O188" s="331">
        <v>0</v>
      </c>
      <c r="P188" s="328">
        <v>0</v>
      </c>
      <c r="Q188" s="331">
        <v>1</v>
      </c>
      <c r="R188" s="331">
        <v>4</v>
      </c>
      <c r="S188" s="331">
        <v>0</v>
      </c>
      <c r="T188" s="331"/>
      <c r="V188" s="327" t="str">
        <f t="shared" si="21"/>
        <v>1</v>
      </c>
      <c r="W188" s="327" t="str">
        <f t="shared" si="22"/>
        <v>10</v>
      </c>
      <c r="X188" s="327" t="str">
        <f t="shared" si="30"/>
        <v>0</v>
      </c>
      <c r="Y188" s="327">
        <f t="shared" si="24"/>
        <v>0</v>
      </c>
      <c r="Z188" s="327">
        <f t="shared" si="25"/>
        <v>0</v>
      </c>
      <c r="AA188" s="327">
        <f t="shared" si="26"/>
        <v>1</v>
      </c>
      <c r="AB188" s="327" t="str">
        <f t="shared" si="29"/>
        <v>100</v>
      </c>
      <c r="AC188" s="327">
        <f t="shared" si="27"/>
        <v>0</v>
      </c>
      <c r="AD188" s="327">
        <v>0</v>
      </c>
      <c r="AE188" s="327" t="str">
        <f t="shared" si="28"/>
        <v>32429</v>
      </c>
    </row>
    <row r="189" spans="1:31" s="327" customFormat="1" x14ac:dyDescent="0.15">
      <c r="A189" s="318" t="str">
        <f t="shared" si="20"/>
        <v>0</v>
      </c>
      <c r="B189" s="319">
        <v>187</v>
      </c>
      <c r="C189" s="328" t="s">
        <v>538</v>
      </c>
      <c r="D189" s="329" t="s">
        <v>2681</v>
      </c>
      <c r="E189" s="330" t="s">
        <v>899</v>
      </c>
      <c r="F189" s="358" t="s">
        <v>2749</v>
      </c>
      <c r="G189" s="277">
        <v>100</v>
      </c>
      <c r="H189" s="331">
        <v>1000</v>
      </c>
      <c r="I189" s="328">
        <v>0</v>
      </c>
      <c r="J189" s="331">
        <v>0</v>
      </c>
      <c r="K189" s="331">
        <v>0</v>
      </c>
      <c r="L189" s="331" t="s">
        <v>861</v>
      </c>
      <c r="M189" s="331">
        <v>0.01</v>
      </c>
      <c r="N189" s="331" t="s">
        <v>1879</v>
      </c>
      <c r="O189" s="331">
        <v>0</v>
      </c>
      <c r="P189" s="328">
        <v>0</v>
      </c>
      <c r="Q189" s="331">
        <v>1</v>
      </c>
      <c r="R189" s="331">
        <v>4</v>
      </c>
      <c r="S189" s="331">
        <v>0</v>
      </c>
      <c r="T189" s="331"/>
    </row>
    <row r="190" spans="1:31" s="327" customFormat="1" x14ac:dyDescent="0.15">
      <c r="A190" s="318" t="str">
        <f t="shared" si="20"/>
        <v>0</v>
      </c>
      <c r="B190" s="319">
        <v>188</v>
      </c>
      <c r="C190" s="328" t="s">
        <v>539</v>
      </c>
      <c r="D190" s="329" t="s">
        <v>2681</v>
      </c>
      <c r="E190" s="330" t="s">
        <v>1303</v>
      </c>
      <c r="F190" s="358" t="s">
        <v>2750</v>
      </c>
      <c r="G190" s="277">
        <v>100</v>
      </c>
      <c r="H190" s="331">
        <v>1000</v>
      </c>
      <c r="I190" s="328">
        <v>0</v>
      </c>
      <c r="J190" s="331">
        <v>0</v>
      </c>
      <c r="K190" s="331">
        <v>0</v>
      </c>
      <c r="L190" s="331" t="s">
        <v>860</v>
      </c>
      <c r="M190" s="331">
        <v>0.01</v>
      </c>
      <c r="N190" s="331" t="s">
        <v>1879</v>
      </c>
      <c r="O190" s="331">
        <v>0</v>
      </c>
      <c r="P190" s="328">
        <v>0</v>
      </c>
      <c r="Q190" s="331">
        <v>1</v>
      </c>
      <c r="R190" s="331">
        <v>4</v>
      </c>
      <c r="S190" s="331">
        <v>0</v>
      </c>
      <c r="T190" s="331"/>
    </row>
    <row r="191" spans="1:31" s="327" customFormat="1" x14ac:dyDescent="0.15">
      <c r="A191" s="318" t="str">
        <f t="shared" si="20"/>
        <v>0</v>
      </c>
      <c r="B191" s="319">
        <v>189</v>
      </c>
      <c r="C191" s="328" t="s">
        <v>540</v>
      </c>
      <c r="D191" s="329" t="s">
        <v>2681</v>
      </c>
      <c r="E191" s="330" t="s">
        <v>902</v>
      </c>
      <c r="F191" s="358" t="s">
        <v>2749</v>
      </c>
      <c r="G191" s="277">
        <v>900</v>
      </c>
      <c r="H191" s="331">
        <v>1000</v>
      </c>
      <c r="I191" s="328">
        <v>0</v>
      </c>
      <c r="J191" s="331">
        <v>0</v>
      </c>
      <c r="K191" s="331">
        <v>0</v>
      </c>
      <c r="L191" s="331" t="s">
        <v>861</v>
      </c>
      <c r="M191" s="331">
        <v>0.01</v>
      </c>
      <c r="N191" s="331" t="s">
        <v>1879</v>
      </c>
      <c r="O191" s="331">
        <v>0</v>
      </c>
      <c r="P191" s="328">
        <v>0</v>
      </c>
      <c r="Q191" s="331">
        <v>1</v>
      </c>
      <c r="R191" s="331">
        <v>4</v>
      </c>
      <c r="S191" s="331">
        <v>0</v>
      </c>
      <c r="T191" s="331"/>
      <c r="V191" s="327" t="str">
        <f>IF(L191="△",DEC2BIN(0),IF(L191="×",DEC2BIN(1),IF(L191="◎",DEC2BIN(2),DEC2BIN(3))))</f>
        <v>10</v>
      </c>
      <c r="W191" s="327" t="str">
        <f>IF(M191=1,DEC2BIN(0),IF(M191=0.1,DEC2BIN(1),IF(M191=0.01,DEC2BIN(2),DEC2BIN(3))))</f>
        <v>10</v>
      </c>
      <c r="X191" s="327" t="str">
        <f>LOOKUP(N191,$AG$2:$AG$17,$AH$2:$AH$17)</f>
        <v>0</v>
      </c>
      <c r="Y191" s="327">
        <f>O191</f>
        <v>0</v>
      </c>
      <c r="Z191" s="327">
        <f>P191</f>
        <v>0</v>
      </c>
      <c r="AA191" s="327">
        <f>Q191</f>
        <v>1</v>
      </c>
      <c r="AB191" s="327" t="str">
        <f>DEC2BIN(R191)</f>
        <v>100</v>
      </c>
      <c r="AC191" s="327">
        <f>S191</f>
        <v>0</v>
      </c>
      <c r="AD191" s="327">
        <v>0</v>
      </c>
      <c r="AE191" s="327" t="str">
        <f>DEC2HEX(V191+W191*4+X191*16+Y191*256+Z191*512+AA191*1024+AB191*2048+AC191*16384)</f>
        <v>32432</v>
      </c>
    </row>
    <row r="192" spans="1:31" s="327" customFormat="1" x14ac:dyDescent="0.15">
      <c r="A192" s="318" t="str">
        <f t="shared" si="20"/>
        <v>0</v>
      </c>
      <c r="B192" s="319">
        <v>190</v>
      </c>
      <c r="C192" s="328" t="s">
        <v>541</v>
      </c>
      <c r="D192" s="329" t="s">
        <v>2681</v>
      </c>
      <c r="E192" s="330" t="s">
        <v>901</v>
      </c>
      <c r="F192" s="358" t="s">
        <v>2750</v>
      </c>
      <c r="G192" s="277">
        <v>900</v>
      </c>
      <c r="H192" s="331">
        <v>1000</v>
      </c>
      <c r="I192" s="328">
        <v>0</v>
      </c>
      <c r="J192" s="331">
        <v>0</v>
      </c>
      <c r="K192" s="331">
        <v>0</v>
      </c>
      <c r="L192" s="331" t="s">
        <v>860</v>
      </c>
      <c r="M192" s="331">
        <v>0.01</v>
      </c>
      <c r="N192" s="331" t="s">
        <v>1879</v>
      </c>
      <c r="O192" s="331">
        <v>0</v>
      </c>
      <c r="P192" s="328">
        <v>0</v>
      </c>
      <c r="Q192" s="331">
        <v>1</v>
      </c>
      <c r="R192" s="331">
        <v>4</v>
      </c>
      <c r="S192" s="331">
        <v>0</v>
      </c>
      <c r="T192" s="331"/>
    </row>
    <row r="193" spans="1:31" s="327" customFormat="1" x14ac:dyDescent="0.15">
      <c r="A193" s="318" t="str">
        <f t="shared" si="20"/>
        <v>0</v>
      </c>
      <c r="B193" s="319">
        <v>191</v>
      </c>
      <c r="C193" s="328" t="s">
        <v>542</v>
      </c>
      <c r="D193" s="329" t="s">
        <v>1226</v>
      </c>
      <c r="E193" s="330" t="s">
        <v>900</v>
      </c>
      <c r="F193" s="364" t="s">
        <v>2751</v>
      </c>
      <c r="G193" s="277">
        <v>100</v>
      </c>
      <c r="H193" s="331">
        <v>1000</v>
      </c>
      <c r="I193" s="328">
        <v>-1000</v>
      </c>
      <c r="J193" s="331">
        <v>0</v>
      </c>
      <c r="K193" s="331">
        <v>0</v>
      </c>
      <c r="L193" s="331" t="s">
        <v>861</v>
      </c>
      <c r="M193" s="331">
        <v>0.01</v>
      </c>
      <c r="N193" s="331" t="s">
        <v>1879</v>
      </c>
      <c r="O193" s="331">
        <v>0</v>
      </c>
      <c r="P193" s="328">
        <v>0</v>
      </c>
      <c r="Q193" s="331">
        <v>1</v>
      </c>
      <c r="R193" s="331">
        <v>4</v>
      </c>
      <c r="S193" s="331">
        <v>1</v>
      </c>
      <c r="T193" s="331"/>
      <c r="V193" s="327" t="str">
        <f>IF(L193="△",DEC2BIN(0),IF(L193="×",DEC2BIN(1),IF(L193="◎",DEC2BIN(2),DEC2BIN(3))))</f>
        <v>10</v>
      </c>
      <c r="W193" s="327" t="str">
        <f>IF(M193=1,DEC2BIN(0),IF(M193=0.1,DEC2BIN(1),IF(M193=0.01,DEC2BIN(2),DEC2BIN(3))))</f>
        <v>10</v>
      </c>
      <c r="X193" s="327" t="str">
        <f>LOOKUP(N193,$AG$2:$AG$17,$AH$2:$AH$17)</f>
        <v>0</v>
      </c>
      <c r="Y193" s="327">
        <f>O193</f>
        <v>0</v>
      </c>
      <c r="Z193" s="327">
        <f>P193</f>
        <v>0</v>
      </c>
      <c r="AA193" s="327">
        <f>Q193</f>
        <v>1</v>
      </c>
      <c r="AB193" s="327" t="str">
        <f>DEC2BIN(R193)</f>
        <v>100</v>
      </c>
      <c r="AC193" s="327">
        <f>S193</f>
        <v>1</v>
      </c>
      <c r="AD193" s="327">
        <v>0</v>
      </c>
      <c r="AE193" s="327" t="str">
        <f>DEC2HEX(V193+W193*4+X193*16+Y193*256+Z193*512+AA193*1024+AB193*2048+AC193*16384)</f>
        <v>36432</v>
      </c>
    </row>
    <row r="194" spans="1:31" s="327" customFormat="1" x14ac:dyDescent="0.15">
      <c r="A194" s="318" t="str">
        <f t="shared" si="20"/>
        <v>0</v>
      </c>
      <c r="B194" s="319">
        <v>192</v>
      </c>
      <c r="C194" s="328" t="s">
        <v>543</v>
      </c>
      <c r="D194" s="329" t="s">
        <v>1226</v>
      </c>
      <c r="E194" s="330" t="s">
        <v>1304</v>
      </c>
      <c r="F194" s="364" t="s">
        <v>2752</v>
      </c>
      <c r="G194" s="277">
        <v>100</v>
      </c>
      <c r="H194" s="331">
        <v>1000</v>
      </c>
      <c r="I194" s="328">
        <v>-1000</v>
      </c>
      <c r="J194" s="331">
        <v>0</v>
      </c>
      <c r="K194" s="331">
        <v>0</v>
      </c>
      <c r="L194" s="331" t="s">
        <v>860</v>
      </c>
      <c r="M194" s="331">
        <v>0.01</v>
      </c>
      <c r="N194" s="331" t="s">
        <v>1879</v>
      </c>
      <c r="O194" s="331">
        <v>0</v>
      </c>
      <c r="P194" s="328">
        <v>0</v>
      </c>
      <c r="Q194" s="331">
        <v>1</v>
      </c>
      <c r="R194" s="331">
        <v>4</v>
      </c>
      <c r="S194" s="331">
        <v>1</v>
      </c>
      <c r="T194" s="331"/>
      <c r="V194" s="327" t="str">
        <f t="shared" si="21"/>
        <v>1</v>
      </c>
      <c r="W194" s="327" t="str">
        <f t="shared" si="22"/>
        <v>10</v>
      </c>
      <c r="X194" s="327" t="str">
        <f t="shared" si="30"/>
        <v>0</v>
      </c>
      <c r="Y194" s="327">
        <f t="shared" si="24"/>
        <v>0</v>
      </c>
      <c r="Z194" s="327">
        <f t="shared" si="25"/>
        <v>0</v>
      </c>
      <c r="AA194" s="327">
        <f t="shared" si="26"/>
        <v>1</v>
      </c>
      <c r="AB194" s="327" t="str">
        <f t="shared" si="29"/>
        <v>100</v>
      </c>
      <c r="AC194" s="327">
        <f t="shared" si="27"/>
        <v>1</v>
      </c>
      <c r="AD194" s="327">
        <v>0</v>
      </c>
      <c r="AE194" s="327" t="str">
        <f t="shared" si="28"/>
        <v>36429</v>
      </c>
    </row>
    <row r="195" spans="1:31" s="327" customFormat="1" x14ac:dyDescent="0.15">
      <c r="A195" s="318" t="str">
        <f t="shared" si="20"/>
        <v>0</v>
      </c>
      <c r="B195" s="319">
        <v>193</v>
      </c>
      <c r="C195" s="328" t="s">
        <v>544</v>
      </c>
      <c r="D195" s="329" t="s">
        <v>1226</v>
      </c>
      <c r="E195" s="330" t="s">
        <v>904</v>
      </c>
      <c r="F195" s="364" t="s">
        <v>2753</v>
      </c>
      <c r="G195" s="277">
        <v>900</v>
      </c>
      <c r="H195" s="331">
        <v>1000</v>
      </c>
      <c r="I195" s="328">
        <v>-1000</v>
      </c>
      <c r="J195" s="331">
        <v>0</v>
      </c>
      <c r="K195" s="331">
        <v>0</v>
      </c>
      <c r="L195" s="331" t="s">
        <v>861</v>
      </c>
      <c r="M195" s="331">
        <v>0.01</v>
      </c>
      <c r="N195" s="331" t="s">
        <v>1879</v>
      </c>
      <c r="O195" s="331">
        <v>0</v>
      </c>
      <c r="P195" s="328">
        <v>0</v>
      </c>
      <c r="Q195" s="331">
        <v>1</v>
      </c>
      <c r="R195" s="331">
        <v>4</v>
      </c>
      <c r="S195" s="331">
        <v>1</v>
      </c>
      <c r="T195" s="331"/>
      <c r="V195" s="327" t="str">
        <f>IF(L195="△",DEC2BIN(0),IF(L195="×",DEC2BIN(1),IF(L195="◎",DEC2BIN(2),DEC2BIN(3))))</f>
        <v>10</v>
      </c>
      <c r="W195" s="327" t="str">
        <f>IF(M195=1,DEC2BIN(0),IF(M195=0.1,DEC2BIN(1),IF(M195=0.01,DEC2BIN(2),DEC2BIN(3))))</f>
        <v>10</v>
      </c>
      <c r="X195" s="327" t="str">
        <f>LOOKUP(N195,$AG$2:$AG$17,$AH$2:$AH$17)</f>
        <v>0</v>
      </c>
      <c r="Y195" s="327">
        <f>O195</f>
        <v>0</v>
      </c>
      <c r="Z195" s="327">
        <f>P195</f>
        <v>0</v>
      </c>
      <c r="AA195" s="327">
        <f>Q195</f>
        <v>1</v>
      </c>
      <c r="AB195" s="327" t="str">
        <f>DEC2BIN(R195)</f>
        <v>100</v>
      </c>
      <c r="AC195" s="327">
        <f>S195</f>
        <v>1</v>
      </c>
      <c r="AD195" s="327">
        <v>0</v>
      </c>
      <c r="AE195" s="327" t="str">
        <f>DEC2HEX(V195+W195*4+X195*16+Y195*256+Z195*512+AA195*1024+AB195*2048+AC195*16384)</f>
        <v>36432</v>
      </c>
    </row>
    <row r="196" spans="1:31" s="327" customFormat="1" x14ac:dyDescent="0.15">
      <c r="A196" s="318" t="str">
        <f t="shared" ref="A196:A259" si="31">DEC2HEX(AH196)</f>
        <v>0</v>
      </c>
      <c r="B196" s="319">
        <v>194</v>
      </c>
      <c r="C196" s="328" t="s">
        <v>545</v>
      </c>
      <c r="D196" s="329" t="s">
        <v>1226</v>
      </c>
      <c r="E196" s="330" t="s">
        <v>903</v>
      </c>
      <c r="F196" s="364" t="s">
        <v>2754</v>
      </c>
      <c r="G196" s="277">
        <v>900</v>
      </c>
      <c r="H196" s="331">
        <v>1000</v>
      </c>
      <c r="I196" s="328">
        <v>-1000</v>
      </c>
      <c r="J196" s="331">
        <v>0</v>
      </c>
      <c r="K196" s="331">
        <v>0</v>
      </c>
      <c r="L196" s="331" t="s">
        <v>860</v>
      </c>
      <c r="M196" s="331">
        <v>0.01</v>
      </c>
      <c r="N196" s="331" t="s">
        <v>1879</v>
      </c>
      <c r="O196" s="331">
        <v>0</v>
      </c>
      <c r="P196" s="328">
        <v>0</v>
      </c>
      <c r="Q196" s="331">
        <v>1</v>
      </c>
      <c r="R196" s="331">
        <v>4</v>
      </c>
      <c r="S196" s="331">
        <v>1</v>
      </c>
      <c r="T196" s="331"/>
      <c r="V196" s="327" t="str">
        <f t="shared" si="21"/>
        <v>1</v>
      </c>
      <c r="W196" s="327" t="str">
        <f t="shared" si="22"/>
        <v>10</v>
      </c>
      <c r="X196" s="327" t="str">
        <f t="shared" si="30"/>
        <v>0</v>
      </c>
      <c r="Y196" s="327">
        <f t="shared" si="24"/>
        <v>0</v>
      </c>
      <c r="Z196" s="327">
        <f t="shared" si="25"/>
        <v>0</v>
      </c>
      <c r="AA196" s="327">
        <f t="shared" si="26"/>
        <v>1</v>
      </c>
      <c r="AB196" s="327" t="str">
        <f t="shared" si="29"/>
        <v>100</v>
      </c>
      <c r="AC196" s="327">
        <f t="shared" si="27"/>
        <v>1</v>
      </c>
      <c r="AD196" s="327">
        <v>0</v>
      </c>
      <c r="AE196" s="327" t="str">
        <f t="shared" si="28"/>
        <v>36429</v>
      </c>
    </row>
    <row r="197" spans="1:31" s="327" customFormat="1" x14ac:dyDescent="0.15">
      <c r="A197" s="318" t="str">
        <f t="shared" si="31"/>
        <v>0</v>
      </c>
      <c r="B197" s="319">
        <v>195</v>
      </c>
      <c r="C197" s="328" t="s">
        <v>546</v>
      </c>
      <c r="D197" s="329" t="s">
        <v>1657</v>
      </c>
      <c r="E197" s="330" t="s">
        <v>1882</v>
      </c>
      <c r="F197" s="364" t="s">
        <v>2751</v>
      </c>
      <c r="G197" s="277">
        <v>-1000</v>
      </c>
      <c r="H197" s="331">
        <v>1000</v>
      </c>
      <c r="I197" s="328">
        <v>-1000</v>
      </c>
      <c r="J197" s="331">
        <v>0</v>
      </c>
      <c r="K197" s="331">
        <v>0</v>
      </c>
      <c r="L197" s="331" t="s">
        <v>861</v>
      </c>
      <c r="M197" s="331">
        <v>0.01</v>
      </c>
      <c r="N197" s="331" t="s">
        <v>1879</v>
      </c>
      <c r="O197" s="331">
        <v>0</v>
      </c>
      <c r="P197" s="328">
        <v>0</v>
      </c>
      <c r="Q197" s="331">
        <v>1</v>
      </c>
      <c r="R197" s="331">
        <v>4</v>
      </c>
      <c r="S197" s="331">
        <v>1</v>
      </c>
      <c r="T197" s="331"/>
      <c r="V197" s="327" t="str">
        <f>IF(L197="△",DEC2BIN(0),IF(L197="×",DEC2BIN(1),IF(L197="◎",DEC2BIN(2),DEC2BIN(3))))</f>
        <v>10</v>
      </c>
      <c r="W197" s="327" t="str">
        <f>IF(M197=1,DEC2BIN(0),IF(M197=0.1,DEC2BIN(1),IF(M197=0.01,DEC2BIN(2),DEC2BIN(3))))</f>
        <v>10</v>
      </c>
      <c r="X197" s="327" t="str">
        <f>LOOKUP(N197,$AG$2:$AG$17,$AH$2:$AH$17)</f>
        <v>0</v>
      </c>
      <c r="Y197" s="327">
        <f>O197</f>
        <v>0</v>
      </c>
      <c r="Z197" s="327">
        <f>P197</f>
        <v>0</v>
      </c>
      <c r="AA197" s="327">
        <f>Q197</f>
        <v>1</v>
      </c>
      <c r="AB197" s="327" t="str">
        <f>DEC2BIN(R197)</f>
        <v>100</v>
      </c>
      <c r="AC197" s="327">
        <f>S197</f>
        <v>1</v>
      </c>
      <c r="AD197" s="327">
        <v>0</v>
      </c>
      <c r="AE197" s="327" t="str">
        <f>DEC2HEX(V197+W197*4+X197*16+Y197*256+Z197*512+AA197*1024+AB197*2048+AC197*16384)</f>
        <v>36432</v>
      </c>
    </row>
    <row r="198" spans="1:31" s="327" customFormat="1" x14ac:dyDescent="0.15">
      <c r="A198" s="318" t="str">
        <f t="shared" si="31"/>
        <v>0</v>
      </c>
      <c r="B198" s="319">
        <v>196</v>
      </c>
      <c r="C198" s="328" t="s">
        <v>547</v>
      </c>
      <c r="D198" s="329" t="s">
        <v>1657</v>
      </c>
      <c r="E198" s="330" t="s">
        <v>1883</v>
      </c>
      <c r="F198" s="364" t="s">
        <v>2752</v>
      </c>
      <c r="G198" s="365">
        <v>-1000</v>
      </c>
      <c r="H198" s="359">
        <v>1000</v>
      </c>
      <c r="I198" s="328">
        <v>-1000</v>
      </c>
      <c r="J198" s="331">
        <v>0</v>
      </c>
      <c r="K198" s="331">
        <v>0</v>
      </c>
      <c r="L198" s="331" t="s">
        <v>860</v>
      </c>
      <c r="M198" s="331">
        <v>0.01</v>
      </c>
      <c r="N198" s="331" t="s">
        <v>1879</v>
      </c>
      <c r="O198" s="331">
        <v>0</v>
      </c>
      <c r="P198" s="328">
        <v>0</v>
      </c>
      <c r="Q198" s="331">
        <v>1</v>
      </c>
      <c r="R198" s="331">
        <v>4</v>
      </c>
      <c r="S198" s="331">
        <v>1</v>
      </c>
      <c r="T198" s="331"/>
      <c r="V198" s="327" t="str">
        <f t="shared" si="21"/>
        <v>1</v>
      </c>
      <c r="W198" s="327" t="str">
        <f t="shared" si="22"/>
        <v>10</v>
      </c>
      <c r="X198" s="327" t="str">
        <f t="shared" si="30"/>
        <v>0</v>
      </c>
      <c r="Y198" s="327">
        <f t="shared" si="24"/>
        <v>0</v>
      </c>
      <c r="Z198" s="327">
        <f t="shared" si="25"/>
        <v>0</v>
      </c>
      <c r="AA198" s="327">
        <f t="shared" si="26"/>
        <v>1</v>
      </c>
      <c r="AB198" s="327" t="str">
        <f t="shared" si="29"/>
        <v>100</v>
      </c>
      <c r="AC198" s="327">
        <f t="shared" si="27"/>
        <v>1</v>
      </c>
      <c r="AD198" s="327">
        <v>0</v>
      </c>
      <c r="AE198" s="327" t="str">
        <f t="shared" si="28"/>
        <v>36429</v>
      </c>
    </row>
    <row r="199" spans="1:31" s="327" customFormat="1" x14ac:dyDescent="0.15">
      <c r="A199" s="318" t="str">
        <f t="shared" si="31"/>
        <v>0</v>
      </c>
      <c r="B199" s="319">
        <v>197</v>
      </c>
      <c r="C199" s="328" t="s">
        <v>548</v>
      </c>
      <c r="D199" s="329" t="s">
        <v>1657</v>
      </c>
      <c r="E199" s="330" t="s">
        <v>1884</v>
      </c>
      <c r="F199" s="364" t="s">
        <v>2753</v>
      </c>
      <c r="G199" s="277">
        <v>1000</v>
      </c>
      <c r="H199" s="331">
        <v>1000</v>
      </c>
      <c r="I199" s="328">
        <v>-1000</v>
      </c>
      <c r="J199" s="331">
        <v>0</v>
      </c>
      <c r="K199" s="331">
        <v>0</v>
      </c>
      <c r="L199" s="331" t="s">
        <v>861</v>
      </c>
      <c r="M199" s="331">
        <v>0.01</v>
      </c>
      <c r="N199" s="331" t="s">
        <v>1879</v>
      </c>
      <c r="O199" s="331">
        <v>0</v>
      </c>
      <c r="P199" s="328">
        <v>0</v>
      </c>
      <c r="Q199" s="331">
        <v>1</v>
      </c>
      <c r="R199" s="331">
        <v>4</v>
      </c>
      <c r="S199" s="331">
        <v>1</v>
      </c>
      <c r="T199" s="331"/>
      <c r="V199" s="327" t="str">
        <f>IF(L199="△",DEC2BIN(0),IF(L199="×",DEC2BIN(1),IF(L199="◎",DEC2BIN(2),DEC2BIN(3))))</f>
        <v>10</v>
      </c>
      <c r="W199" s="327" t="str">
        <f>IF(M199=1,DEC2BIN(0),IF(M199=0.1,DEC2BIN(1),IF(M199=0.01,DEC2BIN(2),DEC2BIN(3))))</f>
        <v>10</v>
      </c>
      <c r="X199" s="327" t="str">
        <f>LOOKUP(N199,$AG$2:$AG$17,$AH$2:$AH$17)</f>
        <v>0</v>
      </c>
      <c r="Y199" s="327">
        <f>O199</f>
        <v>0</v>
      </c>
      <c r="Z199" s="327">
        <f>P199</f>
        <v>0</v>
      </c>
      <c r="AA199" s="327">
        <f>Q199</f>
        <v>1</v>
      </c>
      <c r="AB199" s="327" t="str">
        <f>DEC2BIN(R199)</f>
        <v>100</v>
      </c>
      <c r="AC199" s="327">
        <f>S199</f>
        <v>1</v>
      </c>
      <c r="AD199" s="327">
        <v>0</v>
      </c>
      <c r="AE199" s="327" t="str">
        <f>DEC2HEX(V199+W199*4+X199*16+Y199*256+Z199*512+AA199*1024+AB199*2048+AC199*16384)</f>
        <v>36432</v>
      </c>
    </row>
    <row r="200" spans="1:31" s="327" customFormat="1" x14ac:dyDescent="0.15">
      <c r="A200" s="318" t="str">
        <f t="shared" si="31"/>
        <v>0</v>
      </c>
      <c r="B200" s="319">
        <v>198</v>
      </c>
      <c r="C200" s="328" t="s">
        <v>549</v>
      </c>
      <c r="D200" s="329" t="s">
        <v>1657</v>
      </c>
      <c r="E200" s="330" t="s">
        <v>1885</v>
      </c>
      <c r="F200" s="364" t="s">
        <v>2754</v>
      </c>
      <c r="G200" s="277">
        <v>1000</v>
      </c>
      <c r="H200" s="331">
        <v>1000</v>
      </c>
      <c r="I200" s="328">
        <v>-1000</v>
      </c>
      <c r="J200" s="331">
        <v>0</v>
      </c>
      <c r="K200" s="331">
        <v>0</v>
      </c>
      <c r="L200" s="331" t="s">
        <v>860</v>
      </c>
      <c r="M200" s="331">
        <v>0.01</v>
      </c>
      <c r="N200" s="331" t="s">
        <v>1879</v>
      </c>
      <c r="O200" s="331">
        <v>0</v>
      </c>
      <c r="P200" s="328">
        <v>0</v>
      </c>
      <c r="Q200" s="331">
        <v>1</v>
      </c>
      <c r="R200" s="331">
        <v>4</v>
      </c>
      <c r="S200" s="331">
        <v>1</v>
      </c>
      <c r="T200" s="331"/>
      <c r="V200" s="327" t="str">
        <f t="shared" si="21"/>
        <v>1</v>
      </c>
      <c r="W200" s="327" t="str">
        <f t="shared" si="22"/>
        <v>10</v>
      </c>
      <c r="X200" s="327" t="str">
        <f t="shared" si="30"/>
        <v>0</v>
      </c>
      <c r="Y200" s="327">
        <f t="shared" si="24"/>
        <v>0</v>
      </c>
      <c r="Z200" s="327">
        <f t="shared" si="25"/>
        <v>0</v>
      </c>
      <c r="AA200" s="327">
        <f t="shared" si="26"/>
        <v>1</v>
      </c>
      <c r="AB200" s="327" t="str">
        <f t="shared" si="29"/>
        <v>100</v>
      </c>
      <c r="AC200" s="327">
        <f t="shared" si="27"/>
        <v>1</v>
      </c>
      <c r="AD200" s="327">
        <v>0</v>
      </c>
      <c r="AE200" s="327" t="str">
        <f t="shared" si="28"/>
        <v>36429</v>
      </c>
    </row>
    <row r="201" spans="1:31" s="327" customFormat="1" x14ac:dyDescent="0.15">
      <c r="A201" s="318" t="str">
        <f t="shared" si="31"/>
        <v>0</v>
      </c>
      <c r="B201" s="319">
        <v>199</v>
      </c>
      <c r="C201" s="328" t="s">
        <v>550</v>
      </c>
      <c r="D201" s="329" t="s">
        <v>1657</v>
      </c>
      <c r="E201" s="330" t="s">
        <v>1886</v>
      </c>
      <c r="F201" s="330" t="s">
        <v>2755</v>
      </c>
      <c r="G201" s="277">
        <v>1000</v>
      </c>
      <c r="H201" s="331">
        <v>2000</v>
      </c>
      <c r="I201" s="328">
        <v>-2000</v>
      </c>
      <c r="J201" s="331">
        <v>0</v>
      </c>
      <c r="K201" s="331">
        <v>0</v>
      </c>
      <c r="L201" s="331" t="s">
        <v>860</v>
      </c>
      <c r="M201" s="331">
        <v>0.1</v>
      </c>
      <c r="N201" s="331" t="s">
        <v>1719</v>
      </c>
      <c r="O201" s="331">
        <v>0</v>
      </c>
      <c r="P201" s="328">
        <v>0</v>
      </c>
      <c r="Q201" s="331">
        <v>1</v>
      </c>
      <c r="R201" s="331">
        <v>4</v>
      </c>
      <c r="S201" s="331">
        <v>1</v>
      </c>
      <c r="T201" s="331"/>
      <c r="V201" s="327" t="str">
        <f t="shared" ref="V201:V264" si="32">IF(L201="△",DEC2BIN(0),IF(L201="×",DEC2BIN(1),IF(L201="◎",DEC2BIN(2),DEC2BIN(3))))</f>
        <v>1</v>
      </c>
      <c r="W201" s="327" t="str">
        <f t="shared" ref="W201:W264" si="33">IF(M201=1,DEC2BIN(0),IF(M201=0.1,DEC2BIN(1),IF(M201=0.01,DEC2BIN(2),DEC2BIN(3))))</f>
        <v>1</v>
      </c>
      <c r="X201" s="327" t="e">
        <f t="shared" ref="X201:X260" si="34">LOOKUP(N201,$AG$2:$AG$17,$AH$2:$AH$17)</f>
        <v>#N/A</v>
      </c>
      <c r="Y201" s="327">
        <f t="shared" ref="Y201:Z264" si="35">O201</f>
        <v>0</v>
      </c>
      <c r="Z201" s="327">
        <f t="shared" si="35"/>
        <v>0</v>
      </c>
      <c r="AA201" s="327">
        <f t="shared" ref="AA201:AA264" si="36">Q201</f>
        <v>1</v>
      </c>
      <c r="AB201" s="327" t="str">
        <f t="shared" si="29"/>
        <v>100</v>
      </c>
      <c r="AC201" s="327">
        <f t="shared" ref="AC201:AC264" si="37">S201</f>
        <v>1</v>
      </c>
      <c r="AD201" s="327">
        <v>0</v>
      </c>
      <c r="AE201" s="327" t="e">
        <f t="shared" ref="AE201:AE264" si="38">DEC2HEX(V201+W201*4+X201*16+Y201*256+Z201*512+AA201*1024+AB201*2048+AC201*16384)</f>
        <v>#N/A</v>
      </c>
    </row>
    <row r="202" spans="1:31" s="327" customFormat="1" x14ac:dyDescent="0.15">
      <c r="A202" s="318" t="str">
        <f t="shared" si="31"/>
        <v>0</v>
      </c>
      <c r="B202" s="319">
        <v>200</v>
      </c>
      <c r="C202" s="328" t="s">
        <v>551</v>
      </c>
      <c r="D202" s="329" t="s">
        <v>1657</v>
      </c>
      <c r="E202" s="330" t="s">
        <v>1887</v>
      </c>
      <c r="F202" s="330" t="s">
        <v>2755</v>
      </c>
      <c r="G202" s="277">
        <v>0</v>
      </c>
      <c r="H202" s="331">
        <v>2000</v>
      </c>
      <c r="I202" s="328">
        <v>-2000</v>
      </c>
      <c r="J202" s="331">
        <v>0</v>
      </c>
      <c r="K202" s="331">
        <v>0</v>
      </c>
      <c r="L202" s="331" t="s">
        <v>860</v>
      </c>
      <c r="M202" s="331">
        <v>0.1</v>
      </c>
      <c r="N202" s="331" t="s">
        <v>1719</v>
      </c>
      <c r="O202" s="331">
        <v>0</v>
      </c>
      <c r="P202" s="328">
        <v>0</v>
      </c>
      <c r="Q202" s="331">
        <v>1</v>
      </c>
      <c r="R202" s="331">
        <v>4</v>
      </c>
      <c r="S202" s="331">
        <v>1</v>
      </c>
      <c r="T202" s="331"/>
      <c r="V202" s="327" t="str">
        <f t="shared" si="32"/>
        <v>1</v>
      </c>
      <c r="W202" s="327" t="str">
        <f t="shared" si="33"/>
        <v>1</v>
      </c>
      <c r="X202" s="327" t="e">
        <f t="shared" si="34"/>
        <v>#N/A</v>
      </c>
      <c r="Y202" s="327">
        <f t="shared" si="35"/>
        <v>0</v>
      </c>
      <c r="Z202" s="327">
        <f t="shared" si="35"/>
        <v>0</v>
      </c>
      <c r="AA202" s="327">
        <f t="shared" si="36"/>
        <v>1</v>
      </c>
      <c r="AB202" s="327" t="str">
        <f t="shared" ref="AB202:AB265" si="39">DEC2BIN(R202)</f>
        <v>100</v>
      </c>
      <c r="AC202" s="327">
        <f t="shared" si="37"/>
        <v>1</v>
      </c>
      <c r="AD202" s="327">
        <v>0</v>
      </c>
      <c r="AE202" s="327" t="e">
        <f t="shared" si="38"/>
        <v>#N/A</v>
      </c>
    </row>
    <row r="203" spans="1:31" s="327" customFormat="1" x14ac:dyDescent="0.15">
      <c r="A203" s="318" t="str">
        <f t="shared" si="31"/>
        <v>0</v>
      </c>
      <c r="B203" s="319">
        <v>201</v>
      </c>
      <c r="C203" s="328" t="s">
        <v>552</v>
      </c>
      <c r="D203" s="329" t="s">
        <v>1657</v>
      </c>
      <c r="E203" s="330" t="s">
        <v>1888</v>
      </c>
      <c r="F203" s="330" t="s">
        <v>2755</v>
      </c>
      <c r="G203" s="277">
        <v>1000</v>
      </c>
      <c r="H203" s="331">
        <v>2000</v>
      </c>
      <c r="I203" s="328">
        <v>-2000</v>
      </c>
      <c r="J203" s="331">
        <v>0</v>
      </c>
      <c r="K203" s="331">
        <v>0</v>
      </c>
      <c r="L203" s="331" t="s">
        <v>860</v>
      </c>
      <c r="M203" s="331">
        <v>0.1</v>
      </c>
      <c r="N203" s="331" t="s">
        <v>1719</v>
      </c>
      <c r="O203" s="331">
        <v>0</v>
      </c>
      <c r="P203" s="328">
        <v>0</v>
      </c>
      <c r="Q203" s="331">
        <v>1</v>
      </c>
      <c r="R203" s="331">
        <v>4</v>
      </c>
      <c r="S203" s="331">
        <v>1</v>
      </c>
      <c r="T203" s="331"/>
      <c r="V203" s="327" t="str">
        <f t="shared" si="32"/>
        <v>1</v>
      </c>
      <c r="W203" s="327" t="str">
        <f t="shared" si="33"/>
        <v>1</v>
      </c>
      <c r="X203" s="327" t="e">
        <f t="shared" si="34"/>
        <v>#N/A</v>
      </c>
      <c r="Y203" s="327">
        <f t="shared" si="35"/>
        <v>0</v>
      </c>
      <c r="Z203" s="327">
        <f t="shared" si="35"/>
        <v>0</v>
      </c>
      <c r="AA203" s="327">
        <f t="shared" si="36"/>
        <v>1</v>
      </c>
      <c r="AB203" s="327" t="str">
        <f t="shared" si="39"/>
        <v>100</v>
      </c>
      <c r="AC203" s="327">
        <f t="shared" si="37"/>
        <v>1</v>
      </c>
      <c r="AD203" s="327">
        <v>0</v>
      </c>
      <c r="AE203" s="327" t="e">
        <f t="shared" si="38"/>
        <v>#N/A</v>
      </c>
    </row>
    <row r="204" spans="1:31" s="327" customFormat="1" x14ac:dyDescent="0.15">
      <c r="A204" s="318" t="str">
        <f t="shared" si="31"/>
        <v>0</v>
      </c>
      <c r="B204" s="319">
        <v>202</v>
      </c>
      <c r="C204" s="328" t="s">
        <v>553</v>
      </c>
      <c r="D204" s="329" t="s">
        <v>1657</v>
      </c>
      <c r="E204" s="330" t="s">
        <v>1889</v>
      </c>
      <c r="F204" s="330" t="s">
        <v>2755</v>
      </c>
      <c r="G204" s="277">
        <v>0</v>
      </c>
      <c r="H204" s="331">
        <v>2000</v>
      </c>
      <c r="I204" s="328">
        <v>-2000</v>
      </c>
      <c r="J204" s="331">
        <v>0</v>
      </c>
      <c r="K204" s="331">
        <v>0</v>
      </c>
      <c r="L204" s="331" t="s">
        <v>860</v>
      </c>
      <c r="M204" s="331">
        <v>0.1</v>
      </c>
      <c r="N204" s="331" t="s">
        <v>1719</v>
      </c>
      <c r="O204" s="331">
        <v>0</v>
      </c>
      <c r="P204" s="328">
        <v>0</v>
      </c>
      <c r="Q204" s="331">
        <v>1</v>
      </c>
      <c r="R204" s="331">
        <v>4</v>
      </c>
      <c r="S204" s="331">
        <v>1</v>
      </c>
      <c r="T204" s="331"/>
      <c r="V204" s="327" t="str">
        <f t="shared" si="32"/>
        <v>1</v>
      </c>
      <c r="W204" s="327" t="str">
        <f t="shared" si="33"/>
        <v>1</v>
      </c>
      <c r="X204" s="327" t="e">
        <f t="shared" si="34"/>
        <v>#N/A</v>
      </c>
      <c r="Y204" s="327">
        <f t="shared" si="35"/>
        <v>0</v>
      </c>
      <c r="Z204" s="327">
        <f t="shared" si="35"/>
        <v>0</v>
      </c>
      <c r="AA204" s="327">
        <f t="shared" si="36"/>
        <v>1</v>
      </c>
      <c r="AB204" s="327" t="str">
        <f t="shared" si="39"/>
        <v>100</v>
      </c>
      <c r="AC204" s="327">
        <f t="shared" si="37"/>
        <v>1</v>
      </c>
      <c r="AD204" s="327">
        <v>0</v>
      </c>
      <c r="AE204" s="327" t="e">
        <f t="shared" si="38"/>
        <v>#N/A</v>
      </c>
    </row>
    <row r="205" spans="1:31" s="327" customFormat="1" x14ac:dyDescent="0.15">
      <c r="A205" s="318" t="str">
        <f t="shared" si="31"/>
        <v>0</v>
      </c>
      <c r="B205" s="319">
        <v>203</v>
      </c>
      <c r="C205" s="328" t="s">
        <v>1043</v>
      </c>
      <c r="D205" s="329" t="s">
        <v>1657</v>
      </c>
      <c r="E205" s="330" t="s">
        <v>1890</v>
      </c>
      <c r="F205" s="330" t="s">
        <v>2755</v>
      </c>
      <c r="G205" s="277">
        <v>1000</v>
      </c>
      <c r="H205" s="331">
        <v>2000</v>
      </c>
      <c r="I205" s="328">
        <v>-2000</v>
      </c>
      <c r="J205" s="331">
        <v>0</v>
      </c>
      <c r="K205" s="331">
        <v>0</v>
      </c>
      <c r="L205" s="331" t="s">
        <v>860</v>
      </c>
      <c r="M205" s="331">
        <v>0.1</v>
      </c>
      <c r="N205" s="331" t="s">
        <v>1719</v>
      </c>
      <c r="O205" s="331">
        <v>0</v>
      </c>
      <c r="P205" s="328">
        <v>0</v>
      </c>
      <c r="Q205" s="331">
        <v>1</v>
      </c>
      <c r="R205" s="331">
        <v>4</v>
      </c>
      <c r="S205" s="331">
        <v>1</v>
      </c>
      <c r="T205" s="331"/>
      <c r="V205" s="327" t="str">
        <f t="shared" si="32"/>
        <v>1</v>
      </c>
      <c r="W205" s="327" t="str">
        <f t="shared" si="33"/>
        <v>1</v>
      </c>
      <c r="X205" s="327" t="e">
        <f t="shared" si="34"/>
        <v>#N/A</v>
      </c>
      <c r="Y205" s="327">
        <f t="shared" si="35"/>
        <v>0</v>
      </c>
      <c r="Z205" s="327">
        <f t="shared" si="35"/>
        <v>0</v>
      </c>
      <c r="AA205" s="327">
        <f t="shared" si="36"/>
        <v>1</v>
      </c>
      <c r="AB205" s="327" t="str">
        <f t="shared" si="39"/>
        <v>100</v>
      </c>
      <c r="AC205" s="327">
        <f t="shared" si="37"/>
        <v>1</v>
      </c>
      <c r="AD205" s="327">
        <v>0</v>
      </c>
      <c r="AE205" s="327" t="e">
        <f t="shared" si="38"/>
        <v>#N/A</v>
      </c>
    </row>
    <row r="206" spans="1:31" s="327" customFormat="1" x14ac:dyDescent="0.15">
      <c r="A206" s="318" t="str">
        <f t="shared" si="31"/>
        <v>0</v>
      </c>
      <c r="B206" s="319">
        <v>204</v>
      </c>
      <c r="C206" s="328" t="s">
        <v>1044</v>
      </c>
      <c r="D206" s="329" t="s">
        <v>1657</v>
      </c>
      <c r="E206" s="330" t="s">
        <v>1891</v>
      </c>
      <c r="F206" s="330" t="s">
        <v>2755</v>
      </c>
      <c r="G206" s="277">
        <v>0</v>
      </c>
      <c r="H206" s="331">
        <v>2000</v>
      </c>
      <c r="I206" s="328">
        <v>-2000</v>
      </c>
      <c r="J206" s="331">
        <v>0</v>
      </c>
      <c r="K206" s="331">
        <v>0</v>
      </c>
      <c r="L206" s="331" t="s">
        <v>860</v>
      </c>
      <c r="M206" s="331">
        <v>0.1</v>
      </c>
      <c r="N206" s="331" t="s">
        <v>1719</v>
      </c>
      <c r="O206" s="331">
        <v>0</v>
      </c>
      <c r="P206" s="328">
        <v>0</v>
      </c>
      <c r="Q206" s="331">
        <v>1</v>
      </c>
      <c r="R206" s="331">
        <v>4</v>
      </c>
      <c r="S206" s="331">
        <v>1</v>
      </c>
      <c r="T206" s="331"/>
      <c r="V206" s="327" t="str">
        <f t="shared" si="32"/>
        <v>1</v>
      </c>
      <c r="W206" s="327" t="str">
        <f t="shared" si="33"/>
        <v>1</v>
      </c>
      <c r="X206" s="327" t="e">
        <f t="shared" si="34"/>
        <v>#N/A</v>
      </c>
      <c r="Y206" s="327">
        <f t="shared" si="35"/>
        <v>0</v>
      </c>
      <c r="Z206" s="327">
        <f t="shared" si="35"/>
        <v>0</v>
      </c>
      <c r="AA206" s="327">
        <f t="shared" si="36"/>
        <v>1</v>
      </c>
      <c r="AB206" s="327" t="str">
        <f t="shared" si="39"/>
        <v>100</v>
      </c>
      <c r="AC206" s="327">
        <f t="shared" si="37"/>
        <v>1</v>
      </c>
      <c r="AD206" s="327">
        <v>0</v>
      </c>
      <c r="AE206" s="327" t="e">
        <f t="shared" si="38"/>
        <v>#N/A</v>
      </c>
    </row>
    <row r="207" spans="1:31" s="327" customFormat="1" x14ac:dyDescent="0.15">
      <c r="A207" s="318" t="str">
        <f t="shared" si="31"/>
        <v>0</v>
      </c>
      <c r="B207" s="319">
        <v>205</v>
      </c>
      <c r="C207" s="328" t="s">
        <v>1045</v>
      </c>
      <c r="D207" s="329" t="s">
        <v>1657</v>
      </c>
      <c r="E207" s="330" t="s">
        <v>1892</v>
      </c>
      <c r="F207" s="330" t="s">
        <v>2755</v>
      </c>
      <c r="G207" s="277">
        <v>1000</v>
      </c>
      <c r="H207" s="331">
        <v>2000</v>
      </c>
      <c r="I207" s="328">
        <v>-2000</v>
      </c>
      <c r="J207" s="331">
        <v>0</v>
      </c>
      <c r="K207" s="331">
        <v>0</v>
      </c>
      <c r="L207" s="331" t="s">
        <v>860</v>
      </c>
      <c r="M207" s="331">
        <v>0.1</v>
      </c>
      <c r="N207" s="331" t="s">
        <v>1719</v>
      </c>
      <c r="O207" s="331">
        <v>0</v>
      </c>
      <c r="P207" s="328">
        <v>0</v>
      </c>
      <c r="Q207" s="331">
        <v>1</v>
      </c>
      <c r="R207" s="331">
        <v>4</v>
      </c>
      <c r="S207" s="331">
        <v>1</v>
      </c>
      <c r="T207" s="331"/>
      <c r="V207" s="327" t="str">
        <f t="shared" si="32"/>
        <v>1</v>
      </c>
      <c r="W207" s="327" t="str">
        <f t="shared" si="33"/>
        <v>1</v>
      </c>
      <c r="X207" s="327" t="e">
        <f t="shared" si="34"/>
        <v>#N/A</v>
      </c>
      <c r="Y207" s="327">
        <f t="shared" si="35"/>
        <v>0</v>
      </c>
      <c r="Z207" s="327">
        <f t="shared" si="35"/>
        <v>0</v>
      </c>
      <c r="AA207" s="327">
        <f t="shared" si="36"/>
        <v>1</v>
      </c>
      <c r="AB207" s="327" t="str">
        <f t="shared" si="39"/>
        <v>100</v>
      </c>
      <c r="AC207" s="327">
        <f t="shared" si="37"/>
        <v>1</v>
      </c>
      <c r="AD207" s="327">
        <v>0</v>
      </c>
      <c r="AE207" s="327" t="e">
        <f t="shared" si="38"/>
        <v>#N/A</v>
      </c>
    </row>
    <row r="208" spans="1:31" s="327" customFormat="1" x14ac:dyDescent="0.15">
      <c r="A208" s="318" t="str">
        <f t="shared" si="31"/>
        <v>0</v>
      </c>
      <c r="B208" s="319">
        <v>206</v>
      </c>
      <c r="C208" s="328" t="s">
        <v>1046</v>
      </c>
      <c r="D208" s="329" t="s">
        <v>1657</v>
      </c>
      <c r="E208" s="330" t="s">
        <v>1893</v>
      </c>
      <c r="F208" s="330" t="s">
        <v>2755</v>
      </c>
      <c r="G208" s="277">
        <v>0</v>
      </c>
      <c r="H208" s="331">
        <v>2000</v>
      </c>
      <c r="I208" s="328">
        <v>-2000</v>
      </c>
      <c r="J208" s="331">
        <v>0</v>
      </c>
      <c r="K208" s="331">
        <v>0</v>
      </c>
      <c r="L208" s="331" t="s">
        <v>860</v>
      </c>
      <c r="M208" s="331">
        <v>0.1</v>
      </c>
      <c r="N208" s="331" t="s">
        <v>1719</v>
      </c>
      <c r="O208" s="331">
        <v>0</v>
      </c>
      <c r="P208" s="328">
        <v>0</v>
      </c>
      <c r="Q208" s="331">
        <v>1</v>
      </c>
      <c r="R208" s="331">
        <v>4</v>
      </c>
      <c r="S208" s="331">
        <v>1</v>
      </c>
      <c r="T208" s="331"/>
      <c r="V208" s="327" t="str">
        <f t="shared" si="32"/>
        <v>1</v>
      </c>
      <c r="W208" s="327" t="str">
        <f t="shared" si="33"/>
        <v>1</v>
      </c>
      <c r="X208" s="327" t="e">
        <f t="shared" si="34"/>
        <v>#N/A</v>
      </c>
      <c r="Y208" s="327">
        <f t="shared" si="35"/>
        <v>0</v>
      </c>
      <c r="Z208" s="327">
        <f t="shared" si="35"/>
        <v>0</v>
      </c>
      <c r="AA208" s="327">
        <f t="shared" si="36"/>
        <v>1</v>
      </c>
      <c r="AB208" s="327" t="str">
        <f t="shared" si="39"/>
        <v>100</v>
      </c>
      <c r="AC208" s="327">
        <f t="shared" si="37"/>
        <v>1</v>
      </c>
      <c r="AD208" s="327">
        <v>0</v>
      </c>
      <c r="AE208" s="327" t="e">
        <f t="shared" si="38"/>
        <v>#N/A</v>
      </c>
    </row>
    <row r="209" spans="1:31" s="327" customFormat="1" x14ac:dyDescent="0.15">
      <c r="A209" s="318" t="str">
        <f t="shared" si="31"/>
        <v>0</v>
      </c>
      <c r="B209" s="319">
        <v>207</v>
      </c>
      <c r="C209" s="328" t="s">
        <v>1047</v>
      </c>
      <c r="D209" s="329" t="s">
        <v>1657</v>
      </c>
      <c r="E209" s="330" t="s">
        <v>1894</v>
      </c>
      <c r="F209" s="358" t="s">
        <v>2756</v>
      </c>
      <c r="G209" s="277">
        <v>1000</v>
      </c>
      <c r="H209" s="331">
        <v>10000</v>
      </c>
      <c r="I209" s="328">
        <v>0</v>
      </c>
      <c r="J209" s="331">
        <v>0</v>
      </c>
      <c r="K209" s="331">
        <v>0</v>
      </c>
      <c r="L209" s="331" t="s">
        <v>860</v>
      </c>
      <c r="M209" s="331">
        <v>1E-3</v>
      </c>
      <c r="N209" s="331" t="s">
        <v>1879</v>
      </c>
      <c r="O209" s="331">
        <v>0</v>
      </c>
      <c r="P209" s="328">
        <v>0</v>
      </c>
      <c r="Q209" s="331">
        <v>1</v>
      </c>
      <c r="R209" s="331">
        <v>5</v>
      </c>
      <c r="S209" s="331">
        <v>0</v>
      </c>
      <c r="T209" s="331"/>
      <c r="V209" s="327" t="str">
        <f t="shared" si="32"/>
        <v>1</v>
      </c>
      <c r="W209" s="327" t="str">
        <f t="shared" si="33"/>
        <v>11</v>
      </c>
      <c r="X209" s="327" t="str">
        <f>DEC2BIN(14)</f>
        <v>1110</v>
      </c>
      <c r="Y209" s="327">
        <f t="shared" si="35"/>
        <v>0</v>
      </c>
      <c r="Z209" s="327">
        <f t="shared" si="35"/>
        <v>0</v>
      </c>
      <c r="AA209" s="327">
        <f t="shared" si="36"/>
        <v>1</v>
      </c>
      <c r="AB209" s="327" t="str">
        <f t="shared" si="39"/>
        <v>101</v>
      </c>
      <c r="AC209" s="327">
        <f t="shared" si="37"/>
        <v>0</v>
      </c>
      <c r="AD209" s="327">
        <v>0</v>
      </c>
      <c r="AE209" s="327" t="str">
        <f t="shared" si="38"/>
        <v>3718D</v>
      </c>
    </row>
    <row r="210" spans="1:31" s="327" customFormat="1" x14ac:dyDescent="0.15">
      <c r="A210" s="318" t="str">
        <f t="shared" si="31"/>
        <v>0</v>
      </c>
      <c r="B210" s="319">
        <v>208</v>
      </c>
      <c r="C210" s="328" t="s">
        <v>1048</v>
      </c>
      <c r="D210" s="329" t="s">
        <v>1657</v>
      </c>
      <c r="E210" s="330" t="s">
        <v>1895</v>
      </c>
      <c r="F210" s="358" t="s">
        <v>2756</v>
      </c>
      <c r="G210" s="277">
        <v>1000</v>
      </c>
      <c r="H210" s="331">
        <v>10000</v>
      </c>
      <c r="I210" s="328">
        <v>0</v>
      </c>
      <c r="J210" s="331">
        <v>0</v>
      </c>
      <c r="K210" s="331">
        <v>0</v>
      </c>
      <c r="L210" s="331" t="s">
        <v>860</v>
      </c>
      <c r="M210" s="331">
        <v>1E-3</v>
      </c>
      <c r="N210" s="331" t="s">
        <v>1879</v>
      </c>
      <c r="O210" s="331">
        <v>0</v>
      </c>
      <c r="P210" s="328">
        <v>0</v>
      </c>
      <c r="Q210" s="331">
        <v>1</v>
      </c>
      <c r="R210" s="331">
        <v>5</v>
      </c>
      <c r="S210" s="331">
        <v>0</v>
      </c>
      <c r="T210" s="331"/>
      <c r="V210" s="327" t="str">
        <f t="shared" si="32"/>
        <v>1</v>
      </c>
      <c r="W210" s="327" t="str">
        <f t="shared" si="33"/>
        <v>11</v>
      </c>
      <c r="X210" s="327" t="str">
        <f>DEC2BIN(14)</f>
        <v>1110</v>
      </c>
      <c r="Y210" s="327">
        <f t="shared" si="35"/>
        <v>0</v>
      </c>
      <c r="Z210" s="327">
        <f t="shared" si="35"/>
        <v>0</v>
      </c>
      <c r="AA210" s="327">
        <f t="shared" si="36"/>
        <v>1</v>
      </c>
      <c r="AB210" s="327" t="str">
        <f t="shared" si="39"/>
        <v>101</v>
      </c>
      <c r="AC210" s="327">
        <f t="shared" si="37"/>
        <v>0</v>
      </c>
      <c r="AD210" s="327">
        <v>0</v>
      </c>
      <c r="AE210" s="327" t="str">
        <f t="shared" si="38"/>
        <v>3718D</v>
      </c>
    </row>
    <row r="211" spans="1:31" s="327" customFormat="1" x14ac:dyDescent="0.15">
      <c r="A211" s="318" t="str">
        <f t="shared" si="31"/>
        <v>0</v>
      </c>
      <c r="B211" s="319">
        <v>209</v>
      </c>
      <c r="C211" s="328" t="s">
        <v>1049</v>
      </c>
      <c r="D211" s="329" t="s">
        <v>1657</v>
      </c>
      <c r="E211" s="330" t="s">
        <v>1896</v>
      </c>
      <c r="F211" s="358" t="s">
        <v>2756</v>
      </c>
      <c r="G211" s="277">
        <v>9000</v>
      </c>
      <c r="H211" s="331">
        <v>10000</v>
      </c>
      <c r="I211" s="328">
        <v>0</v>
      </c>
      <c r="J211" s="331">
        <v>0</v>
      </c>
      <c r="K211" s="331">
        <v>0</v>
      </c>
      <c r="L211" s="331" t="s">
        <v>860</v>
      </c>
      <c r="M211" s="331">
        <v>1E-3</v>
      </c>
      <c r="N211" s="331" t="s">
        <v>1879</v>
      </c>
      <c r="O211" s="331">
        <v>0</v>
      </c>
      <c r="P211" s="328">
        <v>0</v>
      </c>
      <c r="Q211" s="331">
        <v>1</v>
      </c>
      <c r="R211" s="331">
        <v>5</v>
      </c>
      <c r="S211" s="331">
        <v>0</v>
      </c>
      <c r="T211" s="331"/>
      <c r="V211" s="327" t="str">
        <f t="shared" si="32"/>
        <v>1</v>
      </c>
      <c r="W211" s="327" t="str">
        <f t="shared" si="33"/>
        <v>11</v>
      </c>
      <c r="X211" s="327" t="str">
        <f>DEC2BIN(14)</f>
        <v>1110</v>
      </c>
      <c r="Y211" s="327">
        <f t="shared" si="35"/>
        <v>0</v>
      </c>
      <c r="Z211" s="327">
        <f t="shared" si="35"/>
        <v>0</v>
      </c>
      <c r="AA211" s="327">
        <f t="shared" si="36"/>
        <v>1</v>
      </c>
      <c r="AB211" s="327" t="str">
        <f t="shared" si="39"/>
        <v>101</v>
      </c>
      <c r="AC211" s="327">
        <f t="shared" si="37"/>
        <v>0</v>
      </c>
      <c r="AD211" s="327">
        <v>0</v>
      </c>
      <c r="AE211" s="327" t="str">
        <f t="shared" si="38"/>
        <v>3718D</v>
      </c>
    </row>
    <row r="212" spans="1:31" s="327" customFormat="1" x14ac:dyDescent="0.15">
      <c r="A212" s="318" t="str">
        <f t="shared" si="31"/>
        <v>0</v>
      </c>
      <c r="B212" s="319">
        <v>210</v>
      </c>
      <c r="C212" s="328" t="s">
        <v>1050</v>
      </c>
      <c r="D212" s="329" t="s">
        <v>1657</v>
      </c>
      <c r="E212" s="330" t="s">
        <v>1897</v>
      </c>
      <c r="F212" s="358" t="s">
        <v>2756</v>
      </c>
      <c r="G212" s="277">
        <v>9000</v>
      </c>
      <c r="H212" s="331">
        <v>10000</v>
      </c>
      <c r="I212" s="328">
        <v>0</v>
      </c>
      <c r="J212" s="331">
        <v>0</v>
      </c>
      <c r="K212" s="331">
        <v>0</v>
      </c>
      <c r="L212" s="331" t="s">
        <v>860</v>
      </c>
      <c r="M212" s="331">
        <v>1E-3</v>
      </c>
      <c r="N212" s="331" t="s">
        <v>1879</v>
      </c>
      <c r="O212" s="331">
        <v>0</v>
      </c>
      <c r="P212" s="328">
        <v>0</v>
      </c>
      <c r="Q212" s="331">
        <v>1</v>
      </c>
      <c r="R212" s="331">
        <v>5</v>
      </c>
      <c r="S212" s="331">
        <v>0</v>
      </c>
      <c r="T212" s="331"/>
      <c r="V212" s="327" t="str">
        <f t="shared" si="32"/>
        <v>1</v>
      </c>
      <c r="W212" s="327" t="str">
        <f t="shared" si="33"/>
        <v>11</v>
      </c>
      <c r="X212" s="327" t="str">
        <f>DEC2BIN(14)</f>
        <v>1110</v>
      </c>
      <c r="Y212" s="327">
        <f t="shared" si="35"/>
        <v>0</v>
      </c>
      <c r="Z212" s="327">
        <f t="shared" si="35"/>
        <v>0</v>
      </c>
      <c r="AA212" s="327">
        <f t="shared" si="36"/>
        <v>1</v>
      </c>
      <c r="AB212" s="327" t="str">
        <f t="shared" si="39"/>
        <v>101</v>
      </c>
      <c r="AC212" s="327">
        <f t="shared" si="37"/>
        <v>0</v>
      </c>
      <c r="AD212" s="327">
        <v>0</v>
      </c>
      <c r="AE212" s="327" t="str">
        <f t="shared" si="38"/>
        <v>3718D</v>
      </c>
    </row>
    <row r="213" spans="1:31" s="327" customFormat="1" x14ac:dyDescent="0.15">
      <c r="A213" s="318" t="str">
        <f t="shared" si="31"/>
        <v>0</v>
      </c>
      <c r="B213" s="319">
        <v>211</v>
      </c>
      <c r="C213" s="328" t="s">
        <v>1198</v>
      </c>
      <c r="D213" s="329" t="s">
        <v>1657</v>
      </c>
      <c r="E213" s="330" t="s">
        <v>905</v>
      </c>
      <c r="F213" s="358" t="s">
        <v>2756</v>
      </c>
      <c r="G213" s="277">
        <v>1000</v>
      </c>
      <c r="H213" s="331">
        <v>10000</v>
      </c>
      <c r="I213" s="328">
        <v>0</v>
      </c>
      <c r="J213" s="331">
        <v>0</v>
      </c>
      <c r="K213" s="331">
        <v>0</v>
      </c>
      <c r="L213" s="331" t="s">
        <v>860</v>
      </c>
      <c r="M213" s="331">
        <v>1E-3</v>
      </c>
      <c r="N213" s="331" t="s">
        <v>1879</v>
      </c>
      <c r="O213" s="331">
        <v>0</v>
      </c>
      <c r="P213" s="328">
        <v>0</v>
      </c>
      <c r="Q213" s="331">
        <v>1</v>
      </c>
      <c r="R213" s="331">
        <v>5</v>
      </c>
      <c r="S213" s="331">
        <v>0</v>
      </c>
      <c r="T213" s="331"/>
      <c r="V213" s="327" t="str">
        <f t="shared" si="32"/>
        <v>1</v>
      </c>
      <c r="W213" s="327" t="str">
        <f t="shared" si="33"/>
        <v>11</v>
      </c>
      <c r="X213" s="327" t="str">
        <f>DEC2BIN(14)</f>
        <v>1110</v>
      </c>
      <c r="Y213" s="327">
        <f t="shared" si="35"/>
        <v>0</v>
      </c>
      <c r="Z213" s="327">
        <f t="shared" si="35"/>
        <v>0</v>
      </c>
      <c r="AA213" s="327">
        <f t="shared" si="36"/>
        <v>1</v>
      </c>
      <c r="AB213" s="327" t="str">
        <f t="shared" si="39"/>
        <v>101</v>
      </c>
      <c r="AC213" s="327">
        <f t="shared" si="37"/>
        <v>0</v>
      </c>
      <c r="AD213" s="327">
        <v>0</v>
      </c>
      <c r="AE213" s="327" t="str">
        <f t="shared" si="38"/>
        <v>3718D</v>
      </c>
    </row>
    <row r="214" spans="1:31" s="327" customFormat="1" x14ac:dyDescent="0.15">
      <c r="A214" s="318" t="str">
        <f t="shared" si="31"/>
        <v>0</v>
      </c>
      <c r="B214" s="319">
        <v>212</v>
      </c>
      <c r="C214" s="328" t="s">
        <v>1199</v>
      </c>
      <c r="D214" s="329" t="s">
        <v>1657</v>
      </c>
      <c r="E214" s="330" t="s">
        <v>906</v>
      </c>
      <c r="F214" s="358" t="s">
        <v>2756</v>
      </c>
      <c r="G214" s="277">
        <v>1000</v>
      </c>
      <c r="H214" s="331">
        <v>10000</v>
      </c>
      <c r="I214" s="328">
        <v>0</v>
      </c>
      <c r="J214" s="331">
        <v>0</v>
      </c>
      <c r="K214" s="331">
        <v>0</v>
      </c>
      <c r="L214" s="331" t="s">
        <v>860</v>
      </c>
      <c r="M214" s="331">
        <v>1E-3</v>
      </c>
      <c r="N214" s="331" t="s">
        <v>1879</v>
      </c>
      <c r="O214" s="331">
        <v>0</v>
      </c>
      <c r="P214" s="328">
        <v>0</v>
      </c>
      <c r="Q214" s="331">
        <v>1</v>
      </c>
      <c r="R214" s="331">
        <v>5</v>
      </c>
      <c r="S214" s="331">
        <v>0</v>
      </c>
      <c r="T214" s="331"/>
      <c r="V214" s="327" t="str">
        <f t="shared" si="32"/>
        <v>1</v>
      </c>
      <c r="W214" s="327" t="str">
        <f t="shared" si="33"/>
        <v>11</v>
      </c>
      <c r="X214" s="327" t="str">
        <f t="shared" si="34"/>
        <v>0</v>
      </c>
      <c r="Y214" s="327">
        <f t="shared" si="35"/>
        <v>0</v>
      </c>
      <c r="Z214" s="327">
        <f t="shared" si="35"/>
        <v>0</v>
      </c>
      <c r="AA214" s="327">
        <f t="shared" si="36"/>
        <v>1</v>
      </c>
      <c r="AB214" s="327" t="str">
        <f t="shared" si="39"/>
        <v>101</v>
      </c>
      <c r="AC214" s="327">
        <f t="shared" si="37"/>
        <v>0</v>
      </c>
      <c r="AD214" s="327">
        <v>0</v>
      </c>
      <c r="AE214" s="327" t="str">
        <f t="shared" si="38"/>
        <v>32C2D</v>
      </c>
    </row>
    <row r="215" spans="1:31" s="327" customFormat="1" x14ac:dyDescent="0.15">
      <c r="A215" s="318" t="str">
        <f t="shared" si="31"/>
        <v>0</v>
      </c>
      <c r="B215" s="319">
        <v>213</v>
      </c>
      <c r="C215" s="328" t="s">
        <v>1200</v>
      </c>
      <c r="D215" s="329" t="s">
        <v>1657</v>
      </c>
      <c r="E215" s="330" t="s">
        <v>907</v>
      </c>
      <c r="F215" s="358" t="s">
        <v>2756</v>
      </c>
      <c r="G215" s="277">
        <v>9000</v>
      </c>
      <c r="H215" s="331">
        <v>10000</v>
      </c>
      <c r="I215" s="328">
        <v>0</v>
      </c>
      <c r="J215" s="331">
        <v>0</v>
      </c>
      <c r="K215" s="331">
        <v>0</v>
      </c>
      <c r="L215" s="331" t="s">
        <v>860</v>
      </c>
      <c r="M215" s="331">
        <v>1E-3</v>
      </c>
      <c r="N215" s="331" t="s">
        <v>1879</v>
      </c>
      <c r="O215" s="331">
        <v>0</v>
      </c>
      <c r="P215" s="328">
        <v>0</v>
      </c>
      <c r="Q215" s="331">
        <v>1</v>
      </c>
      <c r="R215" s="331">
        <v>5</v>
      </c>
      <c r="S215" s="331">
        <v>0</v>
      </c>
      <c r="T215" s="331"/>
      <c r="V215" s="327" t="str">
        <f t="shared" si="32"/>
        <v>1</v>
      </c>
      <c r="W215" s="327" t="str">
        <f t="shared" si="33"/>
        <v>11</v>
      </c>
      <c r="X215" s="327" t="str">
        <f t="shared" si="34"/>
        <v>0</v>
      </c>
      <c r="Y215" s="327">
        <f t="shared" si="35"/>
        <v>0</v>
      </c>
      <c r="Z215" s="327">
        <f t="shared" si="35"/>
        <v>0</v>
      </c>
      <c r="AA215" s="327">
        <f t="shared" si="36"/>
        <v>1</v>
      </c>
      <c r="AB215" s="327" t="str">
        <f t="shared" si="39"/>
        <v>101</v>
      </c>
      <c r="AC215" s="327">
        <f t="shared" si="37"/>
        <v>0</v>
      </c>
      <c r="AD215" s="327">
        <v>0</v>
      </c>
      <c r="AE215" s="327" t="str">
        <f t="shared" si="38"/>
        <v>32C2D</v>
      </c>
    </row>
    <row r="216" spans="1:31" s="327" customFormat="1" x14ac:dyDescent="0.15">
      <c r="A216" s="318" t="str">
        <f t="shared" si="31"/>
        <v>0</v>
      </c>
      <c r="B216" s="319">
        <v>214</v>
      </c>
      <c r="C216" s="328" t="s">
        <v>1201</v>
      </c>
      <c r="D216" s="329" t="s">
        <v>1657</v>
      </c>
      <c r="E216" s="330" t="s">
        <v>1898</v>
      </c>
      <c r="F216" s="358" t="s">
        <v>2756</v>
      </c>
      <c r="G216" s="277">
        <v>9000</v>
      </c>
      <c r="H216" s="331">
        <v>10000</v>
      </c>
      <c r="I216" s="328">
        <v>0</v>
      </c>
      <c r="J216" s="331">
        <v>0</v>
      </c>
      <c r="K216" s="331">
        <v>0</v>
      </c>
      <c r="L216" s="331" t="s">
        <v>860</v>
      </c>
      <c r="M216" s="331">
        <v>1E-3</v>
      </c>
      <c r="N216" s="331" t="s">
        <v>1879</v>
      </c>
      <c r="O216" s="331">
        <v>0</v>
      </c>
      <c r="P216" s="328">
        <v>0</v>
      </c>
      <c r="Q216" s="331">
        <v>1</v>
      </c>
      <c r="R216" s="331">
        <v>5</v>
      </c>
      <c r="S216" s="331">
        <v>0</v>
      </c>
      <c r="T216" s="331"/>
      <c r="V216" s="327" t="str">
        <f t="shared" si="32"/>
        <v>1</v>
      </c>
      <c r="W216" s="327" t="str">
        <f t="shared" si="33"/>
        <v>11</v>
      </c>
      <c r="X216" s="327" t="str">
        <f t="shared" si="34"/>
        <v>0</v>
      </c>
      <c r="Y216" s="327">
        <f t="shared" si="35"/>
        <v>0</v>
      </c>
      <c r="Z216" s="327">
        <f t="shared" si="35"/>
        <v>0</v>
      </c>
      <c r="AA216" s="327">
        <f t="shared" si="36"/>
        <v>1</v>
      </c>
      <c r="AB216" s="327" t="str">
        <f t="shared" si="39"/>
        <v>101</v>
      </c>
      <c r="AC216" s="327">
        <f t="shared" si="37"/>
        <v>0</v>
      </c>
      <c r="AD216" s="327">
        <v>0</v>
      </c>
      <c r="AE216" s="327" t="str">
        <f t="shared" si="38"/>
        <v>32C2D</v>
      </c>
    </row>
    <row r="217" spans="1:31" ht="35.25" x14ac:dyDescent="0.15">
      <c r="A217" s="42" t="str">
        <f t="shared" si="31"/>
        <v>0</v>
      </c>
      <c r="B217" s="43">
        <v>215</v>
      </c>
      <c r="C217" s="44" t="s">
        <v>554</v>
      </c>
      <c r="D217" s="25" t="s">
        <v>1899</v>
      </c>
      <c r="E217" s="45" t="s">
        <v>1900</v>
      </c>
      <c r="F217" s="46" t="s">
        <v>1901</v>
      </c>
      <c r="G217" s="94">
        <v>2</v>
      </c>
      <c r="H217" s="48">
        <v>2</v>
      </c>
      <c r="I217" s="44">
        <v>0</v>
      </c>
      <c r="J217" s="48">
        <v>0</v>
      </c>
      <c r="K217" s="48">
        <v>0</v>
      </c>
      <c r="L217" s="48" t="s">
        <v>860</v>
      </c>
      <c r="M217" s="48">
        <v>1</v>
      </c>
      <c r="N217" s="48" t="s">
        <v>1660</v>
      </c>
      <c r="O217" s="48">
        <v>0</v>
      </c>
      <c r="P217" s="44">
        <v>1</v>
      </c>
      <c r="Q217" s="48">
        <v>1</v>
      </c>
      <c r="R217" s="48">
        <v>1</v>
      </c>
      <c r="S217" s="48">
        <v>0</v>
      </c>
      <c r="T217" s="48"/>
      <c r="V217" s="49" t="str">
        <f t="shared" si="32"/>
        <v>1</v>
      </c>
      <c r="W217" s="49" t="str">
        <f t="shared" si="33"/>
        <v>0</v>
      </c>
      <c r="X217" s="49" t="str">
        <f t="shared" si="34"/>
        <v>0</v>
      </c>
      <c r="Y217" s="49">
        <f t="shared" si="35"/>
        <v>0</v>
      </c>
      <c r="Z217" s="49">
        <f t="shared" si="35"/>
        <v>1</v>
      </c>
      <c r="AA217" s="49">
        <f t="shared" si="36"/>
        <v>1</v>
      </c>
      <c r="AB217" s="49" t="str">
        <f t="shared" si="39"/>
        <v>1</v>
      </c>
      <c r="AC217" s="49">
        <f t="shared" si="37"/>
        <v>0</v>
      </c>
      <c r="AD217" s="49">
        <v>0</v>
      </c>
      <c r="AE217" s="49" t="str">
        <f t="shared" si="38"/>
        <v>E01</v>
      </c>
    </row>
    <row r="218" spans="1:31" x14ac:dyDescent="0.15">
      <c r="A218" s="42" t="str">
        <f t="shared" si="31"/>
        <v>0</v>
      </c>
      <c r="B218" s="43">
        <v>216</v>
      </c>
      <c r="C218" s="296" t="s">
        <v>555</v>
      </c>
      <c r="D218" s="295" t="s">
        <v>2645</v>
      </c>
      <c r="E218" s="297" t="s">
        <v>1924</v>
      </c>
      <c r="F218" s="298" t="s">
        <v>1051</v>
      </c>
      <c r="G218" s="300">
        <v>900</v>
      </c>
      <c r="H218" s="299">
        <v>65535</v>
      </c>
      <c r="I218" s="296">
        <v>4</v>
      </c>
      <c r="J218" s="299">
        <v>0</v>
      </c>
      <c r="K218" s="299">
        <v>0</v>
      </c>
      <c r="L218" s="299" t="s">
        <v>860</v>
      </c>
      <c r="M218" s="299">
        <v>0.1</v>
      </c>
      <c r="N218" s="299" t="s">
        <v>1925</v>
      </c>
      <c r="O218" s="299">
        <v>0</v>
      </c>
      <c r="P218" s="296">
        <v>1</v>
      </c>
      <c r="Q218" s="299">
        <v>1</v>
      </c>
      <c r="R218" s="299">
        <v>5</v>
      </c>
      <c r="S218" s="299">
        <v>0</v>
      </c>
      <c r="T218" s="48"/>
      <c r="V218" s="49" t="str">
        <f t="shared" si="32"/>
        <v>1</v>
      </c>
      <c r="W218" s="49" t="str">
        <f t="shared" si="33"/>
        <v>1</v>
      </c>
      <c r="X218" s="49" t="str">
        <f>DEC2BIN(14)</f>
        <v>1110</v>
      </c>
      <c r="Y218" s="49">
        <f t="shared" si="35"/>
        <v>0</v>
      </c>
      <c r="Z218" s="49">
        <f t="shared" si="35"/>
        <v>1</v>
      </c>
      <c r="AA218" s="49">
        <f t="shared" si="36"/>
        <v>1</v>
      </c>
      <c r="AB218" s="49" t="str">
        <f t="shared" si="39"/>
        <v>101</v>
      </c>
      <c r="AC218" s="49">
        <f t="shared" si="37"/>
        <v>0</v>
      </c>
      <c r="AD218" s="49">
        <v>0</v>
      </c>
      <c r="AE218" s="49" t="str">
        <f t="shared" si="38"/>
        <v>37365</v>
      </c>
    </row>
    <row r="219" spans="1:31" x14ac:dyDescent="0.15">
      <c r="A219" s="42" t="str">
        <f t="shared" si="31"/>
        <v>0</v>
      </c>
      <c r="B219" s="43">
        <v>217</v>
      </c>
      <c r="C219" s="296" t="s">
        <v>556</v>
      </c>
      <c r="D219" s="295" t="s">
        <v>2646</v>
      </c>
      <c r="E219" s="297" t="s">
        <v>1926</v>
      </c>
      <c r="F219" s="298" t="s">
        <v>2647</v>
      </c>
      <c r="G219" s="300">
        <v>380</v>
      </c>
      <c r="H219" s="299">
        <v>480</v>
      </c>
      <c r="I219" s="296">
        <v>0</v>
      </c>
      <c r="J219" s="299">
        <v>0</v>
      </c>
      <c r="K219" s="299">
        <v>0</v>
      </c>
      <c r="L219" s="299" t="s">
        <v>860</v>
      </c>
      <c r="M219" s="299">
        <v>1</v>
      </c>
      <c r="N219" s="299" t="s">
        <v>1923</v>
      </c>
      <c r="O219" s="299">
        <v>0</v>
      </c>
      <c r="P219" s="296">
        <v>1</v>
      </c>
      <c r="Q219" s="299">
        <v>1</v>
      </c>
      <c r="R219" s="299">
        <v>3</v>
      </c>
      <c r="S219" s="299">
        <v>0</v>
      </c>
      <c r="T219" s="48"/>
      <c r="V219" s="49" t="str">
        <f t="shared" si="32"/>
        <v>1</v>
      </c>
      <c r="W219" s="49" t="str">
        <f t="shared" si="33"/>
        <v>0</v>
      </c>
      <c r="X219" s="49" t="str">
        <f t="shared" si="34"/>
        <v>0</v>
      </c>
      <c r="Y219" s="49">
        <f t="shared" si="35"/>
        <v>0</v>
      </c>
      <c r="Z219" s="49">
        <f t="shared" si="35"/>
        <v>1</v>
      </c>
      <c r="AA219" s="49">
        <f t="shared" si="36"/>
        <v>1</v>
      </c>
      <c r="AB219" s="49" t="str">
        <f t="shared" si="39"/>
        <v>11</v>
      </c>
      <c r="AC219" s="49">
        <f t="shared" si="37"/>
        <v>0</v>
      </c>
      <c r="AD219" s="49">
        <v>0</v>
      </c>
      <c r="AE219" s="49" t="str">
        <f t="shared" si="38"/>
        <v>5E01</v>
      </c>
    </row>
    <row r="220" spans="1:31" x14ac:dyDescent="0.15">
      <c r="A220" s="42" t="str">
        <f t="shared" si="31"/>
        <v>0</v>
      </c>
      <c r="B220" s="43">
        <v>218</v>
      </c>
      <c r="C220" s="296" t="s">
        <v>557</v>
      </c>
      <c r="D220" s="295" t="s">
        <v>2648</v>
      </c>
      <c r="E220" s="297" t="s">
        <v>2649</v>
      </c>
      <c r="F220" s="298" t="s">
        <v>1052</v>
      </c>
      <c r="G220" s="300">
        <v>2150</v>
      </c>
      <c r="H220" s="299">
        <v>65535</v>
      </c>
      <c r="I220" s="296">
        <v>0</v>
      </c>
      <c r="J220" s="299">
        <v>0</v>
      </c>
      <c r="K220" s="299">
        <v>0</v>
      </c>
      <c r="L220" s="299" t="s">
        <v>860</v>
      </c>
      <c r="M220" s="299">
        <v>0.1</v>
      </c>
      <c r="N220" s="299" t="s">
        <v>1937</v>
      </c>
      <c r="O220" s="299">
        <v>0</v>
      </c>
      <c r="P220" s="296">
        <v>1</v>
      </c>
      <c r="Q220" s="299">
        <v>1</v>
      </c>
      <c r="R220" s="299">
        <v>5</v>
      </c>
      <c r="S220" s="299">
        <v>0</v>
      </c>
      <c r="T220" s="48"/>
      <c r="V220" s="49" t="str">
        <f t="shared" si="32"/>
        <v>1</v>
      </c>
      <c r="W220" s="49" t="str">
        <f t="shared" si="33"/>
        <v>1</v>
      </c>
      <c r="X220" s="49" t="str">
        <f t="shared" si="34"/>
        <v>0</v>
      </c>
      <c r="Y220" s="49">
        <f t="shared" si="35"/>
        <v>0</v>
      </c>
      <c r="Z220" s="49">
        <f t="shared" si="35"/>
        <v>1</v>
      </c>
      <c r="AA220" s="49">
        <f t="shared" si="36"/>
        <v>1</v>
      </c>
      <c r="AB220" s="49" t="str">
        <f t="shared" si="39"/>
        <v>101</v>
      </c>
      <c r="AC220" s="49">
        <f t="shared" si="37"/>
        <v>0</v>
      </c>
      <c r="AD220" s="49">
        <v>0</v>
      </c>
      <c r="AE220" s="49" t="str">
        <f t="shared" si="38"/>
        <v>32E05</v>
      </c>
    </row>
    <row r="221" spans="1:31" x14ac:dyDescent="0.15">
      <c r="A221" s="42" t="str">
        <f t="shared" si="31"/>
        <v>0</v>
      </c>
      <c r="B221" s="43">
        <v>219</v>
      </c>
      <c r="C221" s="296" t="s">
        <v>558</v>
      </c>
      <c r="D221" s="295" t="s">
        <v>2650</v>
      </c>
      <c r="E221" s="297" t="s">
        <v>2651</v>
      </c>
      <c r="F221" s="298" t="s">
        <v>1022</v>
      </c>
      <c r="G221" s="300">
        <v>5000</v>
      </c>
      <c r="H221" s="299">
        <v>60000</v>
      </c>
      <c r="I221" s="296">
        <v>0</v>
      </c>
      <c r="J221" s="301" t="s">
        <v>435</v>
      </c>
      <c r="K221" s="299">
        <v>0</v>
      </c>
      <c r="L221" s="299" t="s">
        <v>860</v>
      </c>
      <c r="M221" s="299">
        <v>0.01</v>
      </c>
      <c r="N221" s="299" t="s">
        <v>1905</v>
      </c>
      <c r="O221" s="299">
        <v>0</v>
      </c>
      <c r="P221" s="296">
        <v>1</v>
      </c>
      <c r="Q221" s="299">
        <v>1</v>
      </c>
      <c r="R221" s="299">
        <v>5</v>
      </c>
      <c r="S221" s="299">
        <v>0</v>
      </c>
      <c r="T221" s="48"/>
      <c r="V221" s="49" t="str">
        <f t="shared" si="32"/>
        <v>1</v>
      </c>
      <c r="W221" s="49" t="str">
        <f t="shared" si="33"/>
        <v>10</v>
      </c>
      <c r="X221" s="49" t="str">
        <f t="shared" si="34"/>
        <v>0</v>
      </c>
      <c r="Y221" s="49">
        <f t="shared" si="35"/>
        <v>0</v>
      </c>
      <c r="Z221" s="49">
        <f t="shared" si="35"/>
        <v>1</v>
      </c>
      <c r="AA221" s="49">
        <f t="shared" si="36"/>
        <v>1</v>
      </c>
      <c r="AB221" s="49" t="str">
        <f t="shared" si="39"/>
        <v>101</v>
      </c>
      <c r="AC221" s="49">
        <f t="shared" si="37"/>
        <v>0</v>
      </c>
      <c r="AD221" s="49">
        <v>0</v>
      </c>
      <c r="AE221" s="49" t="str">
        <f t="shared" si="38"/>
        <v>32E29</v>
      </c>
    </row>
    <row r="222" spans="1:31" x14ac:dyDescent="0.15">
      <c r="A222" s="42" t="str">
        <f t="shared" si="31"/>
        <v>0</v>
      </c>
      <c r="B222" s="43">
        <v>220</v>
      </c>
      <c r="C222" s="296" t="s">
        <v>559</v>
      </c>
      <c r="D222" s="295" t="s">
        <v>2652</v>
      </c>
      <c r="E222" s="297" t="s">
        <v>2653</v>
      </c>
      <c r="F222" s="298" t="s">
        <v>1053</v>
      </c>
      <c r="G222" s="300">
        <v>6</v>
      </c>
      <c r="H222" s="299">
        <v>80</v>
      </c>
      <c r="I222" s="296">
        <v>1</v>
      </c>
      <c r="J222" s="299">
        <v>0</v>
      </c>
      <c r="K222" s="299">
        <v>0</v>
      </c>
      <c r="L222" s="299" t="s">
        <v>860</v>
      </c>
      <c r="M222" s="299">
        <v>1</v>
      </c>
      <c r="N222" s="299" t="s">
        <v>1910</v>
      </c>
      <c r="O222" s="299">
        <v>0</v>
      </c>
      <c r="P222" s="296">
        <v>1</v>
      </c>
      <c r="Q222" s="299">
        <v>1</v>
      </c>
      <c r="R222" s="299">
        <v>2</v>
      </c>
      <c r="S222" s="299">
        <v>0</v>
      </c>
      <c r="T222" s="48"/>
      <c r="V222" s="49" t="str">
        <f t="shared" si="32"/>
        <v>1</v>
      </c>
      <c r="W222" s="49" t="str">
        <f t="shared" si="33"/>
        <v>0</v>
      </c>
      <c r="X222" s="49" t="str">
        <f t="shared" si="34"/>
        <v>0</v>
      </c>
      <c r="Y222" s="49">
        <f t="shared" si="35"/>
        <v>0</v>
      </c>
      <c r="Z222" s="49">
        <f t="shared" si="35"/>
        <v>1</v>
      </c>
      <c r="AA222" s="49">
        <f t="shared" si="36"/>
        <v>1</v>
      </c>
      <c r="AB222" s="49" t="str">
        <f t="shared" si="39"/>
        <v>10</v>
      </c>
      <c r="AC222" s="49">
        <f t="shared" si="37"/>
        <v>0</v>
      </c>
      <c r="AD222" s="49">
        <v>0</v>
      </c>
      <c r="AE222" s="49" t="str">
        <f t="shared" si="38"/>
        <v>5601</v>
      </c>
    </row>
    <row r="223" spans="1:31" x14ac:dyDescent="0.15">
      <c r="A223" s="42" t="str">
        <f t="shared" si="31"/>
        <v>0</v>
      </c>
      <c r="B223" s="43">
        <v>221</v>
      </c>
      <c r="C223" s="296" t="s">
        <v>560</v>
      </c>
      <c r="D223" s="295" t="s">
        <v>2654</v>
      </c>
      <c r="E223" s="297" t="s">
        <v>2655</v>
      </c>
      <c r="F223" s="298" t="s">
        <v>1054</v>
      </c>
      <c r="G223" s="300">
        <v>1000</v>
      </c>
      <c r="H223" s="299">
        <v>65535</v>
      </c>
      <c r="I223" s="296">
        <v>0</v>
      </c>
      <c r="J223" s="299">
        <v>0</v>
      </c>
      <c r="K223" s="299">
        <v>0</v>
      </c>
      <c r="L223" s="299" t="s">
        <v>860</v>
      </c>
      <c r="M223" s="299">
        <v>1</v>
      </c>
      <c r="N223" s="299" t="s">
        <v>2656</v>
      </c>
      <c r="O223" s="299">
        <v>0</v>
      </c>
      <c r="P223" s="296">
        <v>1</v>
      </c>
      <c r="Q223" s="299">
        <v>1</v>
      </c>
      <c r="R223" s="299">
        <v>5</v>
      </c>
      <c r="S223" s="299">
        <v>0</v>
      </c>
      <c r="T223" s="48"/>
      <c r="V223" s="49" t="str">
        <f t="shared" si="32"/>
        <v>1</v>
      </c>
      <c r="W223" s="49" t="str">
        <f t="shared" si="33"/>
        <v>0</v>
      </c>
      <c r="X223" s="49" t="str">
        <f t="shared" si="34"/>
        <v>0</v>
      </c>
      <c r="Y223" s="49">
        <f t="shared" si="35"/>
        <v>0</v>
      </c>
      <c r="Z223" s="49">
        <f t="shared" si="35"/>
        <v>1</v>
      </c>
      <c r="AA223" s="49">
        <f t="shared" si="36"/>
        <v>1</v>
      </c>
      <c r="AB223" s="49" t="str">
        <f t="shared" si="39"/>
        <v>101</v>
      </c>
      <c r="AC223" s="49">
        <f t="shared" si="37"/>
        <v>0</v>
      </c>
      <c r="AD223" s="49">
        <v>0</v>
      </c>
      <c r="AE223" s="49" t="str">
        <f t="shared" si="38"/>
        <v>32E01</v>
      </c>
    </row>
    <row r="224" spans="1:31" ht="14.45" customHeight="1" x14ac:dyDescent="0.15">
      <c r="A224" s="42" t="str">
        <f t="shared" si="31"/>
        <v>0</v>
      </c>
      <c r="B224" s="43">
        <v>222</v>
      </c>
      <c r="C224" s="44" t="s">
        <v>561</v>
      </c>
      <c r="D224" s="25" t="s">
        <v>73</v>
      </c>
      <c r="E224" s="45" t="s">
        <v>74</v>
      </c>
      <c r="F224" s="46" t="s">
        <v>1055</v>
      </c>
      <c r="G224" s="47">
        <v>650</v>
      </c>
      <c r="H224" s="48">
        <v>65535</v>
      </c>
      <c r="I224" s="44">
        <v>1</v>
      </c>
      <c r="J224" s="48">
        <v>0</v>
      </c>
      <c r="K224" s="48">
        <v>0</v>
      </c>
      <c r="L224" s="48" t="s">
        <v>860</v>
      </c>
      <c r="M224" s="48">
        <v>1E-3</v>
      </c>
      <c r="N224" s="48" t="s">
        <v>75</v>
      </c>
      <c r="O224" s="48">
        <v>0</v>
      </c>
      <c r="P224" s="44">
        <v>0</v>
      </c>
      <c r="Q224" s="48">
        <v>1</v>
      </c>
      <c r="R224" s="48">
        <v>5</v>
      </c>
      <c r="S224" s="48">
        <v>0</v>
      </c>
      <c r="T224" s="48"/>
      <c r="V224" s="49" t="str">
        <f t="shared" si="32"/>
        <v>1</v>
      </c>
      <c r="W224" s="49" t="str">
        <f t="shared" si="33"/>
        <v>11</v>
      </c>
      <c r="X224" s="49" t="str">
        <f t="shared" si="34"/>
        <v>0</v>
      </c>
      <c r="Y224" s="49">
        <f t="shared" si="35"/>
        <v>0</v>
      </c>
      <c r="Z224" s="49">
        <f t="shared" si="35"/>
        <v>0</v>
      </c>
      <c r="AA224" s="49">
        <f t="shared" si="36"/>
        <v>1</v>
      </c>
      <c r="AB224" s="49" t="str">
        <f t="shared" si="39"/>
        <v>101</v>
      </c>
      <c r="AC224" s="49">
        <f t="shared" si="37"/>
        <v>0</v>
      </c>
      <c r="AD224" s="49">
        <v>0</v>
      </c>
      <c r="AE224" s="49" t="str">
        <f t="shared" si="38"/>
        <v>32C2D</v>
      </c>
    </row>
    <row r="225" spans="1:31" x14ac:dyDescent="0.15">
      <c r="A225" s="42" t="str">
        <f t="shared" si="31"/>
        <v>0</v>
      </c>
      <c r="B225" s="43">
        <v>223</v>
      </c>
      <c r="C225" s="44" t="s">
        <v>562</v>
      </c>
      <c r="D225" s="25" t="s">
        <v>76</v>
      </c>
      <c r="E225" s="45" t="s">
        <v>77</v>
      </c>
      <c r="F225" s="46" t="s">
        <v>1056</v>
      </c>
      <c r="G225" s="47">
        <v>48</v>
      </c>
      <c r="H225" s="48">
        <v>65535</v>
      </c>
      <c r="I225" s="44">
        <v>1</v>
      </c>
      <c r="J225" s="48">
        <v>0</v>
      </c>
      <c r="K225" s="48">
        <v>0</v>
      </c>
      <c r="L225" s="48" t="s">
        <v>860</v>
      </c>
      <c r="M225" s="48">
        <v>0.1</v>
      </c>
      <c r="N225" s="48" t="s">
        <v>78</v>
      </c>
      <c r="O225" s="48">
        <v>0</v>
      </c>
      <c r="P225" s="44">
        <v>0</v>
      </c>
      <c r="Q225" s="48">
        <v>1</v>
      </c>
      <c r="R225" s="48">
        <v>5</v>
      </c>
      <c r="S225" s="48">
        <v>0</v>
      </c>
      <c r="T225" s="48"/>
      <c r="V225" s="49" t="str">
        <f t="shared" si="32"/>
        <v>1</v>
      </c>
      <c r="W225" s="49" t="str">
        <f t="shared" si="33"/>
        <v>1</v>
      </c>
      <c r="X225" s="49" t="str">
        <f t="shared" si="34"/>
        <v>0</v>
      </c>
      <c r="Y225" s="49">
        <f t="shared" si="35"/>
        <v>0</v>
      </c>
      <c r="Z225" s="49">
        <f t="shared" si="35"/>
        <v>0</v>
      </c>
      <c r="AA225" s="49">
        <f t="shared" si="36"/>
        <v>1</v>
      </c>
      <c r="AB225" s="49" t="str">
        <f t="shared" si="39"/>
        <v>101</v>
      </c>
      <c r="AC225" s="49">
        <f t="shared" si="37"/>
        <v>0</v>
      </c>
      <c r="AD225" s="49">
        <v>0</v>
      </c>
      <c r="AE225" s="49" t="str">
        <f t="shared" si="38"/>
        <v>32C05</v>
      </c>
    </row>
    <row r="226" spans="1:31" ht="14.45" customHeight="1" x14ac:dyDescent="0.15">
      <c r="A226" s="42" t="str">
        <f t="shared" si="31"/>
        <v>0</v>
      </c>
      <c r="B226" s="43">
        <v>224</v>
      </c>
      <c r="C226" s="44" t="s">
        <v>563</v>
      </c>
      <c r="D226" s="25" t="s">
        <v>79</v>
      </c>
      <c r="E226" s="45" t="s">
        <v>80</v>
      </c>
      <c r="F226" s="46" t="s">
        <v>1055</v>
      </c>
      <c r="G226" s="47">
        <v>550</v>
      </c>
      <c r="H226" s="48">
        <v>65535</v>
      </c>
      <c r="I226" s="44">
        <v>1</v>
      </c>
      <c r="J226" s="48">
        <v>0</v>
      </c>
      <c r="K226" s="48">
        <v>0</v>
      </c>
      <c r="L226" s="48" t="s">
        <v>860</v>
      </c>
      <c r="M226" s="48">
        <v>1E-3</v>
      </c>
      <c r="N226" s="48" t="s">
        <v>75</v>
      </c>
      <c r="O226" s="48">
        <v>0</v>
      </c>
      <c r="P226" s="44">
        <v>0</v>
      </c>
      <c r="Q226" s="48">
        <v>1</v>
      </c>
      <c r="R226" s="48">
        <v>5</v>
      </c>
      <c r="S226" s="48">
        <v>0</v>
      </c>
      <c r="T226" s="48"/>
      <c r="V226" s="49" t="str">
        <f t="shared" si="32"/>
        <v>1</v>
      </c>
      <c r="W226" s="49" t="str">
        <f t="shared" si="33"/>
        <v>11</v>
      </c>
      <c r="X226" s="49" t="str">
        <f t="shared" si="34"/>
        <v>0</v>
      </c>
      <c r="Y226" s="49">
        <f t="shared" si="35"/>
        <v>0</v>
      </c>
      <c r="Z226" s="49">
        <f t="shared" si="35"/>
        <v>0</v>
      </c>
      <c r="AA226" s="49">
        <f t="shared" si="36"/>
        <v>1</v>
      </c>
      <c r="AB226" s="49" t="str">
        <f t="shared" si="39"/>
        <v>101</v>
      </c>
      <c r="AC226" s="49">
        <f t="shared" si="37"/>
        <v>0</v>
      </c>
      <c r="AD226" s="49">
        <v>0</v>
      </c>
      <c r="AE226" s="49" t="str">
        <f t="shared" si="38"/>
        <v>32C2D</v>
      </c>
    </row>
    <row r="227" spans="1:31" x14ac:dyDescent="0.15">
      <c r="A227" s="42" t="str">
        <f t="shared" si="31"/>
        <v>0</v>
      </c>
      <c r="B227" s="43">
        <v>225</v>
      </c>
      <c r="C227" s="44" t="s">
        <v>564</v>
      </c>
      <c r="D227" s="25" t="s">
        <v>81</v>
      </c>
      <c r="E227" s="45" t="s">
        <v>82</v>
      </c>
      <c r="F227" s="46" t="s">
        <v>1056</v>
      </c>
      <c r="G227" s="47">
        <v>1100</v>
      </c>
      <c r="H227" s="48">
        <v>65535</v>
      </c>
      <c r="I227" s="44">
        <v>1</v>
      </c>
      <c r="J227" s="48">
        <v>0</v>
      </c>
      <c r="K227" s="48">
        <v>0</v>
      </c>
      <c r="L227" s="48" t="s">
        <v>860</v>
      </c>
      <c r="M227" s="48">
        <v>0.1</v>
      </c>
      <c r="N227" s="48" t="s">
        <v>83</v>
      </c>
      <c r="O227" s="48">
        <v>0</v>
      </c>
      <c r="P227" s="44">
        <v>0</v>
      </c>
      <c r="Q227" s="48">
        <v>1</v>
      </c>
      <c r="R227" s="48">
        <v>5</v>
      </c>
      <c r="S227" s="48">
        <v>0</v>
      </c>
      <c r="T227" s="48"/>
      <c r="V227" s="49" t="str">
        <f t="shared" si="32"/>
        <v>1</v>
      </c>
      <c r="W227" s="49" t="str">
        <f t="shared" si="33"/>
        <v>1</v>
      </c>
      <c r="X227" s="49" t="str">
        <f t="shared" si="34"/>
        <v>0</v>
      </c>
      <c r="Y227" s="49">
        <f t="shared" si="35"/>
        <v>0</v>
      </c>
      <c r="Z227" s="49">
        <f t="shared" si="35"/>
        <v>0</v>
      </c>
      <c r="AA227" s="49">
        <f t="shared" si="36"/>
        <v>1</v>
      </c>
      <c r="AB227" s="49" t="str">
        <f t="shared" si="39"/>
        <v>101</v>
      </c>
      <c r="AC227" s="49">
        <f t="shared" si="37"/>
        <v>0</v>
      </c>
      <c r="AD227" s="49">
        <v>0</v>
      </c>
      <c r="AE227" s="49" t="str">
        <f t="shared" si="38"/>
        <v>32C05</v>
      </c>
    </row>
    <row r="228" spans="1:31" ht="14.45" customHeight="1" x14ac:dyDescent="0.15">
      <c r="A228" s="42" t="str">
        <f t="shared" si="31"/>
        <v>0</v>
      </c>
      <c r="B228" s="43">
        <v>226</v>
      </c>
      <c r="C228" s="44" t="s">
        <v>565</v>
      </c>
      <c r="D228" s="25" t="s">
        <v>84</v>
      </c>
      <c r="E228" s="45" t="s">
        <v>85</v>
      </c>
      <c r="F228" s="46" t="s">
        <v>1052</v>
      </c>
      <c r="G228" s="47">
        <v>55</v>
      </c>
      <c r="H228" s="48">
        <v>65535</v>
      </c>
      <c r="I228" s="44">
        <v>0</v>
      </c>
      <c r="J228" s="48">
        <v>0</v>
      </c>
      <c r="K228" s="48">
        <v>0</v>
      </c>
      <c r="L228" s="48" t="s">
        <v>860</v>
      </c>
      <c r="M228" s="48">
        <v>0.1</v>
      </c>
      <c r="N228" s="48" t="s">
        <v>1602</v>
      </c>
      <c r="O228" s="48">
        <v>0</v>
      </c>
      <c r="P228" s="44">
        <v>0</v>
      </c>
      <c r="Q228" s="48">
        <v>1</v>
      </c>
      <c r="R228" s="48">
        <v>5</v>
      </c>
      <c r="S228" s="48">
        <v>0</v>
      </c>
      <c r="T228" s="48"/>
      <c r="V228" s="49" t="str">
        <f t="shared" si="32"/>
        <v>1</v>
      </c>
      <c r="W228" s="49" t="str">
        <f t="shared" si="33"/>
        <v>1</v>
      </c>
      <c r="X228" s="49" t="str">
        <f>DEC2BIN(14)</f>
        <v>1110</v>
      </c>
      <c r="Y228" s="49">
        <f t="shared" si="35"/>
        <v>0</v>
      </c>
      <c r="Z228" s="49">
        <f t="shared" si="35"/>
        <v>0</v>
      </c>
      <c r="AA228" s="49">
        <f t="shared" si="36"/>
        <v>1</v>
      </c>
      <c r="AB228" s="49" t="str">
        <f t="shared" si="39"/>
        <v>101</v>
      </c>
      <c r="AC228" s="49">
        <f t="shared" si="37"/>
        <v>0</v>
      </c>
      <c r="AD228" s="49">
        <v>0</v>
      </c>
      <c r="AE228" s="49" t="str">
        <f t="shared" si="38"/>
        <v>37165</v>
      </c>
    </row>
    <row r="229" spans="1:31" ht="14.45" customHeight="1" x14ac:dyDescent="0.15">
      <c r="A229" s="42" t="str">
        <f t="shared" si="31"/>
        <v>0</v>
      </c>
      <c r="B229" s="43">
        <v>227</v>
      </c>
      <c r="C229" s="44" t="s">
        <v>566</v>
      </c>
      <c r="D229" s="25" t="s">
        <v>86</v>
      </c>
      <c r="E229" s="45" t="s">
        <v>87</v>
      </c>
      <c r="F229" s="46" t="s">
        <v>88</v>
      </c>
      <c r="G229" s="47">
        <v>10000</v>
      </c>
      <c r="H229" s="48">
        <v>10000</v>
      </c>
      <c r="I229" s="44">
        <v>0</v>
      </c>
      <c r="J229" s="48">
        <v>0</v>
      </c>
      <c r="K229" s="48">
        <v>0</v>
      </c>
      <c r="L229" s="48" t="s">
        <v>860</v>
      </c>
      <c r="M229" s="48">
        <v>1E-4</v>
      </c>
      <c r="N229" s="48" t="s">
        <v>1634</v>
      </c>
      <c r="O229" s="48">
        <v>0</v>
      </c>
      <c r="P229" s="44">
        <v>0</v>
      </c>
      <c r="Q229" s="48">
        <v>1</v>
      </c>
      <c r="R229" s="48">
        <v>5</v>
      </c>
      <c r="S229" s="48">
        <v>0</v>
      </c>
      <c r="T229" s="48"/>
      <c r="V229" s="49" t="str">
        <f t="shared" si="32"/>
        <v>1</v>
      </c>
      <c r="W229" s="49" t="str">
        <f t="shared" si="33"/>
        <v>11</v>
      </c>
      <c r="X229" s="49" t="e">
        <f t="shared" si="34"/>
        <v>#N/A</v>
      </c>
      <c r="Y229" s="49">
        <f t="shared" si="35"/>
        <v>0</v>
      </c>
      <c r="Z229" s="49">
        <f t="shared" si="35"/>
        <v>0</v>
      </c>
      <c r="AA229" s="49">
        <f t="shared" si="36"/>
        <v>1</v>
      </c>
      <c r="AB229" s="49" t="str">
        <f t="shared" si="39"/>
        <v>101</v>
      </c>
      <c r="AC229" s="49">
        <f t="shared" si="37"/>
        <v>0</v>
      </c>
      <c r="AD229" s="49">
        <v>0</v>
      </c>
      <c r="AE229" s="49" t="e">
        <f t="shared" si="38"/>
        <v>#N/A</v>
      </c>
    </row>
    <row r="230" spans="1:31" ht="14.45" customHeight="1" x14ac:dyDescent="0.15">
      <c r="A230" s="42" t="str">
        <f t="shared" si="31"/>
        <v>0</v>
      </c>
      <c r="B230" s="43">
        <v>228</v>
      </c>
      <c r="C230" s="44" t="s">
        <v>567</v>
      </c>
      <c r="D230" s="25" t="s">
        <v>89</v>
      </c>
      <c r="E230" s="45" t="s">
        <v>90</v>
      </c>
      <c r="F230" s="46" t="s">
        <v>91</v>
      </c>
      <c r="G230" s="47">
        <v>10000</v>
      </c>
      <c r="H230" s="48">
        <v>10000</v>
      </c>
      <c r="I230" s="44">
        <v>0</v>
      </c>
      <c r="J230" s="48">
        <v>0</v>
      </c>
      <c r="K230" s="48">
        <v>0</v>
      </c>
      <c r="L230" s="48" t="s">
        <v>860</v>
      </c>
      <c r="M230" s="48">
        <v>1E-4</v>
      </c>
      <c r="N230" s="48" t="s">
        <v>1719</v>
      </c>
      <c r="O230" s="48">
        <v>0</v>
      </c>
      <c r="P230" s="44">
        <v>0</v>
      </c>
      <c r="Q230" s="48">
        <v>1</v>
      </c>
      <c r="R230" s="48">
        <v>5</v>
      </c>
      <c r="S230" s="48">
        <v>0</v>
      </c>
      <c r="T230" s="48"/>
      <c r="V230" s="49" t="str">
        <f t="shared" si="32"/>
        <v>1</v>
      </c>
      <c r="W230" s="49" t="str">
        <f t="shared" si="33"/>
        <v>11</v>
      </c>
      <c r="X230" s="49" t="str">
        <f>DEC2BIN(14)</f>
        <v>1110</v>
      </c>
      <c r="Y230" s="49">
        <f t="shared" si="35"/>
        <v>0</v>
      </c>
      <c r="Z230" s="49">
        <f t="shared" si="35"/>
        <v>0</v>
      </c>
      <c r="AA230" s="49">
        <f t="shared" si="36"/>
        <v>1</v>
      </c>
      <c r="AB230" s="49" t="str">
        <f t="shared" si="39"/>
        <v>101</v>
      </c>
      <c r="AC230" s="49">
        <f t="shared" si="37"/>
        <v>0</v>
      </c>
      <c r="AD230" s="49">
        <v>0</v>
      </c>
      <c r="AE230" s="49" t="str">
        <f t="shared" si="38"/>
        <v>3718D</v>
      </c>
    </row>
    <row r="231" spans="1:31" ht="14.45" customHeight="1" x14ac:dyDescent="0.15">
      <c r="A231" s="42" t="str">
        <f t="shared" si="31"/>
        <v>0</v>
      </c>
      <c r="B231" s="43">
        <v>229</v>
      </c>
      <c r="C231" s="44" t="s">
        <v>568</v>
      </c>
      <c r="D231" s="25" t="s">
        <v>92</v>
      </c>
      <c r="E231" s="45" t="s">
        <v>93</v>
      </c>
      <c r="F231" s="46" t="s">
        <v>88</v>
      </c>
      <c r="G231" s="47">
        <v>10000</v>
      </c>
      <c r="H231" s="48">
        <v>10000</v>
      </c>
      <c r="I231" s="44">
        <v>0</v>
      </c>
      <c r="J231" s="48">
        <v>0</v>
      </c>
      <c r="K231" s="48">
        <v>0</v>
      </c>
      <c r="L231" s="48" t="s">
        <v>860</v>
      </c>
      <c r="M231" s="48">
        <v>1E-4</v>
      </c>
      <c r="N231" s="48" t="s">
        <v>1634</v>
      </c>
      <c r="O231" s="48">
        <v>0</v>
      </c>
      <c r="P231" s="44">
        <v>0</v>
      </c>
      <c r="Q231" s="48">
        <v>1</v>
      </c>
      <c r="R231" s="48">
        <v>5</v>
      </c>
      <c r="S231" s="48">
        <v>0</v>
      </c>
      <c r="T231" s="48"/>
      <c r="V231" s="49" t="str">
        <f t="shared" si="32"/>
        <v>1</v>
      </c>
      <c r="W231" s="49" t="str">
        <f t="shared" si="33"/>
        <v>11</v>
      </c>
      <c r="X231" s="49" t="e">
        <f t="shared" si="34"/>
        <v>#N/A</v>
      </c>
      <c r="Y231" s="49">
        <f t="shared" si="35"/>
        <v>0</v>
      </c>
      <c r="Z231" s="49">
        <f t="shared" si="35"/>
        <v>0</v>
      </c>
      <c r="AA231" s="49">
        <f t="shared" si="36"/>
        <v>1</v>
      </c>
      <c r="AB231" s="49" t="str">
        <f t="shared" si="39"/>
        <v>101</v>
      </c>
      <c r="AC231" s="49">
        <f t="shared" si="37"/>
        <v>0</v>
      </c>
      <c r="AD231" s="49">
        <v>0</v>
      </c>
      <c r="AE231" s="49" t="e">
        <f t="shared" si="38"/>
        <v>#N/A</v>
      </c>
    </row>
    <row r="232" spans="1:31" ht="14.45" customHeight="1" x14ac:dyDescent="0.15">
      <c r="A232" s="42" t="str">
        <f t="shared" si="31"/>
        <v>0</v>
      </c>
      <c r="B232" s="43">
        <v>230</v>
      </c>
      <c r="C232" s="44" t="s">
        <v>569</v>
      </c>
      <c r="D232" s="25" t="s">
        <v>94</v>
      </c>
      <c r="E232" s="45" t="s">
        <v>95</v>
      </c>
      <c r="F232" s="46" t="s">
        <v>1055</v>
      </c>
      <c r="G232" s="47">
        <v>1</v>
      </c>
      <c r="H232" s="48">
        <v>65535</v>
      </c>
      <c r="I232" s="44">
        <v>1</v>
      </c>
      <c r="J232" s="48">
        <v>0</v>
      </c>
      <c r="K232" s="48">
        <v>0</v>
      </c>
      <c r="L232" s="48" t="s">
        <v>860</v>
      </c>
      <c r="M232" s="48">
        <v>1E-3</v>
      </c>
      <c r="N232" s="48" t="s">
        <v>96</v>
      </c>
      <c r="O232" s="48">
        <v>0</v>
      </c>
      <c r="P232" s="44">
        <v>0</v>
      </c>
      <c r="Q232" s="48">
        <v>1</v>
      </c>
      <c r="R232" s="48">
        <v>5</v>
      </c>
      <c r="S232" s="48">
        <v>0</v>
      </c>
      <c r="T232" s="48"/>
      <c r="V232" s="49" t="str">
        <f t="shared" si="32"/>
        <v>1</v>
      </c>
      <c r="W232" s="49" t="str">
        <f t="shared" si="33"/>
        <v>11</v>
      </c>
      <c r="X232" s="49" t="str">
        <f>DEC2BIN(14)</f>
        <v>1110</v>
      </c>
      <c r="Y232" s="49">
        <f t="shared" si="35"/>
        <v>0</v>
      </c>
      <c r="Z232" s="49">
        <f t="shared" si="35"/>
        <v>0</v>
      </c>
      <c r="AA232" s="49">
        <f t="shared" si="36"/>
        <v>1</v>
      </c>
      <c r="AB232" s="49" t="str">
        <f t="shared" si="39"/>
        <v>101</v>
      </c>
      <c r="AC232" s="49">
        <f t="shared" si="37"/>
        <v>0</v>
      </c>
      <c r="AD232" s="49">
        <v>0</v>
      </c>
      <c r="AE232" s="49" t="str">
        <f t="shared" si="38"/>
        <v>3718D</v>
      </c>
    </row>
    <row r="233" spans="1:31" ht="14.45" customHeight="1" x14ac:dyDescent="0.15">
      <c r="A233" s="42" t="str">
        <f t="shared" si="31"/>
        <v>0</v>
      </c>
      <c r="B233" s="43">
        <v>231</v>
      </c>
      <c r="C233" s="44" t="s">
        <v>570</v>
      </c>
      <c r="D233" s="25" t="s">
        <v>97</v>
      </c>
      <c r="E233" s="45" t="s">
        <v>98</v>
      </c>
      <c r="F233" s="46" t="s">
        <v>1056</v>
      </c>
      <c r="G233" s="47">
        <v>1</v>
      </c>
      <c r="H233" s="48">
        <v>65535</v>
      </c>
      <c r="I233" s="44">
        <v>1</v>
      </c>
      <c r="J233" s="48">
        <v>0</v>
      </c>
      <c r="K233" s="48">
        <v>0</v>
      </c>
      <c r="L233" s="48" t="s">
        <v>860</v>
      </c>
      <c r="M233" s="48">
        <v>0.1</v>
      </c>
      <c r="N233" s="48" t="s">
        <v>83</v>
      </c>
      <c r="O233" s="48">
        <v>0</v>
      </c>
      <c r="P233" s="44">
        <v>0</v>
      </c>
      <c r="Q233" s="48">
        <v>1</v>
      </c>
      <c r="R233" s="48">
        <v>5</v>
      </c>
      <c r="S233" s="48">
        <v>0</v>
      </c>
      <c r="T233" s="48"/>
      <c r="V233" s="49" t="str">
        <f t="shared" si="32"/>
        <v>1</v>
      </c>
      <c r="W233" s="49" t="str">
        <f t="shared" si="33"/>
        <v>1</v>
      </c>
      <c r="X233" s="49" t="str">
        <f t="shared" si="34"/>
        <v>0</v>
      </c>
      <c r="Y233" s="49">
        <f t="shared" si="35"/>
        <v>0</v>
      </c>
      <c r="Z233" s="49">
        <f t="shared" si="35"/>
        <v>0</v>
      </c>
      <c r="AA233" s="49">
        <f t="shared" si="36"/>
        <v>1</v>
      </c>
      <c r="AB233" s="49" t="str">
        <f t="shared" si="39"/>
        <v>101</v>
      </c>
      <c r="AC233" s="49">
        <f t="shared" si="37"/>
        <v>0</v>
      </c>
      <c r="AD233" s="49">
        <v>0</v>
      </c>
      <c r="AE233" s="49" t="str">
        <f t="shared" si="38"/>
        <v>32C05</v>
      </c>
    </row>
    <row r="234" spans="1:31" ht="14.45" customHeight="1" x14ac:dyDescent="0.15">
      <c r="A234" s="42" t="str">
        <f t="shared" si="31"/>
        <v>0</v>
      </c>
      <c r="B234" s="43">
        <v>232</v>
      </c>
      <c r="C234" s="44" t="s">
        <v>571</v>
      </c>
      <c r="D234" s="25" t="s">
        <v>99</v>
      </c>
      <c r="E234" s="45" t="s">
        <v>100</v>
      </c>
      <c r="F234" s="46" t="s">
        <v>101</v>
      </c>
      <c r="G234" s="47">
        <v>1</v>
      </c>
      <c r="H234" s="48">
        <v>65535</v>
      </c>
      <c r="I234" s="44">
        <v>1</v>
      </c>
      <c r="J234" s="48">
        <v>0</v>
      </c>
      <c r="K234" s="48">
        <v>0</v>
      </c>
      <c r="L234" s="48" t="s">
        <v>860</v>
      </c>
      <c r="M234" s="48">
        <v>0.1</v>
      </c>
      <c r="N234" s="48" t="s">
        <v>83</v>
      </c>
      <c r="O234" s="48">
        <v>0</v>
      </c>
      <c r="P234" s="44">
        <v>0</v>
      </c>
      <c r="Q234" s="48">
        <v>1</v>
      </c>
      <c r="R234" s="48">
        <v>5</v>
      </c>
      <c r="S234" s="48">
        <v>0</v>
      </c>
      <c r="T234" s="48"/>
      <c r="V234" s="49" t="str">
        <f t="shared" si="32"/>
        <v>1</v>
      </c>
      <c r="W234" s="49" t="str">
        <f t="shared" si="33"/>
        <v>1</v>
      </c>
      <c r="X234" s="49" t="str">
        <f>DEC2BIN(14)</f>
        <v>1110</v>
      </c>
      <c r="Y234" s="49">
        <f t="shared" si="35"/>
        <v>0</v>
      </c>
      <c r="Z234" s="49">
        <f t="shared" si="35"/>
        <v>0</v>
      </c>
      <c r="AA234" s="49">
        <f t="shared" si="36"/>
        <v>1</v>
      </c>
      <c r="AB234" s="49" t="str">
        <f t="shared" si="39"/>
        <v>101</v>
      </c>
      <c r="AC234" s="49">
        <f t="shared" si="37"/>
        <v>0</v>
      </c>
      <c r="AD234" s="49">
        <v>0</v>
      </c>
      <c r="AE234" s="49" t="str">
        <f t="shared" si="38"/>
        <v>37165</v>
      </c>
    </row>
    <row r="235" spans="1:31" ht="14.45" customHeight="1" x14ac:dyDescent="0.15">
      <c r="A235" s="42" t="str">
        <f t="shared" si="31"/>
        <v>0</v>
      </c>
      <c r="B235" s="43">
        <v>233</v>
      </c>
      <c r="C235" s="44" t="s">
        <v>572</v>
      </c>
      <c r="D235" s="25" t="s">
        <v>102</v>
      </c>
      <c r="E235" s="45" t="s">
        <v>103</v>
      </c>
      <c r="F235" s="46" t="s">
        <v>104</v>
      </c>
      <c r="G235" s="47">
        <v>1</v>
      </c>
      <c r="H235" s="48">
        <v>1000</v>
      </c>
      <c r="I235" s="44">
        <v>0</v>
      </c>
      <c r="J235" s="48">
        <v>0</v>
      </c>
      <c r="K235" s="48">
        <v>0</v>
      </c>
      <c r="L235" s="48" t="s">
        <v>860</v>
      </c>
      <c r="M235" s="48">
        <v>1</v>
      </c>
      <c r="N235" s="48" t="s">
        <v>1601</v>
      </c>
      <c r="O235" s="48">
        <v>0</v>
      </c>
      <c r="P235" s="44">
        <v>0</v>
      </c>
      <c r="Q235" s="48">
        <v>1</v>
      </c>
      <c r="R235" s="48">
        <v>4</v>
      </c>
      <c r="S235" s="48">
        <v>0</v>
      </c>
      <c r="T235" s="48"/>
      <c r="V235" s="49" t="str">
        <f t="shared" si="32"/>
        <v>1</v>
      </c>
      <c r="W235" s="49" t="str">
        <f t="shared" si="33"/>
        <v>0</v>
      </c>
      <c r="X235" s="49" t="str">
        <f>DEC2BIN(14)</f>
        <v>1110</v>
      </c>
      <c r="Y235" s="49">
        <f t="shared" si="35"/>
        <v>0</v>
      </c>
      <c r="Z235" s="49">
        <f t="shared" si="35"/>
        <v>0</v>
      </c>
      <c r="AA235" s="49">
        <f t="shared" si="36"/>
        <v>1</v>
      </c>
      <c r="AB235" s="49" t="str">
        <f t="shared" si="39"/>
        <v>100</v>
      </c>
      <c r="AC235" s="49">
        <f t="shared" si="37"/>
        <v>0</v>
      </c>
      <c r="AD235" s="49">
        <v>0</v>
      </c>
      <c r="AE235" s="49" t="str">
        <f t="shared" si="38"/>
        <v>36961</v>
      </c>
    </row>
    <row r="236" spans="1:31" ht="14.45" customHeight="1" x14ac:dyDescent="0.15">
      <c r="A236" s="42" t="str">
        <f t="shared" si="31"/>
        <v>0</v>
      </c>
      <c r="B236" s="43">
        <v>234</v>
      </c>
      <c r="C236" s="44" t="s">
        <v>573</v>
      </c>
      <c r="D236" s="25" t="s">
        <v>105</v>
      </c>
      <c r="E236" s="45" t="s">
        <v>106</v>
      </c>
      <c r="F236" s="46" t="s">
        <v>107</v>
      </c>
      <c r="G236" s="47">
        <v>300</v>
      </c>
      <c r="H236" s="48">
        <v>1000</v>
      </c>
      <c r="I236" s="44">
        <v>0</v>
      </c>
      <c r="J236" s="48">
        <v>0</v>
      </c>
      <c r="K236" s="48">
        <v>0</v>
      </c>
      <c r="L236" s="48" t="s">
        <v>860</v>
      </c>
      <c r="M236" s="48">
        <v>0.1</v>
      </c>
      <c r="N236" s="48" t="s">
        <v>1634</v>
      </c>
      <c r="O236" s="48">
        <v>0</v>
      </c>
      <c r="P236" s="44">
        <v>0</v>
      </c>
      <c r="Q236" s="48">
        <v>1</v>
      </c>
      <c r="R236" s="48">
        <v>4</v>
      </c>
      <c r="S236" s="48">
        <v>0</v>
      </c>
      <c r="T236" s="48"/>
      <c r="V236" s="49" t="str">
        <f t="shared" si="32"/>
        <v>1</v>
      </c>
      <c r="W236" s="49" t="str">
        <f t="shared" si="33"/>
        <v>1</v>
      </c>
      <c r="X236" s="49" t="str">
        <f>DEC2BIN(14)</f>
        <v>1110</v>
      </c>
      <c r="Y236" s="49">
        <f t="shared" si="35"/>
        <v>0</v>
      </c>
      <c r="Z236" s="49">
        <f t="shared" si="35"/>
        <v>0</v>
      </c>
      <c r="AA236" s="49">
        <f t="shared" si="36"/>
        <v>1</v>
      </c>
      <c r="AB236" s="49" t="str">
        <f t="shared" si="39"/>
        <v>100</v>
      </c>
      <c r="AC236" s="49">
        <f t="shared" si="37"/>
        <v>0</v>
      </c>
      <c r="AD236" s="49">
        <v>0</v>
      </c>
      <c r="AE236" s="49" t="str">
        <f t="shared" si="38"/>
        <v>36965</v>
      </c>
    </row>
    <row r="237" spans="1:31" ht="14.45" customHeight="1" x14ac:dyDescent="0.15">
      <c r="A237" s="42" t="str">
        <f t="shared" si="31"/>
        <v>0</v>
      </c>
      <c r="B237" s="43">
        <v>235</v>
      </c>
      <c r="C237" s="44" t="s">
        <v>574</v>
      </c>
      <c r="D237" s="25" t="s">
        <v>108</v>
      </c>
      <c r="E237" s="99" t="s">
        <v>109</v>
      </c>
      <c r="F237" s="46" t="s">
        <v>110</v>
      </c>
      <c r="G237" s="175">
        <v>0</v>
      </c>
      <c r="H237" s="48">
        <v>3600</v>
      </c>
      <c r="I237" s="44">
        <v>0</v>
      </c>
      <c r="J237" s="48">
        <v>0</v>
      </c>
      <c r="K237" s="48">
        <v>0</v>
      </c>
      <c r="L237" s="105" t="s">
        <v>1794</v>
      </c>
      <c r="M237" s="48">
        <v>0.1</v>
      </c>
      <c r="N237" s="48" t="s">
        <v>1601</v>
      </c>
      <c r="O237" s="48">
        <v>0</v>
      </c>
      <c r="P237" s="44">
        <v>0</v>
      </c>
      <c r="Q237" s="48">
        <v>1</v>
      </c>
      <c r="R237" s="48">
        <v>4</v>
      </c>
      <c r="S237" s="48">
        <v>0</v>
      </c>
      <c r="T237" s="48"/>
      <c r="V237" s="49" t="str">
        <f t="shared" si="32"/>
        <v>0</v>
      </c>
      <c r="W237" s="49" t="str">
        <f t="shared" si="33"/>
        <v>1</v>
      </c>
      <c r="X237" s="49" t="str">
        <f t="shared" si="34"/>
        <v>0</v>
      </c>
      <c r="Y237" s="49">
        <f t="shared" si="35"/>
        <v>0</v>
      </c>
      <c r="Z237" s="49">
        <f t="shared" si="35"/>
        <v>0</v>
      </c>
      <c r="AA237" s="49">
        <f t="shared" si="36"/>
        <v>1</v>
      </c>
      <c r="AB237" s="49" t="str">
        <f t="shared" si="39"/>
        <v>100</v>
      </c>
      <c r="AC237" s="49">
        <f t="shared" si="37"/>
        <v>0</v>
      </c>
      <c r="AD237" s="49">
        <v>0</v>
      </c>
      <c r="AE237" s="49" t="str">
        <f t="shared" si="38"/>
        <v>32404</v>
      </c>
    </row>
    <row r="238" spans="1:31" ht="14.45" customHeight="1" x14ac:dyDescent="0.15">
      <c r="A238" s="42" t="str">
        <f t="shared" si="31"/>
        <v>0</v>
      </c>
      <c r="B238" s="43">
        <v>236</v>
      </c>
      <c r="C238" s="44" t="s">
        <v>575</v>
      </c>
      <c r="D238" s="25" t="s">
        <v>111</v>
      </c>
      <c r="E238" s="45" t="s">
        <v>112</v>
      </c>
      <c r="F238" s="46" t="s">
        <v>1057</v>
      </c>
      <c r="G238" s="381" t="s">
        <v>2868</v>
      </c>
      <c r="H238" s="48" t="s">
        <v>1618</v>
      </c>
      <c r="I238" s="44">
        <v>0</v>
      </c>
      <c r="J238" s="48">
        <v>0</v>
      </c>
      <c r="K238" s="48">
        <v>0</v>
      </c>
      <c r="L238" s="48" t="s">
        <v>860</v>
      </c>
      <c r="M238" s="48">
        <v>1</v>
      </c>
      <c r="N238" s="48" t="s">
        <v>1601</v>
      </c>
      <c r="O238" s="48">
        <v>1</v>
      </c>
      <c r="P238" s="44">
        <v>0</v>
      </c>
      <c r="Q238" s="48">
        <v>1</v>
      </c>
      <c r="R238" s="48">
        <v>4</v>
      </c>
      <c r="S238" s="48">
        <v>0</v>
      </c>
      <c r="T238" s="48"/>
      <c r="V238" s="49" t="str">
        <f t="shared" si="32"/>
        <v>1</v>
      </c>
      <c r="W238" s="49" t="str">
        <f t="shared" si="33"/>
        <v>0</v>
      </c>
      <c r="X238" s="49" t="str">
        <f t="shared" si="34"/>
        <v>0</v>
      </c>
      <c r="Y238" s="49">
        <f t="shared" si="35"/>
        <v>1</v>
      </c>
      <c r="Z238" s="49">
        <f t="shared" si="35"/>
        <v>0</v>
      </c>
      <c r="AA238" s="49">
        <f t="shared" si="36"/>
        <v>1</v>
      </c>
      <c r="AB238" s="49" t="str">
        <f t="shared" si="39"/>
        <v>100</v>
      </c>
      <c r="AC238" s="49">
        <f t="shared" si="37"/>
        <v>0</v>
      </c>
      <c r="AD238" s="49">
        <v>0</v>
      </c>
      <c r="AE238" s="49" t="str">
        <f t="shared" si="38"/>
        <v>32501</v>
      </c>
    </row>
    <row r="239" spans="1:31" ht="58.7" customHeight="1" x14ac:dyDescent="0.15">
      <c r="A239" s="42" t="str">
        <f t="shared" si="31"/>
        <v>0</v>
      </c>
      <c r="B239" s="43">
        <v>237</v>
      </c>
      <c r="C239" s="44" t="s">
        <v>576</v>
      </c>
      <c r="D239" s="25" t="s">
        <v>113</v>
      </c>
      <c r="E239" s="99" t="s">
        <v>114</v>
      </c>
      <c r="F239" s="101" t="s">
        <v>734</v>
      </c>
      <c r="G239" s="47">
        <v>0</v>
      </c>
      <c r="H239" s="108">
        <v>4</v>
      </c>
      <c r="I239" s="44">
        <v>0</v>
      </c>
      <c r="J239" s="48">
        <v>0</v>
      </c>
      <c r="K239" s="48">
        <v>0</v>
      </c>
      <c r="L239" s="48" t="s">
        <v>860</v>
      </c>
      <c r="M239" s="48">
        <v>1</v>
      </c>
      <c r="N239" s="48" t="s">
        <v>1601</v>
      </c>
      <c r="O239" s="48">
        <v>0</v>
      </c>
      <c r="P239" s="44">
        <v>1</v>
      </c>
      <c r="Q239" s="48">
        <v>0</v>
      </c>
      <c r="R239" s="48">
        <v>1</v>
      </c>
      <c r="S239" s="48">
        <v>0</v>
      </c>
      <c r="T239" s="48"/>
      <c r="V239" s="49" t="str">
        <f t="shared" si="32"/>
        <v>1</v>
      </c>
      <c r="W239" s="49" t="str">
        <f t="shared" si="33"/>
        <v>0</v>
      </c>
      <c r="X239" s="49" t="str">
        <f>DEC2BIN(14)</f>
        <v>1110</v>
      </c>
      <c r="Y239" s="49">
        <f t="shared" si="35"/>
        <v>0</v>
      </c>
      <c r="Z239" s="49">
        <f t="shared" si="35"/>
        <v>1</v>
      </c>
      <c r="AA239" s="49">
        <f t="shared" si="36"/>
        <v>0</v>
      </c>
      <c r="AB239" s="49" t="str">
        <f t="shared" si="39"/>
        <v>1</v>
      </c>
      <c r="AC239" s="49">
        <f t="shared" si="37"/>
        <v>0</v>
      </c>
      <c r="AD239" s="49">
        <v>0</v>
      </c>
      <c r="AE239" s="49" t="str">
        <f t="shared" si="38"/>
        <v>4F61</v>
      </c>
    </row>
    <row r="240" spans="1:31" ht="47.45" customHeight="1" x14ac:dyDescent="0.15">
      <c r="A240" s="42" t="str">
        <f t="shared" si="31"/>
        <v>0</v>
      </c>
      <c r="B240" s="43">
        <v>238</v>
      </c>
      <c r="C240" s="102" t="s">
        <v>577</v>
      </c>
      <c r="D240" s="93" t="s">
        <v>1780</v>
      </c>
      <c r="E240" s="99" t="s">
        <v>1781</v>
      </c>
      <c r="F240" s="101" t="s">
        <v>1782</v>
      </c>
      <c r="G240" s="106">
        <v>2</v>
      </c>
      <c r="H240" s="151">
        <v>2</v>
      </c>
      <c r="I240" s="102">
        <v>0</v>
      </c>
      <c r="J240" s="151">
        <v>0</v>
      </c>
      <c r="K240" s="151">
        <v>0</v>
      </c>
      <c r="L240" s="151" t="s">
        <v>860</v>
      </c>
      <c r="M240" s="151">
        <v>1</v>
      </c>
      <c r="N240" s="151" t="s">
        <v>1783</v>
      </c>
      <c r="O240" s="151">
        <v>0</v>
      </c>
      <c r="P240" s="102">
        <v>0</v>
      </c>
      <c r="Q240" s="151">
        <v>1</v>
      </c>
      <c r="R240" s="151">
        <v>1</v>
      </c>
      <c r="S240" s="151">
        <v>0</v>
      </c>
      <c r="T240" s="48"/>
      <c r="V240" s="49" t="str">
        <f t="shared" si="32"/>
        <v>1</v>
      </c>
      <c r="W240" s="49" t="str">
        <f t="shared" si="33"/>
        <v>0</v>
      </c>
      <c r="X240" s="49" t="str">
        <f>DEC2BIN(14)</f>
        <v>1110</v>
      </c>
      <c r="Y240" s="49">
        <f t="shared" si="35"/>
        <v>0</v>
      </c>
      <c r="Z240" s="49">
        <f t="shared" si="35"/>
        <v>0</v>
      </c>
      <c r="AA240" s="49">
        <f t="shared" si="36"/>
        <v>1</v>
      </c>
      <c r="AB240" s="49" t="str">
        <f t="shared" si="39"/>
        <v>1</v>
      </c>
      <c r="AC240" s="49">
        <f t="shared" si="37"/>
        <v>0</v>
      </c>
      <c r="AD240" s="49">
        <v>0</v>
      </c>
      <c r="AE240" s="49" t="str">
        <f t="shared" si="38"/>
        <v>5161</v>
      </c>
    </row>
    <row r="241" spans="1:31" x14ac:dyDescent="0.15">
      <c r="A241" s="42" t="str">
        <f t="shared" si="31"/>
        <v>0</v>
      </c>
      <c r="B241" s="43">
        <v>239</v>
      </c>
      <c r="C241" s="102" t="s">
        <v>578</v>
      </c>
      <c r="D241" s="93" t="s">
        <v>1784</v>
      </c>
      <c r="E241" s="99" t="s">
        <v>1785</v>
      </c>
      <c r="F241" s="101" t="s">
        <v>1786</v>
      </c>
      <c r="G241" s="106">
        <v>50</v>
      </c>
      <c r="H241" s="151">
        <v>150</v>
      </c>
      <c r="I241" s="102">
        <v>1</v>
      </c>
      <c r="J241" s="151">
        <v>0</v>
      </c>
      <c r="K241" s="151">
        <v>0</v>
      </c>
      <c r="L241" s="151" t="s">
        <v>860</v>
      </c>
      <c r="M241" s="151">
        <v>0.1</v>
      </c>
      <c r="N241" s="151" t="s">
        <v>1783</v>
      </c>
      <c r="O241" s="151">
        <v>0</v>
      </c>
      <c r="P241" s="102">
        <v>0</v>
      </c>
      <c r="Q241" s="151">
        <v>1</v>
      </c>
      <c r="R241" s="151">
        <v>3</v>
      </c>
      <c r="S241" s="151">
        <v>0</v>
      </c>
      <c r="T241" s="48"/>
      <c r="V241" s="49" t="str">
        <f t="shared" si="32"/>
        <v>1</v>
      </c>
      <c r="W241" s="49" t="str">
        <f t="shared" si="33"/>
        <v>1</v>
      </c>
      <c r="X241" s="49" t="str">
        <f>DEC2BIN(14)</f>
        <v>1110</v>
      </c>
      <c r="Y241" s="49">
        <f t="shared" si="35"/>
        <v>0</v>
      </c>
      <c r="Z241" s="49">
        <f t="shared" si="35"/>
        <v>0</v>
      </c>
      <c r="AA241" s="49">
        <f t="shared" si="36"/>
        <v>1</v>
      </c>
      <c r="AB241" s="49" t="str">
        <f t="shared" si="39"/>
        <v>11</v>
      </c>
      <c r="AC241" s="49">
        <f t="shared" si="37"/>
        <v>0</v>
      </c>
      <c r="AD241" s="49">
        <v>0</v>
      </c>
      <c r="AE241" s="49" t="str">
        <f t="shared" si="38"/>
        <v>A165</v>
      </c>
    </row>
    <row r="242" spans="1:31" ht="139.5" customHeight="1" x14ac:dyDescent="0.15">
      <c r="A242" s="42" t="str">
        <f t="shared" si="31"/>
        <v>0</v>
      </c>
      <c r="B242" s="43">
        <v>240</v>
      </c>
      <c r="C242" s="102" t="s">
        <v>579</v>
      </c>
      <c r="D242" s="93" t="s">
        <v>1787</v>
      </c>
      <c r="E242" s="99" t="s">
        <v>1788</v>
      </c>
      <c r="F242" s="397" t="s">
        <v>2927</v>
      </c>
      <c r="G242" s="106">
        <v>3</v>
      </c>
      <c r="H242" s="152">
        <v>8</v>
      </c>
      <c r="I242" s="102">
        <v>0</v>
      </c>
      <c r="J242" s="151">
        <v>0</v>
      </c>
      <c r="K242" s="151">
        <v>0</v>
      </c>
      <c r="L242" s="151" t="s">
        <v>860</v>
      </c>
      <c r="M242" s="151">
        <v>1</v>
      </c>
      <c r="N242" s="151" t="s">
        <v>1783</v>
      </c>
      <c r="O242" s="151">
        <v>0</v>
      </c>
      <c r="P242" s="102">
        <v>0</v>
      </c>
      <c r="Q242" s="151">
        <v>1</v>
      </c>
      <c r="R242" s="151">
        <v>1</v>
      </c>
      <c r="S242" s="151">
        <v>0</v>
      </c>
      <c r="T242" s="48"/>
      <c r="V242" s="49" t="str">
        <f t="shared" si="32"/>
        <v>1</v>
      </c>
      <c r="W242" s="49" t="str">
        <f t="shared" si="33"/>
        <v>0</v>
      </c>
      <c r="X242" s="49" t="str">
        <f t="shared" si="34"/>
        <v>0</v>
      </c>
      <c r="Y242" s="49">
        <f t="shared" si="35"/>
        <v>0</v>
      </c>
      <c r="Z242" s="49">
        <f t="shared" si="35"/>
        <v>0</v>
      </c>
      <c r="AA242" s="49">
        <f t="shared" si="36"/>
        <v>1</v>
      </c>
      <c r="AB242" s="49" t="str">
        <f t="shared" si="39"/>
        <v>1</v>
      </c>
      <c r="AC242" s="49">
        <f t="shared" si="37"/>
        <v>0</v>
      </c>
      <c r="AD242" s="49">
        <v>0</v>
      </c>
      <c r="AE242" s="49" t="str">
        <f t="shared" si="38"/>
        <v>C01</v>
      </c>
    </row>
    <row r="243" spans="1:31" ht="14.45" customHeight="1" x14ac:dyDescent="0.15">
      <c r="A243" s="42" t="str">
        <f t="shared" si="31"/>
        <v>0</v>
      </c>
      <c r="B243" s="43">
        <v>241</v>
      </c>
      <c r="C243" s="102" t="s">
        <v>580</v>
      </c>
      <c r="D243" s="93" t="s">
        <v>1789</v>
      </c>
      <c r="E243" s="99" t="s">
        <v>1790</v>
      </c>
      <c r="F243" s="101" t="s">
        <v>1791</v>
      </c>
      <c r="G243" s="177">
        <v>1700</v>
      </c>
      <c r="H243" s="151">
        <v>3000</v>
      </c>
      <c r="I243" s="102">
        <v>0</v>
      </c>
      <c r="J243" s="151">
        <v>0</v>
      </c>
      <c r="K243" s="151">
        <v>0</v>
      </c>
      <c r="L243" s="151" t="s">
        <v>860</v>
      </c>
      <c r="M243" s="151">
        <v>0.1</v>
      </c>
      <c r="N243" s="151" t="s">
        <v>1783</v>
      </c>
      <c r="O243" s="151">
        <v>0</v>
      </c>
      <c r="P243" s="102">
        <v>0</v>
      </c>
      <c r="Q243" s="151">
        <v>1</v>
      </c>
      <c r="R243" s="151">
        <v>4</v>
      </c>
      <c r="S243" s="151">
        <v>0</v>
      </c>
      <c r="T243" s="48"/>
      <c r="V243" s="49" t="str">
        <f t="shared" si="32"/>
        <v>1</v>
      </c>
      <c r="W243" s="49" t="str">
        <f t="shared" si="33"/>
        <v>1</v>
      </c>
      <c r="X243" s="49" t="str">
        <f t="shared" si="34"/>
        <v>0</v>
      </c>
      <c r="Y243" s="49">
        <f t="shared" si="35"/>
        <v>0</v>
      </c>
      <c r="Z243" s="49">
        <f t="shared" si="35"/>
        <v>0</v>
      </c>
      <c r="AA243" s="49">
        <f t="shared" si="36"/>
        <v>1</v>
      </c>
      <c r="AB243" s="49" t="str">
        <f t="shared" si="39"/>
        <v>100</v>
      </c>
      <c r="AC243" s="49">
        <f t="shared" si="37"/>
        <v>0</v>
      </c>
      <c r="AD243" s="49">
        <v>0</v>
      </c>
      <c r="AE243" s="49" t="str">
        <f t="shared" si="38"/>
        <v>32405</v>
      </c>
    </row>
    <row r="244" spans="1:31" s="118" customFormat="1" x14ac:dyDescent="0.15">
      <c r="A244" s="115" t="str">
        <f t="shared" si="31"/>
        <v>0</v>
      </c>
      <c r="B244" s="116">
        <v>242</v>
      </c>
      <c r="C244" s="102" t="s">
        <v>581</v>
      </c>
      <c r="D244" s="93" t="s">
        <v>1792</v>
      </c>
      <c r="E244" s="99" t="s">
        <v>1793</v>
      </c>
      <c r="F244" s="101" t="s">
        <v>856</v>
      </c>
      <c r="G244" s="153">
        <v>1000</v>
      </c>
      <c r="H244" s="105">
        <v>65535</v>
      </c>
      <c r="I244" s="105">
        <v>0</v>
      </c>
      <c r="J244" s="105">
        <v>0</v>
      </c>
      <c r="K244" s="105">
        <v>0</v>
      </c>
      <c r="L244" s="105" t="s">
        <v>1794</v>
      </c>
      <c r="M244" s="105">
        <v>1E-3</v>
      </c>
      <c r="N244" s="105" t="s">
        <v>1783</v>
      </c>
      <c r="O244" s="105">
        <v>0</v>
      </c>
      <c r="P244" s="105">
        <v>0</v>
      </c>
      <c r="Q244" s="105">
        <v>1</v>
      </c>
      <c r="R244" s="105">
        <v>5</v>
      </c>
      <c r="S244" s="105">
        <v>0</v>
      </c>
      <c r="T244" s="124"/>
      <c r="V244" s="118" t="str">
        <f t="shared" si="32"/>
        <v>0</v>
      </c>
      <c r="W244" s="118" t="str">
        <f t="shared" si="33"/>
        <v>11</v>
      </c>
      <c r="X244" s="118" t="str">
        <f t="shared" si="34"/>
        <v>0</v>
      </c>
      <c r="Y244" s="118">
        <f t="shared" si="35"/>
        <v>0</v>
      </c>
      <c r="Z244" s="118">
        <f t="shared" si="35"/>
        <v>0</v>
      </c>
      <c r="AA244" s="118">
        <f t="shared" si="36"/>
        <v>1</v>
      </c>
      <c r="AB244" s="118" t="str">
        <f t="shared" si="39"/>
        <v>101</v>
      </c>
      <c r="AC244" s="118">
        <f t="shared" si="37"/>
        <v>0</v>
      </c>
      <c r="AD244" s="118">
        <v>0</v>
      </c>
      <c r="AE244" s="118" t="str">
        <f t="shared" si="38"/>
        <v>32C2C</v>
      </c>
    </row>
    <row r="245" spans="1:31" ht="14.45" customHeight="1" x14ac:dyDescent="0.15">
      <c r="A245" s="42" t="str">
        <f t="shared" si="31"/>
        <v>0</v>
      </c>
      <c r="B245" s="43">
        <v>243</v>
      </c>
      <c r="C245" s="44" t="s">
        <v>582</v>
      </c>
      <c r="D245" s="93" t="s">
        <v>1792</v>
      </c>
      <c r="E245" s="99" t="s">
        <v>61</v>
      </c>
      <c r="F245" s="101" t="s">
        <v>856</v>
      </c>
      <c r="G245" s="138">
        <v>1000</v>
      </c>
      <c r="H245" s="105">
        <v>65535</v>
      </c>
      <c r="I245" s="105">
        <v>0</v>
      </c>
      <c r="J245" s="105">
        <v>0</v>
      </c>
      <c r="K245" s="105">
        <v>0</v>
      </c>
      <c r="L245" s="105" t="s">
        <v>1003</v>
      </c>
      <c r="M245" s="105">
        <v>1E-3</v>
      </c>
      <c r="N245" s="105" t="s">
        <v>1004</v>
      </c>
      <c r="O245" s="105">
        <v>0</v>
      </c>
      <c r="P245" s="105">
        <v>0</v>
      </c>
      <c r="Q245" s="105">
        <v>1</v>
      </c>
      <c r="R245" s="105">
        <v>5</v>
      </c>
      <c r="S245" s="105">
        <v>0</v>
      </c>
      <c r="T245" s="48"/>
      <c r="V245" s="49" t="str">
        <f t="shared" si="32"/>
        <v>0</v>
      </c>
      <c r="W245" s="49" t="str">
        <f t="shared" si="33"/>
        <v>11</v>
      </c>
      <c r="X245" s="49" t="str">
        <f>DEC2BIN(14)</f>
        <v>1110</v>
      </c>
      <c r="Y245" s="49">
        <f t="shared" si="35"/>
        <v>0</v>
      </c>
      <c r="Z245" s="49">
        <f t="shared" si="35"/>
        <v>0</v>
      </c>
      <c r="AA245" s="49">
        <f t="shared" si="36"/>
        <v>1</v>
      </c>
      <c r="AB245" s="49" t="str">
        <f t="shared" si="39"/>
        <v>101</v>
      </c>
      <c r="AC245" s="49">
        <f t="shared" si="37"/>
        <v>0</v>
      </c>
      <c r="AD245" s="49">
        <v>0</v>
      </c>
      <c r="AE245" s="49" t="str">
        <f t="shared" si="38"/>
        <v>3718C</v>
      </c>
    </row>
    <row r="246" spans="1:31" ht="167.25" x14ac:dyDescent="0.15">
      <c r="A246" s="42" t="str">
        <f t="shared" si="31"/>
        <v>0</v>
      </c>
      <c r="B246" s="43">
        <v>244</v>
      </c>
      <c r="C246" s="38" t="s">
        <v>583</v>
      </c>
      <c r="D246" s="50" t="s">
        <v>1475</v>
      </c>
      <c r="E246" s="51" t="s">
        <v>115</v>
      </c>
      <c r="F246" s="69" t="s">
        <v>116</v>
      </c>
      <c r="G246" s="52">
        <v>0</v>
      </c>
      <c r="H246" s="53">
        <v>8</v>
      </c>
      <c r="I246" s="38">
        <v>0</v>
      </c>
      <c r="J246" s="53">
        <v>0</v>
      </c>
      <c r="K246" s="53">
        <v>0</v>
      </c>
      <c r="L246" s="53" t="s">
        <v>860</v>
      </c>
      <c r="M246" s="53">
        <v>1</v>
      </c>
      <c r="N246" s="53" t="s">
        <v>1601</v>
      </c>
      <c r="O246" s="53">
        <v>0</v>
      </c>
      <c r="P246" s="38">
        <v>1</v>
      </c>
      <c r="Q246" s="53">
        <v>1</v>
      </c>
      <c r="R246" s="53">
        <v>1</v>
      </c>
      <c r="S246" s="53">
        <v>0</v>
      </c>
      <c r="T246" s="53"/>
      <c r="V246" s="49" t="str">
        <f t="shared" si="32"/>
        <v>1</v>
      </c>
      <c r="W246" s="49" t="str">
        <f t="shared" si="33"/>
        <v>0</v>
      </c>
      <c r="X246" s="49" t="str">
        <f t="shared" si="34"/>
        <v>0</v>
      </c>
      <c r="Y246" s="49">
        <f t="shared" si="35"/>
        <v>0</v>
      </c>
      <c r="Z246" s="49">
        <f t="shared" si="35"/>
        <v>1</v>
      </c>
      <c r="AA246" s="49">
        <f t="shared" si="36"/>
        <v>1</v>
      </c>
      <c r="AB246" s="49" t="str">
        <f t="shared" si="39"/>
        <v>1</v>
      </c>
      <c r="AC246" s="49">
        <f t="shared" si="37"/>
        <v>0</v>
      </c>
      <c r="AD246" s="49">
        <v>0</v>
      </c>
      <c r="AE246" s="49" t="str">
        <f t="shared" si="38"/>
        <v>E01</v>
      </c>
    </row>
    <row r="247" spans="1:31" x14ac:dyDescent="0.15">
      <c r="A247" s="42" t="str">
        <f t="shared" si="31"/>
        <v>0</v>
      </c>
      <c r="B247" s="43">
        <v>245</v>
      </c>
      <c r="C247" s="38" t="s">
        <v>584</v>
      </c>
      <c r="D247" s="50" t="s">
        <v>1476</v>
      </c>
      <c r="E247" s="51" t="s">
        <v>117</v>
      </c>
      <c r="F247" s="72" t="s">
        <v>855</v>
      </c>
      <c r="G247" s="52">
        <v>5000</v>
      </c>
      <c r="H247" s="53">
        <v>60000</v>
      </c>
      <c r="I247" s="38">
        <v>0</v>
      </c>
      <c r="J247" s="53" t="s">
        <v>118</v>
      </c>
      <c r="K247" s="53">
        <v>0</v>
      </c>
      <c r="L247" s="53" t="s">
        <v>860</v>
      </c>
      <c r="M247" s="53">
        <v>0.01</v>
      </c>
      <c r="N247" s="53" t="s">
        <v>1628</v>
      </c>
      <c r="O247" s="53">
        <v>0</v>
      </c>
      <c r="P247" s="38">
        <v>0</v>
      </c>
      <c r="Q247" s="53">
        <v>1</v>
      </c>
      <c r="R247" s="53">
        <v>5</v>
      </c>
      <c r="S247" s="53">
        <v>0</v>
      </c>
      <c r="T247" s="53"/>
      <c r="V247" s="49" t="str">
        <f t="shared" si="32"/>
        <v>1</v>
      </c>
      <c r="W247" s="49" t="str">
        <f t="shared" si="33"/>
        <v>10</v>
      </c>
      <c r="X247" s="49" t="str">
        <f t="shared" si="34"/>
        <v>0</v>
      </c>
      <c r="Y247" s="49">
        <f t="shared" si="35"/>
        <v>0</v>
      </c>
      <c r="Z247" s="49">
        <f t="shared" si="35"/>
        <v>0</v>
      </c>
      <c r="AA247" s="49">
        <f t="shared" si="36"/>
        <v>1</v>
      </c>
      <c r="AB247" s="49" t="str">
        <f t="shared" si="39"/>
        <v>101</v>
      </c>
      <c r="AC247" s="49">
        <f t="shared" si="37"/>
        <v>0</v>
      </c>
      <c r="AD247" s="49">
        <v>0</v>
      </c>
      <c r="AE247" s="49" t="str">
        <f t="shared" si="38"/>
        <v>32C29</v>
      </c>
    </row>
    <row r="248" spans="1:31" ht="23.25" x14ac:dyDescent="0.15">
      <c r="A248" s="42" t="str">
        <f t="shared" si="31"/>
        <v>0</v>
      </c>
      <c r="B248" s="43">
        <v>246</v>
      </c>
      <c r="C248" s="38" t="s">
        <v>585</v>
      </c>
      <c r="D248" s="50" t="s">
        <v>1477</v>
      </c>
      <c r="E248" s="51" t="s">
        <v>119</v>
      </c>
      <c r="F248" s="72" t="s">
        <v>120</v>
      </c>
      <c r="G248" s="52">
        <v>1000</v>
      </c>
      <c r="H248" s="53">
        <v>1000</v>
      </c>
      <c r="I248" s="38">
        <v>0</v>
      </c>
      <c r="J248" s="53">
        <v>0</v>
      </c>
      <c r="K248" s="53">
        <v>0</v>
      </c>
      <c r="L248" s="53" t="s">
        <v>860</v>
      </c>
      <c r="M248" s="53">
        <v>0.1</v>
      </c>
      <c r="N248" s="53" t="s">
        <v>1634</v>
      </c>
      <c r="O248" s="53">
        <v>0</v>
      </c>
      <c r="P248" s="38">
        <v>0</v>
      </c>
      <c r="Q248" s="53">
        <v>1</v>
      </c>
      <c r="R248" s="53">
        <v>4</v>
      </c>
      <c r="S248" s="53">
        <v>0</v>
      </c>
      <c r="T248" s="53"/>
      <c r="V248" s="49" t="str">
        <f t="shared" si="32"/>
        <v>1</v>
      </c>
      <c r="W248" s="49" t="str">
        <f t="shared" si="33"/>
        <v>1</v>
      </c>
      <c r="X248" s="49" t="e">
        <f t="shared" si="34"/>
        <v>#N/A</v>
      </c>
      <c r="Y248" s="49">
        <f t="shared" si="35"/>
        <v>0</v>
      </c>
      <c r="Z248" s="49">
        <f t="shared" si="35"/>
        <v>0</v>
      </c>
      <c r="AA248" s="49">
        <f t="shared" si="36"/>
        <v>1</v>
      </c>
      <c r="AB248" s="49" t="str">
        <f t="shared" si="39"/>
        <v>100</v>
      </c>
      <c r="AC248" s="49">
        <f t="shared" si="37"/>
        <v>0</v>
      </c>
      <c r="AD248" s="49">
        <v>0</v>
      </c>
      <c r="AE248" s="49" t="e">
        <f t="shared" si="38"/>
        <v>#N/A</v>
      </c>
    </row>
    <row r="249" spans="1:31" x14ac:dyDescent="0.15">
      <c r="A249" s="42" t="str">
        <f t="shared" si="31"/>
        <v>0</v>
      </c>
      <c r="B249" s="43">
        <v>247</v>
      </c>
      <c r="C249" s="38" t="s">
        <v>586</v>
      </c>
      <c r="D249" s="50" t="s">
        <v>1478</v>
      </c>
      <c r="E249" s="51" t="s">
        <v>121</v>
      </c>
      <c r="F249" s="72" t="s">
        <v>1059</v>
      </c>
      <c r="G249" s="52">
        <v>0</v>
      </c>
      <c r="H249" s="53">
        <v>60000</v>
      </c>
      <c r="I249" s="38">
        <v>0</v>
      </c>
      <c r="J249" s="53" t="s">
        <v>122</v>
      </c>
      <c r="K249" s="53" t="s">
        <v>123</v>
      </c>
      <c r="L249" s="53" t="s">
        <v>860</v>
      </c>
      <c r="M249" s="53">
        <v>0.01</v>
      </c>
      <c r="N249" s="53" t="s">
        <v>1628</v>
      </c>
      <c r="O249" s="53">
        <v>0</v>
      </c>
      <c r="P249" s="38">
        <v>0</v>
      </c>
      <c r="Q249" s="53">
        <v>1</v>
      </c>
      <c r="R249" s="53">
        <v>5</v>
      </c>
      <c r="S249" s="53">
        <v>0</v>
      </c>
      <c r="T249" s="53"/>
      <c r="V249" s="49" t="str">
        <f t="shared" si="32"/>
        <v>1</v>
      </c>
      <c r="W249" s="49" t="str">
        <f t="shared" si="33"/>
        <v>10</v>
      </c>
      <c r="X249" s="49" t="str">
        <f t="shared" si="34"/>
        <v>0</v>
      </c>
      <c r="Y249" s="49">
        <f t="shared" si="35"/>
        <v>0</v>
      </c>
      <c r="Z249" s="49">
        <f t="shared" si="35"/>
        <v>0</v>
      </c>
      <c r="AA249" s="49">
        <f t="shared" si="36"/>
        <v>1</v>
      </c>
      <c r="AB249" s="49" t="str">
        <f t="shared" si="39"/>
        <v>101</v>
      </c>
      <c r="AC249" s="49">
        <f t="shared" si="37"/>
        <v>0</v>
      </c>
      <c r="AD249" s="49">
        <v>0</v>
      </c>
      <c r="AE249" s="49" t="str">
        <f t="shared" si="38"/>
        <v>32C29</v>
      </c>
    </row>
    <row r="250" spans="1:31" x14ac:dyDescent="0.15">
      <c r="A250" s="42" t="str">
        <f t="shared" si="31"/>
        <v>0</v>
      </c>
      <c r="B250" s="43">
        <v>248</v>
      </c>
      <c r="C250" s="38" t="s">
        <v>587</v>
      </c>
      <c r="D250" s="50" t="s">
        <v>1479</v>
      </c>
      <c r="E250" s="51" t="s">
        <v>124</v>
      </c>
      <c r="F250" s="72" t="s">
        <v>1060</v>
      </c>
      <c r="G250" s="52">
        <v>0</v>
      </c>
      <c r="H250" s="53">
        <v>1000</v>
      </c>
      <c r="I250" s="38">
        <v>0</v>
      </c>
      <c r="J250" s="53">
        <v>0</v>
      </c>
      <c r="K250" s="53">
        <v>0</v>
      </c>
      <c r="L250" s="53" t="s">
        <v>860</v>
      </c>
      <c r="M250" s="53">
        <v>0.1</v>
      </c>
      <c r="N250" s="53" t="s">
        <v>1634</v>
      </c>
      <c r="O250" s="53">
        <v>0</v>
      </c>
      <c r="P250" s="38">
        <v>0</v>
      </c>
      <c r="Q250" s="53">
        <v>1</v>
      </c>
      <c r="R250" s="53">
        <v>4</v>
      </c>
      <c r="S250" s="53">
        <v>0</v>
      </c>
      <c r="T250" s="53"/>
      <c r="V250" s="49" t="str">
        <f t="shared" si="32"/>
        <v>1</v>
      </c>
      <c r="W250" s="49" t="str">
        <f t="shared" si="33"/>
        <v>1</v>
      </c>
      <c r="X250" s="49" t="e">
        <f t="shared" si="34"/>
        <v>#N/A</v>
      </c>
      <c r="Y250" s="49">
        <f t="shared" si="35"/>
        <v>0</v>
      </c>
      <c r="Z250" s="49">
        <f t="shared" si="35"/>
        <v>0</v>
      </c>
      <c r="AA250" s="49">
        <f t="shared" si="36"/>
        <v>1</v>
      </c>
      <c r="AB250" s="49" t="str">
        <f t="shared" si="39"/>
        <v>100</v>
      </c>
      <c r="AC250" s="49">
        <f t="shared" si="37"/>
        <v>0</v>
      </c>
      <c r="AD250" s="49">
        <v>0</v>
      </c>
      <c r="AE250" s="49" t="e">
        <f t="shared" si="38"/>
        <v>#N/A</v>
      </c>
    </row>
    <row r="251" spans="1:31" x14ac:dyDescent="0.15">
      <c r="A251" s="42" t="str">
        <f t="shared" si="31"/>
        <v>0</v>
      </c>
      <c r="B251" s="43">
        <v>249</v>
      </c>
      <c r="C251" s="38" t="s">
        <v>588</v>
      </c>
      <c r="D251" s="50" t="s">
        <v>1480</v>
      </c>
      <c r="E251" s="51" t="s">
        <v>125</v>
      </c>
      <c r="F251" s="72" t="s">
        <v>1061</v>
      </c>
      <c r="G251" s="52">
        <v>0</v>
      </c>
      <c r="H251" s="53">
        <v>60000</v>
      </c>
      <c r="I251" s="38">
        <v>0</v>
      </c>
      <c r="J251" s="53" t="s">
        <v>126</v>
      </c>
      <c r="K251" s="53" t="s">
        <v>127</v>
      </c>
      <c r="L251" s="53" t="s">
        <v>860</v>
      </c>
      <c r="M251" s="53">
        <v>0.01</v>
      </c>
      <c r="N251" s="53" t="s">
        <v>1628</v>
      </c>
      <c r="O251" s="70">
        <v>0</v>
      </c>
      <c r="P251" s="38">
        <v>0</v>
      </c>
      <c r="Q251" s="53">
        <v>1</v>
      </c>
      <c r="R251" s="53">
        <v>5</v>
      </c>
      <c r="S251" s="53">
        <v>0</v>
      </c>
      <c r="T251" s="53"/>
      <c r="V251" s="49" t="str">
        <f t="shared" si="32"/>
        <v>1</v>
      </c>
      <c r="W251" s="49" t="str">
        <f t="shared" si="33"/>
        <v>10</v>
      </c>
      <c r="X251" s="49" t="str">
        <f t="shared" si="34"/>
        <v>0</v>
      </c>
      <c r="Y251" s="49">
        <f t="shared" si="35"/>
        <v>0</v>
      </c>
      <c r="Z251" s="49">
        <f t="shared" si="35"/>
        <v>0</v>
      </c>
      <c r="AA251" s="49">
        <f t="shared" si="36"/>
        <v>1</v>
      </c>
      <c r="AB251" s="49" t="str">
        <f t="shared" si="39"/>
        <v>101</v>
      </c>
      <c r="AC251" s="49">
        <f t="shared" si="37"/>
        <v>0</v>
      </c>
      <c r="AD251" s="49">
        <v>0</v>
      </c>
      <c r="AE251" s="49" t="str">
        <f t="shared" si="38"/>
        <v>32C29</v>
      </c>
    </row>
    <row r="252" spans="1:31" x14ac:dyDescent="0.15">
      <c r="A252" s="42" t="str">
        <f t="shared" si="31"/>
        <v>0</v>
      </c>
      <c r="B252" s="43">
        <v>250</v>
      </c>
      <c r="C252" s="38" t="s">
        <v>589</v>
      </c>
      <c r="D252" s="50" t="s">
        <v>1481</v>
      </c>
      <c r="E252" s="51" t="s">
        <v>128</v>
      </c>
      <c r="F252" s="72" t="s">
        <v>1026</v>
      </c>
      <c r="G252" s="52">
        <v>0</v>
      </c>
      <c r="H252" s="53">
        <v>1000</v>
      </c>
      <c r="I252" s="38">
        <v>0</v>
      </c>
      <c r="J252" s="53">
        <v>0</v>
      </c>
      <c r="K252" s="53">
        <v>0</v>
      </c>
      <c r="L252" s="53" t="s">
        <v>860</v>
      </c>
      <c r="M252" s="53">
        <v>0.1</v>
      </c>
      <c r="N252" s="53" t="s">
        <v>1634</v>
      </c>
      <c r="O252" s="70">
        <v>0</v>
      </c>
      <c r="P252" s="38">
        <v>0</v>
      </c>
      <c r="Q252" s="53">
        <v>1</v>
      </c>
      <c r="R252" s="53">
        <v>4</v>
      </c>
      <c r="S252" s="53">
        <v>0</v>
      </c>
      <c r="T252" s="53"/>
      <c r="V252" s="49" t="str">
        <f t="shared" si="32"/>
        <v>1</v>
      </c>
      <c r="W252" s="49" t="str">
        <f t="shared" si="33"/>
        <v>1</v>
      </c>
      <c r="X252" s="49" t="e">
        <f t="shared" si="34"/>
        <v>#N/A</v>
      </c>
      <c r="Y252" s="49">
        <f t="shared" si="35"/>
        <v>0</v>
      </c>
      <c r="Z252" s="49">
        <f t="shared" si="35"/>
        <v>0</v>
      </c>
      <c r="AA252" s="49">
        <f t="shared" si="36"/>
        <v>1</v>
      </c>
      <c r="AB252" s="49" t="str">
        <f t="shared" si="39"/>
        <v>100</v>
      </c>
      <c r="AC252" s="49">
        <f t="shared" si="37"/>
        <v>0</v>
      </c>
      <c r="AD252" s="49">
        <v>0</v>
      </c>
      <c r="AE252" s="49" t="e">
        <f t="shared" si="38"/>
        <v>#N/A</v>
      </c>
    </row>
    <row r="253" spans="1:31" x14ac:dyDescent="0.15">
      <c r="A253" s="42" t="str">
        <f t="shared" si="31"/>
        <v>0</v>
      </c>
      <c r="B253" s="43">
        <v>251</v>
      </c>
      <c r="C253" s="38" t="s">
        <v>590</v>
      </c>
      <c r="D253" s="50" t="s">
        <v>1482</v>
      </c>
      <c r="E253" s="51" t="s">
        <v>129</v>
      </c>
      <c r="F253" s="72" t="s">
        <v>1062</v>
      </c>
      <c r="G253" s="52">
        <v>0</v>
      </c>
      <c r="H253" s="53">
        <v>60000</v>
      </c>
      <c r="I253" s="38">
        <v>0</v>
      </c>
      <c r="J253" s="53" t="s">
        <v>123</v>
      </c>
      <c r="K253" s="53">
        <v>0</v>
      </c>
      <c r="L253" s="53" t="s">
        <v>860</v>
      </c>
      <c r="M253" s="53">
        <v>0.01</v>
      </c>
      <c r="N253" s="53" t="s">
        <v>1628</v>
      </c>
      <c r="O253" s="70">
        <v>0</v>
      </c>
      <c r="P253" s="38">
        <v>0</v>
      </c>
      <c r="Q253" s="53">
        <v>1</v>
      </c>
      <c r="R253" s="53">
        <v>5</v>
      </c>
      <c r="S253" s="53">
        <v>0</v>
      </c>
      <c r="T253" s="53"/>
      <c r="V253" s="49" t="str">
        <f t="shared" si="32"/>
        <v>1</v>
      </c>
      <c r="W253" s="49" t="str">
        <f t="shared" si="33"/>
        <v>10</v>
      </c>
      <c r="X253" s="49" t="str">
        <f t="shared" si="34"/>
        <v>0</v>
      </c>
      <c r="Y253" s="49">
        <f t="shared" si="35"/>
        <v>0</v>
      </c>
      <c r="Z253" s="49">
        <f t="shared" si="35"/>
        <v>0</v>
      </c>
      <c r="AA253" s="49">
        <f t="shared" si="36"/>
        <v>1</v>
      </c>
      <c r="AB253" s="49" t="str">
        <f t="shared" si="39"/>
        <v>101</v>
      </c>
      <c r="AC253" s="49">
        <f t="shared" si="37"/>
        <v>0</v>
      </c>
      <c r="AD253" s="49">
        <v>0</v>
      </c>
      <c r="AE253" s="49" t="str">
        <f t="shared" si="38"/>
        <v>32C29</v>
      </c>
    </row>
    <row r="254" spans="1:31" x14ac:dyDescent="0.15">
      <c r="A254" s="42" t="str">
        <f t="shared" si="31"/>
        <v>0</v>
      </c>
      <c r="B254" s="43">
        <v>252</v>
      </c>
      <c r="C254" s="38" t="s">
        <v>591</v>
      </c>
      <c r="D254" s="50" t="s">
        <v>1483</v>
      </c>
      <c r="E254" s="51" t="s">
        <v>130</v>
      </c>
      <c r="F254" s="72" t="s">
        <v>1026</v>
      </c>
      <c r="G254" s="52">
        <v>0</v>
      </c>
      <c r="H254" s="53">
        <v>1000</v>
      </c>
      <c r="I254" s="38">
        <v>0</v>
      </c>
      <c r="J254" s="53">
        <v>0</v>
      </c>
      <c r="K254" s="53">
        <v>0</v>
      </c>
      <c r="L254" s="53" t="s">
        <v>860</v>
      </c>
      <c r="M254" s="53">
        <v>0.1</v>
      </c>
      <c r="N254" s="53" t="s">
        <v>1634</v>
      </c>
      <c r="O254" s="70">
        <v>0</v>
      </c>
      <c r="P254" s="38">
        <v>0</v>
      </c>
      <c r="Q254" s="53">
        <v>1</v>
      </c>
      <c r="R254" s="53">
        <v>4</v>
      </c>
      <c r="S254" s="53">
        <v>0</v>
      </c>
      <c r="T254" s="53"/>
      <c r="V254" s="49" t="str">
        <f t="shared" si="32"/>
        <v>1</v>
      </c>
      <c r="W254" s="49" t="str">
        <f t="shared" si="33"/>
        <v>1</v>
      </c>
      <c r="X254" s="49" t="e">
        <f t="shared" si="34"/>
        <v>#N/A</v>
      </c>
      <c r="Y254" s="49">
        <f t="shared" si="35"/>
        <v>0</v>
      </c>
      <c r="Z254" s="49">
        <f t="shared" si="35"/>
        <v>0</v>
      </c>
      <c r="AA254" s="49">
        <f t="shared" si="36"/>
        <v>1</v>
      </c>
      <c r="AB254" s="49" t="str">
        <f t="shared" si="39"/>
        <v>100</v>
      </c>
      <c r="AC254" s="49">
        <f t="shared" si="37"/>
        <v>0</v>
      </c>
      <c r="AD254" s="49">
        <v>0</v>
      </c>
      <c r="AE254" s="49" t="e">
        <f t="shared" si="38"/>
        <v>#N/A</v>
      </c>
    </row>
    <row r="255" spans="1:31" ht="23.25" x14ac:dyDescent="0.15">
      <c r="A255" s="42" t="str">
        <f t="shared" si="31"/>
        <v>0</v>
      </c>
      <c r="B255" s="43">
        <v>253</v>
      </c>
      <c r="C255" s="38" t="s">
        <v>592</v>
      </c>
      <c r="D255" s="50" t="s">
        <v>131</v>
      </c>
      <c r="E255" s="51" t="s">
        <v>132</v>
      </c>
      <c r="F255" s="72" t="s">
        <v>133</v>
      </c>
      <c r="G255" s="52">
        <v>0</v>
      </c>
      <c r="H255" s="53">
        <v>300</v>
      </c>
      <c r="I255" s="38">
        <v>0</v>
      </c>
      <c r="J255" s="53">
        <v>0</v>
      </c>
      <c r="K255" s="53">
        <v>0</v>
      </c>
      <c r="L255" s="53" t="s">
        <v>1696</v>
      </c>
      <c r="M255" s="53">
        <v>0.1</v>
      </c>
      <c r="N255" s="53" t="s">
        <v>1719</v>
      </c>
      <c r="O255" s="70">
        <v>0</v>
      </c>
      <c r="P255" s="38">
        <v>0</v>
      </c>
      <c r="Q255" s="53">
        <v>1</v>
      </c>
      <c r="R255" s="53">
        <v>3</v>
      </c>
      <c r="S255" s="53">
        <v>0</v>
      </c>
      <c r="T255" s="53"/>
      <c r="V255" s="49" t="str">
        <f t="shared" si="32"/>
        <v>0</v>
      </c>
      <c r="W255" s="49" t="str">
        <f t="shared" si="33"/>
        <v>1</v>
      </c>
      <c r="X255" s="49" t="e">
        <f t="shared" si="34"/>
        <v>#N/A</v>
      </c>
      <c r="Y255" s="49">
        <f t="shared" si="35"/>
        <v>0</v>
      </c>
      <c r="Z255" s="49">
        <f t="shared" si="35"/>
        <v>0</v>
      </c>
      <c r="AA255" s="49">
        <f t="shared" si="36"/>
        <v>1</v>
      </c>
      <c r="AB255" s="49" t="str">
        <f t="shared" si="39"/>
        <v>11</v>
      </c>
      <c r="AC255" s="49">
        <f t="shared" si="37"/>
        <v>0</v>
      </c>
      <c r="AD255" s="49">
        <v>0</v>
      </c>
      <c r="AE255" s="49" t="e">
        <f t="shared" si="38"/>
        <v>#N/A</v>
      </c>
    </row>
    <row r="256" spans="1:31" x14ac:dyDescent="0.15">
      <c r="A256" s="42" t="str">
        <f t="shared" si="31"/>
        <v>0</v>
      </c>
      <c r="B256" s="43">
        <v>254</v>
      </c>
      <c r="C256" s="38" t="s">
        <v>593</v>
      </c>
      <c r="D256" s="50" t="s">
        <v>836</v>
      </c>
      <c r="E256" s="51" t="s">
        <v>134</v>
      </c>
      <c r="F256" s="72" t="s">
        <v>135</v>
      </c>
      <c r="G256" s="52">
        <v>1000</v>
      </c>
      <c r="H256" s="53">
        <v>4000</v>
      </c>
      <c r="I256" s="38">
        <v>0</v>
      </c>
      <c r="J256" s="53">
        <v>0</v>
      </c>
      <c r="K256" s="53">
        <v>0</v>
      </c>
      <c r="L256" s="53" t="s">
        <v>859</v>
      </c>
      <c r="M256" s="53">
        <v>0.1</v>
      </c>
      <c r="N256" s="53" t="s">
        <v>1719</v>
      </c>
      <c r="O256" s="70">
        <v>0</v>
      </c>
      <c r="P256" s="38">
        <v>0</v>
      </c>
      <c r="Q256" s="53">
        <v>1</v>
      </c>
      <c r="R256" s="53">
        <v>4</v>
      </c>
      <c r="S256" s="53">
        <v>0</v>
      </c>
      <c r="T256" s="53"/>
      <c r="V256" s="49" t="str">
        <f t="shared" si="32"/>
        <v>0</v>
      </c>
      <c r="W256" s="49" t="str">
        <f t="shared" si="33"/>
        <v>1</v>
      </c>
      <c r="X256" s="49" t="e">
        <f t="shared" si="34"/>
        <v>#N/A</v>
      </c>
      <c r="Y256" s="49">
        <f t="shared" si="35"/>
        <v>0</v>
      </c>
      <c r="Z256" s="49">
        <f t="shared" si="35"/>
        <v>0</v>
      </c>
      <c r="AA256" s="49">
        <f t="shared" si="36"/>
        <v>1</v>
      </c>
      <c r="AB256" s="49" t="str">
        <f t="shared" si="39"/>
        <v>100</v>
      </c>
      <c r="AC256" s="49">
        <f t="shared" si="37"/>
        <v>0</v>
      </c>
      <c r="AD256" s="49">
        <v>0</v>
      </c>
      <c r="AE256" s="49" t="e">
        <f t="shared" si="38"/>
        <v>#N/A</v>
      </c>
    </row>
    <row r="257" spans="1:31" x14ac:dyDescent="0.15">
      <c r="A257" s="42" t="str">
        <f t="shared" si="31"/>
        <v>0</v>
      </c>
      <c r="B257" s="43">
        <v>255</v>
      </c>
      <c r="C257" s="38" t="s">
        <v>594</v>
      </c>
      <c r="D257" s="50" t="s">
        <v>136</v>
      </c>
      <c r="E257" s="51" t="s">
        <v>137</v>
      </c>
      <c r="F257" s="72" t="s">
        <v>1328</v>
      </c>
      <c r="G257" s="52">
        <v>0</v>
      </c>
      <c r="H257" s="53">
        <v>1000</v>
      </c>
      <c r="I257" s="38">
        <v>0</v>
      </c>
      <c r="J257" s="53">
        <v>0</v>
      </c>
      <c r="K257" s="53">
        <v>0</v>
      </c>
      <c r="L257" s="53" t="s">
        <v>859</v>
      </c>
      <c r="M257" s="53">
        <v>0.01</v>
      </c>
      <c r="N257" s="53" t="s">
        <v>1648</v>
      </c>
      <c r="O257" s="70">
        <v>0</v>
      </c>
      <c r="P257" s="38">
        <v>0</v>
      </c>
      <c r="Q257" s="53">
        <v>1</v>
      </c>
      <c r="R257" s="53">
        <v>4</v>
      </c>
      <c r="S257" s="53">
        <v>0</v>
      </c>
      <c r="T257" s="53"/>
      <c r="V257" s="49" t="str">
        <f t="shared" si="32"/>
        <v>0</v>
      </c>
      <c r="W257" s="49" t="str">
        <f t="shared" si="33"/>
        <v>10</v>
      </c>
      <c r="X257" s="49" t="str">
        <f t="shared" si="34"/>
        <v>0</v>
      </c>
      <c r="Y257" s="49">
        <f t="shared" si="35"/>
        <v>0</v>
      </c>
      <c r="Z257" s="49">
        <f t="shared" si="35"/>
        <v>0</v>
      </c>
      <c r="AA257" s="49">
        <f t="shared" si="36"/>
        <v>1</v>
      </c>
      <c r="AB257" s="49" t="str">
        <f t="shared" si="39"/>
        <v>100</v>
      </c>
      <c r="AC257" s="49">
        <f t="shared" si="37"/>
        <v>0</v>
      </c>
      <c r="AD257" s="49">
        <v>0</v>
      </c>
      <c r="AE257" s="49" t="str">
        <f t="shared" si="38"/>
        <v>32428</v>
      </c>
    </row>
    <row r="258" spans="1:31" ht="67.5" x14ac:dyDescent="0.15">
      <c r="A258" s="42" t="str">
        <f t="shared" si="31"/>
        <v>0</v>
      </c>
      <c r="B258" s="43">
        <v>256</v>
      </c>
      <c r="C258" s="38" t="s">
        <v>595</v>
      </c>
      <c r="D258" s="50" t="s">
        <v>138</v>
      </c>
      <c r="E258" s="51" t="s">
        <v>139</v>
      </c>
      <c r="F258" s="69" t="s">
        <v>140</v>
      </c>
      <c r="G258" s="52">
        <v>1</v>
      </c>
      <c r="H258" s="53">
        <v>5</v>
      </c>
      <c r="I258" s="38">
        <v>0</v>
      </c>
      <c r="J258" s="53">
        <v>0</v>
      </c>
      <c r="K258" s="53">
        <v>0</v>
      </c>
      <c r="L258" s="53" t="s">
        <v>860</v>
      </c>
      <c r="M258" s="53">
        <v>1</v>
      </c>
      <c r="N258" s="53" t="s">
        <v>1660</v>
      </c>
      <c r="O258" s="70">
        <v>0</v>
      </c>
      <c r="P258" s="38">
        <v>0</v>
      </c>
      <c r="Q258" s="53">
        <v>1</v>
      </c>
      <c r="R258" s="53">
        <v>1</v>
      </c>
      <c r="S258" s="53">
        <v>0</v>
      </c>
      <c r="T258" s="53"/>
      <c r="V258" s="49" t="str">
        <f t="shared" si="32"/>
        <v>1</v>
      </c>
      <c r="W258" s="49" t="str">
        <f t="shared" si="33"/>
        <v>0</v>
      </c>
      <c r="X258" s="49" t="str">
        <f t="shared" si="34"/>
        <v>0</v>
      </c>
      <c r="Y258" s="49">
        <f t="shared" si="35"/>
        <v>0</v>
      </c>
      <c r="Z258" s="49">
        <f t="shared" si="35"/>
        <v>0</v>
      </c>
      <c r="AA258" s="49">
        <f t="shared" si="36"/>
        <v>1</v>
      </c>
      <c r="AB258" s="49" t="str">
        <f t="shared" si="39"/>
        <v>1</v>
      </c>
      <c r="AC258" s="49">
        <f t="shared" si="37"/>
        <v>0</v>
      </c>
      <c r="AD258" s="49">
        <v>0</v>
      </c>
      <c r="AE258" s="49" t="str">
        <f t="shared" si="38"/>
        <v>C01</v>
      </c>
    </row>
    <row r="259" spans="1:31" x14ac:dyDescent="0.15">
      <c r="A259" s="42" t="str">
        <f t="shared" si="31"/>
        <v>0</v>
      </c>
      <c r="B259" s="43">
        <v>257</v>
      </c>
      <c r="C259" s="38" t="s">
        <v>913</v>
      </c>
      <c r="D259" s="50" t="s">
        <v>141</v>
      </c>
      <c r="E259" s="51" t="s">
        <v>142</v>
      </c>
      <c r="F259" s="72" t="s">
        <v>1064</v>
      </c>
      <c r="G259" s="52">
        <v>1600</v>
      </c>
      <c r="H259" s="53">
        <v>2000</v>
      </c>
      <c r="I259" s="38">
        <v>200</v>
      </c>
      <c r="J259" s="53">
        <v>0</v>
      </c>
      <c r="K259" s="53">
        <v>0</v>
      </c>
      <c r="L259" s="53" t="s">
        <v>859</v>
      </c>
      <c r="M259" s="53">
        <v>0.1</v>
      </c>
      <c r="N259" s="53" t="s">
        <v>1719</v>
      </c>
      <c r="O259" s="70">
        <v>0</v>
      </c>
      <c r="P259" s="38">
        <v>0</v>
      </c>
      <c r="Q259" s="53">
        <v>1</v>
      </c>
      <c r="R259" s="53">
        <v>4</v>
      </c>
      <c r="S259" s="53">
        <v>0</v>
      </c>
      <c r="T259" s="53"/>
      <c r="V259" s="49" t="str">
        <f t="shared" si="32"/>
        <v>0</v>
      </c>
      <c r="W259" s="49" t="str">
        <f t="shared" si="33"/>
        <v>1</v>
      </c>
      <c r="X259" s="49" t="e">
        <f t="shared" si="34"/>
        <v>#N/A</v>
      </c>
      <c r="Y259" s="49">
        <f t="shared" si="35"/>
        <v>0</v>
      </c>
      <c r="Z259" s="49">
        <f t="shared" si="35"/>
        <v>0</v>
      </c>
      <c r="AA259" s="49">
        <f t="shared" si="36"/>
        <v>1</v>
      </c>
      <c r="AB259" s="49" t="str">
        <f t="shared" si="39"/>
        <v>100</v>
      </c>
      <c r="AC259" s="49">
        <f t="shared" si="37"/>
        <v>0</v>
      </c>
      <c r="AD259" s="49">
        <v>0</v>
      </c>
      <c r="AE259" s="49" t="e">
        <f t="shared" si="38"/>
        <v>#N/A</v>
      </c>
    </row>
    <row r="260" spans="1:31" ht="14.45" customHeight="1" x14ac:dyDescent="0.15">
      <c r="A260" s="42" t="str">
        <f t="shared" ref="A260:A323" si="40">DEC2HEX(AH260)</f>
        <v>0</v>
      </c>
      <c r="B260" s="43">
        <v>258</v>
      </c>
      <c r="C260" s="38" t="s">
        <v>596</v>
      </c>
      <c r="D260" s="50" t="s">
        <v>143</v>
      </c>
      <c r="E260" s="51" t="s">
        <v>144</v>
      </c>
      <c r="F260" s="72" t="s">
        <v>145</v>
      </c>
      <c r="G260" s="73">
        <v>500</v>
      </c>
      <c r="H260" s="53">
        <v>1000</v>
      </c>
      <c r="I260" s="38">
        <v>1</v>
      </c>
      <c r="J260" s="53">
        <v>0</v>
      </c>
      <c r="K260" s="53">
        <v>0</v>
      </c>
      <c r="L260" s="53" t="s">
        <v>859</v>
      </c>
      <c r="M260" s="53">
        <v>1E-3</v>
      </c>
      <c r="N260" s="53" t="s">
        <v>1660</v>
      </c>
      <c r="O260" s="70">
        <v>0</v>
      </c>
      <c r="P260" s="38">
        <v>0</v>
      </c>
      <c r="Q260" s="53">
        <v>1</v>
      </c>
      <c r="R260" s="53">
        <v>4</v>
      </c>
      <c r="S260" s="53">
        <v>0</v>
      </c>
      <c r="T260" s="53"/>
      <c r="V260" s="49" t="str">
        <f t="shared" si="32"/>
        <v>0</v>
      </c>
      <c r="W260" s="49" t="str">
        <f t="shared" si="33"/>
        <v>11</v>
      </c>
      <c r="X260" s="49" t="str">
        <f t="shared" si="34"/>
        <v>0</v>
      </c>
      <c r="Y260" s="49">
        <f t="shared" si="35"/>
        <v>0</v>
      </c>
      <c r="Z260" s="49">
        <f t="shared" si="35"/>
        <v>0</v>
      </c>
      <c r="AA260" s="49">
        <f t="shared" si="36"/>
        <v>1</v>
      </c>
      <c r="AB260" s="49" t="str">
        <f t="shared" si="39"/>
        <v>100</v>
      </c>
      <c r="AC260" s="49">
        <f t="shared" si="37"/>
        <v>0</v>
      </c>
      <c r="AD260" s="49">
        <v>0</v>
      </c>
      <c r="AE260" s="49" t="str">
        <f t="shared" si="38"/>
        <v>3242C</v>
      </c>
    </row>
    <row r="261" spans="1:31" x14ac:dyDescent="0.15">
      <c r="A261" s="42" t="str">
        <f t="shared" si="40"/>
        <v>0</v>
      </c>
      <c r="B261" s="43">
        <v>259</v>
      </c>
      <c r="C261" s="38" t="s">
        <v>597</v>
      </c>
      <c r="D261" s="50" t="s">
        <v>146</v>
      </c>
      <c r="E261" s="51" t="s">
        <v>147</v>
      </c>
      <c r="F261" s="72" t="s">
        <v>148</v>
      </c>
      <c r="G261" s="52">
        <v>0</v>
      </c>
      <c r="H261" s="53">
        <v>400</v>
      </c>
      <c r="I261" s="38">
        <v>0</v>
      </c>
      <c r="J261" s="53">
        <v>0</v>
      </c>
      <c r="K261" s="53">
        <v>0</v>
      </c>
      <c r="L261" s="53" t="s">
        <v>859</v>
      </c>
      <c r="M261" s="53">
        <v>0.1</v>
      </c>
      <c r="N261" s="53" t="s">
        <v>1719</v>
      </c>
      <c r="O261" s="70">
        <v>0</v>
      </c>
      <c r="P261" s="38">
        <v>0</v>
      </c>
      <c r="Q261" s="53">
        <v>1</v>
      </c>
      <c r="R261" s="53">
        <v>3</v>
      </c>
      <c r="S261" s="53">
        <v>0</v>
      </c>
      <c r="T261" s="53"/>
      <c r="V261" s="49" t="str">
        <f t="shared" si="32"/>
        <v>0</v>
      </c>
      <c r="W261" s="49" t="str">
        <f t="shared" si="33"/>
        <v>1</v>
      </c>
      <c r="X261" s="49" t="str">
        <f>DEC2BIN(14)</f>
        <v>1110</v>
      </c>
      <c r="Y261" s="49">
        <f t="shared" si="35"/>
        <v>0</v>
      </c>
      <c r="Z261" s="49">
        <f t="shared" si="35"/>
        <v>0</v>
      </c>
      <c r="AA261" s="49">
        <f t="shared" si="36"/>
        <v>1</v>
      </c>
      <c r="AB261" s="49" t="str">
        <f t="shared" si="39"/>
        <v>11</v>
      </c>
      <c r="AC261" s="49">
        <f t="shared" si="37"/>
        <v>0</v>
      </c>
      <c r="AD261" s="49">
        <v>0</v>
      </c>
      <c r="AE261" s="49" t="str">
        <f t="shared" si="38"/>
        <v>A164</v>
      </c>
    </row>
    <row r="262" spans="1:31" x14ac:dyDescent="0.15">
      <c r="A262" s="42" t="str">
        <f t="shared" si="40"/>
        <v>0</v>
      </c>
      <c r="B262" s="43">
        <v>260</v>
      </c>
      <c r="C262" s="38" t="s">
        <v>598</v>
      </c>
      <c r="D262" s="50" t="s">
        <v>149</v>
      </c>
      <c r="E262" s="51" t="s">
        <v>150</v>
      </c>
      <c r="F262" s="69" t="s">
        <v>151</v>
      </c>
      <c r="G262" s="52">
        <v>16</v>
      </c>
      <c r="H262" s="53">
        <v>3000</v>
      </c>
      <c r="I262" s="38">
        <v>0</v>
      </c>
      <c r="J262" s="53">
        <v>0</v>
      </c>
      <c r="K262" s="53">
        <v>0</v>
      </c>
      <c r="L262" s="53" t="s">
        <v>859</v>
      </c>
      <c r="M262" s="53">
        <v>1</v>
      </c>
      <c r="N262" s="53" t="s">
        <v>1660</v>
      </c>
      <c r="O262" s="70">
        <v>0</v>
      </c>
      <c r="P262" s="38">
        <v>0</v>
      </c>
      <c r="Q262" s="53">
        <v>1</v>
      </c>
      <c r="R262" s="53">
        <v>4</v>
      </c>
      <c r="S262" s="53">
        <v>0</v>
      </c>
      <c r="T262" s="53"/>
      <c r="V262" s="49" t="str">
        <f t="shared" si="32"/>
        <v>0</v>
      </c>
      <c r="W262" s="49" t="str">
        <f t="shared" si="33"/>
        <v>0</v>
      </c>
      <c r="X262" s="49" t="str">
        <f>DEC2BIN(14)</f>
        <v>1110</v>
      </c>
      <c r="Y262" s="49">
        <f t="shared" si="35"/>
        <v>0</v>
      </c>
      <c r="Z262" s="49">
        <f t="shared" si="35"/>
        <v>0</v>
      </c>
      <c r="AA262" s="49">
        <f t="shared" si="36"/>
        <v>1</v>
      </c>
      <c r="AB262" s="49" t="str">
        <f t="shared" si="39"/>
        <v>100</v>
      </c>
      <c r="AC262" s="49">
        <f t="shared" si="37"/>
        <v>0</v>
      </c>
      <c r="AD262" s="49">
        <v>0</v>
      </c>
      <c r="AE262" s="49" t="str">
        <f t="shared" si="38"/>
        <v>36960</v>
      </c>
    </row>
    <row r="263" spans="1:31" x14ac:dyDescent="0.15">
      <c r="A263" s="42" t="str">
        <f t="shared" si="40"/>
        <v>0</v>
      </c>
      <c r="B263" s="43">
        <v>261</v>
      </c>
      <c r="C263" s="38" t="s">
        <v>599</v>
      </c>
      <c r="D263" s="50" t="s">
        <v>152</v>
      </c>
      <c r="E263" s="51" t="s">
        <v>153</v>
      </c>
      <c r="F263" s="69" t="s">
        <v>151</v>
      </c>
      <c r="G263" s="52">
        <v>20</v>
      </c>
      <c r="H263" s="53">
        <v>3000</v>
      </c>
      <c r="I263" s="38">
        <v>0</v>
      </c>
      <c r="J263" s="53">
        <v>0</v>
      </c>
      <c r="K263" s="53">
        <v>0</v>
      </c>
      <c r="L263" s="53" t="s">
        <v>859</v>
      </c>
      <c r="M263" s="53">
        <v>1</v>
      </c>
      <c r="N263" s="53" t="s">
        <v>1660</v>
      </c>
      <c r="O263" s="70">
        <v>0</v>
      </c>
      <c r="P263" s="38">
        <v>0</v>
      </c>
      <c r="Q263" s="53">
        <v>1</v>
      </c>
      <c r="R263" s="53">
        <v>4</v>
      </c>
      <c r="S263" s="53">
        <v>0</v>
      </c>
      <c r="T263" s="53"/>
      <c r="V263" s="49" t="str">
        <f t="shared" si="32"/>
        <v>0</v>
      </c>
      <c r="W263" s="49" t="str">
        <f t="shared" si="33"/>
        <v>0</v>
      </c>
      <c r="X263" s="49" t="str">
        <f>DEC2BIN(14)</f>
        <v>1110</v>
      </c>
      <c r="Y263" s="49">
        <f t="shared" si="35"/>
        <v>0</v>
      </c>
      <c r="Z263" s="49">
        <f t="shared" si="35"/>
        <v>0</v>
      </c>
      <c r="AA263" s="49">
        <f t="shared" si="36"/>
        <v>1</v>
      </c>
      <c r="AB263" s="49" t="str">
        <f t="shared" si="39"/>
        <v>100</v>
      </c>
      <c r="AC263" s="49">
        <f t="shared" si="37"/>
        <v>0</v>
      </c>
      <c r="AD263" s="49">
        <v>0</v>
      </c>
      <c r="AE263" s="49" t="str">
        <f t="shared" si="38"/>
        <v>36960</v>
      </c>
    </row>
    <row r="264" spans="1:31" ht="72" x14ac:dyDescent="0.15">
      <c r="A264" s="42" t="str">
        <f t="shared" si="40"/>
        <v>0</v>
      </c>
      <c r="B264" s="43">
        <v>262</v>
      </c>
      <c r="C264" s="38" t="s">
        <v>600</v>
      </c>
      <c r="D264" s="50" t="s">
        <v>1065</v>
      </c>
      <c r="E264" s="51" t="s">
        <v>154</v>
      </c>
      <c r="F264" s="69" t="s">
        <v>155</v>
      </c>
      <c r="G264" s="52">
        <v>0</v>
      </c>
      <c r="H264" s="53">
        <v>5</v>
      </c>
      <c r="I264" s="38">
        <v>0</v>
      </c>
      <c r="J264" s="53">
        <v>0</v>
      </c>
      <c r="K264" s="53">
        <v>0</v>
      </c>
      <c r="L264" s="53" t="s">
        <v>1653</v>
      </c>
      <c r="M264" s="53">
        <v>1</v>
      </c>
      <c r="N264" s="53" t="s">
        <v>1660</v>
      </c>
      <c r="O264" s="70">
        <v>0</v>
      </c>
      <c r="P264" s="38">
        <v>0</v>
      </c>
      <c r="Q264" s="53">
        <v>1</v>
      </c>
      <c r="R264" s="53">
        <v>1</v>
      </c>
      <c r="S264" s="53">
        <v>0</v>
      </c>
      <c r="T264" s="53"/>
      <c r="V264" s="49" t="str">
        <f t="shared" si="32"/>
        <v>1</v>
      </c>
      <c r="W264" s="49" t="str">
        <f t="shared" si="33"/>
        <v>0</v>
      </c>
      <c r="X264" s="49" t="str">
        <f>DEC2BIN(14)</f>
        <v>1110</v>
      </c>
      <c r="Y264" s="49">
        <f t="shared" si="35"/>
        <v>0</v>
      </c>
      <c r="Z264" s="49">
        <f t="shared" si="35"/>
        <v>0</v>
      </c>
      <c r="AA264" s="49">
        <f t="shared" si="36"/>
        <v>1</v>
      </c>
      <c r="AB264" s="49" t="str">
        <f t="shared" si="39"/>
        <v>1</v>
      </c>
      <c r="AC264" s="49">
        <f t="shared" si="37"/>
        <v>0</v>
      </c>
      <c r="AD264" s="49">
        <v>0</v>
      </c>
      <c r="AE264" s="49" t="str">
        <f t="shared" si="38"/>
        <v>5161</v>
      </c>
    </row>
    <row r="265" spans="1:31" ht="23.25" customHeight="1" x14ac:dyDescent="0.15">
      <c r="A265" s="42" t="str">
        <f t="shared" si="40"/>
        <v>0</v>
      </c>
      <c r="B265" s="43">
        <v>263</v>
      </c>
      <c r="C265" s="38" t="s">
        <v>601</v>
      </c>
      <c r="D265" s="50" t="s">
        <v>1066</v>
      </c>
      <c r="E265" s="51" t="s">
        <v>156</v>
      </c>
      <c r="F265" s="72" t="s">
        <v>157</v>
      </c>
      <c r="G265" s="52">
        <v>0</v>
      </c>
      <c r="H265" s="53">
        <v>1000</v>
      </c>
      <c r="I265" s="38">
        <v>0</v>
      </c>
      <c r="J265" s="53">
        <v>0</v>
      </c>
      <c r="K265" s="53">
        <v>0</v>
      </c>
      <c r="L265" s="53" t="s">
        <v>859</v>
      </c>
      <c r="M265" s="53">
        <v>0.1</v>
      </c>
      <c r="N265" s="53" t="s">
        <v>1719</v>
      </c>
      <c r="O265" s="53">
        <v>0</v>
      </c>
      <c r="P265" s="38">
        <v>0</v>
      </c>
      <c r="Q265" s="53">
        <v>1</v>
      </c>
      <c r="R265" s="53">
        <v>4</v>
      </c>
      <c r="S265" s="53">
        <v>0</v>
      </c>
      <c r="T265" s="53"/>
      <c r="V265" s="49" t="str">
        <f t="shared" ref="V265:V333" si="41">IF(L265="△",DEC2BIN(0),IF(L265="×",DEC2BIN(1),IF(L265="◎",DEC2BIN(2),DEC2BIN(3))))</f>
        <v>0</v>
      </c>
      <c r="W265" s="49" t="str">
        <f t="shared" ref="W265:W333" si="42">IF(M265=1,DEC2BIN(0),IF(M265=0.1,DEC2BIN(1),IF(M265=0.01,DEC2BIN(2),DEC2BIN(3))))</f>
        <v>1</v>
      </c>
      <c r="X265" s="49" t="str">
        <f>DEC2BIN(14)</f>
        <v>1110</v>
      </c>
      <c r="Y265" s="49">
        <f t="shared" ref="Y265:Z333" si="43">O265</f>
        <v>0</v>
      </c>
      <c r="Z265" s="49">
        <f t="shared" si="43"/>
        <v>0</v>
      </c>
      <c r="AA265" s="49">
        <f t="shared" ref="AA265:AA333" si="44">Q265</f>
        <v>1</v>
      </c>
      <c r="AB265" s="49" t="str">
        <f t="shared" si="39"/>
        <v>100</v>
      </c>
      <c r="AC265" s="49">
        <f t="shared" ref="AC265:AC333" si="45">S265</f>
        <v>0</v>
      </c>
      <c r="AD265" s="49">
        <v>0</v>
      </c>
      <c r="AE265" s="49" t="str">
        <f t="shared" ref="AE265:AE333" si="46">DEC2HEX(V265+W265*4+X265*16+Y265*256+Z265*512+AA265*1024+AB265*2048+AC265*16384)</f>
        <v>36964</v>
      </c>
    </row>
    <row r="266" spans="1:31" ht="23.25" customHeight="1" x14ac:dyDescent="0.15">
      <c r="A266" s="42" t="str">
        <f t="shared" si="40"/>
        <v>0</v>
      </c>
      <c r="B266" s="43">
        <v>264</v>
      </c>
      <c r="C266" s="38" t="s">
        <v>602</v>
      </c>
      <c r="D266" s="50" t="s">
        <v>1067</v>
      </c>
      <c r="E266" s="51" t="s">
        <v>158</v>
      </c>
      <c r="F266" s="72" t="s">
        <v>159</v>
      </c>
      <c r="G266" s="52">
        <v>1</v>
      </c>
      <c r="H266" s="53">
        <v>60000</v>
      </c>
      <c r="I266" s="38">
        <v>0</v>
      </c>
      <c r="J266" s="53">
        <v>0</v>
      </c>
      <c r="K266" s="53">
        <v>0</v>
      </c>
      <c r="L266" s="53" t="s">
        <v>859</v>
      </c>
      <c r="M266" s="53">
        <v>0.01</v>
      </c>
      <c r="N266" s="53" t="s">
        <v>1697</v>
      </c>
      <c r="O266" s="53">
        <v>0</v>
      </c>
      <c r="P266" s="38">
        <v>0</v>
      </c>
      <c r="Q266" s="53">
        <v>1</v>
      </c>
      <c r="R266" s="53">
        <v>5</v>
      </c>
      <c r="S266" s="53">
        <v>0</v>
      </c>
      <c r="T266" s="53"/>
      <c r="V266" s="49" t="str">
        <f t="shared" si="41"/>
        <v>0</v>
      </c>
      <c r="W266" s="49" t="str">
        <f t="shared" si="42"/>
        <v>10</v>
      </c>
      <c r="X266" s="49" t="str">
        <f t="shared" ref="X266:X333" si="47">LOOKUP(N266,$AG$2:$AG$17,$AH$2:$AH$17)</f>
        <v>0</v>
      </c>
      <c r="Y266" s="49">
        <f t="shared" si="43"/>
        <v>0</v>
      </c>
      <c r="Z266" s="49">
        <f t="shared" si="43"/>
        <v>0</v>
      </c>
      <c r="AA266" s="49">
        <f t="shared" si="44"/>
        <v>1</v>
      </c>
      <c r="AB266" s="49" t="str">
        <f t="shared" ref="AB266:AB334" si="48">DEC2BIN(R266)</f>
        <v>101</v>
      </c>
      <c r="AC266" s="49">
        <f t="shared" si="45"/>
        <v>0</v>
      </c>
      <c r="AD266" s="49">
        <v>0</v>
      </c>
      <c r="AE266" s="49" t="str">
        <f t="shared" si="46"/>
        <v>32C28</v>
      </c>
    </row>
    <row r="267" spans="1:31" ht="23.25" customHeight="1" x14ac:dyDescent="0.15">
      <c r="A267" s="42" t="str">
        <f t="shared" si="40"/>
        <v>0</v>
      </c>
      <c r="B267" s="43">
        <v>265</v>
      </c>
      <c r="C267" s="44" t="s">
        <v>603</v>
      </c>
      <c r="D267" s="25" t="s">
        <v>160</v>
      </c>
      <c r="E267" s="99" t="s">
        <v>161</v>
      </c>
      <c r="F267" s="46" t="s">
        <v>162</v>
      </c>
      <c r="G267" s="94">
        <v>1</v>
      </c>
      <c r="H267" s="48">
        <v>1</v>
      </c>
      <c r="I267" s="44">
        <v>0</v>
      </c>
      <c r="J267" s="48">
        <v>0</v>
      </c>
      <c r="K267" s="48">
        <v>0</v>
      </c>
      <c r="L267" s="48" t="s">
        <v>860</v>
      </c>
      <c r="M267" s="48">
        <v>1</v>
      </c>
      <c r="N267" s="48" t="s">
        <v>1660</v>
      </c>
      <c r="O267" s="48">
        <v>0</v>
      </c>
      <c r="P267" s="44">
        <v>1</v>
      </c>
      <c r="Q267" s="48">
        <v>1</v>
      </c>
      <c r="R267" s="48">
        <v>1</v>
      </c>
      <c r="S267" s="48">
        <v>0</v>
      </c>
      <c r="T267" s="48"/>
      <c r="V267" s="49" t="str">
        <f t="shared" si="41"/>
        <v>1</v>
      </c>
      <c r="W267" s="49" t="str">
        <f t="shared" si="42"/>
        <v>0</v>
      </c>
      <c r="X267" s="49" t="str">
        <f>DEC2BIN(14)</f>
        <v>1110</v>
      </c>
      <c r="Y267" s="49">
        <f t="shared" si="43"/>
        <v>0</v>
      </c>
      <c r="Z267" s="49">
        <f t="shared" si="43"/>
        <v>1</v>
      </c>
      <c r="AA267" s="49">
        <f t="shared" si="44"/>
        <v>1</v>
      </c>
      <c r="AB267" s="49" t="str">
        <f t="shared" si="48"/>
        <v>1</v>
      </c>
      <c r="AC267" s="49">
        <f t="shared" si="45"/>
        <v>0</v>
      </c>
      <c r="AD267" s="49">
        <v>0</v>
      </c>
      <c r="AE267" s="49" t="str">
        <f t="shared" si="46"/>
        <v>5361</v>
      </c>
    </row>
    <row r="268" spans="1:31" ht="14.45" customHeight="1" x14ac:dyDescent="0.15">
      <c r="A268" s="42" t="str">
        <f t="shared" si="40"/>
        <v>0</v>
      </c>
      <c r="B268" s="43">
        <v>266</v>
      </c>
      <c r="C268" s="44" t="s">
        <v>604</v>
      </c>
      <c r="D268" s="25" t="s">
        <v>163</v>
      </c>
      <c r="E268" s="45" t="s">
        <v>164</v>
      </c>
      <c r="F268" s="46" t="s">
        <v>165</v>
      </c>
      <c r="G268" s="174">
        <v>3</v>
      </c>
      <c r="H268" s="48">
        <v>200</v>
      </c>
      <c r="I268" s="44">
        <v>0</v>
      </c>
      <c r="J268" s="48">
        <v>0</v>
      </c>
      <c r="K268" s="48">
        <v>0</v>
      </c>
      <c r="L268" s="48" t="s">
        <v>859</v>
      </c>
      <c r="M268" s="48">
        <v>0.1</v>
      </c>
      <c r="N268" s="48" t="s">
        <v>1601</v>
      </c>
      <c r="O268" s="48">
        <v>0</v>
      </c>
      <c r="P268" s="44">
        <v>0</v>
      </c>
      <c r="Q268" s="48">
        <v>1</v>
      </c>
      <c r="R268" s="48">
        <v>3</v>
      </c>
      <c r="S268" s="48">
        <v>0</v>
      </c>
      <c r="T268" s="48"/>
      <c r="V268" s="49" t="str">
        <f t="shared" si="41"/>
        <v>0</v>
      </c>
      <c r="W268" s="49" t="str">
        <f t="shared" si="42"/>
        <v>1</v>
      </c>
      <c r="X268" s="49" t="str">
        <f t="shared" si="47"/>
        <v>0</v>
      </c>
      <c r="Y268" s="49">
        <f t="shared" si="43"/>
        <v>0</v>
      </c>
      <c r="Z268" s="49">
        <f t="shared" si="43"/>
        <v>0</v>
      </c>
      <c r="AA268" s="49">
        <f t="shared" si="44"/>
        <v>1</v>
      </c>
      <c r="AB268" s="49" t="str">
        <f t="shared" si="48"/>
        <v>11</v>
      </c>
      <c r="AC268" s="49">
        <f t="shared" si="45"/>
        <v>0</v>
      </c>
      <c r="AD268" s="49">
        <v>0</v>
      </c>
      <c r="AE268" s="49" t="str">
        <f t="shared" si="46"/>
        <v>5C04</v>
      </c>
    </row>
    <row r="269" spans="1:31" ht="14.45" customHeight="1" x14ac:dyDescent="0.15">
      <c r="A269" s="42" t="str">
        <f t="shared" si="40"/>
        <v>0</v>
      </c>
      <c r="B269" s="43">
        <v>267</v>
      </c>
      <c r="C269" s="44" t="s">
        <v>605</v>
      </c>
      <c r="D269" s="25" t="s">
        <v>166</v>
      </c>
      <c r="E269" s="45" t="s">
        <v>167</v>
      </c>
      <c r="F269" s="46" t="s">
        <v>168</v>
      </c>
      <c r="G269" s="174">
        <v>500</v>
      </c>
      <c r="H269" s="48">
        <v>8000</v>
      </c>
      <c r="I269" s="44">
        <v>0</v>
      </c>
      <c r="J269" s="48">
        <v>0</v>
      </c>
      <c r="K269" s="48">
        <v>0</v>
      </c>
      <c r="L269" s="48" t="s">
        <v>859</v>
      </c>
      <c r="M269" s="48">
        <v>1E-3</v>
      </c>
      <c r="N269" s="48" t="s">
        <v>1644</v>
      </c>
      <c r="O269" s="48">
        <v>0</v>
      </c>
      <c r="P269" s="44">
        <v>0</v>
      </c>
      <c r="Q269" s="48">
        <v>1</v>
      </c>
      <c r="R269" s="48">
        <v>4</v>
      </c>
      <c r="S269" s="48">
        <v>0</v>
      </c>
      <c r="T269" s="48"/>
      <c r="V269" s="49" t="str">
        <f t="shared" si="41"/>
        <v>0</v>
      </c>
      <c r="W269" s="49" t="str">
        <f t="shared" si="42"/>
        <v>11</v>
      </c>
      <c r="X269" s="49" t="str">
        <f>DEC2BIN(14)</f>
        <v>1110</v>
      </c>
      <c r="Y269" s="49">
        <f t="shared" si="43"/>
        <v>0</v>
      </c>
      <c r="Z269" s="49">
        <f t="shared" si="43"/>
        <v>0</v>
      </c>
      <c r="AA269" s="49">
        <f t="shared" si="44"/>
        <v>1</v>
      </c>
      <c r="AB269" s="49" t="str">
        <f t="shared" si="48"/>
        <v>100</v>
      </c>
      <c r="AC269" s="49">
        <f t="shared" si="45"/>
        <v>0</v>
      </c>
      <c r="AD269" s="49">
        <v>0</v>
      </c>
      <c r="AE269" s="49" t="str">
        <f t="shared" si="46"/>
        <v>3698C</v>
      </c>
    </row>
    <row r="270" spans="1:31" ht="14.45" customHeight="1" x14ac:dyDescent="0.15">
      <c r="A270" s="42" t="str">
        <f t="shared" si="40"/>
        <v>0</v>
      </c>
      <c r="B270" s="43">
        <v>268</v>
      </c>
      <c r="C270" s="44" t="s">
        <v>606</v>
      </c>
      <c r="D270" s="25" t="s">
        <v>169</v>
      </c>
      <c r="E270" s="45" t="s">
        <v>170</v>
      </c>
      <c r="F270" s="46" t="s">
        <v>165</v>
      </c>
      <c r="G270" s="174">
        <v>3</v>
      </c>
      <c r="H270" s="48">
        <v>200</v>
      </c>
      <c r="I270" s="44">
        <v>0</v>
      </c>
      <c r="J270" s="48">
        <v>0</v>
      </c>
      <c r="K270" s="48">
        <v>0</v>
      </c>
      <c r="L270" s="48" t="s">
        <v>859</v>
      </c>
      <c r="M270" s="48">
        <v>0.1</v>
      </c>
      <c r="N270" s="48" t="s">
        <v>1601</v>
      </c>
      <c r="O270" s="48">
        <v>0</v>
      </c>
      <c r="P270" s="44">
        <v>0</v>
      </c>
      <c r="Q270" s="48">
        <v>1</v>
      </c>
      <c r="R270" s="48">
        <v>3</v>
      </c>
      <c r="S270" s="48">
        <v>0</v>
      </c>
      <c r="T270" s="48"/>
      <c r="V270" s="49" t="str">
        <f t="shared" si="41"/>
        <v>0</v>
      </c>
      <c r="W270" s="49" t="str">
        <f t="shared" si="42"/>
        <v>1</v>
      </c>
      <c r="X270" s="49" t="str">
        <f t="shared" si="47"/>
        <v>0</v>
      </c>
      <c r="Y270" s="49">
        <f t="shared" si="43"/>
        <v>0</v>
      </c>
      <c r="Z270" s="49">
        <f t="shared" si="43"/>
        <v>0</v>
      </c>
      <c r="AA270" s="49">
        <f t="shared" si="44"/>
        <v>1</v>
      </c>
      <c r="AB270" s="49" t="str">
        <f t="shared" si="48"/>
        <v>11</v>
      </c>
      <c r="AC270" s="49">
        <f t="shared" si="45"/>
        <v>0</v>
      </c>
      <c r="AD270" s="49">
        <v>0</v>
      </c>
      <c r="AE270" s="49" t="str">
        <f t="shared" si="46"/>
        <v>5C04</v>
      </c>
    </row>
    <row r="271" spans="1:31" ht="14.45" customHeight="1" x14ac:dyDescent="0.15">
      <c r="A271" s="42" t="str">
        <f t="shared" si="40"/>
        <v>0</v>
      </c>
      <c r="B271" s="43">
        <v>269</v>
      </c>
      <c r="C271" s="44" t="s">
        <v>607</v>
      </c>
      <c r="D271" s="25" t="s">
        <v>171</v>
      </c>
      <c r="E271" s="45" t="s">
        <v>172</v>
      </c>
      <c r="F271" s="46" t="s">
        <v>168</v>
      </c>
      <c r="G271" s="94">
        <v>500</v>
      </c>
      <c r="H271" s="48">
        <v>8000</v>
      </c>
      <c r="I271" s="44">
        <v>0</v>
      </c>
      <c r="J271" s="48">
        <v>0</v>
      </c>
      <c r="K271" s="48">
        <v>0</v>
      </c>
      <c r="L271" s="48" t="s">
        <v>859</v>
      </c>
      <c r="M271" s="48">
        <v>1E-3</v>
      </c>
      <c r="N271" s="48" t="s">
        <v>1644</v>
      </c>
      <c r="O271" s="48">
        <v>0</v>
      </c>
      <c r="P271" s="44">
        <v>0</v>
      </c>
      <c r="Q271" s="48">
        <v>1</v>
      </c>
      <c r="R271" s="48">
        <v>4</v>
      </c>
      <c r="S271" s="48">
        <v>0</v>
      </c>
      <c r="T271" s="48"/>
      <c r="V271" s="49" t="str">
        <f t="shared" si="41"/>
        <v>0</v>
      </c>
      <c r="W271" s="49" t="str">
        <f t="shared" si="42"/>
        <v>11</v>
      </c>
      <c r="X271" s="49" t="str">
        <f t="shared" si="47"/>
        <v>0</v>
      </c>
      <c r="Y271" s="49">
        <f t="shared" si="43"/>
        <v>0</v>
      </c>
      <c r="Z271" s="49">
        <f t="shared" si="43"/>
        <v>0</v>
      </c>
      <c r="AA271" s="49">
        <f t="shared" si="44"/>
        <v>1</v>
      </c>
      <c r="AB271" s="49" t="str">
        <f t="shared" si="48"/>
        <v>100</v>
      </c>
      <c r="AC271" s="49">
        <f t="shared" si="45"/>
        <v>0</v>
      </c>
      <c r="AD271" s="49">
        <v>0</v>
      </c>
      <c r="AE271" s="49" t="str">
        <f t="shared" si="46"/>
        <v>3242C</v>
      </c>
    </row>
    <row r="272" spans="1:31" x14ac:dyDescent="0.15">
      <c r="A272" s="42" t="str">
        <f t="shared" si="40"/>
        <v>0</v>
      </c>
      <c r="B272" s="43">
        <v>270</v>
      </c>
      <c r="C272" s="44" t="s">
        <v>608</v>
      </c>
      <c r="D272" s="25" t="s">
        <v>1484</v>
      </c>
      <c r="E272" s="45" t="s">
        <v>173</v>
      </c>
      <c r="F272" s="46" t="s">
        <v>174</v>
      </c>
      <c r="G272" s="139">
        <v>500</v>
      </c>
      <c r="H272" s="48">
        <v>60000</v>
      </c>
      <c r="I272" s="44">
        <v>0</v>
      </c>
      <c r="J272" s="48" t="s">
        <v>175</v>
      </c>
      <c r="K272" s="48">
        <v>0</v>
      </c>
      <c r="L272" s="48" t="s">
        <v>859</v>
      </c>
      <c r="M272" s="48">
        <v>0.01</v>
      </c>
      <c r="N272" s="48" t="s">
        <v>1628</v>
      </c>
      <c r="O272" s="48">
        <v>0</v>
      </c>
      <c r="P272" s="44">
        <v>0</v>
      </c>
      <c r="Q272" s="48">
        <v>1</v>
      </c>
      <c r="R272" s="48">
        <v>5</v>
      </c>
      <c r="S272" s="48">
        <v>0</v>
      </c>
      <c r="T272" s="48"/>
      <c r="V272" s="49" t="str">
        <f t="shared" si="41"/>
        <v>0</v>
      </c>
      <c r="W272" s="49" t="str">
        <f t="shared" si="42"/>
        <v>10</v>
      </c>
      <c r="X272" s="49" t="str">
        <f>DEC2BIN(14)</f>
        <v>1110</v>
      </c>
      <c r="Y272" s="49">
        <f t="shared" si="43"/>
        <v>0</v>
      </c>
      <c r="Z272" s="49">
        <f t="shared" si="43"/>
        <v>0</v>
      </c>
      <c r="AA272" s="49">
        <f t="shared" si="44"/>
        <v>1</v>
      </c>
      <c r="AB272" s="49" t="str">
        <f t="shared" si="48"/>
        <v>101</v>
      </c>
      <c r="AC272" s="49">
        <f t="shared" si="45"/>
        <v>0</v>
      </c>
      <c r="AD272" s="49">
        <v>0</v>
      </c>
      <c r="AE272" s="49" t="str">
        <f t="shared" si="46"/>
        <v>37188</v>
      </c>
    </row>
    <row r="273" spans="1:31" x14ac:dyDescent="0.15">
      <c r="A273" s="42" t="str">
        <f t="shared" si="40"/>
        <v>0</v>
      </c>
      <c r="B273" s="43">
        <v>271</v>
      </c>
      <c r="C273" s="44" t="s">
        <v>609</v>
      </c>
      <c r="D273" s="25" t="s">
        <v>1485</v>
      </c>
      <c r="E273" s="45" t="s">
        <v>176</v>
      </c>
      <c r="F273" s="46" t="s">
        <v>177</v>
      </c>
      <c r="G273" s="139">
        <v>1000</v>
      </c>
      <c r="H273" s="48">
        <v>60000</v>
      </c>
      <c r="I273" s="44">
        <v>0</v>
      </c>
      <c r="J273" s="48" t="s">
        <v>1637</v>
      </c>
      <c r="K273" s="48" t="s">
        <v>178</v>
      </c>
      <c r="L273" s="48" t="s">
        <v>859</v>
      </c>
      <c r="M273" s="48">
        <v>0.01</v>
      </c>
      <c r="N273" s="48" t="s">
        <v>1628</v>
      </c>
      <c r="O273" s="48">
        <v>0</v>
      </c>
      <c r="P273" s="44">
        <v>0</v>
      </c>
      <c r="Q273" s="48">
        <v>1</v>
      </c>
      <c r="R273" s="48">
        <v>5</v>
      </c>
      <c r="S273" s="48">
        <v>0</v>
      </c>
      <c r="T273" s="48"/>
      <c r="V273" s="49" t="str">
        <f t="shared" si="41"/>
        <v>0</v>
      </c>
      <c r="W273" s="49" t="str">
        <f t="shared" si="42"/>
        <v>10</v>
      </c>
      <c r="X273" s="49" t="str">
        <f t="shared" si="47"/>
        <v>0</v>
      </c>
      <c r="Y273" s="49">
        <f t="shared" si="43"/>
        <v>0</v>
      </c>
      <c r="Z273" s="49">
        <f t="shared" si="43"/>
        <v>0</v>
      </c>
      <c r="AA273" s="49">
        <f t="shared" si="44"/>
        <v>1</v>
      </c>
      <c r="AB273" s="49" t="str">
        <f t="shared" si="48"/>
        <v>101</v>
      </c>
      <c r="AC273" s="49">
        <f t="shared" si="45"/>
        <v>0</v>
      </c>
      <c r="AD273" s="49">
        <v>0</v>
      </c>
      <c r="AE273" s="49" t="str">
        <f t="shared" si="46"/>
        <v>32C28</v>
      </c>
    </row>
    <row r="274" spans="1:31" x14ac:dyDescent="0.15">
      <c r="A274" s="42" t="str">
        <f t="shared" si="40"/>
        <v>0</v>
      </c>
      <c r="B274" s="43">
        <v>272</v>
      </c>
      <c r="C274" s="44" t="s">
        <v>610</v>
      </c>
      <c r="D274" s="25" t="s">
        <v>179</v>
      </c>
      <c r="E274" s="45" t="s">
        <v>180</v>
      </c>
      <c r="F274" s="46" t="s">
        <v>1068</v>
      </c>
      <c r="G274" s="94">
        <v>103</v>
      </c>
      <c r="H274" s="48">
        <v>5000</v>
      </c>
      <c r="I274" s="44">
        <v>0</v>
      </c>
      <c r="J274" s="48">
        <v>0</v>
      </c>
      <c r="K274" s="48">
        <v>0</v>
      </c>
      <c r="L274" s="48" t="s">
        <v>859</v>
      </c>
      <c r="M274" s="48">
        <v>0.1</v>
      </c>
      <c r="N274" s="48" t="s">
        <v>181</v>
      </c>
      <c r="O274" s="48">
        <v>0</v>
      </c>
      <c r="P274" s="44">
        <v>0</v>
      </c>
      <c r="Q274" s="48">
        <v>1</v>
      </c>
      <c r="R274" s="48">
        <v>4</v>
      </c>
      <c r="S274" s="48">
        <v>0</v>
      </c>
      <c r="T274" s="48"/>
      <c r="V274" s="49" t="str">
        <f t="shared" si="41"/>
        <v>0</v>
      </c>
      <c r="W274" s="49" t="str">
        <f t="shared" si="42"/>
        <v>1</v>
      </c>
      <c r="X274" s="49" t="str">
        <f t="shared" si="47"/>
        <v>0</v>
      </c>
      <c r="Y274" s="49">
        <f t="shared" si="43"/>
        <v>0</v>
      </c>
      <c r="Z274" s="49">
        <f t="shared" si="43"/>
        <v>0</v>
      </c>
      <c r="AA274" s="49">
        <f t="shared" si="44"/>
        <v>1</v>
      </c>
      <c r="AB274" s="49" t="str">
        <f t="shared" si="48"/>
        <v>100</v>
      </c>
      <c r="AC274" s="49">
        <f t="shared" si="45"/>
        <v>0</v>
      </c>
      <c r="AD274" s="49">
        <v>0</v>
      </c>
      <c r="AE274" s="49" t="str">
        <f t="shared" si="46"/>
        <v>32404</v>
      </c>
    </row>
    <row r="275" spans="1:31" x14ac:dyDescent="0.15">
      <c r="A275" s="42" t="str">
        <f t="shared" si="40"/>
        <v>0</v>
      </c>
      <c r="B275" s="43">
        <v>273</v>
      </c>
      <c r="C275" s="44" t="s">
        <v>611</v>
      </c>
      <c r="D275" s="25" t="s">
        <v>1486</v>
      </c>
      <c r="E275" s="45" t="s">
        <v>182</v>
      </c>
      <c r="F275" s="46" t="s">
        <v>1068</v>
      </c>
      <c r="G275" s="139">
        <v>3</v>
      </c>
      <c r="H275" s="48">
        <v>5000</v>
      </c>
      <c r="I275" s="44">
        <v>0</v>
      </c>
      <c r="J275" s="48">
        <v>0</v>
      </c>
      <c r="K275" s="48">
        <v>0</v>
      </c>
      <c r="L275" s="48" t="s">
        <v>859</v>
      </c>
      <c r="M275" s="48">
        <v>0.1</v>
      </c>
      <c r="N275" s="48" t="s">
        <v>181</v>
      </c>
      <c r="O275" s="48">
        <v>0</v>
      </c>
      <c r="P275" s="44">
        <v>0</v>
      </c>
      <c r="Q275" s="48">
        <v>1</v>
      </c>
      <c r="R275" s="48">
        <v>4</v>
      </c>
      <c r="S275" s="48">
        <v>0</v>
      </c>
      <c r="T275" s="48"/>
      <c r="V275" s="49" t="str">
        <f t="shared" si="41"/>
        <v>0</v>
      </c>
      <c r="W275" s="49" t="str">
        <f t="shared" si="42"/>
        <v>1</v>
      </c>
      <c r="X275" s="49" t="str">
        <f t="shared" si="47"/>
        <v>0</v>
      </c>
      <c r="Y275" s="49">
        <f t="shared" si="43"/>
        <v>0</v>
      </c>
      <c r="Z275" s="49">
        <f t="shared" si="43"/>
        <v>0</v>
      </c>
      <c r="AA275" s="49">
        <f t="shared" si="44"/>
        <v>1</v>
      </c>
      <c r="AB275" s="49" t="str">
        <f t="shared" si="48"/>
        <v>100</v>
      </c>
      <c r="AC275" s="49">
        <f t="shared" si="45"/>
        <v>0</v>
      </c>
      <c r="AD275" s="49">
        <v>0</v>
      </c>
      <c r="AE275" s="49" t="str">
        <f t="shared" si="46"/>
        <v>32404</v>
      </c>
    </row>
    <row r="276" spans="1:31" x14ac:dyDescent="0.15">
      <c r="A276" s="42" t="str">
        <f t="shared" si="40"/>
        <v>0</v>
      </c>
      <c r="B276" s="43">
        <v>274</v>
      </c>
      <c r="C276" s="44" t="s">
        <v>612</v>
      </c>
      <c r="D276" s="25" t="s">
        <v>183</v>
      </c>
      <c r="E276" s="45" t="s">
        <v>184</v>
      </c>
      <c r="F276" s="46" t="s">
        <v>185</v>
      </c>
      <c r="G276" s="176">
        <v>1000</v>
      </c>
      <c r="H276" s="173">
        <v>8000</v>
      </c>
      <c r="I276" s="44">
        <v>0</v>
      </c>
      <c r="J276" s="48">
        <v>0</v>
      </c>
      <c r="K276" s="48">
        <v>0</v>
      </c>
      <c r="L276" s="48" t="s">
        <v>859</v>
      </c>
      <c r="M276" s="48">
        <v>1E-3</v>
      </c>
      <c r="N276" s="48" t="s">
        <v>1601</v>
      </c>
      <c r="O276" s="48">
        <v>0</v>
      </c>
      <c r="P276" s="44">
        <v>0</v>
      </c>
      <c r="Q276" s="48">
        <v>1</v>
      </c>
      <c r="R276" s="48">
        <v>4</v>
      </c>
      <c r="S276" s="48">
        <v>0</v>
      </c>
      <c r="T276" s="48"/>
      <c r="V276" s="49" t="str">
        <f t="shared" si="41"/>
        <v>0</v>
      </c>
      <c r="W276" s="49" t="str">
        <f t="shared" si="42"/>
        <v>11</v>
      </c>
      <c r="X276" s="49" t="str">
        <f t="shared" si="47"/>
        <v>0</v>
      </c>
      <c r="Y276" s="49">
        <f t="shared" si="43"/>
        <v>0</v>
      </c>
      <c r="Z276" s="49">
        <f t="shared" si="43"/>
        <v>0</v>
      </c>
      <c r="AA276" s="49">
        <f t="shared" si="44"/>
        <v>1</v>
      </c>
      <c r="AB276" s="49" t="str">
        <f t="shared" si="48"/>
        <v>100</v>
      </c>
      <c r="AC276" s="49">
        <f t="shared" si="45"/>
        <v>0</v>
      </c>
      <c r="AD276" s="49">
        <v>0</v>
      </c>
      <c r="AE276" s="49" t="str">
        <f t="shared" si="46"/>
        <v>3242C</v>
      </c>
    </row>
    <row r="277" spans="1:31" ht="14.45" customHeight="1" x14ac:dyDescent="0.15">
      <c r="A277" s="42" t="str">
        <f t="shared" si="40"/>
        <v>0</v>
      </c>
      <c r="B277" s="43">
        <v>275</v>
      </c>
      <c r="C277" s="44" t="s">
        <v>613</v>
      </c>
      <c r="D277" s="25" t="s">
        <v>186</v>
      </c>
      <c r="E277" s="45" t="s">
        <v>187</v>
      </c>
      <c r="F277" s="46" t="s">
        <v>185</v>
      </c>
      <c r="G277" s="176">
        <v>1000</v>
      </c>
      <c r="H277" s="48">
        <v>4000</v>
      </c>
      <c r="I277" s="44">
        <v>0</v>
      </c>
      <c r="J277" s="48">
        <v>0</v>
      </c>
      <c r="K277" s="48">
        <v>0</v>
      </c>
      <c r="L277" s="48" t="s">
        <v>859</v>
      </c>
      <c r="M277" s="48">
        <v>1E-3</v>
      </c>
      <c r="N277" s="48" t="s">
        <v>1601</v>
      </c>
      <c r="O277" s="48">
        <v>0</v>
      </c>
      <c r="P277" s="44">
        <v>0</v>
      </c>
      <c r="Q277" s="48">
        <v>1</v>
      </c>
      <c r="R277" s="48">
        <v>4</v>
      </c>
      <c r="S277" s="48">
        <v>0</v>
      </c>
      <c r="T277" s="48"/>
      <c r="V277" s="49" t="str">
        <f t="shared" si="41"/>
        <v>0</v>
      </c>
      <c r="W277" s="49" t="str">
        <f t="shared" si="42"/>
        <v>11</v>
      </c>
      <c r="X277" s="49" t="str">
        <f t="shared" si="47"/>
        <v>0</v>
      </c>
      <c r="Y277" s="49">
        <f t="shared" si="43"/>
        <v>0</v>
      </c>
      <c r="Z277" s="49">
        <f t="shared" si="43"/>
        <v>0</v>
      </c>
      <c r="AA277" s="49">
        <f t="shared" si="44"/>
        <v>1</v>
      </c>
      <c r="AB277" s="49" t="str">
        <f t="shared" si="48"/>
        <v>100</v>
      </c>
      <c r="AC277" s="49">
        <f t="shared" si="45"/>
        <v>0</v>
      </c>
      <c r="AD277" s="49">
        <v>0</v>
      </c>
      <c r="AE277" s="49" t="str">
        <f t="shared" si="46"/>
        <v>3242C</v>
      </c>
    </row>
    <row r="278" spans="1:31" x14ac:dyDescent="0.15">
      <c r="A278" s="42" t="str">
        <f t="shared" si="40"/>
        <v>0</v>
      </c>
      <c r="B278" s="43">
        <v>276</v>
      </c>
      <c r="C278" s="44" t="s">
        <v>614</v>
      </c>
      <c r="D278" s="317" t="s">
        <v>2688</v>
      </c>
      <c r="E278" s="45" t="s">
        <v>188</v>
      </c>
      <c r="F278" s="46" t="s">
        <v>189</v>
      </c>
      <c r="G278" s="138">
        <v>0</v>
      </c>
      <c r="H278" s="48">
        <v>5000</v>
      </c>
      <c r="I278" s="44">
        <v>0</v>
      </c>
      <c r="J278" s="48">
        <v>0</v>
      </c>
      <c r="K278" s="48">
        <v>0</v>
      </c>
      <c r="L278" s="48" t="s">
        <v>859</v>
      </c>
      <c r="M278" s="48">
        <v>1E-3</v>
      </c>
      <c r="N278" s="48" t="s">
        <v>1644</v>
      </c>
      <c r="O278" s="48">
        <v>0</v>
      </c>
      <c r="P278" s="44">
        <v>0</v>
      </c>
      <c r="Q278" s="48">
        <v>1</v>
      </c>
      <c r="R278" s="48">
        <v>4</v>
      </c>
      <c r="S278" s="48">
        <v>0</v>
      </c>
      <c r="T278" s="48"/>
      <c r="V278" s="49" t="str">
        <f t="shared" si="41"/>
        <v>0</v>
      </c>
      <c r="W278" s="49" t="str">
        <f t="shared" si="42"/>
        <v>11</v>
      </c>
      <c r="X278" s="49" t="str">
        <f>DEC2BIN(14)</f>
        <v>1110</v>
      </c>
      <c r="Y278" s="49">
        <f t="shared" si="43"/>
        <v>0</v>
      </c>
      <c r="Z278" s="49">
        <f t="shared" si="43"/>
        <v>0</v>
      </c>
      <c r="AA278" s="49">
        <f t="shared" si="44"/>
        <v>1</v>
      </c>
      <c r="AB278" s="49" t="str">
        <f t="shared" si="48"/>
        <v>100</v>
      </c>
      <c r="AC278" s="49">
        <f t="shared" si="45"/>
        <v>0</v>
      </c>
      <c r="AD278" s="49">
        <v>0</v>
      </c>
      <c r="AE278" s="49" t="str">
        <f t="shared" si="46"/>
        <v>3698C</v>
      </c>
    </row>
    <row r="279" spans="1:31" ht="72" x14ac:dyDescent="0.15">
      <c r="A279" s="42" t="str">
        <f t="shared" si="40"/>
        <v>0</v>
      </c>
      <c r="B279" s="43">
        <v>277</v>
      </c>
      <c r="C279" s="44" t="s">
        <v>615</v>
      </c>
      <c r="D279" s="25" t="s">
        <v>1069</v>
      </c>
      <c r="E279" s="45" t="s">
        <v>190</v>
      </c>
      <c r="F279" s="46" t="s">
        <v>191</v>
      </c>
      <c r="G279" s="47">
        <v>0</v>
      </c>
      <c r="H279" s="48">
        <v>5</v>
      </c>
      <c r="I279" s="44">
        <v>0</v>
      </c>
      <c r="J279" s="48">
        <v>0</v>
      </c>
      <c r="K279" s="48">
        <v>0</v>
      </c>
      <c r="L279" s="48" t="s">
        <v>860</v>
      </c>
      <c r="M279" s="48">
        <v>1</v>
      </c>
      <c r="N279" s="48" t="s">
        <v>1601</v>
      </c>
      <c r="O279" s="48">
        <v>0</v>
      </c>
      <c r="P279" s="44">
        <v>0</v>
      </c>
      <c r="Q279" s="48">
        <v>1</v>
      </c>
      <c r="R279" s="48">
        <v>1</v>
      </c>
      <c r="S279" s="48">
        <v>0</v>
      </c>
      <c r="T279" s="48"/>
      <c r="V279" s="49" t="str">
        <f t="shared" si="41"/>
        <v>1</v>
      </c>
      <c r="W279" s="49" t="str">
        <f t="shared" si="42"/>
        <v>0</v>
      </c>
      <c r="X279" s="49" t="str">
        <f>DEC2BIN(14)</f>
        <v>1110</v>
      </c>
      <c r="Y279" s="49">
        <f t="shared" si="43"/>
        <v>0</v>
      </c>
      <c r="Z279" s="49">
        <f t="shared" si="43"/>
        <v>0</v>
      </c>
      <c r="AA279" s="49">
        <f t="shared" si="44"/>
        <v>1</v>
      </c>
      <c r="AB279" s="49" t="str">
        <f t="shared" si="48"/>
        <v>1</v>
      </c>
      <c r="AC279" s="49">
        <f t="shared" si="45"/>
        <v>0</v>
      </c>
      <c r="AD279" s="49">
        <v>0</v>
      </c>
      <c r="AE279" s="49" t="str">
        <f t="shared" si="46"/>
        <v>5161</v>
      </c>
    </row>
    <row r="280" spans="1:31" ht="72" x14ac:dyDescent="0.15">
      <c r="A280" s="42" t="str">
        <f t="shared" si="40"/>
        <v>0</v>
      </c>
      <c r="B280" s="43">
        <v>278</v>
      </c>
      <c r="C280" s="44" t="s">
        <v>616</v>
      </c>
      <c r="D280" s="25" t="s">
        <v>1070</v>
      </c>
      <c r="E280" s="45" t="s">
        <v>192</v>
      </c>
      <c r="F280" s="46" t="s">
        <v>193</v>
      </c>
      <c r="G280" s="47">
        <v>0</v>
      </c>
      <c r="H280" s="48">
        <v>5</v>
      </c>
      <c r="I280" s="44">
        <v>0</v>
      </c>
      <c r="J280" s="48">
        <v>0</v>
      </c>
      <c r="K280" s="48">
        <v>0</v>
      </c>
      <c r="L280" s="48" t="s">
        <v>860</v>
      </c>
      <c r="M280" s="48">
        <v>1</v>
      </c>
      <c r="N280" s="48" t="s">
        <v>1601</v>
      </c>
      <c r="O280" s="48">
        <v>0</v>
      </c>
      <c r="P280" s="44">
        <v>0</v>
      </c>
      <c r="Q280" s="48">
        <v>1</v>
      </c>
      <c r="R280" s="48">
        <v>1</v>
      </c>
      <c r="S280" s="48">
        <v>0</v>
      </c>
      <c r="T280" s="48"/>
      <c r="V280" s="49" t="str">
        <f t="shared" si="41"/>
        <v>1</v>
      </c>
      <c r="W280" s="49" t="str">
        <f t="shared" si="42"/>
        <v>0</v>
      </c>
      <c r="X280" s="49" t="str">
        <f>DEC2BIN(14)</f>
        <v>1110</v>
      </c>
      <c r="Y280" s="49">
        <f t="shared" si="43"/>
        <v>0</v>
      </c>
      <c r="Z280" s="49">
        <f t="shared" si="43"/>
        <v>0</v>
      </c>
      <c r="AA280" s="49">
        <f t="shared" si="44"/>
        <v>1</v>
      </c>
      <c r="AB280" s="49" t="str">
        <f t="shared" si="48"/>
        <v>1</v>
      </c>
      <c r="AC280" s="49">
        <f t="shared" si="45"/>
        <v>0</v>
      </c>
      <c r="AD280" s="49">
        <v>0</v>
      </c>
      <c r="AE280" s="49" t="str">
        <f t="shared" si="46"/>
        <v>5161</v>
      </c>
    </row>
    <row r="281" spans="1:31" ht="14.45" customHeight="1" x14ac:dyDescent="0.15">
      <c r="A281" s="42" t="str">
        <f t="shared" si="40"/>
        <v>0</v>
      </c>
      <c r="B281" s="43">
        <v>279</v>
      </c>
      <c r="C281" s="44" t="s">
        <v>617</v>
      </c>
      <c r="D281" s="25" t="s">
        <v>1071</v>
      </c>
      <c r="E281" s="45" t="s">
        <v>194</v>
      </c>
      <c r="F281" s="46" t="s">
        <v>1013</v>
      </c>
      <c r="G281" s="174">
        <v>2000</v>
      </c>
      <c r="H281" s="108">
        <v>4000</v>
      </c>
      <c r="I281" s="44">
        <v>0</v>
      </c>
      <c r="J281" s="48">
        <v>0</v>
      </c>
      <c r="K281" s="48">
        <v>0</v>
      </c>
      <c r="L281" s="48" t="s">
        <v>859</v>
      </c>
      <c r="M281" s="48">
        <v>0.1</v>
      </c>
      <c r="N281" s="48" t="s">
        <v>1634</v>
      </c>
      <c r="O281" s="48">
        <v>0</v>
      </c>
      <c r="P281" s="44">
        <v>0</v>
      </c>
      <c r="Q281" s="48">
        <v>1</v>
      </c>
      <c r="R281" s="48">
        <v>4</v>
      </c>
      <c r="S281" s="48">
        <v>0</v>
      </c>
      <c r="T281" s="48"/>
      <c r="V281" s="49" t="str">
        <f t="shared" si="41"/>
        <v>0</v>
      </c>
      <c r="W281" s="49" t="str">
        <f t="shared" si="42"/>
        <v>1</v>
      </c>
      <c r="X281" s="49" t="e">
        <f t="shared" si="47"/>
        <v>#N/A</v>
      </c>
      <c r="Y281" s="49">
        <f t="shared" si="43"/>
        <v>0</v>
      </c>
      <c r="Z281" s="49">
        <f t="shared" si="43"/>
        <v>0</v>
      </c>
      <c r="AA281" s="49">
        <f t="shared" si="44"/>
        <v>1</v>
      </c>
      <c r="AB281" s="49" t="str">
        <f t="shared" si="48"/>
        <v>100</v>
      </c>
      <c r="AC281" s="49">
        <f t="shared" si="45"/>
        <v>0</v>
      </c>
      <c r="AD281" s="49">
        <v>0</v>
      </c>
      <c r="AE281" s="49" t="e">
        <f t="shared" si="46"/>
        <v>#N/A</v>
      </c>
    </row>
    <row r="282" spans="1:31" ht="14.45" customHeight="1" x14ac:dyDescent="0.15">
      <c r="A282" s="42" t="str">
        <f t="shared" si="40"/>
        <v>0</v>
      </c>
      <c r="B282" s="43">
        <v>280</v>
      </c>
      <c r="C282" s="44" t="s">
        <v>618</v>
      </c>
      <c r="D282" s="25" t="s">
        <v>1072</v>
      </c>
      <c r="E282" s="45" t="s">
        <v>195</v>
      </c>
      <c r="F282" s="46" t="s">
        <v>1013</v>
      </c>
      <c r="G282" s="174">
        <v>2000</v>
      </c>
      <c r="H282" s="108">
        <v>4000</v>
      </c>
      <c r="I282" s="44">
        <v>0</v>
      </c>
      <c r="J282" s="48">
        <v>0</v>
      </c>
      <c r="K282" s="48">
        <v>0</v>
      </c>
      <c r="L282" s="48" t="s">
        <v>859</v>
      </c>
      <c r="M282" s="48">
        <v>0.1</v>
      </c>
      <c r="N282" s="48" t="s">
        <v>1634</v>
      </c>
      <c r="O282" s="48">
        <v>0</v>
      </c>
      <c r="P282" s="44">
        <v>0</v>
      </c>
      <c r="Q282" s="48">
        <v>1</v>
      </c>
      <c r="R282" s="48">
        <v>4</v>
      </c>
      <c r="S282" s="48">
        <v>0</v>
      </c>
      <c r="T282" s="48"/>
      <c r="V282" s="49" t="str">
        <f t="shared" si="41"/>
        <v>0</v>
      </c>
      <c r="W282" s="49" t="str">
        <f t="shared" si="42"/>
        <v>1</v>
      </c>
      <c r="X282" s="49" t="e">
        <f t="shared" si="47"/>
        <v>#N/A</v>
      </c>
      <c r="Y282" s="49">
        <f t="shared" si="43"/>
        <v>0</v>
      </c>
      <c r="Z282" s="49">
        <f t="shared" si="43"/>
        <v>0</v>
      </c>
      <c r="AA282" s="49">
        <f t="shared" si="44"/>
        <v>1</v>
      </c>
      <c r="AB282" s="49" t="str">
        <f t="shared" si="48"/>
        <v>100</v>
      </c>
      <c r="AC282" s="49">
        <f t="shared" si="45"/>
        <v>0</v>
      </c>
      <c r="AD282" s="49">
        <v>0</v>
      </c>
      <c r="AE282" s="49" t="e">
        <f t="shared" si="46"/>
        <v>#N/A</v>
      </c>
    </row>
    <row r="283" spans="1:31" ht="14.45" customHeight="1" x14ac:dyDescent="0.15">
      <c r="A283" s="42" t="str">
        <f t="shared" si="40"/>
        <v>0</v>
      </c>
      <c r="B283" s="43">
        <v>281</v>
      </c>
      <c r="C283" s="44" t="s">
        <v>619</v>
      </c>
      <c r="D283" s="317" t="s">
        <v>2688</v>
      </c>
      <c r="E283" s="231" t="s">
        <v>2689</v>
      </c>
      <c r="F283" s="46" t="s">
        <v>1026</v>
      </c>
      <c r="G283" s="47">
        <v>500</v>
      </c>
      <c r="H283" s="48">
        <v>1000</v>
      </c>
      <c r="I283" s="44">
        <v>0</v>
      </c>
      <c r="J283" s="48">
        <v>0</v>
      </c>
      <c r="K283" s="48">
        <v>0</v>
      </c>
      <c r="L283" s="48" t="s">
        <v>859</v>
      </c>
      <c r="M283" s="48">
        <v>0.1</v>
      </c>
      <c r="N283" s="48" t="s">
        <v>1634</v>
      </c>
      <c r="O283" s="48">
        <v>0</v>
      </c>
      <c r="P283" s="44">
        <v>0</v>
      </c>
      <c r="Q283" s="48">
        <v>1</v>
      </c>
      <c r="R283" s="48">
        <v>4</v>
      </c>
      <c r="S283" s="48">
        <v>0</v>
      </c>
      <c r="T283" s="48"/>
      <c r="V283" s="49" t="str">
        <f t="shared" si="41"/>
        <v>0</v>
      </c>
      <c r="W283" s="49" t="str">
        <f t="shared" si="42"/>
        <v>1</v>
      </c>
      <c r="X283" s="49" t="e">
        <f t="shared" si="47"/>
        <v>#N/A</v>
      </c>
      <c r="Y283" s="49">
        <f t="shared" si="43"/>
        <v>0</v>
      </c>
      <c r="Z283" s="49">
        <f t="shared" si="43"/>
        <v>0</v>
      </c>
      <c r="AA283" s="49">
        <f t="shared" si="44"/>
        <v>1</v>
      </c>
      <c r="AB283" s="49" t="str">
        <f t="shared" si="48"/>
        <v>100</v>
      </c>
      <c r="AC283" s="49">
        <f t="shared" si="45"/>
        <v>0</v>
      </c>
      <c r="AD283" s="49">
        <v>0</v>
      </c>
      <c r="AE283" s="49" t="e">
        <f t="shared" si="46"/>
        <v>#N/A</v>
      </c>
    </row>
    <row r="284" spans="1:31" s="74" customFormat="1" ht="14.45" customHeight="1" x14ac:dyDescent="0.15">
      <c r="A284" s="42" t="str">
        <f t="shared" si="40"/>
        <v>0</v>
      </c>
      <c r="B284" s="43">
        <v>282</v>
      </c>
      <c r="C284" s="44" t="s">
        <v>620</v>
      </c>
      <c r="D284" s="317" t="s">
        <v>2688</v>
      </c>
      <c r="E284" s="45" t="s">
        <v>196</v>
      </c>
      <c r="F284" s="46" t="s">
        <v>1073</v>
      </c>
      <c r="G284" s="47">
        <v>1000</v>
      </c>
      <c r="H284" s="48">
        <v>3000</v>
      </c>
      <c r="I284" s="44">
        <v>100</v>
      </c>
      <c r="J284" s="48">
        <v>0</v>
      </c>
      <c r="K284" s="48">
        <v>0</v>
      </c>
      <c r="L284" s="48" t="s">
        <v>859</v>
      </c>
      <c r="M284" s="48">
        <v>0.1</v>
      </c>
      <c r="N284" s="48" t="s">
        <v>1634</v>
      </c>
      <c r="O284" s="48">
        <v>0</v>
      </c>
      <c r="P284" s="44">
        <v>0</v>
      </c>
      <c r="Q284" s="48">
        <v>1</v>
      </c>
      <c r="R284" s="48">
        <v>4</v>
      </c>
      <c r="S284" s="48">
        <v>0</v>
      </c>
      <c r="T284" s="48"/>
      <c r="V284" s="49" t="str">
        <f t="shared" si="41"/>
        <v>0</v>
      </c>
      <c r="W284" s="49" t="str">
        <f t="shared" si="42"/>
        <v>1</v>
      </c>
      <c r="X284" s="49" t="e">
        <f t="shared" si="47"/>
        <v>#N/A</v>
      </c>
      <c r="Y284" s="49">
        <f t="shared" si="43"/>
        <v>0</v>
      </c>
      <c r="Z284" s="49">
        <f t="shared" si="43"/>
        <v>0</v>
      </c>
      <c r="AA284" s="49">
        <f t="shared" si="44"/>
        <v>1</v>
      </c>
      <c r="AB284" s="49" t="str">
        <f t="shared" si="48"/>
        <v>100</v>
      </c>
      <c r="AC284" s="49">
        <f t="shared" si="45"/>
        <v>0</v>
      </c>
      <c r="AD284" s="49">
        <v>0</v>
      </c>
      <c r="AE284" s="49" t="e">
        <f t="shared" si="46"/>
        <v>#N/A</v>
      </c>
    </row>
    <row r="285" spans="1:31" s="74" customFormat="1" ht="14.45" customHeight="1" x14ac:dyDescent="0.15">
      <c r="A285" s="42" t="str">
        <f t="shared" si="40"/>
        <v>0</v>
      </c>
      <c r="B285" s="43">
        <v>283</v>
      </c>
      <c r="C285" s="44" t="s">
        <v>621</v>
      </c>
      <c r="D285" s="317" t="s">
        <v>2688</v>
      </c>
      <c r="E285" s="45" t="s">
        <v>197</v>
      </c>
      <c r="F285" s="46" t="s">
        <v>1073</v>
      </c>
      <c r="G285" s="47">
        <v>1000</v>
      </c>
      <c r="H285" s="48">
        <v>3000</v>
      </c>
      <c r="I285" s="44">
        <v>100</v>
      </c>
      <c r="J285" s="48">
        <v>0</v>
      </c>
      <c r="K285" s="48">
        <v>0</v>
      </c>
      <c r="L285" s="48" t="s">
        <v>859</v>
      </c>
      <c r="M285" s="48">
        <v>0.1</v>
      </c>
      <c r="N285" s="48" t="s">
        <v>1634</v>
      </c>
      <c r="O285" s="48">
        <v>0</v>
      </c>
      <c r="P285" s="44">
        <v>0</v>
      </c>
      <c r="Q285" s="48">
        <v>1</v>
      </c>
      <c r="R285" s="48">
        <v>4</v>
      </c>
      <c r="S285" s="48">
        <v>0</v>
      </c>
      <c r="T285" s="48"/>
      <c r="V285" s="49" t="str">
        <f t="shared" si="41"/>
        <v>0</v>
      </c>
      <c r="W285" s="49" t="str">
        <f t="shared" si="42"/>
        <v>1</v>
      </c>
      <c r="X285" s="49" t="e">
        <f t="shared" si="47"/>
        <v>#N/A</v>
      </c>
      <c r="Y285" s="49">
        <f t="shared" si="43"/>
        <v>0</v>
      </c>
      <c r="Z285" s="49">
        <f t="shared" si="43"/>
        <v>0</v>
      </c>
      <c r="AA285" s="49">
        <f t="shared" si="44"/>
        <v>1</v>
      </c>
      <c r="AB285" s="49" t="str">
        <f t="shared" si="48"/>
        <v>100</v>
      </c>
      <c r="AC285" s="49">
        <f t="shared" si="45"/>
        <v>0</v>
      </c>
      <c r="AD285" s="49">
        <v>0</v>
      </c>
      <c r="AE285" s="49" t="e">
        <f t="shared" si="46"/>
        <v>#N/A</v>
      </c>
    </row>
    <row r="286" spans="1:31" ht="72" x14ac:dyDescent="0.15">
      <c r="A286" s="42" t="str">
        <f t="shared" si="40"/>
        <v>0</v>
      </c>
      <c r="B286" s="43">
        <v>284</v>
      </c>
      <c r="C286" s="44" t="s">
        <v>622</v>
      </c>
      <c r="D286" s="25" t="s">
        <v>1076</v>
      </c>
      <c r="E286" s="45" t="s">
        <v>198</v>
      </c>
      <c r="F286" s="46" t="s">
        <v>199</v>
      </c>
      <c r="G286" s="153">
        <v>5</v>
      </c>
      <c r="H286" s="75">
        <v>5</v>
      </c>
      <c r="I286" s="67">
        <v>0</v>
      </c>
      <c r="J286" s="48">
        <v>0</v>
      </c>
      <c r="K286" s="48">
        <v>0</v>
      </c>
      <c r="L286" s="48" t="s">
        <v>860</v>
      </c>
      <c r="M286" s="75">
        <v>1</v>
      </c>
      <c r="N286" s="48" t="s">
        <v>1601</v>
      </c>
      <c r="O286" s="75">
        <v>0</v>
      </c>
      <c r="P286" s="67">
        <v>1</v>
      </c>
      <c r="Q286" s="48">
        <v>1</v>
      </c>
      <c r="R286" s="48">
        <v>1</v>
      </c>
      <c r="S286" s="48">
        <v>0</v>
      </c>
      <c r="T286" s="48"/>
      <c r="V286" s="49" t="str">
        <f t="shared" si="41"/>
        <v>1</v>
      </c>
      <c r="W286" s="49" t="str">
        <f t="shared" si="42"/>
        <v>0</v>
      </c>
      <c r="X286" s="49" t="str">
        <f t="shared" si="47"/>
        <v>0</v>
      </c>
      <c r="Y286" s="49">
        <f t="shared" si="43"/>
        <v>0</v>
      </c>
      <c r="Z286" s="49">
        <f t="shared" si="43"/>
        <v>1</v>
      </c>
      <c r="AA286" s="49">
        <f t="shared" si="44"/>
        <v>1</v>
      </c>
      <c r="AB286" s="49" t="str">
        <f t="shared" si="48"/>
        <v>1</v>
      </c>
      <c r="AC286" s="49">
        <f t="shared" si="45"/>
        <v>0</v>
      </c>
      <c r="AD286" s="49">
        <v>0</v>
      </c>
      <c r="AE286" s="49" t="str">
        <f t="shared" si="46"/>
        <v>E01</v>
      </c>
    </row>
    <row r="287" spans="1:31" x14ac:dyDescent="0.15">
      <c r="A287" s="42" t="str">
        <f t="shared" si="40"/>
        <v>0</v>
      </c>
      <c r="B287" s="43">
        <v>285</v>
      </c>
      <c r="C287" s="44" t="s">
        <v>623</v>
      </c>
      <c r="D287" s="25" t="s">
        <v>200</v>
      </c>
      <c r="E287" s="45" t="s">
        <v>201</v>
      </c>
      <c r="F287" s="46" t="s">
        <v>1013</v>
      </c>
      <c r="G287" s="47">
        <v>0</v>
      </c>
      <c r="H287" s="48">
        <v>2000</v>
      </c>
      <c r="I287" s="44">
        <v>-2000</v>
      </c>
      <c r="J287" s="48">
        <v>0</v>
      </c>
      <c r="K287" s="48">
        <v>0</v>
      </c>
      <c r="L287" s="48" t="s">
        <v>859</v>
      </c>
      <c r="M287" s="48">
        <v>0.1</v>
      </c>
      <c r="N287" s="48" t="s">
        <v>1634</v>
      </c>
      <c r="O287" s="48">
        <v>0</v>
      </c>
      <c r="P287" s="44">
        <v>1</v>
      </c>
      <c r="Q287" s="48">
        <v>1</v>
      </c>
      <c r="R287" s="48">
        <v>4</v>
      </c>
      <c r="S287" s="48">
        <v>1</v>
      </c>
      <c r="T287" s="48"/>
      <c r="V287" s="49" t="str">
        <f t="shared" si="41"/>
        <v>0</v>
      </c>
      <c r="W287" s="49" t="str">
        <f t="shared" si="42"/>
        <v>1</v>
      </c>
      <c r="X287" s="49" t="e">
        <f t="shared" si="47"/>
        <v>#N/A</v>
      </c>
      <c r="Y287" s="49">
        <f t="shared" si="43"/>
        <v>0</v>
      </c>
      <c r="Z287" s="49">
        <f t="shared" si="43"/>
        <v>1</v>
      </c>
      <c r="AA287" s="49">
        <f t="shared" si="44"/>
        <v>1</v>
      </c>
      <c r="AB287" s="49" t="str">
        <f t="shared" si="48"/>
        <v>100</v>
      </c>
      <c r="AC287" s="49">
        <f t="shared" si="45"/>
        <v>1</v>
      </c>
      <c r="AD287" s="49">
        <v>0</v>
      </c>
      <c r="AE287" s="49" t="e">
        <f t="shared" si="46"/>
        <v>#N/A</v>
      </c>
    </row>
    <row r="288" spans="1:31" ht="72" x14ac:dyDescent="0.15">
      <c r="A288" s="42" t="str">
        <f t="shared" si="40"/>
        <v>0</v>
      </c>
      <c r="B288" s="43">
        <v>286</v>
      </c>
      <c r="C288" s="44" t="s">
        <v>624</v>
      </c>
      <c r="D288" s="25" t="s">
        <v>202</v>
      </c>
      <c r="E288" s="45" t="s">
        <v>203</v>
      </c>
      <c r="F288" s="46" t="s">
        <v>204</v>
      </c>
      <c r="G288" s="166">
        <v>0</v>
      </c>
      <c r="H288" s="48">
        <v>5</v>
      </c>
      <c r="I288" s="44">
        <v>0</v>
      </c>
      <c r="J288" s="48">
        <v>0</v>
      </c>
      <c r="K288" s="48">
        <v>0</v>
      </c>
      <c r="L288" s="48" t="s">
        <v>860</v>
      </c>
      <c r="M288" s="48">
        <v>1</v>
      </c>
      <c r="N288" s="48" t="s">
        <v>1601</v>
      </c>
      <c r="O288" s="48">
        <v>0</v>
      </c>
      <c r="P288" s="44">
        <v>0</v>
      </c>
      <c r="Q288" s="48">
        <v>1</v>
      </c>
      <c r="R288" s="48">
        <v>1</v>
      </c>
      <c r="S288" s="48">
        <v>0</v>
      </c>
      <c r="T288" s="48"/>
      <c r="V288" s="49" t="str">
        <f t="shared" si="41"/>
        <v>1</v>
      </c>
      <c r="W288" s="49" t="str">
        <f t="shared" si="42"/>
        <v>0</v>
      </c>
      <c r="X288" s="49" t="str">
        <f t="shared" si="47"/>
        <v>0</v>
      </c>
      <c r="Y288" s="49">
        <f t="shared" si="43"/>
        <v>0</v>
      </c>
      <c r="Z288" s="49">
        <f t="shared" si="43"/>
        <v>0</v>
      </c>
      <c r="AA288" s="49">
        <f t="shared" si="44"/>
        <v>1</v>
      </c>
      <c r="AB288" s="49" t="str">
        <f t="shared" si="48"/>
        <v>1</v>
      </c>
      <c r="AC288" s="49">
        <f t="shared" si="45"/>
        <v>0</v>
      </c>
      <c r="AD288" s="49">
        <v>0</v>
      </c>
      <c r="AE288" s="49" t="str">
        <f t="shared" si="46"/>
        <v>C01</v>
      </c>
    </row>
    <row r="289" spans="1:31" ht="72" x14ac:dyDescent="0.15">
      <c r="A289" s="42" t="str">
        <f t="shared" si="40"/>
        <v>0</v>
      </c>
      <c r="B289" s="43">
        <v>287</v>
      </c>
      <c r="C289" s="44" t="s">
        <v>625</v>
      </c>
      <c r="D289" s="25" t="s">
        <v>205</v>
      </c>
      <c r="E289" s="45" t="s">
        <v>206</v>
      </c>
      <c r="F289" s="46" t="s">
        <v>207</v>
      </c>
      <c r="G289" s="166">
        <v>0</v>
      </c>
      <c r="H289" s="48">
        <v>5</v>
      </c>
      <c r="I289" s="44">
        <v>0</v>
      </c>
      <c r="J289" s="48">
        <v>0</v>
      </c>
      <c r="K289" s="48">
        <v>0</v>
      </c>
      <c r="L289" s="48" t="s">
        <v>860</v>
      </c>
      <c r="M289" s="48">
        <v>1</v>
      </c>
      <c r="N289" s="48" t="s">
        <v>1601</v>
      </c>
      <c r="O289" s="48">
        <v>0</v>
      </c>
      <c r="P289" s="44">
        <v>0</v>
      </c>
      <c r="Q289" s="48">
        <v>1</v>
      </c>
      <c r="R289" s="48">
        <v>1</v>
      </c>
      <c r="S289" s="48">
        <v>0</v>
      </c>
      <c r="T289" s="48"/>
      <c r="V289" s="49" t="str">
        <f t="shared" si="41"/>
        <v>1</v>
      </c>
      <c r="W289" s="49" t="str">
        <f t="shared" si="42"/>
        <v>0</v>
      </c>
      <c r="X289" s="49" t="str">
        <f t="shared" si="47"/>
        <v>0</v>
      </c>
      <c r="Y289" s="49">
        <f t="shared" si="43"/>
        <v>0</v>
      </c>
      <c r="Z289" s="49">
        <f t="shared" si="43"/>
        <v>0</v>
      </c>
      <c r="AA289" s="49">
        <f t="shared" si="44"/>
        <v>1</v>
      </c>
      <c r="AB289" s="49" t="str">
        <f t="shared" si="48"/>
        <v>1</v>
      </c>
      <c r="AC289" s="49">
        <f t="shared" si="45"/>
        <v>0</v>
      </c>
      <c r="AD289" s="49">
        <v>0</v>
      </c>
      <c r="AE289" s="49" t="str">
        <f t="shared" si="46"/>
        <v>C01</v>
      </c>
    </row>
    <row r="290" spans="1:31" x14ac:dyDescent="0.15">
      <c r="A290" s="42" t="str">
        <f t="shared" si="40"/>
        <v>0</v>
      </c>
      <c r="B290" s="43">
        <v>288</v>
      </c>
      <c r="C290" s="44" t="s">
        <v>626</v>
      </c>
      <c r="D290" s="25" t="s">
        <v>1305</v>
      </c>
      <c r="E290" s="45" t="s">
        <v>1289</v>
      </c>
      <c r="F290" s="46" t="s">
        <v>1077</v>
      </c>
      <c r="G290" s="174">
        <v>60000</v>
      </c>
      <c r="H290" s="48">
        <v>60000</v>
      </c>
      <c r="I290" s="44">
        <v>0</v>
      </c>
      <c r="J290" s="48" t="s">
        <v>1290</v>
      </c>
      <c r="K290" s="48">
        <v>0</v>
      </c>
      <c r="L290" s="48" t="s">
        <v>859</v>
      </c>
      <c r="M290" s="48">
        <v>0.01</v>
      </c>
      <c r="N290" s="48" t="s">
        <v>1006</v>
      </c>
      <c r="O290" s="48">
        <v>0</v>
      </c>
      <c r="P290" s="44">
        <v>0</v>
      </c>
      <c r="Q290" s="48">
        <v>1</v>
      </c>
      <c r="R290" s="48">
        <v>5</v>
      </c>
      <c r="S290" s="48">
        <v>0</v>
      </c>
      <c r="T290" s="48"/>
      <c r="V290" s="49" t="str">
        <f t="shared" si="41"/>
        <v>0</v>
      </c>
      <c r="W290" s="49" t="str">
        <f t="shared" si="42"/>
        <v>10</v>
      </c>
      <c r="X290" s="49" t="str">
        <f t="shared" si="47"/>
        <v>0</v>
      </c>
      <c r="Y290" s="49">
        <f t="shared" si="43"/>
        <v>0</v>
      </c>
      <c r="Z290" s="49">
        <f t="shared" si="43"/>
        <v>0</v>
      </c>
      <c r="AA290" s="49">
        <f t="shared" si="44"/>
        <v>1</v>
      </c>
      <c r="AB290" s="49" t="str">
        <f t="shared" si="48"/>
        <v>101</v>
      </c>
      <c r="AC290" s="49">
        <f t="shared" si="45"/>
        <v>0</v>
      </c>
      <c r="AD290" s="49">
        <v>0</v>
      </c>
      <c r="AE290" s="49" t="str">
        <f t="shared" si="46"/>
        <v>32C28</v>
      </c>
    </row>
    <row r="291" spans="1:31" x14ac:dyDescent="0.15">
      <c r="A291" s="42" t="str">
        <f t="shared" si="40"/>
        <v>0</v>
      </c>
      <c r="B291" s="43">
        <v>289</v>
      </c>
      <c r="C291" s="44" t="s">
        <v>627</v>
      </c>
      <c r="D291" s="25" t="s">
        <v>1306</v>
      </c>
      <c r="E291" s="45" t="s">
        <v>1291</v>
      </c>
      <c r="F291" s="46" t="s">
        <v>1077</v>
      </c>
      <c r="G291" s="174">
        <v>60000</v>
      </c>
      <c r="H291" s="48">
        <v>60000</v>
      </c>
      <c r="I291" s="44">
        <v>0</v>
      </c>
      <c r="J291" s="48" t="s">
        <v>1290</v>
      </c>
      <c r="K291" s="48">
        <v>0</v>
      </c>
      <c r="L291" s="48" t="s">
        <v>859</v>
      </c>
      <c r="M291" s="48">
        <v>0.01</v>
      </c>
      <c r="N291" s="48" t="s">
        <v>1006</v>
      </c>
      <c r="O291" s="48">
        <v>0</v>
      </c>
      <c r="P291" s="44">
        <v>0</v>
      </c>
      <c r="Q291" s="48">
        <v>1</v>
      </c>
      <c r="R291" s="48">
        <v>5</v>
      </c>
      <c r="S291" s="48">
        <v>0</v>
      </c>
      <c r="T291" s="48"/>
      <c r="V291" s="49" t="str">
        <f t="shared" si="41"/>
        <v>0</v>
      </c>
      <c r="W291" s="49" t="str">
        <f t="shared" si="42"/>
        <v>10</v>
      </c>
      <c r="X291" s="49" t="str">
        <f t="shared" si="47"/>
        <v>0</v>
      </c>
      <c r="Y291" s="49">
        <f t="shared" si="43"/>
        <v>0</v>
      </c>
      <c r="Z291" s="49">
        <f t="shared" si="43"/>
        <v>0</v>
      </c>
      <c r="AA291" s="49">
        <f t="shared" si="44"/>
        <v>1</v>
      </c>
      <c r="AB291" s="49" t="str">
        <f t="shared" si="48"/>
        <v>101</v>
      </c>
      <c r="AC291" s="49">
        <f t="shared" si="45"/>
        <v>0</v>
      </c>
      <c r="AD291" s="49">
        <v>0</v>
      </c>
      <c r="AE291" s="49" t="str">
        <f t="shared" si="46"/>
        <v>32C28</v>
      </c>
    </row>
    <row r="292" spans="1:31" ht="14.45" customHeight="1" x14ac:dyDescent="0.15">
      <c r="A292" s="42" t="str">
        <f t="shared" si="40"/>
        <v>0</v>
      </c>
      <c r="B292" s="43">
        <v>290</v>
      </c>
      <c r="C292" s="44" t="s">
        <v>628</v>
      </c>
      <c r="D292" s="140" t="s">
        <v>33</v>
      </c>
      <c r="E292" s="45" t="s">
        <v>1292</v>
      </c>
      <c r="F292" s="46" t="s">
        <v>1078</v>
      </c>
      <c r="G292" s="94">
        <v>50</v>
      </c>
      <c r="H292" s="48">
        <v>12000</v>
      </c>
      <c r="I292" s="44">
        <v>0</v>
      </c>
      <c r="J292" s="48">
        <v>0</v>
      </c>
      <c r="K292" s="48">
        <v>0</v>
      </c>
      <c r="L292" s="48" t="s">
        <v>859</v>
      </c>
      <c r="M292" s="48">
        <v>0.01</v>
      </c>
      <c r="N292" s="48" t="s">
        <v>1008</v>
      </c>
      <c r="O292" s="48">
        <v>0</v>
      </c>
      <c r="P292" s="44">
        <v>1</v>
      </c>
      <c r="Q292" s="48">
        <v>1</v>
      </c>
      <c r="R292" s="48">
        <v>5</v>
      </c>
      <c r="S292" s="48">
        <v>0</v>
      </c>
      <c r="T292" s="48"/>
      <c r="V292" s="49" t="str">
        <f t="shared" si="41"/>
        <v>0</v>
      </c>
      <c r="W292" s="49" t="str">
        <f t="shared" si="42"/>
        <v>10</v>
      </c>
      <c r="X292" s="49" t="str">
        <f t="shared" si="47"/>
        <v>0</v>
      </c>
      <c r="Y292" s="49">
        <f t="shared" si="43"/>
        <v>0</v>
      </c>
      <c r="Z292" s="49">
        <f t="shared" si="43"/>
        <v>1</v>
      </c>
      <c r="AA292" s="49">
        <f t="shared" si="44"/>
        <v>1</v>
      </c>
      <c r="AB292" s="49" t="str">
        <f t="shared" si="48"/>
        <v>101</v>
      </c>
      <c r="AC292" s="49">
        <f t="shared" si="45"/>
        <v>0</v>
      </c>
      <c r="AD292" s="49">
        <v>0</v>
      </c>
      <c r="AE292" s="49" t="str">
        <f t="shared" si="46"/>
        <v>32E28</v>
      </c>
    </row>
    <row r="293" spans="1:31" x14ac:dyDescent="0.15">
      <c r="A293" s="42" t="str">
        <f t="shared" si="40"/>
        <v>0</v>
      </c>
      <c r="B293" s="43">
        <v>291</v>
      </c>
      <c r="C293" s="44" t="s">
        <v>629</v>
      </c>
      <c r="D293" s="317" t="s">
        <v>2688</v>
      </c>
      <c r="E293" s="45" t="s">
        <v>1293</v>
      </c>
      <c r="F293" s="46" t="s">
        <v>1026</v>
      </c>
      <c r="G293" s="47">
        <v>0</v>
      </c>
      <c r="H293" s="48">
        <v>1000</v>
      </c>
      <c r="I293" s="44">
        <v>0</v>
      </c>
      <c r="J293" s="48">
        <v>0</v>
      </c>
      <c r="K293" s="48">
        <v>0</v>
      </c>
      <c r="L293" s="48" t="s">
        <v>859</v>
      </c>
      <c r="M293" s="48">
        <v>0.1</v>
      </c>
      <c r="N293" s="48" t="s">
        <v>1010</v>
      </c>
      <c r="O293" s="48">
        <v>0</v>
      </c>
      <c r="P293" s="44">
        <v>0</v>
      </c>
      <c r="Q293" s="48">
        <v>1</v>
      </c>
      <c r="R293" s="48">
        <v>4</v>
      </c>
      <c r="S293" s="48">
        <v>0</v>
      </c>
      <c r="T293" s="48"/>
      <c r="V293" s="49" t="str">
        <f t="shared" si="41"/>
        <v>0</v>
      </c>
      <c r="W293" s="49" t="str">
        <f t="shared" si="42"/>
        <v>1</v>
      </c>
      <c r="X293" s="49" t="str">
        <f>DEC2BIN(14)</f>
        <v>1110</v>
      </c>
      <c r="Y293" s="49">
        <f t="shared" si="43"/>
        <v>0</v>
      </c>
      <c r="Z293" s="49">
        <f t="shared" si="43"/>
        <v>0</v>
      </c>
      <c r="AA293" s="49">
        <f t="shared" si="44"/>
        <v>1</v>
      </c>
      <c r="AB293" s="49" t="str">
        <f t="shared" si="48"/>
        <v>100</v>
      </c>
      <c r="AC293" s="49">
        <f t="shared" si="45"/>
        <v>0</v>
      </c>
      <c r="AD293" s="49">
        <v>0</v>
      </c>
      <c r="AE293" s="49" t="str">
        <f t="shared" si="46"/>
        <v>36964</v>
      </c>
    </row>
    <row r="294" spans="1:31" x14ac:dyDescent="0.15">
      <c r="A294" s="42" t="str">
        <f t="shared" si="40"/>
        <v>0</v>
      </c>
      <c r="B294" s="43">
        <v>292</v>
      </c>
      <c r="C294" s="44" t="s">
        <v>630</v>
      </c>
      <c r="D294" s="317" t="s">
        <v>2688</v>
      </c>
      <c r="E294" s="45" t="s">
        <v>1294</v>
      </c>
      <c r="F294" s="46" t="s">
        <v>1026</v>
      </c>
      <c r="G294" s="47">
        <v>0</v>
      </c>
      <c r="H294" s="48">
        <v>1000</v>
      </c>
      <c r="I294" s="44">
        <v>0</v>
      </c>
      <c r="J294" s="48">
        <v>0</v>
      </c>
      <c r="K294" s="48">
        <v>0</v>
      </c>
      <c r="L294" s="48" t="s">
        <v>859</v>
      </c>
      <c r="M294" s="48">
        <v>0.1</v>
      </c>
      <c r="N294" s="48" t="s">
        <v>1010</v>
      </c>
      <c r="O294" s="48">
        <v>0</v>
      </c>
      <c r="P294" s="44">
        <v>0</v>
      </c>
      <c r="Q294" s="48">
        <v>1</v>
      </c>
      <c r="R294" s="48">
        <v>4</v>
      </c>
      <c r="S294" s="48">
        <v>0</v>
      </c>
      <c r="T294" s="48"/>
      <c r="V294" s="49" t="str">
        <f t="shared" si="41"/>
        <v>0</v>
      </c>
      <c r="W294" s="49" t="str">
        <f t="shared" si="42"/>
        <v>1</v>
      </c>
      <c r="X294" s="49" t="str">
        <f>DEC2BIN(14)</f>
        <v>1110</v>
      </c>
      <c r="Y294" s="49">
        <f t="shared" si="43"/>
        <v>0</v>
      </c>
      <c r="Z294" s="49">
        <f t="shared" si="43"/>
        <v>0</v>
      </c>
      <c r="AA294" s="49">
        <f t="shared" si="44"/>
        <v>1</v>
      </c>
      <c r="AB294" s="49" t="str">
        <f t="shared" si="48"/>
        <v>100</v>
      </c>
      <c r="AC294" s="49">
        <f t="shared" si="45"/>
        <v>0</v>
      </c>
      <c r="AD294" s="49">
        <v>0</v>
      </c>
      <c r="AE294" s="49" t="str">
        <f t="shared" si="46"/>
        <v>36964</v>
      </c>
    </row>
    <row r="295" spans="1:31" ht="14.45" customHeight="1" x14ac:dyDescent="0.15">
      <c r="A295" s="42" t="str">
        <f t="shared" si="40"/>
        <v>0</v>
      </c>
      <c r="B295" s="43">
        <v>293</v>
      </c>
      <c r="C295" s="44" t="s">
        <v>631</v>
      </c>
      <c r="D295" s="317" t="s">
        <v>2687</v>
      </c>
      <c r="E295" s="45" t="s">
        <v>1307</v>
      </c>
      <c r="F295" s="46" t="s">
        <v>1487</v>
      </c>
      <c r="G295" s="47">
        <v>0</v>
      </c>
      <c r="H295" s="48">
        <v>1000</v>
      </c>
      <c r="I295" s="44">
        <v>0</v>
      </c>
      <c r="J295" s="48">
        <v>0</v>
      </c>
      <c r="K295" s="48">
        <v>0</v>
      </c>
      <c r="L295" s="48" t="s">
        <v>859</v>
      </c>
      <c r="M295" s="48">
        <v>1E-3</v>
      </c>
      <c r="N295" s="48" t="s">
        <v>1004</v>
      </c>
      <c r="O295" s="48">
        <v>0</v>
      </c>
      <c r="P295" s="44">
        <v>0</v>
      </c>
      <c r="Q295" s="48">
        <v>1</v>
      </c>
      <c r="R295" s="48">
        <v>4</v>
      </c>
      <c r="S295" s="48">
        <v>0</v>
      </c>
      <c r="T295" s="44"/>
      <c r="V295" s="49" t="str">
        <f t="shared" si="41"/>
        <v>0</v>
      </c>
      <c r="W295" s="49" t="str">
        <f t="shared" si="42"/>
        <v>11</v>
      </c>
      <c r="X295" s="49" t="str">
        <f>DEC2BIN(14)</f>
        <v>1110</v>
      </c>
      <c r="Y295" s="49">
        <f t="shared" si="43"/>
        <v>0</v>
      </c>
      <c r="Z295" s="49">
        <f t="shared" si="43"/>
        <v>0</v>
      </c>
      <c r="AA295" s="49">
        <f t="shared" si="44"/>
        <v>1</v>
      </c>
      <c r="AB295" s="49" t="str">
        <f t="shared" si="48"/>
        <v>100</v>
      </c>
      <c r="AC295" s="49">
        <f t="shared" si="45"/>
        <v>0</v>
      </c>
      <c r="AD295" s="49">
        <v>0</v>
      </c>
      <c r="AE295" s="49" t="str">
        <f t="shared" si="46"/>
        <v>3698C</v>
      </c>
    </row>
    <row r="296" spans="1:31" ht="14.45" customHeight="1" x14ac:dyDescent="0.15">
      <c r="A296" s="42" t="str">
        <f t="shared" si="40"/>
        <v>0</v>
      </c>
      <c r="B296" s="43">
        <v>294</v>
      </c>
      <c r="C296" s="44" t="s">
        <v>632</v>
      </c>
      <c r="D296" s="93" t="s">
        <v>54</v>
      </c>
      <c r="E296" s="231" t="s">
        <v>2619</v>
      </c>
      <c r="F296" s="46" t="s">
        <v>185</v>
      </c>
      <c r="G296" s="176">
        <v>3000</v>
      </c>
      <c r="H296" s="173">
        <v>8000</v>
      </c>
      <c r="I296" s="44">
        <v>0</v>
      </c>
      <c r="J296" s="48">
        <v>0</v>
      </c>
      <c r="K296" s="48">
        <v>0</v>
      </c>
      <c r="L296" s="48" t="s">
        <v>859</v>
      </c>
      <c r="M296" s="48">
        <v>1E-3</v>
      </c>
      <c r="N296" s="48" t="s">
        <v>1004</v>
      </c>
      <c r="O296" s="48">
        <v>0</v>
      </c>
      <c r="P296" s="44">
        <v>0</v>
      </c>
      <c r="Q296" s="48">
        <v>1</v>
      </c>
      <c r="R296" s="48">
        <v>4</v>
      </c>
      <c r="S296" s="48">
        <v>0</v>
      </c>
      <c r="T296" s="44"/>
      <c r="V296" s="49" t="str">
        <f t="shared" si="41"/>
        <v>0</v>
      </c>
      <c r="W296" s="49" t="str">
        <f t="shared" si="42"/>
        <v>11</v>
      </c>
      <c r="X296" s="49" t="str">
        <f>DEC2BIN(14)</f>
        <v>1110</v>
      </c>
      <c r="Y296" s="49">
        <f t="shared" si="43"/>
        <v>0</v>
      </c>
      <c r="Z296" s="49">
        <f t="shared" si="43"/>
        <v>0</v>
      </c>
      <c r="AA296" s="49">
        <f t="shared" si="44"/>
        <v>1</v>
      </c>
      <c r="AB296" s="49" t="str">
        <f t="shared" si="48"/>
        <v>100</v>
      </c>
      <c r="AC296" s="49">
        <f t="shared" si="45"/>
        <v>0</v>
      </c>
      <c r="AD296" s="49">
        <v>0</v>
      </c>
      <c r="AE296" s="49" t="str">
        <f t="shared" si="46"/>
        <v>3698C</v>
      </c>
    </row>
    <row r="297" spans="1:31" x14ac:dyDescent="0.15">
      <c r="A297" s="42" t="str">
        <f t="shared" si="40"/>
        <v>0</v>
      </c>
      <c r="B297" s="43">
        <v>295</v>
      </c>
      <c r="C297" s="44" t="s">
        <v>633</v>
      </c>
      <c r="D297" s="93" t="s">
        <v>55</v>
      </c>
      <c r="E297" s="231" t="s">
        <v>2620</v>
      </c>
      <c r="F297" s="46" t="s">
        <v>185</v>
      </c>
      <c r="G297" s="176">
        <v>1000</v>
      </c>
      <c r="H297" s="48">
        <v>4000</v>
      </c>
      <c r="I297" s="44">
        <v>0</v>
      </c>
      <c r="J297" s="48">
        <v>0</v>
      </c>
      <c r="K297" s="48">
        <v>0</v>
      </c>
      <c r="L297" s="48" t="s">
        <v>859</v>
      </c>
      <c r="M297" s="48">
        <v>1E-3</v>
      </c>
      <c r="N297" s="48" t="s">
        <v>1004</v>
      </c>
      <c r="O297" s="48">
        <v>0</v>
      </c>
      <c r="P297" s="44">
        <v>0</v>
      </c>
      <c r="Q297" s="48">
        <v>1</v>
      </c>
      <c r="R297" s="48">
        <v>4</v>
      </c>
      <c r="S297" s="48">
        <v>0</v>
      </c>
      <c r="T297" s="48"/>
      <c r="V297" s="49" t="str">
        <f t="shared" si="41"/>
        <v>0</v>
      </c>
      <c r="W297" s="49" t="str">
        <f t="shared" si="42"/>
        <v>11</v>
      </c>
      <c r="X297" s="49" t="str">
        <f>DEC2BIN(14)</f>
        <v>1110</v>
      </c>
      <c r="Y297" s="49">
        <f t="shared" si="43"/>
        <v>0</v>
      </c>
      <c r="Z297" s="49">
        <f t="shared" si="43"/>
        <v>0</v>
      </c>
      <c r="AA297" s="49">
        <f t="shared" si="44"/>
        <v>1</v>
      </c>
      <c r="AB297" s="49" t="str">
        <f t="shared" si="48"/>
        <v>100</v>
      </c>
      <c r="AC297" s="49">
        <f t="shared" si="45"/>
        <v>0</v>
      </c>
      <c r="AD297" s="49">
        <v>0</v>
      </c>
      <c r="AE297" s="49" t="str">
        <f t="shared" si="46"/>
        <v>3698C</v>
      </c>
    </row>
    <row r="298" spans="1:31" x14ac:dyDescent="0.15">
      <c r="A298" s="42" t="str">
        <f t="shared" si="40"/>
        <v>0</v>
      </c>
      <c r="B298" s="43">
        <v>296</v>
      </c>
      <c r="C298" s="199" t="s">
        <v>634</v>
      </c>
      <c r="D298" s="200" t="s">
        <v>1945</v>
      </c>
      <c r="E298" s="200" t="s">
        <v>1946</v>
      </c>
      <c r="F298" s="203" t="s">
        <v>1947</v>
      </c>
      <c r="G298" s="201">
        <v>0</v>
      </c>
      <c r="H298" s="202">
        <v>99</v>
      </c>
      <c r="I298" s="199">
        <v>0</v>
      </c>
      <c r="J298" s="202">
        <v>0</v>
      </c>
      <c r="K298" s="202">
        <v>0</v>
      </c>
      <c r="L298" s="202" t="s">
        <v>861</v>
      </c>
      <c r="M298" s="202">
        <v>1</v>
      </c>
      <c r="N298" s="202" t="s">
        <v>1910</v>
      </c>
      <c r="O298" s="202">
        <v>0</v>
      </c>
      <c r="P298" s="199">
        <v>1</v>
      </c>
      <c r="Q298" s="202">
        <v>0</v>
      </c>
      <c r="R298" s="202">
        <v>2</v>
      </c>
      <c r="S298" s="202">
        <v>0</v>
      </c>
      <c r="T298" s="53"/>
    </row>
    <row r="299" spans="1:31" x14ac:dyDescent="0.15">
      <c r="A299" s="42" t="str">
        <f t="shared" si="40"/>
        <v>0</v>
      </c>
      <c r="B299" s="43">
        <v>297</v>
      </c>
      <c r="C299" s="199" t="s">
        <v>635</v>
      </c>
      <c r="D299" s="200" t="s">
        <v>1948</v>
      </c>
      <c r="E299" s="200" t="s">
        <v>1949</v>
      </c>
      <c r="F299" s="203" t="s">
        <v>1022</v>
      </c>
      <c r="G299" s="201">
        <v>0</v>
      </c>
      <c r="H299" s="202">
        <v>60000</v>
      </c>
      <c r="I299" s="199">
        <v>0</v>
      </c>
      <c r="J299" s="202">
        <v>0</v>
      </c>
      <c r="K299" s="202">
        <v>0</v>
      </c>
      <c r="L299" s="202" t="s">
        <v>861</v>
      </c>
      <c r="M299" s="202">
        <v>0.01</v>
      </c>
      <c r="N299" s="202" t="s">
        <v>1905</v>
      </c>
      <c r="O299" s="202">
        <v>0</v>
      </c>
      <c r="P299" s="199">
        <v>1</v>
      </c>
      <c r="Q299" s="202">
        <v>0</v>
      </c>
      <c r="R299" s="202">
        <v>5</v>
      </c>
      <c r="S299" s="202">
        <v>0</v>
      </c>
      <c r="T299" s="53"/>
    </row>
    <row r="300" spans="1:31" x14ac:dyDescent="0.15">
      <c r="A300" s="42" t="str">
        <f t="shared" si="40"/>
        <v>0</v>
      </c>
      <c r="B300" s="43">
        <v>298</v>
      </c>
      <c r="C300" s="199" t="s">
        <v>636</v>
      </c>
      <c r="D300" s="200" t="s">
        <v>1950</v>
      </c>
      <c r="E300" s="200" t="s">
        <v>1951</v>
      </c>
      <c r="F300" s="203" t="s">
        <v>1052</v>
      </c>
      <c r="G300" s="201">
        <v>0</v>
      </c>
      <c r="H300" s="202">
        <v>65535</v>
      </c>
      <c r="I300" s="199">
        <v>0</v>
      </c>
      <c r="J300" s="202">
        <v>0</v>
      </c>
      <c r="K300" s="202">
        <v>0</v>
      </c>
      <c r="L300" s="202" t="s">
        <v>861</v>
      </c>
      <c r="M300" s="202">
        <v>0.1</v>
      </c>
      <c r="N300" s="202" t="s">
        <v>1937</v>
      </c>
      <c r="O300" s="202">
        <v>0</v>
      </c>
      <c r="P300" s="199">
        <v>1</v>
      </c>
      <c r="Q300" s="202">
        <v>0</v>
      </c>
      <c r="R300" s="202">
        <v>5</v>
      </c>
      <c r="S300" s="202">
        <v>0</v>
      </c>
      <c r="T300" s="53"/>
    </row>
    <row r="301" spans="1:31" x14ac:dyDescent="0.15">
      <c r="A301" s="42" t="str">
        <f t="shared" si="40"/>
        <v>0</v>
      </c>
      <c r="B301" s="43">
        <v>299</v>
      </c>
      <c r="C301" s="199" t="s">
        <v>637</v>
      </c>
      <c r="D301" s="200" t="s">
        <v>1952</v>
      </c>
      <c r="E301" s="200" t="s">
        <v>1953</v>
      </c>
      <c r="F301" s="203" t="s">
        <v>1146</v>
      </c>
      <c r="G301" s="201">
        <v>0</v>
      </c>
      <c r="H301" s="202">
        <v>10000</v>
      </c>
      <c r="I301" s="199">
        <v>0</v>
      </c>
      <c r="J301" s="202">
        <v>0</v>
      </c>
      <c r="K301" s="202">
        <v>0</v>
      </c>
      <c r="L301" s="202" t="s">
        <v>861</v>
      </c>
      <c r="M301" s="202">
        <v>1</v>
      </c>
      <c r="N301" s="202" t="s">
        <v>1923</v>
      </c>
      <c r="O301" s="202">
        <v>0</v>
      </c>
      <c r="P301" s="199">
        <v>1</v>
      </c>
      <c r="Q301" s="202">
        <v>0</v>
      </c>
      <c r="R301" s="202">
        <v>5</v>
      </c>
      <c r="S301" s="202">
        <v>0</v>
      </c>
      <c r="T301" s="53"/>
    </row>
    <row r="302" spans="1:31" x14ac:dyDescent="0.15">
      <c r="A302" s="42" t="str">
        <f t="shared" si="40"/>
        <v>0</v>
      </c>
      <c r="B302" s="43">
        <v>300</v>
      </c>
      <c r="C302" s="199" t="s">
        <v>638</v>
      </c>
      <c r="D302" s="200" t="s">
        <v>2125</v>
      </c>
      <c r="E302" s="200" t="s">
        <v>2126</v>
      </c>
      <c r="F302" s="203" t="s">
        <v>1142</v>
      </c>
      <c r="G302" s="201">
        <v>0</v>
      </c>
      <c r="H302" s="202">
        <v>65535</v>
      </c>
      <c r="I302" s="199">
        <v>0</v>
      </c>
      <c r="J302" s="202">
        <v>0</v>
      </c>
      <c r="K302" s="202">
        <v>0</v>
      </c>
      <c r="L302" s="202" t="s">
        <v>861</v>
      </c>
      <c r="M302" s="202">
        <v>1</v>
      </c>
      <c r="N302" s="202" t="s">
        <v>2127</v>
      </c>
      <c r="O302" s="202">
        <v>0</v>
      </c>
      <c r="P302" s="199">
        <v>1</v>
      </c>
      <c r="Q302" s="202">
        <v>0</v>
      </c>
      <c r="R302" s="202">
        <v>5</v>
      </c>
      <c r="S302" s="202">
        <v>0</v>
      </c>
      <c r="T302" s="53"/>
    </row>
    <row r="303" spans="1:31" x14ac:dyDescent="0.15">
      <c r="A303" s="42" t="str">
        <f t="shared" si="40"/>
        <v>0</v>
      </c>
      <c r="B303" s="43">
        <v>301</v>
      </c>
      <c r="C303" s="199" t="s">
        <v>639</v>
      </c>
      <c r="D303" s="200" t="s">
        <v>1954</v>
      </c>
      <c r="E303" s="200" t="s">
        <v>1955</v>
      </c>
      <c r="F303" s="203" t="s">
        <v>1947</v>
      </c>
      <c r="G303" s="201">
        <v>0</v>
      </c>
      <c r="H303" s="202">
        <v>99</v>
      </c>
      <c r="I303" s="199">
        <v>0</v>
      </c>
      <c r="J303" s="202">
        <v>0</v>
      </c>
      <c r="K303" s="202">
        <v>0</v>
      </c>
      <c r="L303" s="202" t="s">
        <v>861</v>
      </c>
      <c r="M303" s="202">
        <v>1</v>
      </c>
      <c r="N303" s="202" t="s">
        <v>1910</v>
      </c>
      <c r="O303" s="202">
        <v>0</v>
      </c>
      <c r="P303" s="199">
        <v>1</v>
      </c>
      <c r="Q303" s="202">
        <v>0</v>
      </c>
      <c r="R303" s="202">
        <v>2</v>
      </c>
      <c r="S303" s="202">
        <v>0</v>
      </c>
      <c r="T303" s="53"/>
      <c r="V303" s="49" t="str">
        <f t="shared" si="41"/>
        <v>10</v>
      </c>
      <c r="W303" s="49" t="str">
        <f t="shared" si="42"/>
        <v>0</v>
      </c>
      <c r="X303" s="49" t="str">
        <f t="shared" si="47"/>
        <v>0</v>
      </c>
      <c r="Y303" s="49">
        <f t="shared" si="43"/>
        <v>0</v>
      </c>
      <c r="Z303" s="49">
        <f t="shared" si="43"/>
        <v>1</v>
      </c>
      <c r="AA303" s="49">
        <f t="shared" si="44"/>
        <v>0</v>
      </c>
      <c r="AB303" s="49" t="str">
        <f t="shared" si="48"/>
        <v>10</v>
      </c>
      <c r="AC303" s="49">
        <f t="shared" si="45"/>
        <v>0</v>
      </c>
      <c r="AD303" s="49">
        <v>0</v>
      </c>
      <c r="AE303" s="49" t="str">
        <f t="shared" si="46"/>
        <v>520A</v>
      </c>
    </row>
    <row r="304" spans="1:31" x14ac:dyDescent="0.15">
      <c r="A304" s="42" t="str">
        <f t="shared" si="40"/>
        <v>0</v>
      </c>
      <c r="B304" s="43">
        <v>302</v>
      </c>
      <c r="C304" s="199" t="s">
        <v>640</v>
      </c>
      <c r="D304" s="200" t="s">
        <v>1956</v>
      </c>
      <c r="E304" s="200" t="s">
        <v>1957</v>
      </c>
      <c r="F304" s="203" t="s">
        <v>1022</v>
      </c>
      <c r="G304" s="201">
        <v>0</v>
      </c>
      <c r="H304" s="202">
        <v>60000</v>
      </c>
      <c r="I304" s="199">
        <v>0</v>
      </c>
      <c r="J304" s="202">
        <v>0</v>
      </c>
      <c r="K304" s="202">
        <v>0</v>
      </c>
      <c r="L304" s="202" t="s">
        <v>861</v>
      </c>
      <c r="M304" s="202">
        <v>0.01</v>
      </c>
      <c r="N304" s="202" t="s">
        <v>1905</v>
      </c>
      <c r="O304" s="202">
        <v>0</v>
      </c>
      <c r="P304" s="199">
        <v>1</v>
      </c>
      <c r="Q304" s="202">
        <v>0</v>
      </c>
      <c r="R304" s="202">
        <v>5</v>
      </c>
      <c r="S304" s="202">
        <v>0</v>
      </c>
      <c r="T304" s="53"/>
      <c r="V304" s="49" t="str">
        <f t="shared" si="41"/>
        <v>10</v>
      </c>
      <c r="W304" s="49" t="str">
        <f t="shared" si="42"/>
        <v>10</v>
      </c>
      <c r="X304" s="49" t="str">
        <f t="shared" si="47"/>
        <v>0</v>
      </c>
      <c r="Y304" s="49">
        <f t="shared" si="43"/>
        <v>0</v>
      </c>
      <c r="Z304" s="49">
        <f t="shared" si="43"/>
        <v>1</v>
      </c>
      <c r="AA304" s="49">
        <f t="shared" si="44"/>
        <v>0</v>
      </c>
      <c r="AB304" s="49" t="str">
        <f t="shared" si="48"/>
        <v>101</v>
      </c>
      <c r="AC304" s="49">
        <f t="shared" si="45"/>
        <v>0</v>
      </c>
      <c r="AD304" s="49">
        <v>0</v>
      </c>
      <c r="AE304" s="49" t="str">
        <f t="shared" si="46"/>
        <v>32A32</v>
      </c>
    </row>
    <row r="305" spans="1:31" s="76" customFormat="1" x14ac:dyDescent="0.15">
      <c r="A305" s="42" t="str">
        <f t="shared" si="40"/>
        <v>0</v>
      </c>
      <c r="B305" s="43">
        <v>303</v>
      </c>
      <c r="C305" s="199" t="s">
        <v>641</v>
      </c>
      <c r="D305" s="200" t="s">
        <v>1958</v>
      </c>
      <c r="E305" s="200" t="s">
        <v>1959</v>
      </c>
      <c r="F305" s="203" t="s">
        <v>1052</v>
      </c>
      <c r="G305" s="201">
        <v>0</v>
      </c>
      <c r="H305" s="202">
        <v>65535</v>
      </c>
      <c r="I305" s="199">
        <v>0</v>
      </c>
      <c r="J305" s="202">
        <v>0</v>
      </c>
      <c r="K305" s="202">
        <v>0</v>
      </c>
      <c r="L305" s="202" t="s">
        <v>861</v>
      </c>
      <c r="M305" s="202">
        <v>0.1</v>
      </c>
      <c r="N305" s="202" t="s">
        <v>1937</v>
      </c>
      <c r="O305" s="202">
        <v>0</v>
      </c>
      <c r="P305" s="199">
        <v>1</v>
      </c>
      <c r="Q305" s="202">
        <v>0</v>
      </c>
      <c r="R305" s="202">
        <v>5</v>
      </c>
      <c r="S305" s="202">
        <v>0</v>
      </c>
      <c r="T305" s="53"/>
      <c r="V305" s="49" t="str">
        <f t="shared" si="41"/>
        <v>10</v>
      </c>
      <c r="W305" s="49" t="str">
        <f t="shared" si="42"/>
        <v>1</v>
      </c>
      <c r="X305" s="49" t="str">
        <f t="shared" si="47"/>
        <v>0</v>
      </c>
      <c r="Y305" s="49">
        <f t="shared" si="43"/>
        <v>0</v>
      </c>
      <c r="Z305" s="49">
        <f t="shared" si="43"/>
        <v>1</v>
      </c>
      <c r="AA305" s="49">
        <f t="shared" si="44"/>
        <v>0</v>
      </c>
      <c r="AB305" s="49" t="str">
        <f t="shared" si="48"/>
        <v>101</v>
      </c>
      <c r="AC305" s="49">
        <f t="shared" si="45"/>
        <v>0</v>
      </c>
      <c r="AD305" s="49">
        <v>0</v>
      </c>
      <c r="AE305" s="49" t="str">
        <f t="shared" si="46"/>
        <v>32A0E</v>
      </c>
    </row>
    <row r="306" spans="1:31" s="76" customFormat="1" x14ac:dyDescent="0.15">
      <c r="A306" s="42" t="str">
        <f t="shared" si="40"/>
        <v>0</v>
      </c>
      <c r="B306" s="43">
        <v>304</v>
      </c>
      <c r="C306" s="199" t="s">
        <v>642</v>
      </c>
      <c r="D306" s="200" t="s">
        <v>1960</v>
      </c>
      <c r="E306" s="200" t="s">
        <v>1961</v>
      </c>
      <c r="F306" s="203" t="s">
        <v>1146</v>
      </c>
      <c r="G306" s="201">
        <v>0</v>
      </c>
      <c r="H306" s="202">
        <v>10000</v>
      </c>
      <c r="I306" s="199">
        <v>0</v>
      </c>
      <c r="J306" s="202">
        <v>0</v>
      </c>
      <c r="K306" s="202">
        <v>0</v>
      </c>
      <c r="L306" s="202" t="s">
        <v>861</v>
      </c>
      <c r="M306" s="202">
        <v>1</v>
      </c>
      <c r="N306" s="202" t="s">
        <v>1923</v>
      </c>
      <c r="O306" s="202">
        <v>0</v>
      </c>
      <c r="P306" s="199">
        <v>1</v>
      </c>
      <c r="Q306" s="202">
        <v>0</v>
      </c>
      <c r="R306" s="202">
        <v>5</v>
      </c>
      <c r="S306" s="202">
        <v>0</v>
      </c>
      <c r="T306" s="53"/>
      <c r="V306" s="49" t="str">
        <f t="shared" si="41"/>
        <v>10</v>
      </c>
      <c r="W306" s="49" t="str">
        <f t="shared" si="42"/>
        <v>0</v>
      </c>
      <c r="X306" s="49" t="str">
        <f t="shared" si="47"/>
        <v>0</v>
      </c>
      <c r="Y306" s="49">
        <f t="shared" si="43"/>
        <v>0</v>
      </c>
      <c r="Z306" s="49">
        <f t="shared" si="43"/>
        <v>1</v>
      </c>
      <c r="AA306" s="49">
        <f t="shared" si="44"/>
        <v>0</v>
      </c>
      <c r="AB306" s="49" t="str">
        <f t="shared" si="48"/>
        <v>101</v>
      </c>
      <c r="AC306" s="49">
        <f t="shared" si="45"/>
        <v>0</v>
      </c>
      <c r="AD306" s="49">
        <v>0</v>
      </c>
      <c r="AE306" s="49" t="str">
        <f t="shared" si="46"/>
        <v>32A0A</v>
      </c>
    </row>
    <row r="307" spans="1:31" x14ac:dyDescent="0.15">
      <c r="A307" s="42" t="str">
        <f t="shared" si="40"/>
        <v>0</v>
      </c>
      <c r="B307" s="43">
        <v>305</v>
      </c>
      <c r="C307" s="199" t="s">
        <v>643</v>
      </c>
      <c r="D307" s="200" t="s">
        <v>2128</v>
      </c>
      <c r="E307" s="200" t="s">
        <v>2129</v>
      </c>
      <c r="F307" s="203" t="s">
        <v>1142</v>
      </c>
      <c r="G307" s="201">
        <v>0</v>
      </c>
      <c r="H307" s="202">
        <v>65535</v>
      </c>
      <c r="I307" s="199">
        <v>0</v>
      </c>
      <c r="J307" s="202">
        <v>0</v>
      </c>
      <c r="K307" s="202">
        <v>0</v>
      </c>
      <c r="L307" s="202" t="s">
        <v>861</v>
      </c>
      <c r="M307" s="202">
        <v>1</v>
      </c>
      <c r="N307" s="202" t="s">
        <v>2127</v>
      </c>
      <c r="O307" s="202">
        <v>0</v>
      </c>
      <c r="P307" s="199">
        <v>1</v>
      </c>
      <c r="Q307" s="202">
        <v>0</v>
      </c>
      <c r="R307" s="202">
        <v>5</v>
      </c>
      <c r="S307" s="202">
        <v>0</v>
      </c>
      <c r="T307" s="53"/>
      <c r="V307" s="49" t="str">
        <f t="shared" si="41"/>
        <v>10</v>
      </c>
      <c r="W307" s="49" t="str">
        <f t="shared" si="42"/>
        <v>0</v>
      </c>
      <c r="X307" s="49" t="str">
        <f>DEC2BIN(14)</f>
        <v>1110</v>
      </c>
      <c r="Y307" s="49">
        <f t="shared" si="43"/>
        <v>0</v>
      </c>
      <c r="Z307" s="49">
        <f t="shared" si="43"/>
        <v>1</v>
      </c>
      <c r="AA307" s="49">
        <f t="shared" si="44"/>
        <v>0</v>
      </c>
      <c r="AB307" s="49" t="str">
        <f t="shared" si="48"/>
        <v>101</v>
      </c>
      <c r="AC307" s="49">
        <f t="shared" si="45"/>
        <v>0</v>
      </c>
      <c r="AD307" s="49">
        <v>0</v>
      </c>
      <c r="AE307" s="49" t="str">
        <f t="shared" si="46"/>
        <v>36F6A</v>
      </c>
    </row>
    <row r="308" spans="1:31" x14ac:dyDescent="0.15">
      <c r="A308" s="42" t="str">
        <f t="shared" si="40"/>
        <v>0</v>
      </c>
      <c r="B308" s="43">
        <v>306</v>
      </c>
      <c r="C308" s="199" t="s">
        <v>644</v>
      </c>
      <c r="D308" s="200" t="s">
        <v>1962</v>
      </c>
      <c r="E308" s="200" t="s">
        <v>1963</v>
      </c>
      <c r="F308" s="203" t="s">
        <v>1947</v>
      </c>
      <c r="G308" s="201">
        <v>0</v>
      </c>
      <c r="H308" s="202">
        <v>99</v>
      </c>
      <c r="I308" s="199">
        <v>0</v>
      </c>
      <c r="J308" s="202">
        <v>0</v>
      </c>
      <c r="K308" s="202">
        <v>0</v>
      </c>
      <c r="L308" s="202" t="s">
        <v>861</v>
      </c>
      <c r="M308" s="202">
        <v>1</v>
      </c>
      <c r="N308" s="202" t="s">
        <v>1910</v>
      </c>
      <c r="O308" s="202">
        <v>0</v>
      </c>
      <c r="P308" s="199">
        <v>1</v>
      </c>
      <c r="Q308" s="202">
        <v>0</v>
      </c>
      <c r="R308" s="202">
        <v>2</v>
      </c>
      <c r="S308" s="202">
        <v>0</v>
      </c>
      <c r="T308" s="53"/>
      <c r="V308" s="49" t="str">
        <f t="shared" si="41"/>
        <v>10</v>
      </c>
      <c r="W308" s="49" t="str">
        <f t="shared" si="42"/>
        <v>0</v>
      </c>
      <c r="X308" s="49" t="str">
        <f t="shared" si="47"/>
        <v>0</v>
      </c>
      <c r="Y308" s="49">
        <f t="shared" si="43"/>
        <v>0</v>
      </c>
      <c r="Z308" s="49">
        <f t="shared" si="43"/>
        <v>1</v>
      </c>
      <c r="AA308" s="49">
        <f t="shared" si="44"/>
        <v>0</v>
      </c>
      <c r="AB308" s="49" t="str">
        <f t="shared" si="48"/>
        <v>10</v>
      </c>
      <c r="AC308" s="49">
        <f t="shared" si="45"/>
        <v>0</v>
      </c>
      <c r="AD308" s="49">
        <v>0</v>
      </c>
      <c r="AE308" s="49" t="str">
        <f t="shared" si="46"/>
        <v>520A</v>
      </c>
    </row>
    <row r="309" spans="1:31" x14ac:dyDescent="0.15">
      <c r="A309" s="42" t="str">
        <f t="shared" si="40"/>
        <v>0</v>
      </c>
      <c r="B309" s="43">
        <v>307</v>
      </c>
      <c r="C309" s="199" t="s">
        <v>645</v>
      </c>
      <c r="D309" s="200" t="s">
        <v>1964</v>
      </c>
      <c r="E309" s="200" t="s">
        <v>1965</v>
      </c>
      <c r="F309" s="203" t="s">
        <v>1022</v>
      </c>
      <c r="G309" s="201">
        <v>0</v>
      </c>
      <c r="H309" s="202">
        <v>60000</v>
      </c>
      <c r="I309" s="199">
        <v>0</v>
      </c>
      <c r="J309" s="202">
        <v>0</v>
      </c>
      <c r="K309" s="202">
        <v>0</v>
      </c>
      <c r="L309" s="202" t="s">
        <v>861</v>
      </c>
      <c r="M309" s="202">
        <v>0.01</v>
      </c>
      <c r="N309" s="202" t="s">
        <v>1905</v>
      </c>
      <c r="O309" s="202">
        <v>0</v>
      </c>
      <c r="P309" s="199">
        <v>1</v>
      </c>
      <c r="Q309" s="202">
        <v>0</v>
      </c>
      <c r="R309" s="202">
        <v>5</v>
      </c>
      <c r="S309" s="202">
        <v>0</v>
      </c>
      <c r="T309" s="53"/>
      <c r="V309" s="49" t="str">
        <f t="shared" si="41"/>
        <v>10</v>
      </c>
      <c r="W309" s="49" t="str">
        <f t="shared" si="42"/>
        <v>10</v>
      </c>
      <c r="X309" s="49" t="str">
        <f t="shared" si="47"/>
        <v>0</v>
      </c>
      <c r="Y309" s="49">
        <f t="shared" si="43"/>
        <v>0</v>
      </c>
      <c r="Z309" s="49">
        <f t="shared" si="43"/>
        <v>1</v>
      </c>
      <c r="AA309" s="49">
        <f t="shared" si="44"/>
        <v>0</v>
      </c>
      <c r="AB309" s="49" t="str">
        <f t="shared" si="48"/>
        <v>101</v>
      </c>
      <c r="AC309" s="49">
        <f t="shared" si="45"/>
        <v>0</v>
      </c>
      <c r="AD309" s="49">
        <v>0</v>
      </c>
      <c r="AE309" s="49" t="str">
        <f t="shared" si="46"/>
        <v>32A32</v>
      </c>
    </row>
    <row r="310" spans="1:31" ht="14.45" customHeight="1" x14ac:dyDescent="0.15">
      <c r="A310" s="42" t="str">
        <f t="shared" si="40"/>
        <v>0</v>
      </c>
      <c r="B310" s="43">
        <v>308</v>
      </c>
      <c r="C310" s="199" t="s">
        <v>646</v>
      </c>
      <c r="D310" s="200" t="s">
        <v>1966</v>
      </c>
      <c r="E310" s="200" t="s">
        <v>1967</v>
      </c>
      <c r="F310" s="203" t="s">
        <v>1052</v>
      </c>
      <c r="G310" s="201">
        <v>0</v>
      </c>
      <c r="H310" s="202">
        <v>65535</v>
      </c>
      <c r="I310" s="199">
        <v>0</v>
      </c>
      <c r="J310" s="202">
        <v>0</v>
      </c>
      <c r="K310" s="202">
        <v>0</v>
      </c>
      <c r="L310" s="202" t="s">
        <v>861</v>
      </c>
      <c r="M310" s="202">
        <v>0.1</v>
      </c>
      <c r="N310" s="202" t="s">
        <v>1937</v>
      </c>
      <c r="O310" s="202">
        <v>0</v>
      </c>
      <c r="P310" s="199">
        <v>1</v>
      </c>
      <c r="Q310" s="202">
        <v>0</v>
      </c>
      <c r="R310" s="202">
        <v>5</v>
      </c>
      <c r="S310" s="202">
        <v>0</v>
      </c>
      <c r="T310" s="53"/>
      <c r="V310" s="49" t="str">
        <f t="shared" si="41"/>
        <v>10</v>
      </c>
      <c r="W310" s="49" t="str">
        <f t="shared" si="42"/>
        <v>1</v>
      </c>
      <c r="X310" s="49" t="str">
        <f t="shared" si="47"/>
        <v>0</v>
      </c>
      <c r="Y310" s="49">
        <f t="shared" si="43"/>
        <v>0</v>
      </c>
      <c r="Z310" s="49">
        <f t="shared" si="43"/>
        <v>1</v>
      </c>
      <c r="AA310" s="49">
        <f t="shared" si="44"/>
        <v>0</v>
      </c>
      <c r="AB310" s="49" t="str">
        <f t="shared" si="48"/>
        <v>101</v>
      </c>
      <c r="AC310" s="49">
        <f t="shared" si="45"/>
        <v>0</v>
      </c>
      <c r="AD310" s="49">
        <v>0</v>
      </c>
      <c r="AE310" s="49" t="str">
        <f t="shared" si="46"/>
        <v>32A0E</v>
      </c>
    </row>
    <row r="311" spans="1:31" x14ac:dyDescent="0.15">
      <c r="A311" s="42" t="str">
        <f t="shared" si="40"/>
        <v>0</v>
      </c>
      <c r="B311" s="43">
        <v>309</v>
      </c>
      <c r="C311" s="199" t="s">
        <v>647</v>
      </c>
      <c r="D311" s="200" t="s">
        <v>1968</v>
      </c>
      <c r="E311" s="200" t="s">
        <v>1969</v>
      </c>
      <c r="F311" s="203" t="s">
        <v>1146</v>
      </c>
      <c r="G311" s="201">
        <v>0</v>
      </c>
      <c r="H311" s="202">
        <v>10000</v>
      </c>
      <c r="I311" s="199">
        <v>0</v>
      </c>
      <c r="J311" s="202">
        <v>0</v>
      </c>
      <c r="K311" s="202">
        <v>0</v>
      </c>
      <c r="L311" s="202" t="s">
        <v>861</v>
      </c>
      <c r="M311" s="202">
        <v>1</v>
      </c>
      <c r="N311" s="202" t="s">
        <v>1923</v>
      </c>
      <c r="O311" s="202">
        <v>0</v>
      </c>
      <c r="P311" s="199">
        <v>1</v>
      </c>
      <c r="Q311" s="202">
        <v>0</v>
      </c>
      <c r="R311" s="202">
        <v>5</v>
      </c>
      <c r="S311" s="202">
        <v>0</v>
      </c>
      <c r="T311" s="53"/>
      <c r="V311" s="49" t="str">
        <f t="shared" si="41"/>
        <v>10</v>
      </c>
      <c r="W311" s="49" t="str">
        <f t="shared" si="42"/>
        <v>0</v>
      </c>
      <c r="X311" s="49" t="str">
        <f t="shared" si="47"/>
        <v>0</v>
      </c>
      <c r="Y311" s="49">
        <f t="shared" si="43"/>
        <v>0</v>
      </c>
      <c r="Z311" s="49">
        <f t="shared" si="43"/>
        <v>1</v>
      </c>
      <c r="AA311" s="49">
        <f t="shared" si="44"/>
        <v>0</v>
      </c>
      <c r="AB311" s="49" t="str">
        <f t="shared" si="48"/>
        <v>101</v>
      </c>
      <c r="AC311" s="49">
        <f t="shared" si="45"/>
        <v>0</v>
      </c>
      <c r="AD311" s="49">
        <v>0</v>
      </c>
      <c r="AE311" s="49" t="str">
        <f t="shared" si="46"/>
        <v>32A0A</v>
      </c>
    </row>
    <row r="312" spans="1:31" ht="14.45" customHeight="1" x14ac:dyDescent="0.15">
      <c r="A312" s="42" t="str">
        <f t="shared" si="40"/>
        <v>0</v>
      </c>
      <c r="B312" s="43">
        <v>310</v>
      </c>
      <c r="C312" s="199" t="s">
        <v>648</v>
      </c>
      <c r="D312" s="200" t="s">
        <v>2130</v>
      </c>
      <c r="E312" s="200" t="s">
        <v>2131</v>
      </c>
      <c r="F312" s="203" t="s">
        <v>1142</v>
      </c>
      <c r="G312" s="201">
        <v>0</v>
      </c>
      <c r="H312" s="202">
        <v>65535</v>
      </c>
      <c r="I312" s="199">
        <v>0</v>
      </c>
      <c r="J312" s="202">
        <v>0</v>
      </c>
      <c r="K312" s="202">
        <v>0</v>
      </c>
      <c r="L312" s="202" t="s">
        <v>861</v>
      </c>
      <c r="M312" s="202">
        <v>1</v>
      </c>
      <c r="N312" s="202" t="s">
        <v>2127</v>
      </c>
      <c r="O312" s="202">
        <v>0</v>
      </c>
      <c r="P312" s="199">
        <v>1</v>
      </c>
      <c r="Q312" s="202">
        <v>0</v>
      </c>
      <c r="R312" s="202">
        <v>5</v>
      </c>
      <c r="S312" s="202">
        <v>0</v>
      </c>
      <c r="T312" s="53"/>
      <c r="V312" s="49" t="str">
        <f t="shared" si="41"/>
        <v>10</v>
      </c>
      <c r="W312" s="49" t="str">
        <f t="shared" si="42"/>
        <v>0</v>
      </c>
      <c r="X312" s="49" t="str">
        <f t="shared" si="47"/>
        <v>0</v>
      </c>
      <c r="Y312" s="49">
        <f t="shared" si="43"/>
        <v>0</v>
      </c>
      <c r="Z312" s="49">
        <f t="shared" si="43"/>
        <v>1</v>
      </c>
      <c r="AA312" s="49">
        <f t="shared" si="44"/>
        <v>0</v>
      </c>
      <c r="AB312" s="49" t="str">
        <f t="shared" si="48"/>
        <v>101</v>
      </c>
      <c r="AC312" s="49">
        <f t="shared" si="45"/>
        <v>0</v>
      </c>
      <c r="AD312" s="49">
        <v>0</v>
      </c>
      <c r="AE312" s="49" t="str">
        <f t="shared" si="46"/>
        <v>32A0A</v>
      </c>
    </row>
    <row r="313" spans="1:31" x14ac:dyDescent="0.15">
      <c r="A313" s="42" t="str">
        <f t="shared" si="40"/>
        <v>0</v>
      </c>
      <c r="B313" s="43">
        <v>311</v>
      </c>
      <c r="C313" s="199" t="s">
        <v>649</v>
      </c>
      <c r="D313" s="200" t="s">
        <v>1970</v>
      </c>
      <c r="E313" s="200" t="s">
        <v>1971</v>
      </c>
      <c r="F313" s="203" t="s">
        <v>1947</v>
      </c>
      <c r="G313" s="201">
        <v>0</v>
      </c>
      <c r="H313" s="202">
        <v>99</v>
      </c>
      <c r="I313" s="199">
        <v>0</v>
      </c>
      <c r="J313" s="202">
        <v>0</v>
      </c>
      <c r="K313" s="202">
        <v>0</v>
      </c>
      <c r="L313" s="202" t="s">
        <v>861</v>
      </c>
      <c r="M313" s="202">
        <v>1</v>
      </c>
      <c r="N313" s="202" t="s">
        <v>1910</v>
      </c>
      <c r="O313" s="202">
        <v>0</v>
      </c>
      <c r="P313" s="199">
        <v>1</v>
      </c>
      <c r="Q313" s="202">
        <v>0</v>
      </c>
      <c r="R313" s="202">
        <v>2</v>
      </c>
      <c r="S313" s="202">
        <v>0</v>
      </c>
      <c r="T313" s="53"/>
      <c r="V313" s="49" t="str">
        <f t="shared" si="41"/>
        <v>10</v>
      </c>
      <c r="W313" s="49" t="str">
        <f t="shared" si="42"/>
        <v>0</v>
      </c>
      <c r="X313" s="49" t="str">
        <f t="shared" si="47"/>
        <v>0</v>
      </c>
      <c r="Y313" s="49">
        <f t="shared" si="43"/>
        <v>0</v>
      </c>
      <c r="Z313" s="49">
        <f t="shared" si="43"/>
        <v>1</v>
      </c>
      <c r="AA313" s="49">
        <f t="shared" si="44"/>
        <v>0</v>
      </c>
      <c r="AB313" s="49" t="str">
        <f t="shared" si="48"/>
        <v>10</v>
      </c>
      <c r="AC313" s="49">
        <f t="shared" si="45"/>
        <v>0</v>
      </c>
      <c r="AD313" s="49">
        <v>0</v>
      </c>
      <c r="AE313" s="49" t="str">
        <f t="shared" si="46"/>
        <v>520A</v>
      </c>
    </row>
    <row r="314" spans="1:31" ht="14.45" customHeight="1" x14ac:dyDescent="0.15">
      <c r="A314" s="42" t="str">
        <f t="shared" si="40"/>
        <v>0</v>
      </c>
      <c r="B314" s="43">
        <v>312</v>
      </c>
      <c r="C314" s="199" t="s">
        <v>650</v>
      </c>
      <c r="D314" s="200" t="s">
        <v>1972</v>
      </c>
      <c r="E314" s="200" t="s">
        <v>1973</v>
      </c>
      <c r="F314" s="203" t="s">
        <v>1022</v>
      </c>
      <c r="G314" s="201">
        <v>0</v>
      </c>
      <c r="H314" s="202">
        <v>60000</v>
      </c>
      <c r="I314" s="199">
        <v>0</v>
      </c>
      <c r="J314" s="202">
        <v>0</v>
      </c>
      <c r="K314" s="202">
        <v>0</v>
      </c>
      <c r="L314" s="202" t="s">
        <v>861</v>
      </c>
      <c r="M314" s="202">
        <v>0.01</v>
      </c>
      <c r="N314" s="202" t="s">
        <v>1905</v>
      </c>
      <c r="O314" s="202">
        <v>0</v>
      </c>
      <c r="P314" s="199">
        <v>1</v>
      </c>
      <c r="Q314" s="202">
        <v>0</v>
      </c>
      <c r="R314" s="202">
        <v>5</v>
      </c>
      <c r="S314" s="202">
        <v>0</v>
      </c>
      <c r="T314" s="53"/>
      <c r="V314" s="49" t="str">
        <f t="shared" si="41"/>
        <v>10</v>
      </c>
      <c r="W314" s="49" t="str">
        <f t="shared" si="42"/>
        <v>10</v>
      </c>
      <c r="X314" s="49" t="str">
        <f t="shared" si="47"/>
        <v>0</v>
      </c>
      <c r="Y314" s="49">
        <f t="shared" si="43"/>
        <v>0</v>
      </c>
      <c r="Z314" s="49">
        <f t="shared" si="43"/>
        <v>1</v>
      </c>
      <c r="AA314" s="49">
        <f t="shared" si="44"/>
        <v>0</v>
      </c>
      <c r="AB314" s="49" t="str">
        <f t="shared" si="48"/>
        <v>101</v>
      </c>
      <c r="AC314" s="49">
        <f t="shared" si="45"/>
        <v>0</v>
      </c>
      <c r="AD314" s="49">
        <v>0</v>
      </c>
      <c r="AE314" s="49" t="str">
        <f t="shared" si="46"/>
        <v>32A32</v>
      </c>
    </row>
    <row r="315" spans="1:31" ht="14.45" customHeight="1" x14ac:dyDescent="0.15">
      <c r="A315" s="42" t="str">
        <f t="shared" si="40"/>
        <v>0</v>
      </c>
      <c r="B315" s="43">
        <v>313</v>
      </c>
      <c r="C315" s="199" t="s">
        <v>651</v>
      </c>
      <c r="D315" s="200" t="s">
        <v>1974</v>
      </c>
      <c r="E315" s="200" t="s">
        <v>1975</v>
      </c>
      <c r="F315" s="203" t="s">
        <v>1052</v>
      </c>
      <c r="G315" s="201">
        <v>0</v>
      </c>
      <c r="H315" s="202">
        <v>65535</v>
      </c>
      <c r="I315" s="199">
        <v>0</v>
      </c>
      <c r="J315" s="202">
        <v>0</v>
      </c>
      <c r="K315" s="202">
        <v>0</v>
      </c>
      <c r="L315" s="202" t="s">
        <v>861</v>
      </c>
      <c r="M315" s="202">
        <v>0.1</v>
      </c>
      <c r="N315" s="202" t="s">
        <v>1937</v>
      </c>
      <c r="O315" s="202">
        <v>0</v>
      </c>
      <c r="P315" s="199">
        <v>1</v>
      </c>
      <c r="Q315" s="202">
        <v>0</v>
      </c>
      <c r="R315" s="202">
        <v>5</v>
      </c>
      <c r="S315" s="202">
        <v>0</v>
      </c>
      <c r="T315" s="53"/>
      <c r="V315" s="49" t="str">
        <f t="shared" si="41"/>
        <v>10</v>
      </c>
      <c r="W315" s="49" t="str">
        <f t="shared" si="42"/>
        <v>1</v>
      </c>
      <c r="X315" s="49" t="str">
        <f t="shared" si="47"/>
        <v>0</v>
      </c>
      <c r="Y315" s="49">
        <f t="shared" si="43"/>
        <v>0</v>
      </c>
      <c r="Z315" s="49">
        <f t="shared" si="43"/>
        <v>1</v>
      </c>
      <c r="AA315" s="49">
        <f t="shared" si="44"/>
        <v>0</v>
      </c>
      <c r="AB315" s="49" t="str">
        <f t="shared" si="48"/>
        <v>101</v>
      </c>
      <c r="AC315" s="49">
        <f t="shared" si="45"/>
        <v>0</v>
      </c>
      <c r="AD315" s="49">
        <v>0</v>
      </c>
      <c r="AE315" s="49" t="str">
        <f t="shared" si="46"/>
        <v>32A0E</v>
      </c>
    </row>
    <row r="316" spans="1:31" ht="14.45" customHeight="1" x14ac:dyDescent="0.15">
      <c r="A316" s="42" t="str">
        <f t="shared" si="40"/>
        <v>0</v>
      </c>
      <c r="B316" s="43">
        <v>314</v>
      </c>
      <c r="C316" s="199" t="s">
        <v>652</v>
      </c>
      <c r="D316" s="200" t="s">
        <v>1976</v>
      </c>
      <c r="E316" s="200" t="s">
        <v>1977</v>
      </c>
      <c r="F316" s="203" t="s">
        <v>1146</v>
      </c>
      <c r="G316" s="201">
        <v>0</v>
      </c>
      <c r="H316" s="202">
        <v>10000</v>
      </c>
      <c r="I316" s="199">
        <v>0</v>
      </c>
      <c r="J316" s="202">
        <v>0</v>
      </c>
      <c r="K316" s="202">
        <v>0</v>
      </c>
      <c r="L316" s="202" t="s">
        <v>861</v>
      </c>
      <c r="M316" s="202">
        <v>1</v>
      </c>
      <c r="N316" s="202" t="s">
        <v>1923</v>
      </c>
      <c r="O316" s="202">
        <v>0</v>
      </c>
      <c r="P316" s="199">
        <v>1</v>
      </c>
      <c r="Q316" s="202">
        <v>0</v>
      </c>
      <c r="R316" s="202">
        <v>5</v>
      </c>
      <c r="S316" s="202">
        <v>0</v>
      </c>
      <c r="T316" s="53"/>
      <c r="V316" s="49" t="str">
        <f t="shared" si="41"/>
        <v>10</v>
      </c>
      <c r="W316" s="49" t="str">
        <f t="shared" si="42"/>
        <v>0</v>
      </c>
      <c r="X316" s="49" t="str">
        <f t="shared" si="47"/>
        <v>0</v>
      </c>
      <c r="Y316" s="49">
        <f t="shared" si="43"/>
        <v>0</v>
      </c>
      <c r="Z316" s="49">
        <f t="shared" si="43"/>
        <v>1</v>
      </c>
      <c r="AA316" s="49">
        <f t="shared" si="44"/>
        <v>0</v>
      </c>
      <c r="AB316" s="49" t="str">
        <f t="shared" si="48"/>
        <v>101</v>
      </c>
      <c r="AC316" s="49">
        <f t="shared" si="45"/>
        <v>0</v>
      </c>
      <c r="AD316" s="49">
        <v>0</v>
      </c>
      <c r="AE316" s="49" t="str">
        <f t="shared" si="46"/>
        <v>32A0A</v>
      </c>
    </row>
    <row r="317" spans="1:31" ht="14.45" customHeight="1" x14ac:dyDescent="0.15">
      <c r="A317" s="42" t="str">
        <f t="shared" si="40"/>
        <v>0</v>
      </c>
      <c r="B317" s="43">
        <v>315</v>
      </c>
      <c r="C317" s="199" t="s">
        <v>653</v>
      </c>
      <c r="D317" s="200" t="s">
        <v>2132</v>
      </c>
      <c r="E317" s="200" t="s">
        <v>2133</v>
      </c>
      <c r="F317" s="203" t="s">
        <v>1142</v>
      </c>
      <c r="G317" s="201">
        <v>0</v>
      </c>
      <c r="H317" s="202">
        <v>65535</v>
      </c>
      <c r="I317" s="199">
        <v>0</v>
      </c>
      <c r="J317" s="202">
        <v>0</v>
      </c>
      <c r="K317" s="202">
        <v>0</v>
      </c>
      <c r="L317" s="202" t="s">
        <v>861</v>
      </c>
      <c r="M317" s="202">
        <v>1</v>
      </c>
      <c r="N317" s="202" t="s">
        <v>2127</v>
      </c>
      <c r="O317" s="202">
        <v>0</v>
      </c>
      <c r="P317" s="199">
        <v>1</v>
      </c>
      <c r="Q317" s="202">
        <v>0</v>
      </c>
      <c r="R317" s="202">
        <v>5</v>
      </c>
      <c r="S317" s="202">
        <v>0</v>
      </c>
      <c r="T317" s="53"/>
      <c r="V317" s="49" t="str">
        <f t="shared" si="41"/>
        <v>10</v>
      </c>
      <c r="W317" s="49" t="str">
        <f t="shared" si="42"/>
        <v>0</v>
      </c>
      <c r="X317" s="49" t="str">
        <f t="shared" si="47"/>
        <v>0</v>
      </c>
      <c r="Y317" s="49">
        <f t="shared" si="43"/>
        <v>0</v>
      </c>
      <c r="Z317" s="49">
        <f t="shared" si="43"/>
        <v>1</v>
      </c>
      <c r="AA317" s="49">
        <f t="shared" si="44"/>
        <v>0</v>
      </c>
      <c r="AB317" s="49" t="str">
        <f t="shared" si="48"/>
        <v>101</v>
      </c>
      <c r="AC317" s="49">
        <f t="shared" si="45"/>
        <v>0</v>
      </c>
      <c r="AD317" s="49">
        <v>0</v>
      </c>
      <c r="AE317" s="49" t="str">
        <f t="shared" si="46"/>
        <v>32A0A</v>
      </c>
    </row>
    <row r="318" spans="1:31" ht="14.45" customHeight="1" x14ac:dyDescent="0.15">
      <c r="A318" s="42" t="str">
        <f t="shared" si="40"/>
        <v>0</v>
      </c>
      <c r="B318" s="43">
        <v>316</v>
      </c>
      <c r="C318" s="199" t="s">
        <v>654</v>
      </c>
      <c r="D318" s="200" t="s">
        <v>1978</v>
      </c>
      <c r="E318" s="200" t="s">
        <v>1979</v>
      </c>
      <c r="F318" s="203" t="s">
        <v>1947</v>
      </c>
      <c r="G318" s="201">
        <v>0</v>
      </c>
      <c r="H318" s="202">
        <v>99</v>
      </c>
      <c r="I318" s="199">
        <v>0</v>
      </c>
      <c r="J318" s="202">
        <v>0</v>
      </c>
      <c r="K318" s="202">
        <v>0</v>
      </c>
      <c r="L318" s="202" t="s">
        <v>861</v>
      </c>
      <c r="M318" s="202">
        <v>1</v>
      </c>
      <c r="N318" s="202" t="s">
        <v>1910</v>
      </c>
      <c r="O318" s="202">
        <v>0</v>
      </c>
      <c r="P318" s="199">
        <v>1</v>
      </c>
      <c r="Q318" s="202">
        <v>0</v>
      </c>
      <c r="R318" s="202">
        <v>2</v>
      </c>
      <c r="S318" s="202">
        <v>0</v>
      </c>
      <c r="T318" s="53"/>
      <c r="V318" s="49" t="str">
        <f t="shared" si="41"/>
        <v>10</v>
      </c>
      <c r="W318" s="49" t="str">
        <f t="shared" si="42"/>
        <v>0</v>
      </c>
      <c r="X318" s="49" t="str">
        <f t="shared" si="47"/>
        <v>0</v>
      </c>
      <c r="Y318" s="49">
        <f t="shared" si="43"/>
        <v>0</v>
      </c>
      <c r="Z318" s="49">
        <f t="shared" si="43"/>
        <v>1</v>
      </c>
      <c r="AA318" s="49">
        <f t="shared" si="44"/>
        <v>0</v>
      </c>
      <c r="AB318" s="49" t="str">
        <f t="shared" si="48"/>
        <v>10</v>
      </c>
      <c r="AC318" s="49">
        <f t="shared" si="45"/>
        <v>0</v>
      </c>
      <c r="AD318" s="49">
        <v>0</v>
      </c>
      <c r="AE318" s="49" t="str">
        <f t="shared" si="46"/>
        <v>520A</v>
      </c>
    </row>
    <row r="319" spans="1:31" ht="14.45" customHeight="1" x14ac:dyDescent="0.15">
      <c r="A319" s="42" t="str">
        <f t="shared" si="40"/>
        <v>0</v>
      </c>
      <c r="B319" s="43">
        <v>317</v>
      </c>
      <c r="C319" s="199" t="s">
        <v>655</v>
      </c>
      <c r="D319" s="200" t="s">
        <v>1980</v>
      </c>
      <c r="E319" s="200" t="s">
        <v>1981</v>
      </c>
      <c r="F319" s="203" t="s">
        <v>1022</v>
      </c>
      <c r="G319" s="201">
        <v>0</v>
      </c>
      <c r="H319" s="202">
        <v>60000</v>
      </c>
      <c r="I319" s="199">
        <v>0</v>
      </c>
      <c r="J319" s="202">
        <v>0</v>
      </c>
      <c r="K319" s="202">
        <v>0</v>
      </c>
      <c r="L319" s="202" t="s">
        <v>861</v>
      </c>
      <c r="M319" s="202">
        <v>0.01</v>
      </c>
      <c r="N319" s="202" t="s">
        <v>1905</v>
      </c>
      <c r="O319" s="202">
        <v>0</v>
      </c>
      <c r="P319" s="199">
        <v>1</v>
      </c>
      <c r="Q319" s="202">
        <v>0</v>
      </c>
      <c r="R319" s="202">
        <v>5</v>
      </c>
      <c r="S319" s="202">
        <v>0</v>
      </c>
      <c r="T319" s="53"/>
      <c r="V319" s="49" t="str">
        <f t="shared" si="41"/>
        <v>10</v>
      </c>
      <c r="W319" s="49" t="str">
        <f t="shared" si="42"/>
        <v>10</v>
      </c>
      <c r="X319" s="49" t="str">
        <f>DEC2BIN(14)</f>
        <v>1110</v>
      </c>
      <c r="Y319" s="49">
        <f t="shared" si="43"/>
        <v>0</v>
      </c>
      <c r="Z319" s="49">
        <f t="shared" si="43"/>
        <v>1</v>
      </c>
      <c r="AA319" s="49">
        <f t="shared" si="44"/>
        <v>0</v>
      </c>
      <c r="AB319" s="49" t="str">
        <f t="shared" si="48"/>
        <v>101</v>
      </c>
      <c r="AC319" s="49">
        <f t="shared" si="45"/>
        <v>0</v>
      </c>
      <c r="AD319" s="49">
        <v>0</v>
      </c>
      <c r="AE319" s="49" t="str">
        <f t="shared" si="46"/>
        <v>36F92</v>
      </c>
    </row>
    <row r="320" spans="1:31" ht="14.45" customHeight="1" x14ac:dyDescent="0.15">
      <c r="A320" s="42" t="str">
        <f t="shared" si="40"/>
        <v>0</v>
      </c>
      <c r="B320" s="43">
        <v>318</v>
      </c>
      <c r="C320" s="199" t="s">
        <v>656</v>
      </c>
      <c r="D320" s="200" t="s">
        <v>1982</v>
      </c>
      <c r="E320" s="200" t="s">
        <v>1983</v>
      </c>
      <c r="F320" s="203" t="s">
        <v>1052</v>
      </c>
      <c r="G320" s="201">
        <v>0</v>
      </c>
      <c r="H320" s="202">
        <v>65535</v>
      </c>
      <c r="I320" s="199">
        <v>0</v>
      </c>
      <c r="J320" s="202">
        <v>0</v>
      </c>
      <c r="K320" s="202">
        <v>0</v>
      </c>
      <c r="L320" s="202" t="s">
        <v>861</v>
      </c>
      <c r="M320" s="202">
        <v>0.1</v>
      </c>
      <c r="N320" s="202" t="s">
        <v>1937</v>
      </c>
      <c r="O320" s="202">
        <v>0</v>
      </c>
      <c r="P320" s="199">
        <v>1</v>
      </c>
      <c r="Q320" s="202">
        <v>0</v>
      </c>
      <c r="R320" s="202">
        <v>5</v>
      </c>
      <c r="S320" s="202">
        <v>0</v>
      </c>
      <c r="T320" s="53"/>
      <c r="V320" s="49" t="str">
        <f t="shared" si="41"/>
        <v>10</v>
      </c>
      <c r="W320" s="49" t="str">
        <f t="shared" si="42"/>
        <v>1</v>
      </c>
      <c r="X320" s="49" t="str">
        <f t="shared" si="47"/>
        <v>0</v>
      </c>
      <c r="Y320" s="49">
        <f t="shared" si="43"/>
        <v>0</v>
      </c>
      <c r="Z320" s="49">
        <f t="shared" si="43"/>
        <v>1</v>
      </c>
      <c r="AA320" s="49">
        <f t="shared" si="44"/>
        <v>0</v>
      </c>
      <c r="AB320" s="49" t="str">
        <f t="shared" si="48"/>
        <v>101</v>
      </c>
      <c r="AC320" s="49">
        <f t="shared" si="45"/>
        <v>0</v>
      </c>
      <c r="AD320" s="49">
        <v>0</v>
      </c>
      <c r="AE320" s="49" t="str">
        <f t="shared" si="46"/>
        <v>32A0E</v>
      </c>
    </row>
    <row r="321" spans="1:31" ht="14.45" customHeight="1" x14ac:dyDescent="0.15">
      <c r="A321" s="42" t="str">
        <f t="shared" si="40"/>
        <v>0</v>
      </c>
      <c r="B321" s="43">
        <v>319</v>
      </c>
      <c r="C321" s="199" t="s">
        <v>657</v>
      </c>
      <c r="D321" s="200" t="s">
        <v>1984</v>
      </c>
      <c r="E321" s="200" t="s">
        <v>1985</v>
      </c>
      <c r="F321" s="203" t="s">
        <v>1146</v>
      </c>
      <c r="G321" s="201">
        <v>0</v>
      </c>
      <c r="H321" s="202">
        <v>10000</v>
      </c>
      <c r="I321" s="199">
        <v>0</v>
      </c>
      <c r="J321" s="202">
        <v>0</v>
      </c>
      <c r="K321" s="202">
        <v>0</v>
      </c>
      <c r="L321" s="202" t="s">
        <v>861</v>
      </c>
      <c r="M321" s="202">
        <v>1</v>
      </c>
      <c r="N321" s="202" t="s">
        <v>1923</v>
      </c>
      <c r="O321" s="202">
        <v>0</v>
      </c>
      <c r="P321" s="199">
        <v>1</v>
      </c>
      <c r="Q321" s="202">
        <v>0</v>
      </c>
      <c r="R321" s="202">
        <v>5</v>
      </c>
      <c r="S321" s="202">
        <v>0</v>
      </c>
      <c r="T321" s="53"/>
      <c r="V321" s="49" t="str">
        <f t="shared" si="41"/>
        <v>10</v>
      </c>
      <c r="W321" s="49" t="str">
        <f t="shared" si="42"/>
        <v>0</v>
      </c>
      <c r="X321" s="49" t="str">
        <f>DEC2BIN(14)</f>
        <v>1110</v>
      </c>
      <c r="Y321" s="49">
        <f t="shared" si="43"/>
        <v>0</v>
      </c>
      <c r="Z321" s="49">
        <f t="shared" si="43"/>
        <v>1</v>
      </c>
      <c r="AA321" s="49">
        <f t="shared" si="44"/>
        <v>0</v>
      </c>
      <c r="AB321" s="49" t="str">
        <f t="shared" si="48"/>
        <v>101</v>
      </c>
      <c r="AC321" s="49">
        <f t="shared" si="45"/>
        <v>0</v>
      </c>
      <c r="AD321" s="49">
        <v>0</v>
      </c>
      <c r="AE321" s="49" t="str">
        <f t="shared" si="46"/>
        <v>36F6A</v>
      </c>
    </row>
    <row r="322" spans="1:31" ht="14.45" customHeight="1" x14ac:dyDescent="0.15">
      <c r="A322" s="42" t="str">
        <f t="shared" si="40"/>
        <v>0</v>
      </c>
      <c r="B322" s="43">
        <v>320</v>
      </c>
      <c r="C322" s="199" t="s">
        <v>658</v>
      </c>
      <c r="D322" s="200" t="s">
        <v>2134</v>
      </c>
      <c r="E322" s="200" t="s">
        <v>2135</v>
      </c>
      <c r="F322" s="203" t="s">
        <v>1142</v>
      </c>
      <c r="G322" s="201">
        <v>0</v>
      </c>
      <c r="H322" s="202">
        <v>65535</v>
      </c>
      <c r="I322" s="199">
        <v>0</v>
      </c>
      <c r="J322" s="202">
        <v>0</v>
      </c>
      <c r="K322" s="202">
        <v>0</v>
      </c>
      <c r="L322" s="202" t="s">
        <v>861</v>
      </c>
      <c r="M322" s="202">
        <v>1</v>
      </c>
      <c r="N322" s="202" t="s">
        <v>2127</v>
      </c>
      <c r="O322" s="202">
        <v>0</v>
      </c>
      <c r="P322" s="199">
        <v>1</v>
      </c>
      <c r="Q322" s="202">
        <v>0</v>
      </c>
      <c r="R322" s="202">
        <v>5</v>
      </c>
      <c r="S322" s="202">
        <v>0</v>
      </c>
      <c r="T322" s="53"/>
      <c r="V322" s="49" t="str">
        <f t="shared" si="41"/>
        <v>10</v>
      </c>
      <c r="W322" s="49" t="str">
        <f t="shared" si="42"/>
        <v>0</v>
      </c>
      <c r="X322" s="49" t="str">
        <f t="shared" si="47"/>
        <v>0</v>
      </c>
      <c r="Y322" s="49">
        <f t="shared" si="43"/>
        <v>0</v>
      </c>
      <c r="Z322" s="49">
        <f t="shared" si="43"/>
        <v>1</v>
      </c>
      <c r="AA322" s="49">
        <f t="shared" si="44"/>
        <v>0</v>
      </c>
      <c r="AB322" s="49" t="str">
        <f t="shared" si="48"/>
        <v>101</v>
      </c>
      <c r="AC322" s="49">
        <f t="shared" si="45"/>
        <v>0</v>
      </c>
      <c r="AD322" s="49">
        <v>0</v>
      </c>
      <c r="AE322" s="49" t="str">
        <f t="shared" si="46"/>
        <v>32A0A</v>
      </c>
    </row>
    <row r="323" spans="1:31" ht="14.45" customHeight="1" x14ac:dyDescent="0.15">
      <c r="A323" s="42" t="str">
        <f t="shared" si="40"/>
        <v>0</v>
      </c>
      <c r="B323" s="43">
        <v>321</v>
      </c>
      <c r="C323" s="199" t="s">
        <v>659</v>
      </c>
      <c r="D323" s="200" t="s">
        <v>1986</v>
      </c>
      <c r="E323" s="200" t="s">
        <v>1987</v>
      </c>
      <c r="F323" s="203" t="s">
        <v>1947</v>
      </c>
      <c r="G323" s="201">
        <v>0</v>
      </c>
      <c r="H323" s="202">
        <v>99</v>
      </c>
      <c r="I323" s="199">
        <v>0</v>
      </c>
      <c r="J323" s="202">
        <v>0</v>
      </c>
      <c r="K323" s="202">
        <v>0</v>
      </c>
      <c r="L323" s="202" t="s">
        <v>861</v>
      </c>
      <c r="M323" s="202">
        <v>1</v>
      </c>
      <c r="N323" s="202" t="s">
        <v>1910</v>
      </c>
      <c r="O323" s="202">
        <v>0</v>
      </c>
      <c r="P323" s="199">
        <v>1</v>
      </c>
      <c r="Q323" s="202">
        <v>0</v>
      </c>
      <c r="R323" s="202">
        <v>2</v>
      </c>
      <c r="S323" s="202">
        <v>0</v>
      </c>
      <c r="T323" s="53"/>
      <c r="V323" s="49" t="str">
        <f t="shared" si="41"/>
        <v>10</v>
      </c>
      <c r="W323" s="49" t="str">
        <f t="shared" si="42"/>
        <v>0</v>
      </c>
      <c r="X323" s="49" t="str">
        <f>DEC2BIN(14)</f>
        <v>1110</v>
      </c>
      <c r="Y323" s="49">
        <f t="shared" si="43"/>
        <v>0</v>
      </c>
      <c r="Z323" s="49">
        <f t="shared" si="43"/>
        <v>1</v>
      </c>
      <c r="AA323" s="49">
        <f t="shared" si="44"/>
        <v>0</v>
      </c>
      <c r="AB323" s="49" t="str">
        <f t="shared" si="48"/>
        <v>10</v>
      </c>
      <c r="AC323" s="49">
        <f t="shared" si="45"/>
        <v>0</v>
      </c>
      <c r="AD323" s="49">
        <v>0</v>
      </c>
      <c r="AE323" s="49" t="str">
        <f t="shared" si="46"/>
        <v>976A</v>
      </c>
    </row>
    <row r="324" spans="1:31" ht="14.45" customHeight="1" x14ac:dyDescent="0.15">
      <c r="A324" s="42" t="str">
        <f t="shared" ref="A324:A387" si="49">DEC2HEX(AH324)</f>
        <v>0</v>
      </c>
      <c r="B324" s="43">
        <v>322</v>
      </c>
      <c r="C324" s="199" t="s">
        <v>660</v>
      </c>
      <c r="D324" s="200" t="s">
        <v>1988</v>
      </c>
      <c r="E324" s="200" t="s">
        <v>1989</v>
      </c>
      <c r="F324" s="203" t="s">
        <v>1022</v>
      </c>
      <c r="G324" s="201">
        <v>0</v>
      </c>
      <c r="H324" s="202">
        <v>60000</v>
      </c>
      <c r="I324" s="199">
        <v>0</v>
      </c>
      <c r="J324" s="202">
        <v>0</v>
      </c>
      <c r="K324" s="202">
        <v>0</v>
      </c>
      <c r="L324" s="202" t="s">
        <v>861</v>
      </c>
      <c r="M324" s="202">
        <v>0.01</v>
      </c>
      <c r="N324" s="202" t="s">
        <v>1905</v>
      </c>
      <c r="O324" s="202">
        <v>0</v>
      </c>
      <c r="P324" s="199">
        <v>1</v>
      </c>
      <c r="Q324" s="202">
        <v>0</v>
      </c>
      <c r="R324" s="202">
        <v>5</v>
      </c>
      <c r="S324" s="202">
        <v>0</v>
      </c>
      <c r="T324" s="53"/>
      <c r="V324" s="49" t="str">
        <f t="shared" si="41"/>
        <v>10</v>
      </c>
      <c r="W324" s="49" t="str">
        <f t="shared" si="42"/>
        <v>10</v>
      </c>
      <c r="X324" s="49" t="str">
        <f>DEC2BIN(14)</f>
        <v>1110</v>
      </c>
      <c r="Y324" s="49">
        <f t="shared" si="43"/>
        <v>0</v>
      </c>
      <c r="Z324" s="49">
        <f t="shared" si="43"/>
        <v>1</v>
      </c>
      <c r="AA324" s="49">
        <f t="shared" si="44"/>
        <v>0</v>
      </c>
      <c r="AB324" s="49" t="str">
        <f t="shared" si="48"/>
        <v>101</v>
      </c>
      <c r="AC324" s="49">
        <f t="shared" si="45"/>
        <v>0</v>
      </c>
      <c r="AD324" s="49">
        <v>0</v>
      </c>
      <c r="AE324" s="49" t="str">
        <f t="shared" si="46"/>
        <v>36F92</v>
      </c>
    </row>
    <row r="325" spans="1:31" s="118" customFormat="1" ht="14.45" customHeight="1" x14ac:dyDescent="0.15">
      <c r="A325" s="115" t="str">
        <f t="shared" si="49"/>
        <v>0</v>
      </c>
      <c r="B325" s="116">
        <v>323</v>
      </c>
      <c r="C325" s="199" t="s">
        <v>661</v>
      </c>
      <c r="D325" s="200" t="s">
        <v>1990</v>
      </c>
      <c r="E325" s="200" t="s">
        <v>1991</v>
      </c>
      <c r="F325" s="203" t="s">
        <v>1052</v>
      </c>
      <c r="G325" s="201">
        <v>0</v>
      </c>
      <c r="H325" s="202">
        <v>65535</v>
      </c>
      <c r="I325" s="199">
        <v>0</v>
      </c>
      <c r="J325" s="202">
        <v>0</v>
      </c>
      <c r="K325" s="202">
        <v>0</v>
      </c>
      <c r="L325" s="202" t="s">
        <v>861</v>
      </c>
      <c r="M325" s="202">
        <v>0.1</v>
      </c>
      <c r="N325" s="202" t="s">
        <v>1937</v>
      </c>
      <c r="O325" s="202">
        <v>0</v>
      </c>
      <c r="P325" s="199">
        <v>1</v>
      </c>
      <c r="Q325" s="202">
        <v>0</v>
      </c>
      <c r="R325" s="202">
        <v>5</v>
      </c>
      <c r="S325" s="202">
        <v>0</v>
      </c>
      <c r="T325" s="117"/>
      <c r="V325" s="118" t="str">
        <f t="shared" si="41"/>
        <v>10</v>
      </c>
      <c r="W325" s="118" t="str">
        <f t="shared" si="42"/>
        <v>1</v>
      </c>
      <c r="X325" s="118" t="str">
        <f>DEC2BIN(14)</f>
        <v>1110</v>
      </c>
      <c r="Y325" s="118">
        <f t="shared" si="43"/>
        <v>0</v>
      </c>
      <c r="Z325" s="118">
        <f t="shared" si="43"/>
        <v>1</v>
      </c>
      <c r="AA325" s="118">
        <f t="shared" si="44"/>
        <v>0</v>
      </c>
      <c r="AB325" s="118" t="str">
        <f t="shared" si="48"/>
        <v>101</v>
      </c>
      <c r="AC325" s="118">
        <f t="shared" si="45"/>
        <v>0</v>
      </c>
      <c r="AD325" s="118">
        <v>0</v>
      </c>
      <c r="AE325" s="118" t="str">
        <f t="shared" si="46"/>
        <v>36F6E</v>
      </c>
    </row>
    <row r="326" spans="1:31" ht="14.45" customHeight="1" x14ac:dyDescent="0.15">
      <c r="A326" s="42" t="str">
        <f t="shared" si="49"/>
        <v>0</v>
      </c>
      <c r="B326" s="43">
        <v>324</v>
      </c>
      <c r="C326" s="199" t="s">
        <v>662</v>
      </c>
      <c r="D326" s="200" t="s">
        <v>1992</v>
      </c>
      <c r="E326" s="200" t="s">
        <v>1993</v>
      </c>
      <c r="F326" s="203" t="s">
        <v>1146</v>
      </c>
      <c r="G326" s="201">
        <v>0</v>
      </c>
      <c r="H326" s="202">
        <v>10000</v>
      </c>
      <c r="I326" s="199">
        <v>0</v>
      </c>
      <c r="J326" s="202">
        <v>0</v>
      </c>
      <c r="K326" s="202">
        <v>0</v>
      </c>
      <c r="L326" s="202" t="s">
        <v>861</v>
      </c>
      <c r="M326" s="202">
        <v>1</v>
      </c>
      <c r="N326" s="202" t="s">
        <v>1923</v>
      </c>
      <c r="O326" s="202">
        <v>0</v>
      </c>
      <c r="P326" s="199">
        <v>1</v>
      </c>
      <c r="Q326" s="202">
        <v>0</v>
      </c>
      <c r="R326" s="202">
        <v>5</v>
      </c>
      <c r="S326" s="202">
        <v>0</v>
      </c>
      <c r="T326" s="53"/>
      <c r="V326" s="49" t="str">
        <f t="shared" si="41"/>
        <v>10</v>
      </c>
      <c r="W326" s="49" t="str">
        <f t="shared" si="42"/>
        <v>0</v>
      </c>
      <c r="X326" s="49" t="str">
        <f t="shared" si="47"/>
        <v>0</v>
      </c>
      <c r="Y326" s="49">
        <f t="shared" si="43"/>
        <v>0</v>
      </c>
      <c r="Z326" s="49">
        <f t="shared" si="43"/>
        <v>1</v>
      </c>
      <c r="AA326" s="49">
        <f t="shared" si="44"/>
        <v>0</v>
      </c>
      <c r="AB326" s="49" t="str">
        <f t="shared" si="48"/>
        <v>101</v>
      </c>
      <c r="AC326" s="49">
        <f t="shared" si="45"/>
        <v>0</v>
      </c>
      <c r="AD326" s="49">
        <v>0</v>
      </c>
      <c r="AE326" s="49" t="str">
        <f t="shared" si="46"/>
        <v>32A0A</v>
      </c>
    </row>
    <row r="327" spans="1:31" x14ac:dyDescent="0.15">
      <c r="A327" s="42" t="str">
        <f t="shared" si="49"/>
        <v>0</v>
      </c>
      <c r="B327" s="43">
        <v>325</v>
      </c>
      <c r="C327" s="199" t="s">
        <v>2073</v>
      </c>
      <c r="D327" s="200" t="s">
        <v>2136</v>
      </c>
      <c r="E327" s="200" t="s">
        <v>2137</v>
      </c>
      <c r="F327" s="203" t="s">
        <v>1142</v>
      </c>
      <c r="G327" s="201">
        <v>0</v>
      </c>
      <c r="H327" s="202">
        <v>65535</v>
      </c>
      <c r="I327" s="199">
        <v>0</v>
      </c>
      <c r="J327" s="202">
        <v>0</v>
      </c>
      <c r="K327" s="202">
        <v>0</v>
      </c>
      <c r="L327" s="202" t="s">
        <v>861</v>
      </c>
      <c r="M327" s="202">
        <v>1</v>
      </c>
      <c r="N327" s="202" t="s">
        <v>2127</v>
      </c>
      <c r="O327" s="202">
        <v>0</v>
      </c>
      <c r="P327" s="199">
        <v>1</v>
      </c>
      <c r="Q327" s="202">
        <v>0</v>
      </c>
      <c r="R327" s="202">
        <v>5</v>
      </c>
      <c r="S327" s="202">
        <v>0</v>
      </c>
      <c r="T327" s="48"/>
      <c r="V327" s="49" t="str">
        <f t="shared" si="41"/>
        <v>10</v>
      </c>
      <c r="W327" s="49" t="str">
        <f t="shared" si="42"/>
        <v>0</v>
      </c>
      <c r="X327" s="49" t="str">
        <f t="shared" si="47"/>
        <v>0</v>
      </c>
      <c r="Y327" s="49">
        <f t="shared" si="43"/>
        <v>0</v>
      </c>
      <c r="Z327" s="49">
        <f t="shared" si="43"/>
        <v>1</v>
      </c>
      <c r="AA327" s="49">
        <f t="shared" si="44"/>
        <v>0</v>
      </c>
      <c r="AB327" s="49" t="str">
        <f t="shared" si="48"/>
        <v>101</v>
      </c>
      <c r="AC327" s="49">
        <f t="shared" si="45"/>
        <v>0</v>
      </c>
      <c r="AD327" s="49">
        <v>0</v>
      </c>
      <c r="AE327" s="49" t="str">
        <f t="shared" si="46"/>
        <v>32A0A</v>
      </c>
    </row>
    <row r="328" spans="1:31" x14ac:dyDescent="0.15">
      <c r="A328" s="42" t="str">
        <f t="shared" si="49"/>
        <v>0</v>
      </c>
      <c r="B328" s="43">
        <v>326</v>
      </c>
      <c r="C328" s="199" t="s">
        <v>2074</v>
      </c>
      <c r="D328" s="200" t="s">
        <v>1994</v>
      </c>
      <c r="E328" s="200" t="s">
        <v>1995</v>
      </c>
      <c r="F328" s="203" t="s">
        <v>1947</v>
      </c>
      <c r="G328" s="201">
        <v>0</v>
      </c>
      <c r="H328" s="202">
        <v>99</v>
      </c>
      <c r="I328" s="199">
        <v>0</v>
      </c>
      <c r="J328" s="202">
        <v>0</v>
      </c>
      <c r="K328" s="202">
        <v>0</v>
      </c>
      <c r="L328" s="202" t="s">
        <v>861</v>
      </c>
      <c r="M328" s="202">
        <v>1</v>
      </c>
      <c r="N328" s="202" t="s">
        <v>1910</v>
      </c>
      <c r="O328" s="202">
        <v>0</v>
      </c>
      <c r="P328" s="199">
        <v>1</v>
      </c>
      <c r="Q328" s="202">
        <v>0</v>
      </c>
      <c r="R328" s="202">
        <v>2</v>
      </c>
      <c r="S328" s="202">
        <v>0</v>
      </c>
      <c r="T328" s="48"/>
      <c r="V328" s="49" t="str">
        <f t="shared" si="41"/>
        <v>10</v>
      </c>
      <c r="W328" s="49" t="str">
        <f t="shared" si="42"/>
        <v>0</v>
      </c>
      <c r="X328" s="49" t="str">
        <f>DEC2BIN(14)</f>
        <v>1110</v>
      </c>
      <c r="Y328" s="49">
        <f t="shared" si="43"/>
        <v>0</v>
      </c>
      <c r="Z328" s="49">
        <f t="shared" si="43"/>
        <v>1</v>
      </c>
      <c r="AA328" s="49">
        <f t="shared" si="44"/>
        <v>0</v>
      </c>
      <c r="AB328" s="49" t="str">
        <f t="shared" si="48"/>
        <v>10</v>
      </c>
      <c r="AC328" s="49">
        <f t="shared" si="45"/>
        <v>0</v>
      </c>
      <c r="AD328" s="49">
        <v>0</v>
      </c>
      <c r="AE328" s="49" t="str">
        <f t="shared" si="46"/>
        <v>976A</v>
      </c>
    </row>
    <row r="329" spans="1:31" ht="14.45" customHeight="1" x14ac:dyDescent="0.15">
      <c r="A329" s="42" t="str">
        <f t="shared" si="49"/>
        <v>0</v>
      </c>
      <c r="B329" s="43">
        <v>327</v>
      </c>
      <c r="C329" s="199" t="s">
        <v>2075</v>
      </c>
      <c r="D329" s="200" t="s">
        <v>1996</v>
      </c>
      <c r="E329" s="200" t="s">
        <v>1997</v>
      </c>
      <c r="F329" s="203" t="s">
        <v>1022</v>
      </c>
      <c r="G329" s="201">
        <v>0</v>
      </c>
      <c r="H329" s="202">
        <v>60000</v>
      </c>
      <c r="I329" s="199">
        <v>0</v>
      </c>
      <c r="J329" s="202">
        <v>0</v>
      </c>
      <c r="K329" s="202">
        <v>0</v>
      </c>
      <c r="L329" s="202" t="s">
        <v>861</v>
      </c>
      <c r="M329" s="202">
        <v>0.01</v>
      </c>
      <c r="N329" s="202" t="s">
        <v>1905</v>
      </c>
      <c r="O329" s="202">
        <v>0</v>
      </c>
      <c r="P329" s="199">
        <v>1</v>
      </c>
      <c r="Q329" s="202">
        <v>0</v>
      </c>
      <c r="R329" s="202">
        <v>5</v>
      </c>
      <c r="S329" s="202">
        <v>0</v>
      </c>
      <c r="T329" s="48"/>
      <c r="V329" s="49" t="str">
        <f t="shared" si="41"/>
        <v>10</v>
      </c>
      <c r="W329" s="49" t="str">
        <f t="shared" si="42"/>
        <v>10</v>
      </c>
      <c r="X329" s="49" t="str">
        <f>DEC2BIN(14)</f>
        <v>1110</v>
      </c>
      <c r="Y329" s="49">
        <f t="shared" si="43"/>
        <v>0</v>
      </c>
      <c r="Z329" s="49">
        <f t="shared" si="43"/>
        <v>1</v>
      </c>
      <c r="AA329" s="49">
        <f t="shared" si="44"/>
        <v>0</v>
      </c>
      <c r="AB329" s="49" t="str">
        <f t="shared" si="48"/>
        <v>101</v>
      </c>
      <c r="AC329" s="49">
        <f t="shared" si="45"/>
        <v>0</v>
      </c>
      <c r="AD329" s="49">
        <v>0</v>
      </c>
      <c r="AE329" s="49" t="str">
        <f t="shared" si="46"/>
        <v>36F92</v>
      </c>
    </row>
    <row r="330" spans="1:31" x14ac:dyDescent="0.15">
      <c r="A330" s="42" t="str">
        <f t="shared" si="49"/>
        <v>0</v>
      </c>
      <c r="B330" s="43">
        <v>328</v>
      </c>
      <c r="C330" s="199" t="s">
        <v>2076</v>
      </c>
      <c r="D330" s="200" t="s">
        <v>1998</v>
      </c>
      <c r="E330" s="200" t="s">
        <v>1999</v>
      </c>
      <c r="F330" s="203" t="s">
        <v>1052</v>
      </c>
      <c r="G330" s="201">
        <v>0</v>
      </c>
      <c r="H330" s="202">
        <v>65535</v>
      </c>
      <c r="I330" s="199">
        <v>0</v>
      </c>
      <c r="J330" s="202">
        <v>0</v>
      </c>
      <c r="K330" s="202">
        <v>0</v>
      </c>
      <c r="L330" s="202" t="s">
        <v>861</v>
      </c>
      <c r="M330" s="202">
        <v>0.1</v>
      </c>
      <c r="N330" s="202" t="s">
        <v>1937</v>
      </c>
      <c r="O330" s="202">
        <v>0</v>
      </c>
      <c r="P330" s="199">
        <v>1</v>
      </c>
      <c r="Q330" s="202">
        <v>0</v>
      </c>
      <c r="R330" s="202">
        <v>5</v>
      </c>
      <c r="S330" s="202">
        <v>0</v>
      </c>
      <c r="T330" s="48"/>
      <c r="V330" s="49" t="str">
        <f t="shared" si="41"/>
        <v>10</v>
      </c>
      <c r="W330" s="49" t="str">
        <f t="shared" si="42"/>
        <v>1</v>
      </c>
      <c r="X330" s="49" t="str">
        <f>DEC2BIN(14)</f>
        <v>1110</v>
      </c>
      <c r="Y330" s="49">
        <f t="shared" si="43"/>
        <v>0</v>
      </c>
      <c r="Z330" s="49">
        <f t="shared" si="43"/>
        <v>1</v>
      </c>
      <c r="AA330" s="49">
        <f t="shared" si="44"/>
        <v>0</v>
      </c>
      <c r="AB330" s="49" t="str">
        <f t="shared" si="48"/>
        <v>101</v>
      </c>
      <c r="AC330" s="49">
        <f t="shared" si="45"/>
        <v>0</v>
      </c>
      <c r="AD330" s="49">
        <v>0</v>
      </c>
      <c r="AE330" s="49" t="str">
        <f t="shared" si="46"/>
        <v>36F6E</v>
      </c>
    </row>
    <row r="331" spans="1:31" ht="14.45" customHeight="1" x14ac:dyDescent="0.15">
      <c r="A331" s="42" t="str">
        <f t="shared" si="49"/>
        <v>0</v>
      </c>
      <c r="B331" s="43">
        <v>329</v>
      </c>
      <c r="C331" s="199" t="s">
        <v>2077</v>
      </c>
      <c r="D331" s="200" t="s">
        <v>2000</v>
      </c>
      <c r="E331" s="200" t="s">
        <v>2001</v>
      </c>
      <c r="F331" s="203" t="s">
        <v>1146</v>
      </c>
      <c r="G331" s="201">
        <v>0</v>
      </c>
      <c r="H331" s="202">
        <v>10000</v>
      </c>
      <c r="I331" s="199">
        <v>0</v>
      </c>
      <c r="J331" s="202">
        <v>0</v>
      </c>
      <c r="K331" s="202">
        <v>0</v>
      </c>
      <c r="L331" s="202" t="s">
        <v>861</v>
      </c>
      <c r="M331" s="202">
        <v>1</v>
      </c>
      <c r="N331" s="202" t="s">
        <v>1923</v>
      </c>
      <c r="O331" s="202">
        <v>0</v>
      </c>
      <c r="P331" s="199">
        <v>1</v>
      </c>
      <c r="Q331" s="202">
        <v>0</v>
      </c>
      <c r="R331" s="202">
        <v>5</v>
      </c>
      <c r="S331" s="202">
        <v>0</v>
      </c>
      <c r="T331" s="48"/>
      <c r="V331" s="49" t="str">
        <f t="shared" si="41"/>
        <v>10</v>
      </c>
      <c r="W331" s="49" t="str">
        <f t="shared" si="42"/>
        <v>0</v>
      </c>
      <c r="X331" s="49" t="str">
        <f t="shared" si="47"/>
        <v>0</v>
      </c>
      <c r="Y331" s="49">
        <f t="shared" si="43"/>
        <v>0</v>
      </c>
      <c r="Z331" s="49">
        <f t="shared" si="43"/>
        <v>1</v>
      </c>
      <c r="AA331" s="49">
        <f t="shared" si="44"/>
        <v>0</v>
      </c>
      <c r="AB331" s="49" t="str">
        <f t="shared" si="48"/>
        <v>101</v>
      </c>
      <c r="AC331" s="49">
        <f t="shared" si="45"/>
        <v>0</v>
      </c>
      <c r="AD331" s="49">
        <v>0</v>
      </c>
      <c r="AE331" s="49" t="str">
        <f t="shared" si="46"/>
        <v>32A0A</v>
      </c>
    </row>
    <row r="332" spans="1:31" x14ac:dyDescent="0.15">
      <c r="A332" s="42" t="str">
        <f t="shared" si="49"/>
        <v>0</v>
      </c>
      <c r="B332" s="43">
        <v>330</v>
      </c>
      <c r="C332" s="199" t="s">
        <v>2078</v>
      </c>
      <c r="D332" s="200" t="s">
        <v>2138</v>
      </c>
      <c r="E332" s="200" t="s">
        <v>2139</v>
      </c>
      <c r="F332" s="203" t="s">
        <v>1142</v>
      </c>
      <c r="G332" s="201">
        <v>0</v>
      </c>
      <c r="H332" s="202">
        <v>65535</v>
      </c>
      <c r="I332" s="199">
        <v>0</v>
      </c>
      <c r="J332" s="202">
        <v>0</v>
      </c>
      <c r="K332" s="202">
        <v>0</v>
      </c>
      <c r="L332" s="202" t="s">
        <v>861</v>
      </c>
      <c r="M332" s="202">
        <v>1</v>
      </c>
      <c r="N332" s="202" t="s">
        <v>2127</v>
      </c>
      <c r="O332" s="202">
        <v>0</v>
      </c>
      <c r="P332" s="199">
        <v>1</v>
      </c>
      <c r="Q332" s="202">
        <v>0</v>
      </c>
      <c r="R332" s="202">
        <v>5</v>
      </c>
      <c r="S332" s="202">
        <v>0</v>
      </c>
      <c r="T332" s="48"/>
      <c r="V332" s="49" t="str">
        <f t="shared" si="41"/>
        <v>10</v>
      </c>
      <c r="W332" s="49" t="str">
        <f t="shared" si="42"/>
        <v>0</v>
      </c>
      <c r="X332" s="49" t="str">
        <f t="shared" si="47"/>
        <v>0</v>
      </c>
      <c r="Y332" s="49">
        <f t="shared" si="43"/>
        <v>0</v>
      </c>
      <c r="Z332" s="49">
        <f t="shared" si="43"/>
        <v>1</v>
      </c>
      <c r="AA332" s="49">
        <f t="shared" si="44"/>
        <v>0</v>
      </c>
      <c r="AB332" s="49" t="str">
        <f t="shared" si="48"/>
        <v>101</v>
      </c>
      <c r="AC332" s="49">
        <f t="shared" si="45"/>
        <v>0</v>
      </c>
      <c r="AD332" s="49">
        <v>0</v>
      </c>
      <c r="AE332" s="49" t="str">
        <f t="shared" si="46"/>
        <v>32A0A</v>
      </c>
    </row>
    <row r="333" spans="1:31" x14ac:dyDescent="0.15">
      <c r="A333" s="42" t="str">
        <f t="shared" si="49"/>
        <v>0</v>
      </c>
      <c r="B333" s="43">
        <v>331</v>
      </c>
      <c r="C333" s="199" t="s">
        <v>2079</v>
      </c>
      <c r="D333" s="200" t="s">
        <v>2002</v>
      </c>
      <c r="E333" s="200" t="s">
        <v>2003</v>
      </c>
      <c r="F333" s="203" t="s">
        <v>1947</v>
      </c>
      <c r="G333" s="201">
        <v>0</v>
      </c>
      <c r="H333" s="202">
        <v>99</v>
      </c>
      <c r="I333" s="199">
        <v>0</v>
      </c>
      <c r="J333" s="202">
        <v>0</v>
      </c>
      <c r="K333" s="202">
        <v>0</v>
      </c>
      <c r="L333" s="202" t="s">
        <v>861</v>
      </c>
      <c r="M333" s="202">
        <v>1</v>
      </c>
      <c r="N333" s="202" t="s">
        <v>1910</v>
      </c>
      <c r="O333" s="202">
        <v>0</v>
      </c>
      <c r="P333" s="199">
        <v>1</v>
      </c>
      <c r="Q333" s="202">
        <v>0</v>
      </c>
      <c r="R333" s="202">
        <v>2</v>
      </c>
      <c r="S333" s="202">
        <v>0</v>
      </c>
      <c r="T333" s="48"/>
      <c r="V333" s="49" t="str">
        <f t="shared" si="41"/>
        <v>10</v>
      </c>
      <c r="W333" s="49" t="str">
        <f t="shared" si="42"/>
        <v>0</v>
      </c>
      <c r="X333" s="49" t="str">
        <f t="shared" si="47"/>
        <v>0</v>
      </c>
      <c r="Y333" s="49">
        <f t="shared" si="43"/>
        <v>0</v>
      </c>
      <c r="Z333" s="49">
        <f t="shared" si="43"/>
        <v>1</v>
      </c>
      <c r="AA333" s="49">
        <f t="shared" si="44"/>
        <v>0</v>
      </c>
      <c r="AB333" s="49" t="str">
        <f t="shared" si="48"/>
        <v>10</v>
      </c>
      <c r="AC333" s="49">
        <f t="shared" si="45"/>
        <v>0</v>
      </c>
      <c r="AD333" s="49">
        <v>0</v>
      </c>
      <c r="AE333" s="49" t="str">
        <f t="shared" si="46"/>
        <v>520A</v>
      </c>
    </row>
    <row r="334" spans="1:31" x14ac:dyDescent="0.15">
      <c r="A334" s="42" t="str">
        <f t="shared" si="49"/>
        <v>0</v>
      </c>
      <c r="B334" s="43">
        <v>332</v>
      </c>
      <c r="C334" s="199" t="s">
        <v>2080</v>
      </c>
      <c r="D334" s="200" t="s">
        <v>2004</v>
      </c>
      <c r="E334" s="200" t="s">
        <v>2005</v>
      </c>
      <c r="F334" s="203" t="s">
        <v>1022</v>
      </c>
      <c r="G334" s="201">
        <v>0</v>
      </c>
      <c r="H334" s="202">
        <v>60000</v>
      </c>
      <c r="I334" s="199">
        <v>0</v>
      </c>
      <c r="J334" s="202">
        <v>0</v>
      </c>
      <c r="K334" s="202">
        <v>0</v>
      </c>
      <c r="L334" s="202" t="s">
        <v>861</v>
      </c>
      <c r="M334" s="202">
        <v>0.01</v>
      </c>
      <c r="N334" s="202" t="s">
        <v>1905</v>
      </c>
      <c r="O334" s="202">
        <v>0</v>
      </c>
      <c r="P334" s="199">
        <v>1</v>
      </c>
      <c r="Q334" s="202">
        <v>0</v>
      </c>
      <c r="R334" s="202">
        <v>5</v>
      </c>
      <c r="S334" s="202">
        <v>0</v>
      </c>
      <c r="T334" s="48"/>
      <c r="V334" s="49" t="str">
        <f t="shared" ref="V334:V397" si="50">IF(L334="△",DEC2BIN(0),IF(L334="×",DEC2BIN(1),IF(L334="◎",DEC2BIN(2),DEC2BIN(3))))</f>
        <v>10</v>
      </c>
      <c r="W334" s="49" t="str">
        <f t="shared" ref="W334:W397" si="51">IF(M334=1,DEC2BIN(0),IF(M334=0.1,DEC2BIN(1),IF(M334=0.01,DEC2BIN(2),DEC2BIN(3))))</f>
        <v>10</v>
      </c>
      <c r="X334" s="49" t="str">
        <f>DEC2BIN(14)</f>
        <v>1110</v>
      </c>
      <c r="Y334" s="49">
        <f t="shared" ref="Y334:Y397" si="52">O334</f>
        <v>0</v>
      </c>
      <c r="Z334" s="49">
        <f t="shared" ref="Z334:Z397" si="53">P334</f>
        <v>1</v>
      </c>
      <c r="AA334" s="49">
        <f t="shared" ref="AA334:AA397" si="54">Q334</f>
        <v>0</v>
      </c>
      <c r="AB334" s="49" t="str">
        <f t="shared" si="48"/>
        <v>101</v>
      </c>
      <c r="AC334" s="49">
        <f t="shared" ref="AC334:AC397" si="55">S334</f>
        <v>0</v>
      </c>
      <c r="AD334" s="49">
        <v>0</v>
      </c>
      <c r="AE334" s="49" t="str">
        <f t="shared" ref="AE334:AE397" si="56">DEC2HEX(V334+W334*4+X334*16+Y334*256+Z334*512+AA334*1024+AB334*2048+AC334*16384)</f>
        <v>36F92</v>
      </c>
    </row>
    <row r="335" spans="1:31" x14ac:dyDescent="0.15">
      <c r="A335" s="42" t="str">
        <f t="shared" si="49"/>
        <v>0</v>
      </c>
      <c r="B335" s="43">
        <v>333</v>
      </c>
      <c r="C335" s="199" t="s">
        <v>2081</v>
      </c>
      <c r="D335" s="200" t="s">
        <v>2006</v>
      </c>
      <c r="E335" s="200" t="s">
        <v>2007</v>
      </c>
      <c r="F335" s="203" t="s">
        <v>1052</v>
      </c>
      <c r="G335" s="201">
        <v>0</v>
      </c>
      <c r="H335" s="202">
        <v>65535</v>
      </c>
      <c r="I335" s="199">
        <v>0</v>
      </c>
      <c r="J335" s="202">
        <v>0</v>
      </c>
      <c r="K335" s="202">
        <v>0</v>
      </c>
      <c r="L335" s="202" t="s">
        <v>861</v>
      </c>
      <c r="M335" s="202">
        <v>0.1</v>
      </c>
      <c r="N335" s="202" t="s">
        <v>1937</v>
      </c>
      <c r="O335" s="202">
        <v>0</v>
      </c>
      <c r="P335" s="199">
        <v>1</v>
      </c>
      <c r="Q335" s="202">
        <v>0</v>
      </c>
      <c r="R335" s="202">
        <v>5</v>
      </c>
      <c r="S335" s="202">
        <v>0</v>
      </c>
      <c r="T335" s="48"/>
      <c r="V335" s="49" t="str">
        <f t="shared" si="50"/>
        <v>10</v>
      </c>
      <c r="W335" s="49" t="str">
        <f t="shared" si="51"/>
        <v>1</v>
      </c>
      <c r="X335" s="49" t="str">
        <f t="shared" ref="X335:X397" si="57">LOOKUP(N335,$AG$2:$AG$17,$AH$2:$AH$17)</f>
        <v>0</v>
      </c>
      <c r="Y335" s="49">
        <f t="shared" si="52"/>
        <v>0</v>
      </c>
      <c r="Z335" s="49">
        <f t="shared" si="53"/>
        <v>1</v>
      </c>
      <c r="AA335" s="49">
        <f t="shared" si="54"/>
        <v>0</v>
      </c>
      <c r="AB335" s="49" t="str">
        <f t="shared" ref="AB335:AB398" si="58">DEC2BIN(R335)</f>
        <v>101</v>
      </c>
      <c r="AC335" s="49">
        <f t="shared" si="55"/>
        <v>0</v>
      </c>
      <c r="AD335" s="49">
        <v>0</v>
      </c>
      <c r="AE335" s="49" t="str">
        <f t="shared" si="56"/>
        <v>32A0E</v>
      </c>
    </row>
    <row r="336" spans="1:31" x14ac:dyDescent="0.15">
      <c r="A336" s="42" t="str">
        <f t="shared" si="49"/>
        <v>0</v>
      </c>
      <c r="B336" s="43">
        <v>334</v>
      </c>
      <c r="C336" s="199" t="s">
        <v>2082</v>
      </c>
      <c r="D336" s="200" t="s">
        <v>2008</v>
      </c>
      <c r="E336" s="200" t="s">
        <v>2009</v>
      </c>
      <c r="F336" s="203" t="s">
        <v>1146</v>
      </c>
      <c r="G336" s="201">
        <v>0</v>
      </c>
      <c r="H336" s="202">
        <v>10000</v>
      </c>
      <c r="I336" s="199">
        <v>0</v>
      </c>
      <c r="J336" s="202">
        <v>0</v>
      </c>
      <c r="K336" s="202">
        <v>0</v>
      </c>
      <c r="L336" s="202" t="s">
        <v>861</v>
      </c>
      <c r="M336" s="202">
        <v>1</v>
      </c>
      <c r="N336" s="202" t="s">
        <v>1923</v>
      </c>
      <c r="O336" s="202">
        <v>0</v>
      </c>
      <c r="P336" s="199">
        <v>1</v>
      </c>
      <c r="Q336" s="202">
        <v>0</v>
      </c>
      <c r="R336" s="202">
        <v>5</v>
      </c>
      <c r="S336" s="202">
        <v>0</v>
      </c>
      <c r="T336" s="48"/>
      <c r="V336" s="49" t="str">
        <f t="shared" si="50"/>
        <v>10</v>
      </c>
      <c r="W336" s="49" t="str">
        <f t="shared" si="51"/>
        <v>0</v>
      </c>
      <c r="X336" s="49" t="str">
        <f t="shared" si="57"/>
        <v>0</v>
      </c>
      <c r="Y336" s="49">
        <f t="shared" si="52"/>
        <v>0</v>
      </c>
      <c r="Z336" s="49">
        <f t="shared" si="53"/>
        <v>1</v>
      </c>
      <c r="AA336" s="49">
        <f t="shared" si="54"/>
        <v>0</v>
      </c>
      <c r="AB336" s="49" t="str">
        <f t="shared" si="58"/>
        <v>101</v>
      </c>
      <c r="AC336" s="49">
        <f t="shared" si="55"/>
        <v>0</v>
      </c>
      <c r="AD336" s="49">
        <v>0</v>
      </c>
      <c r="AE336" s="49" t="str">
        <f t="shared" si="56"/>
        <v>32A0A</v>
      </c>
    </row>
    <row r="337" spans="1:31" x14ac:dyDescent="0.15">
      <c r="A337" s="42" t="str">
        <f t="shared" si="49"/>
        <v>0</v>
      </c>
      <c r="B337" s="43">
        <v>335</v>
      </c>
      <c r="C337" s="199" t="s">
        <v>2083</v>
      </c>
      <c r="D337" s="200" t="s">
        <v>2140</v>
      </c>
      <c r="E337" s="200" t="s">
        <v>2141</v>
      </c>
      <c r="F337" s="203" t="s">
        <v>1142</v>
      </c>
      <c r="G337" s="201">
        <v>0</v>
      </c>
      <c r="H337" s="202">
        <v>65535</v>
      </c>
      <c r="I337" s="199">
        <v>0</v>
      </c>
      <c r="J337" s="202">
        <v>0</v>
      </c>
      <c r="K337" s="202">
        <v>0</v>
      </c>
      <c r="L337" s="202" t="s">
        <v>861</v>
      </c>
      <c r="M337" s="202">
        <v>1</v>
      </c>
      <c r="N337" s="202" t="s">
        <v>2127</v>
      </c>
      <c r="O337" s="202">
        <v>0</v>
      </c>
      <c r="P337" s="199">
        <v>1</v>
      </c>
      <c r="Q337" s="202">
        <v>0</v>
      </c>
      <c r="R337" s="202">
        <v>5</v>
      </c>
      <c r="S337" s="202">
        <v>0</v>
      </c>
      <c r="T337" s="48"/>
      <c r="V337" s="49" t="str">
        <f t="shared" si="50"/>
        <v>10</v>
      </c>
      <c r="W337" s="49" t="str">
        <f t="shared" si="51"/>
        <v>0</v>
      </c>
      <c r="X337" s="49" t="str">
        <f t="shared" si="57"/>
        <v>0</v>
      </c>
      <c r="Y337" s="49">
        <f t="shared" si="52"/>
        <v>0</v>
      </c>
      <c r="Z337" s="49">
        <f t="shared" si="53"/>
        <v>1</v>
      </c>
      <c r="AA337" s="49">
        <f t="shared" si="54"/>
        <v>0</v>
      </c>
      <c r="AB337" s="49" t="str">
        <f t="shared" si="58"/>
        <v>101</v>
      </c>
      <c r="AC337" s="49">
        <f t="shared" si="55"/>
        <v>0</v>
      </c>
      <c r="AD337" s="49">
        <v>0</v>
      </c>
      <c r="AE337" s="49" t="str">
        <f t="shared" si="56"/>
        <v>32A0A</v>
      </c>
    </row>
    <row r="338" spans="1:31" x14ac:dyDescent="0.15">
      <c r="A338" s="42" t="str">
        <f t="shared" si="49"/>
        <v>0</v>
      </c>
      <c r="B338" s="43">
        <v>336</v>
      </c>
      <c r="C338" s="199" t="s">
        <v>2084</v>
      </c>
      <c r="D338" s="200" t="s">
        <v>2010</v>
      </c>
      <c r="E338" s="200" t="s">
        <v>2011</v>
      </c>
      <c r="F338" s="203" t="s">
        <v>1947</v>
      </c>
      <c r="G338" s="201">
        <v>0</v>
      </c>
      <c r="H338" s="202">
        <v>99</v>
      </c>
      <c r="I338" s="199">
        <v>0</v>
      </c>
      <c r="J338" s="202">
        <v>0</v>
      </c>
      <c r="K338" s="202">
        <v>0</v>
      </c>
      <c r="L338" s="202" t="s">
        <v>861</v>
      </c>
      <c r="M338" s="202">
        <v>1</v>
      </c>
      <c r="N338" s="202" t="s">
        <v>1910</v>
      </c>
      <c r="O338" s="202">
        <v>0</v>
      </c>
      <c r="P338" s="199">
        <v>1</v>
      </c>
      <c r="Q338" s="202">
        <v>0</v>
      </c>
      <c r="R338" s="202">
        <v>2</v>
      </c>
      <c r="S338" s="202">
        <v>0</v>
      </c>
      <c r="T338" s="48"/>
      <c r="V338" s="49" t="str">
        <f t="shared" si="50"/>
        <v>10</v>
      </c>
      <c r="W338" s="49" t="str">
        <f t="shared" si="51"/>
        <v>0</v>
      </c>
      <c r="X338" s="49" t="str">
        <f t="shared" si="57"/>
        <v>0</v>
      </c>
      <c r="Y338" s="49">
        <f t="shared" si="52"/>
        <v>0</v>
      </c>
      <c r="Z338" s="49">
        <f t="shared" si="53"/>
        <v>1</v>
      </c>
      <c r="AA338" s="49">
        <f t="shared" si="54"/>
        <v>0</v>
      </c>
      <c r="AB338" s="49" t="str">
        <f t="shared" si="58"/>
        <v>10</v>
      </c>
      <c r="AC338" s="49">
        <f t="shared" si="55"/>
        <v>0</v>
      </c>
      <c r="AD338" s="49">
        <v>0</v>
      </c>
      <c r="AE338" s="49" t="str">
        <f t="shared" si="56"/>
        <v>520A</v>
      </c>
    </row>
    <row r="339" spans="1:31" x14ac:dyDescent="0.15">
      <c r="A339" s="42" t="str">
        <f t="shared" si="49"/>
        <v>0</v>
      </c>
      <c r="B339" s="43">
        <v>337</v>
      </c>
      <c r="C339" s="199" t="s">
        <v>2085</v>
      </c>
      <c r="D339" s="200" t="s">
        <v>2012</v>
      </c>
      <c r="E339" s="200" t="s">
        <v>2013</v>
      </c>
      <c r="F339" s="203" t="s">
        <v>1022</v>
      </c>
      <c r="G339" s="201">
        <v>0</v>
      </c>
      <c r="H339" s="202">
        <v>60000</v>
      </c>
      <c r="I339" s="199">
        <v>0</v>
      </c>
      <c r="J339" s="202">
        <v>0</v>
      </c>
      <c r="K339" s="202">
        <v>0</v>
      </c>
      <c r="L339" s="202" t="s">
        <v>861</v>
      </c>
      <c r="M339" s="202">
        <v>0.01</v>
      </c>
      <c r="N339" s="202" t="s">
        <v>1905</v>
      </c>
      <c r="O339" s="202">
        <v>0</v>
      </c>
      <c r="P339" s="199">
        <v>1</v>
      </c>
      <c r="Q339" s="202">
        <v>0</v>
      </c>
      <c r="R339" s="202">
        <v>5</v>
      </c>
      <c r="S339" s="202">
        <v>0</v>
      </c>
      <c r="T339" s="48"/>
      <c r="V339" s="49" t="str">
        <f t="shared" si="50"/>
        <v>10</v>
      </c>
      <c r="W339" s="49" t="str">
        <f t="shared" si="51"/>
        <v>10</v>
      </c>
      <c r="X339" s="49" t="str">
        <f t="shared" si="57"/>
        <v>0</v>
      </c>
      <c r="Y339" s="49">
        <f t="shared" si="52"/>
        <v>0</v>
      </c>
      <c r="Z339" s="49">
        <f t="shared" si="53"/>
        <v>1</v>
      </c>
      <c r="AA339" s="49">
        <f t="shared" si="54"/>
        <v>0</v>
      </c>
      <c r="AB339" s="49" t="str">
        <f t="shared" si="58"/>
        <v>101</v>
      </c>
      <c r="AC339" s="49">
        <f t="shared" si="55"/>
        <v>0</v>
      </c>
      <c r="AD339" s="49">
        <v>0</v>
      </c>
      <c r="AE339" s="49" t="str">
        <f t="shared" si="56"/>
        <v>32A32</v>
      </c>
    </row>
    <row r="340" spans="1:31" x14ac:dyDescent="0.15">
      <c r="A340" s="42" t="str">
        <f t="shared" si="49"/>
        <v>0</v>
      </c>
      <c r="B340" s="43">
        <v>338</v>
      </c>
      <c r="C340" s="199" t="s">
        <v>2086</v>
      </c>
      <c r="D340" s="200" t="s">
        <v>2014</v>
      </c>
      <c r="E340" s="200" t="s">
        <v>2015</v>
      </c>
      <c r="F340" s="203" t="s">
        <v>1052</v>
      </c>
      <c r="G340" s="201">
        <v>0</v>
      </c>
      <c r="H340" s="202">
        <v>65535</v>
      </c>
      <c r="I340" s="199">
        <v>0</v>
      </c>
      <c r="J340" s="202">
        <v>0</v>
      </c>
      <c r="K340" s="202">
        <v>0</v>
      </c>
      <c r="L340" s="202" t="s">
        <v>861</v>
      </c>
      <c r="M340" s="202">
        <v>0.1</v>
      </c>
      <c r="N340" s="202" t="s">
        <v>1937</v>
      </c>
      <c r="O340" s="202">
        <v>0</v>
      </c>
      <c r="P340" s="199">
        <v>1</v>
      </c>
      <c r="Q340" s="202">
        <v>0</v>
      </c>
      <c r="R340" s="202">
        <v>5</v>
      </c>
      <c r="S340" s="202">
        <v>0</v>
      </c>
      <c r="T340" s="48"/>
      <c r="V340" s="49" t="str">
        <f t="shared" si="50"/>
        <v>10</v>
      </c>
      <c r="W340" s="49" t="str">
        <f t="shared" si="51"/>
        <v>1</v>
      </c>
      <c r="X340" s="49" t="str">
        <f t="shared" si="57"/>
        <v>0</v>
      </c>
      <c r="Y340" s="49">
        <f t="shared" si="52"/>
        <v>0</v>
      </c>
      <c r="Z340" s="49">
        <f t="shared" si="53"/>
        <v>1</v>
      </c>
      <c r="AA340" s="49">
        <f t="shared" si="54"/>
        <v>0</v>
      </c>
      <c r="AB340" s="49" t="str">
        <f t="shared" si="58"/>
        <v>101</v>
      </c>
      <c r="AC340" s="49">
        <f t="shared" si="55"/>
        <v>0</v>
      </c>
      <c r="AD340" s="49">
        <v>0</v>
      </c>
      <c r="AE340" s="49" t="str">
        <f t="shared" si="56"/>
        <v>32A0E</v>
      </c>
    </row>
    <row r="341" spans="1:31" x14ac:dyDescent="0.15">
      <c r="A341" s="42" t="str">
        <f t="shared" si="49"/>
        <v>0</v>
      </c>
      <c r="B341" s="43">
        <v>339</v>
      </c>
      <c r="C341" s="199" t="s">
        <v>2087</v>
      </c>
      <c r="D341" s="200" t="s">
        <v>2016</v>
      </c>
      <c r="E341" s="200" t="s">
        <v>2017</v>
      </c>
      <c r="F341" s="203" t="s">
        <v>1146</v>
      </c>
      <c r="G341" s="201">
        <v>0</v>
      </c>
      <c r="H341" s="202">
        <v>10000</v>
      </c>
      <c r="I341" s="199">
        <v>0</v>
      </c>
      <c r="J341" s="202">
        <v>0</v>
      </c>
      <c r="K341" s="202">
        <v>0</v>
      </c>
      <c r="L341" s="202" t="s">
        <v>861</v>
      </c>
      <c r="M341" s="202">
        <v>1</v>
      </c>
      <c r="N341" s="202" t="s">
        <v>1923</v>
      </c>
      <c r="O341" s="202">
        <v>0</v>
      </c>
      <c r="P341" s="199">
        <v>1</v>
      </c>
      <c r="Q341" s="202">
        <v>0</v>
      </c>
      <c r="R341" s="202">
        <v>5</v>
      </c>
      <c r="S341" s="202">
        <v>0</v>
      </c>
      <c r="T341" s="48"/>
      <c r="V341" s="49" t="str">
        <f t="shared" si="50"/>
        <v>10</v>
      </c>
      <c r="W341" s="49" t="str">
        <f t="shared" si="51"/>
        <v>0</v>
      </c>
      <c r="X341" s="49" t="str">
        <f t="shared" si="57"/>
        <v>0</v>
      </c>
      <c r="Y341" s="49">
        <f t="shared" si="52"/>
        <v>0</v>
      </c>
      <c r="Z341" s="49">
        <f t="shared" si="53"/>
        <v>1</v>
      </c>
      <c r="AA341" s="49">
        <f t="shared" si="54"/>
        <v>0</v>
      </c>
      <c r="AB341" s="49" t="str">
        <f t="shared" si="58"/>
        <v>101</v>
      </c>
      <c r="AC341" s="49">
        <f t="shared" si="55"/>
        <v>0</v>
      </c>
      <c r="AD341" s="49">
        <v>0</v>
      </c>
      <c r="AE341" s="49" t="str">
        <f t="shared" si="56"/>
        <v>32A0A</v>
      </c>
    </row>
    <row r="342" spans="1:31" x14ac:dyDescent="0.15">
      <c r="A342" s="42" t="str">
        <f t="shared" si="49"/>
        <v>0</v>
      </c>
      <c r="B342" s="43">
        <v>340</v>
      </c>
      <c r="C342" s="199" t="s">
        <v>2088</v>
      </c>
      <c r="D342" s="200" t="s">
        <v>2142</v>
      </c>
      <c r="E342" s="200" t="s">
        <v>2143</v>
      </c>
      <c r="F342" s="203" t="s">
        <v>1142</v>
      </c>
      <c r="G342" s="201">
        <v>0</v>
      </c>
      <c r="H342" s="202">
        <v>65535</v>
      </c>
      <c r="I342" s="199">
        <v>0</v>
      </c>
      <c r="J342" s="202">
        <v>0</v>
      </c>
      <c r="K342" s="202">
        <v>0</v>
      </c>
      <c r="L342" s="202" t="s">
        <v>861</v>
      </c>
      <c r="M342" s="202">
        <v>1</v>
      </c>
      <c r="N342" s="202" t="s">
        <v>2127</v>
      </c>
      <c r="O342" s="202">
        <v>0</v>
      </c>
      <c r="P342" s="199">
        <v>1</v>
      </c>
      <c r="Q342" s="202">
        <v>0</v>
      </c>
      <c r="R342" s="202">
        <v>5</v>
      </c>
      <c r="S342" s="202">
        <v>0</v>
      </c>
      <c r="T342" s="48"/>
      <c r="V342" s="49" t="str">
        <f t="shared" si="50"/>
        <v>10</v>
      </c>
      <c r="W342" s="49" t="str">
        <f t="shared" si="51"/>
        <v>0</v>
      </c>
      <c r="X342" s="49" t="str">
        <f t="shared" si="57"/>
        <v>0</v>
      </c>
      <c r="Y342" s="49">
        <f t="shared" si="52"/>
        <v>0</v>
      </c>
      <c r="Z342" s="49">
        <f t="shared" si="53"/>
        <v>1</v>
      </c>
      <c r="AA342" s="49">
        <f t="shared" si="54"/>
        <v>0</v>
      </c>
      <c r="AB342" s="49" t="str">
        <f t="shared" si="58"/>
        <v>101</v>
      </c>
      <c r="AC342" s="49">
        <f t="shared" si="55"/>
        <v>0</v>
      </c>
      <c r="AD342" s="49">
        <v>0</v>
      </c>
      <c r="AE342" s="49" t="str">
        <f t="shared" si="56"/>
        <v>32A0A</v>
      </c>
    </row>
    <row r="343" spans="1:31" x14ac:dyDescent="0.15">
      <c r="A343" s="42" t="str">
        <f t="shared" si="49"/>
        <v>0</v>
      </c>
      <c r="B343" s="43">
        <v>341</v>
      </c>
      <c r="C343" s="199" t="s">
        <v>2089</v>
      </c>
      <c r="D343" s="200" t="s">
        <v>2018</v>
      </c>
      <c r="E343" s="200" t="s">
        <v>2019</v>
      </c>
      <c r="F343" s="203" t="s">
        <v>1947</v>
      </c>
      <c r="G343" s="201">
        <v>0</v>
      </c>
      <c r="H343" s="202">
        <v>99</v>
      </c>
      <c r="I343" s="199">
        <v>0</v>
      </c>
      <c r="J343" s="202">
        <v>0</v>
      </c>
      <c r="K343" s="202">
        <v>0</v>
      </c>
      <c r="L343" s="202" t="s">
        <v>861</v>
      </c>
      <c r="M343" s="202">
        <v>1</v>
      </c>
      <c r="N343" s="202" t="s">
        <v>1910</v>
      </c>
      <c r="O343" s="202">
        <v>0</v>
      </c>
      <c r="P343" s="199">
        <v>1</v>
      </c>
      <c r="Q343" s="202">
        <v>0</v>
      </c>
      <c r="R343" s="202">
        <v>2</v>
      </c>
      <c r="S343" s="202">
        <v>0</v>
      </c>
      <c r="T343" s="48"/>
      <c r="V343" s="49" t="str">
        <f t="shared" si="50"/>
        <v>10</v>
      </c>
      <c r="W343" s="49" t="str">
        <f t="shared" si="51"/>
        <v>0</v>
      </c>
      <c r="X343" s="49" t="str">
        <f t="shared" si="57"/>
        <v>0</v>
      </c>
      <c r="Y343" s="49">
        <f t="shared" si="52"/>
        <v>0</v>
      </c>
      <c r="Z343" s="49">
        <f t="shared" si="53"/>
        <v>1</v>
      </c>
      <c r="AA343" s="49">
        <f t="shared" si="54"/>
        <v>0</v>
      </c>
      <c r="AB343" s="49" t="str">
        <f t="shared" si="58"/>
        <v>10</v>
      </c>
      <c r="AC343" s="49">
        <f t="shared" si="55"/>
        <v>0</v>
      </c>
      <c r="AD343" s="49">
        <v>0</v>
      </c>
      <c r="AE343" s="49" t="str">
        <f t="shared" si="56"/>
        <v>520A</v>
      </c>
    </row>
    <row r="344" spans="1:31" x14ac:dyDescent="0.15">
      <c r="A344" s="42" t="str">
        <f t="shared" si="49"/>
        <v>0</v>
      </c>
      <c r="B344" s="43">
        <v>342</v>
      </c>
      <c r="C344" s="199" t="s">
        <v>2090</v>
      </c>
      <c r="D344" s="200" t="s">
        <v>2020</v>
      </c>
      <c r="E344" s="200" t="s">
        <v>2021</v>
      </c>
      <c r="F344" s="203" t="s">
        <v>1022</v>
      </c>
      <c r="G344" s="201">
        <v>0</v>
      </c>
      <c r="H344" s="202">
        <v>60000</v>
      </c>
      <c r="I344" s="199">
        <v>0</v>
      </c>
      <c r="J344" s="202">
        <v>0</v>
      </c>
      <c r="K344" s="202">
        <v>0</v>
      </c>
      <c r="L344" s="202" t="s">
        <v>861</v>
      </c>
      <c r="M344" s="202">
        <v>0.01</v>
      </c>
      <c r="N344" s="202" t="s">
        <v>1905</v>
      </c>
      <c r="O344" s="202">
        <v>0</v>
      </c>
      <c r="P344" s="199">
        <v>1</v>
      </c>
      <c r="Q344" s="202">
        <v>0</v>
      </c>
      <c r="R344" s="202">
        <v>5</v>
      </c>
      <c r="S344" s="202">
        <v>0</v>
      </c>
      <c r="T344" s="48"/>
      <c r="V344" s="49" t="str">
        <f t="shared" si="50"/>
        <v>10</v>
      </c>
      <c r="W344" s="49" t="str">
        <f t="shared" si="51"/>
        <v>10</v>
      </c>
      <c r="X344" s="49" t="str">
        <f t="shared" si="57"/>
        <v>0</v>
      </c>
      <c r="Y344" s="49">
        <f t="shared" si="52"/>
        <v>0</v>
      </c>
      <c r="Z344" s="49">
        <f t="shared" si="53"/>
        <v>1</v>
      </c>
      <c r="AA344" s="49">
        <f t="shared" si="54"/>
        <v>0</v>
      </c>
      <c r="AB344" s="49" t="str">
        <f t="shared" si="58"/>
        <v>101</v>
      </c>
      <c r="AC344" s="49">
        <f t="shared" si="55"/>
        <v>0</v>
      </c>
      <c r="AD344" s="49">
        <v>0</v>
      </c>
      <c r="AE344" s="49" t="str">
        <f t="shared" si="56"/>
        <v>32A32</v>
      </c>
    </row>
    <row r="345" spans="1:31" x14ac:dyDescent="0.15">
      <c r="A345" s="42" t="str">
        <f t="shared" si="49"/>
        <v>0</v>
      </c>
      <c r="B345" s="43">
        <v>343</v>
      </c>
      <c r="C345" s="199" t="s">
        <v>2091</v>
      </c>
      <c r="D345" s="200" t="s">
        <v>2022</v>
      </c>
      <c r="E345" s="200" t="s">
        <v>2023</v>
      </c>
      <c r="F345" s="203" t="s">
        <v>1052</v>
      </c>
      <c r="G345" s="201">
        <v>0</v>
      </c>
      <c r="H345" s="202">
        <v>65535</v>
      </c>
      <c r="I345" s="199">
        <v>0</v>
      </c>
      <c r="J345" s="202">
        <v>0</v>
      </c>
      <c r="K345" s="202">
        <v>0</v>
      </c>
      <c r="L345" s="202" t="s">
        <v>861</v>
      </c>
      <c r="M345" s="202">
        <v>0.1</v>
      </c>
      <c r="N345" s="202" t="s">
        <v>1937</v>
      </c>
      <c r="O345" s="202">
        <v>0</v>
      </c>
      <c r="P345" s="199">
        <v>1</v>
      </c>
      <c r="Q345" s="202">
        <v>0</v>
      </c>
      <c r="R345" s="202">
        <v>5</v>
      </c>
      <c r="S345" s="202">
        <v>0</v>
      </c>
      <c r="T345" s="48"/>
      <c r="V345" s="49" t="str">
        <f t="shared" si="50"/>
        <v>10</v>
      </c>
      <c r="W345" s="49" t="str">
        <f t="shared" si="51"/>
        <v>1</v>
      </c>
      <c r="X345" s="49" t="str">
        <f t="shared" si="57"/>
        <v>0</v>
      </c>
      <c r="Y345" s="49">
        <f t="shared" si="52"/>
        <v>0</v>
      </c>
      <c r="Z345" s="49">
        <f t="shared" si="53"/>
        <v>1</v>
      </c>
      <c r="AA345" s="49">
        <f t="shared" si="54"/>
        <v>0</v>
      </c>
      <c r="AB345" s="49" t="str">
        <f t="shared" si="58"/>
        <v>101</v>
      </c>
      <c r="AC345" s="49">
        <f t="shared" si="55"/>
        <v>0</v>
      </c>
      <c r="AD345" s="49">
        <v>0</v>
      </c>
      <c r="AE345" s="49" t="str">
        <f t="shared" si="56"/>
        <v>32A0E</v>
      </c>
    </row>
    <row r="346" spans="1:31" ht="14.45" customHeight="1" x14ac:dyDescent="0.15">
      <c r="A346" s="42" t="str">
        <f t="shared" si="49"/>
        <v>0</v>
      </c>
      <c r="B346" s="43">
        <v>344</v>
      </c>
      <c r="C346" s="199" t="s">
        <v>2092</v>
      </c>
      <c r="D346" s="200" t="s">
        <v>2024</v>
      </c>
      <c r="E346" s="200" t="s">
        <v>2025</v>
      </c>
      <c r="F346" s="203" t="s">
        <v>1146</v>
      </c>
      <c r="G346" s="201">
        <v>0</v>
      </c>
      <c r="H346" s="202">
        <v>10000</v>
      </c>
      <c r="I346" s="199">
        <v>0</v>
      </c>
      <c r="J346" s="202">
        <v>0</v>
      </c>
      <c r="K346" s="202">
        <v>0</v>
      </c>
      <c r="L346" s="202" t="s">
        <v>861</v>
      </c>
      <c r="M346" s="202">
        <v>1</v>
      </c>
      <c r="N346" s="202" t="s">
        <v>1923</v>
      </c>
      <c r="O346" s="202">
        <v>0</v>
      </c>
      <c r="P346" s="199">
        <v>1</v>
      </c>
      <c r="Q346" s="202">
        <v>0</v>
      </c>
      <c r="R346" s="202">
        <v>5</v>
      </c>
      <c r="S346" s="202">
        <v>0</v>
      </c>
      <c r="T346" s="48"/>
      <c r="V346" s="49" t="str">
        <f t="shared" si="50"/>
        <v>10</v>
      </c>
      <c r="W346" s="49" t="str">
        <f t="shared" si="51"/>
        <v>0</v>
      </c>
      <c r="X346" s="49" t="str">
        <f t="shared" si="57"/>
        <v>0</v>
      </c>
      <c r="Y346" s="49">
        <f t="shared" si="52"/>
        <v>0</v>
      </c>
      <c r="Z346" s="49">
        <f t="shared" si="53"/>
        <v>1</v>
      </c>
      <c r="AA346" s="49">
        <f t="shared" si="54"/>
        <v>0</v>
      </c>
      <c r="AB346" s="49" t="str">
        <f t="shared" si="58"/>
        <v>101</v>
      </c>
      <c r="AC346" s="49">
        <f t="shared" si="55"/>
        <v>0</v>
      </c>
      <c r="AD346" s="49">
        <v>0</v>
      </c>
      <c r="AE346" s="49" t="str">
        <f t="shared" si="56"/>
        <v>32A0A</v>
      </c>
    </row>
    <row r="347" spans="1:31" x14ac:dyDescent="0.15">
      <c r="A347" s="42" t="str">
        <f t="shared" si="49"/>
        <v>0</v>
      </c>
      <c r="B347" s="43">
        <v>345</v>
      </c>
      <c r="C347" s="199" t="s">
        <v>2093</v>
      </c>
      <c r="D347" s="200" t="s">
        <v>2144</v>
      </c>
      <c r="E347" s="200" t="s">
        <v>2145</v>
      </c>
      <c r="F347" s="203" t="s">
        <v>1142</v>
      </c>
      <c r="G347" s="201">
        <v>0</v>
      </c>
      <c r="H347" s="202">
        <v>65535</v>
      </c>
      <c r="I347" s="199">
        <v>0</v>
      </c>
      <c r="J347" s="202">
        <v>0</v>
      </c>
      <c r="K347" s="202">
        <v>0</v>
      </c>
      <c r="L347" s="202" t="s">
        <v>861</v>
      </c>
      <c r="M347" s="202">
        <v>1</v>
      </c>
      <c r="N347" s="202" t="s">
        <v>2127</v>
      </c>
      <c r="O347" s="202">
        <v>0</v>
      </c>
      <c r="P347" s="199">
        <v>1</v>
      </c>
      <c r="Q347" s="202">
        <v>0</v>
      </c>
      <c r="R347" s="202">
        <v>5</v>
      </c>
      <c r="S347" s="202">
        <v>0</v>
      </c>
      <c r="T347" s="48"/>
      <c r="V347" s="49" t="str">
        <f t="shared" si="50"/>
        <v>10</v>
      </c>
      <c r="W347" s="49" t="str">
        <f t="shared" si="51"/>
        <v>0</v>
      </c>
      <c r="X347" s="49" t="str">
        <f>DEC2BIN(14)</f>
        <v>1110</v>
      </c>
      <c r="Y347" s="49">
        <f t="shared" si="52"/>
        <v>0</v>
      </c>
      <c r="Z347" s="49">
        <f t="shared" si="53"/>
        <v>1</v>
      </c>
      <c r="AA347" s="49">
        <f t="shared" si="54"/>
        <v>0</v>
      </c>
      <c r="AB347" s="49" t="str">
        <f t="shared" si="58"/>
        <v>101</v>
      </c>
      <c r="AC347" s="49">
        <f t="shared" si="55"/>
        <v>0</v>
      </c>
      <c r="AD347" s="49">
        <v>0</v>
      </c>
      <c r="AE347" s="49" t="str">
        <f t="shared" si="56"/>
        <v>36F6A</v>
      </c>
    </row>
    <row r="348" spans="1:31" x14ac:dyDescent="0.15">
      <c r="A348" s="42" t="str">
        <f t="shared" si="49"/>
        <v>0</v>
      </c>
      <c r="B348" s="43">
        <v>346</v>
      </c>
      <c r="C348" s="199" t="s">
        <v>2094</v>
      </c>
      <c r="D348" s="200" t="s">
        <v>2026</v>
      </c>
      <c r="E348" s="200" t="s">
        <v>2027</v>
      </c>
      <c r="F348" s="203" t="s">
        <v>1947</v>
      </c>
      <c r="G348" s="201">
        <v>0</v>
      </c>
      <c r="H348" s="202">
        <v>99</v>
      </c>
      <c r="I348" s="199">
        <v>0</v>
      </c>
      <c r="J348" s="202">
        <v>0</v>
      </c>
      <c r="K348" s="202">
        <v>0</v>
      </c>
      <c r="L348" s="202" t="s">
        <v>861</v>
      </c>
      <c r="M348" s="202">
        <v>1</v>
      </c>
      <c r="N348" s="202" t="s">
        <v>1910</v>
      </c>
      <c r="O348" s="202">
        <v>0</v>
      </c>
      <c r="P348" s="199">
        <v>1</v>
      </c>
      <c r="Q348" s="202">
        <v>0</v>
      </c>
      <c r="R348" s="202">
        <v>2</v>
      </c>
      <c r="S348" s="202">
        <v>0</v>
      </c>
      <c r="T348" s="38"/>
      <c r="V348" s="49" t="str">
        <f t="shared" si="50"/>
        <v>10</v>
      </c>
      <c r="W348" s="49" t="str">
        <f t="shared" si="51"/>
        <v>0</v>
      </c>
      <c r="X348" s="49" t="str">
        <f>DEC2BIN(14)</f>
        <v>1110</v>
      </c>
      <c r="Y348" s="49">
        <f t="shared" si="52"/>
        <v>0</v>
      </c>
      <c r="Z348" s="49">
        <f t="shared" si="53"/>
        <v>1</v>
      </c>
      <c r="AA348" s="49">
        <f t="shared" si="54"/>
        <v>0</v>
      </c>
      <c r="AB348" s="49" t="str">
        <f t="shared" si="58"/>
        <v>10</v>
      </c>
      <c r="AC348" s="49">
        <f t="shared" si="55"/>
        <v>0</v>
      </c>
      <c r="AD348" s="49">
        <v>0</v>
      </c>
      <c r="AE348" s="49" t="str">
        <f t="shared" si="56"/>
        <v>976A</v>
      </c>
    </row>
    <row r="349" spans="1:31" x14ac:dyDescent="0.15">
      <c r="A349" s="42" t="str">
        <f t="shared" si="49"/>
        <v>0</v>
      </c>
      <c r="B349" s="43">
        <v>347</v>
      </c>
      <c r="C349" s="199" t="s">
        <v>2095</v>
      </c>
      <c r="D349" s="200" t="s">
        <v>2028</v>
      </c>
      <c r="E349" s="200" t="s">
        <v>2029</v>
      </c>
      <c r="F349" s="203" t="s">
        <v>1022</v>
      </c>
      <c r="G349" s="201">
        <v>0</v>
      </c>
      <c r="H349" s="202">
        <v>60000</v>
      </c>
      <c r="I349" s="199">
        <v>0</v>
      </c>
      <c r="J349" s="202">
        <v>0</v>
      </c>
      <c r="K349" s="202">
        <v>0</v>
      </c>
      <c r="L349" s="202" t="s">
        <v>861</v>
      </c>
      <c r="M349" s="202">
        <v>0.01</v>
      </c>
      <c r="N349" s="202" t="s">
        <v>1905</v>
      </c>
      <c r="O349" s="202">
        <v>0</v>
      </c>
      <c r="P349" s="199">
        <v>1</v>
      </c>
      <c r="Q349" s="202">
        <v>0</v>
      </c>
      <c r="R349" s="202">
        <v>5</v>
      </c>
      <c r="S349" s="202">
        <v>0</v>
      </c>
      <c r="T349" s="38"/>
      <c r="V349" s="49" t="str">
        <f t="shared" si="50"/>
        <v>10</v>
      </c>
      <c r="W349" s="49" t="str">
        <f t="shared" si="51"/>
        <v>10</v>
      </c>
      <c r="X349" s="49" t="str">
        <f>DEC2BIN(14)</f>
        <v>1110</v>
      </c>
      <c r="Y349" s="49">
        <f t="shared" si="52"/>
        <v>0</v>
      </c>
      <c r="Z349" s="49">
        <f t="shared" si="53"/>
        <v>1</v>
      </c>
      <c r="AA349" s="49">
        <f t="shared" si="54"/>
        <v>0</v>
      </c>
      <c r="AB349" s="49" t="str">
        <f t="shared" si="58"/>
        <v>101</v>
      </c>
      <c r="AC349" s="49">
        <f t="shared" si="55"/>
        <v>0</v>
      </c>
      <c r="AD349" s="49">
        <v>0</v>
      </c>
      <c r="AE349" s="49" t="str">
        <f t="shared" si="56"/>
        <v>36F92</v>
      </c>
    </row>
    <row r="350" spans="1:31" x14ac:dyDescent="0.15">
      <c r="A350" s="42" t="str">
        <f t="shared" si="49"/>
        <v>0</v>
      </c>
      <c r="B350" s="43">
        <v>348</v>
      </c>
      <c r="C350" s="199" t="s">
        <v>2096</v>
      </c>
      <c r="D350" s="200" t="s">
        <v>2030</v>
      </c>
      <c r="E350" s="200" t="s">
        <v>2031</v>
      </c>
      <c r="F350" s="203" t="s">
        <v>1052</v>
      </c>
      <c r="G350" s="201">
        <v>0</v>
      </c>
      <c r="H350" s="202">
        <v>65535</v>
      </c>
      <c r="I350" s="199">
        <v>0</v>
      </c>
      <c r="J350" s="202">
        <v>0</v>
      </c>
      <c r="K350" s="202">
        <v>0</v>
      </c>
      <c r="L350" s="202" t="s">
        <v>861</v>
      </c>
      <c r="M350" s="202">
        <v>0.1</v>
      </c>
      <c r="N350" s="202" t="s">
        <v>1937</v>
      </c>
      <c r="O350" s="202">
        <v>0</v>
      </c>
      <c r="P350" s="199">
        <v>1</v>
      </c>
      <c r="Q350" s="202">
        <v>0</v>
      </c>
      <c r="R350" s="202">
        <v>5</v>
      </c>
      <c r="S350" s="202">
        <v>0</v>
      </c>
      <c r="T350" s="38"/>
      <c r="V350" s="49" t="str">
        <f t="shared" si="50"/>
        <v>10</v>
      </c>
      <c r="W350" s="49" t="str">
        <f t="shared" si="51"/>
        <v>1</v>
      </c>
      <c r="X350" s="49" t="str">
        <f>DEC2BIN(14)</f>
        <v>1110</v>
      </c>
      <c r="Y350" s="49">
        <f t="shared" si="52"/>
        <v>0</v>
      </c>
      <c r="Z350" s="49">
        <f t="shared" si="53"/>
        <v>1</v>
      </c>
      <c r="AA350" s="49">
        <f t="shared" si="54"/>
        <v>0</v>
      </c>
      <c r="AB350" s="49" t="str">
        <f t="shared" si="58"/>
        <v>101</v>
      </c>
      <c r="AC350" s="49">
        <f t="shared" si="55"/>
        <v>0</v>
      </c>
      <c r="AD350" s="49">
        <v>0</v>
      </c>
      <c r="AE350" s="49" t="str">
        <f t="shared" si="56"/>
        <v>36F6E</v>
      </c>
    </row>
    <row r="351" spans="1:31" ht="23.25" customHeight="1" x14ac:dyDescent="0.15">
      <c r="A351" s="42" t="str">
        <f t="shared" si="49"/>
        <v>0</v>
      </c>
      <c r="B351" s="43">
        <v>349</v>
      </c>
      <c r="C351" s="199" t="s">
        <v>2097</v>
      </c>
      <c r="D351" s="200" t="s">
        <v>2032</v>
      </c>
      <c r="E351" s="200" t="s">
        <v>2033</v>
      </c>
      <c r="F351" s="203" t="s">
        <v>1146</v>
      </c>
      <c r="G351" s="201">
        <v>0</v>
      </c>
      <c r="H351" s="202">
        <v>10000</v>
      </c>
      <c r="I351" s="199">
        <v>0</v>
      </c>
      <c r="J351" s="202">
        <v>0</v>
      </c>
      <c r="K351" s="202">
        <v>0</v>
      </c>
      <c r="L351" s="202" t="s">
        <v>861</v>
      </c>
      <c r="M351" s="202">
        <v>1</v>
      </c>
      <c r="N351" s="202" t="s">
        <v>1923</v>
      </c>
      <c r="O351" s="202">
        <v>0</v>
      </c>
      <c r="P351" s="199">
        <v>1</v>
      </c>
      <c r="Q351" s="202">
        <v>0</v>
      </c>
      <c r="R351" s="202">
        <v>5</v>
      </c>
      <c r="S351" s="202">
        <v>0</v>
      </c>
      <c r="T351" s="38"/>
      <c r="V351" s="49" t="str">
        <f t="shared" si="50"/>
        <v>10</v>
      </c>
      <c r="W351" s="49" t="str">
        <f t="shared" si="51"/>
        <v>0</v>
      </c>
      <c r="X351" s="49" t="str">
        <f>DEC2BIN(14)</f>
        <v>1110</v>
      </c>
      <c r="Y351" s="49">
        <f t="shared" si="52"/>
        <v>0</v>
      </c>
      <c r="Z351" s="49">
        <f t="shared" si="53"/>
        <v>1</v>
      </c>
      <c r="AA351" s="49">
        <f t="shared" si="54"/>
        <v>0</v>
      </c>
      <c r="AB351" s="49" t="str">
        <f t="shared" si="58"/>
        <v>101</v>
      </c>
      <c r="AC351" s="49">
        <f t="shared" si="55"/>
        <v>0</v>
      </c>
      <c r="AD351" s="49">
        <v>0</v>
      </c>
      <c r="AE351" s="49" t="str">
        <f t="shared" si="56"/>
        <v>36F6A</v>
      </c>
    </row>
    <row r="352" spans="1:31" ht="23.25" customHeight="1" x14ac:dyDescent="0.15">
      <c r="A352" s="42" t="str">
        <f t="shared" si="49"/>
        <v>0</v>
      </c>
      <c r="B352" s="43">
        <v>350</v>
      </c>
      <c r="C352" s="199" t="s">
        <v>2098</v>
      </c>
      <c r="D352" s="200" t="s">
        <v>2146</v>
      </c>
      <c r="E352" s="200" t="s">
        <v>2147</v>
      </c>
      <c r="F352" s="203" t="s">
        <v>1142</v>
      </c>
      <c r="G352" s="201">
        <v>0</v>
      </c>
      <c r="H352" s="202">
        <v>65535</v>
      </c>
      <c r="I352" s="199">
        <v>0</v>
      </c>
      <c r="J352" s="202">
        <v>0</v>
      </c>
      <c r="K352" s="202">
        <v>0</v>
      </c>
      <c r="L352" s="202" t="s">
        <v>861</v>
      </c>
      <c r="M352" s="202">
        <v>1</v>
      </c>
      <c r="N352" s="202" t="s">
        <v>2127</v>
      </c>
      <c r="O352" s="202">
        <v>0</v>
      </c>
      <c r="P352" s="199">
        <v>1</v>
      </c>
      <c r="Q352" s="202">
        <v>0</v>
      </c>
      <c r="R352" s="202">
        <v>5</v>
      </c>
      <c r="S352" s="202">
        <v>0</v>
      </c>
      <c r="T352" s="38"/>
      <c r="V352" s="49" t="str">
        <f t="shared" si="50"/>
        <v>10</v>
      </c>
      <c r="W352" s="49" t="str">
        <f t="shared" si="51"/>
        <v>0</v>
      </c>
      <c r="X352" s="49" t="str">
        <f t="shared" si="57"/>
        <v>0</v>
      </c>
      <c r="Y352" s="49">
        <f t="shared" si="52"/>
        <v>0</v>
      </c>
      <c r="Z352" s="49">
        <f t="shared" si="53"/>
        <v>1</v>
      </c>
      <c r="AA352" s="49">
        <f t="shared" si="54"/>
        <v>0</v>
      </c>
      <c r="AB352" s="49" t="str">
        <f t="shared" si="58"/>
        <v>101</v>
      </c>
      <c r="AC352" s="49">
        <f t="shared" si="55"/>
        <v>0</v>
      </c>
      <c r="AD352" s="49">
        <v>0</v>
      </c>
      <c r="AE352" s="49" t="str">
        <f t="shared" si="56"/>
        <v>32A0A</v>
      </c>
    </row>
    <row r="353" spans="1:31" ht="24" customHeight="1" x14ac:dyDescent="0.15">
      <c r="A353" s="42" t="str">
        <f t="shared" si="49"/>
        <v>0</v>
      </c>
      <c r="B353" s="43">
        <v>351</v>
      </c>
      <c r="C353" s="199" t="s">
        <v>2099</v>
      </c>
      <c r="D353" s="200" t="s">
        <v>2034</v>
      </c>
      <c r="E353" s="200" t="s">
        <v>2035</v>
      </c>
      <c r="F353" s="203" t="s">
        <v>1947</v>
      </c>
      <c r="G353" s="201">
        <v>0</v>
      </c>
      <c r="H353" s="202">
        <v>99</v>
      </c>
      <c r="I353" s="199">
        <v>0</v>
      </c>
      <c r="J353" s="202">
        <v>0</v>
      </c>
      <c r="K353" s="202">
        <v>0</v>
      </c>
      <c r="L353" s="202" t="s">
        <v>861</v>
      </c>
      <c r="M353" s="202">
        <v>1</v>
      </c>
      <c r="N353" s="202" t="s">
        <v>1910</v>
      </c>
      <c r="O353" s="202">
        <v>0</v>
      </c>
      <c r="P353" s="199">
        <v>1</v>
      </c>
      <c r="Q353" s="202">
        <v>0</v>
      </c>
      <c r="R353" s="202">
        <v>2</v>
      </c>
      <c r="S353" s="202">
        <v>0</v>
      </c>
      <c r="T353" s="38"/>
      <c r="V353" s="49" t="str">
        <f t="shared" si="50"/>
        <v>10</v>
      </c>
      <c r="W353" s="49" t="str">
        <f t="shared" si="51"/>
        <v>0</v>
      </c>
      <c r="X353" s="49" t="str">
        <f t="shared" si="57"/>
        <v>0</v>
      </c>
      <c r="Y353" s="49">
        <f t="shared" si="52"/>
        <v>0</v>
      </c>
      <c r="Z353" s="49">
        <f t="shared" si="53"/>
        <v>1</v>
      </c>
      <c r="AA353" s="49">
        <f t="shared" si="54"/>
        <v>0</v>
      </c>
      <c r="AB353" s="49" t="str">
        <f t="shared" si="58"/>
        <v>10</v>
      </c>
      <c r="AC353" s="49">
        <f t="shared" si="55"/>
        <v>0</v>
      </c>
      <c r="AD353" s="49">
        <v>0</v>
      </c>
      <c r="AE353" s="49" t="str">
        <f t="shared" si="56"/>
        <v>520A</v>
      </c>
    </row>
    <row r="354" spans="1:31" ht="14.45" customHeight="1" x14ac:dyDescent="0.15">
      <c r="A354" s="42" t="str">
        <f t="shared" si="49"/>
        <v>0</v>
      </c>
      <c r="B354" s="43">
        <v>352</v>
      </c>
      <c r="C354" s="199" t="s">
        <v>2100</v>
      </c>
      <c r="D354" s="200" t="s">
        <v>2036</v>
      </c>
      <c r="E354" s="200" t="s">
        <v>2037</v>
      </c>
      <c r="F354" s="203" t="s">
        <v>1022</v>
      </c>
      <c r="G354" s="201">
        <v>0</v>
      </c>
      <c r="H354" s="202">
        <v>60000</v>
      </c>
      <c r="I354" s="199">
        <v>0</v>
      </c>
      <c r="J354" s="202">
        <v>0</v>
      </c>
      <c r="K354" s="202">
        <v>0</v>
      </c>
      <c r="L354" s="202" t="s">
        <v>861</v>
      </c>
      <c r="M354" s="202">
        <v>0.01</v>
      </c>
      <c r="N354" s="202" t="s">
        <v>1905</v>
      </c>
      <c r="O354" s="202">
        <v>0</v>
      </c>
      <c r="P354" s="199">
        <v>1</v>
      </c>
      <c r="Q354" s="202">
        <v>0</v>
      </c>
      <c r="R354" s="202">
        <v>5</v>
      </c>
      <c r="S354" s="202">
        <v>0</v>
      </c>
      <c r="T354" s="38"/>
      <c r="V354" s="49" t="str">
        <f t="shared" si="50"/>
        <v>10</v>
      </c>
      <c r="W354" s="49" t="str">
        <f t="shared" si="51"/>
        <v>10</v>
      </c>
      <c r="X354" s="49" t="str">
        <f t="shared" si="57"/>
        <v>0</v>
      </c>
      <c r="Y354" s="49">
        <f t="shared" si="52"/>
        <v>0</v>
      </c>
      <c r="Z354" s="49">
        <f t="shared" si="53"/>
        <v>1</v>
      </c>
      <c r="AA354" s="49">
        <f t="shared" si="54"/>
        <v>0</v>
      </c>
      <c r="AB354" s="49" t="str">
        <f t="shared" si="58"/>
        <v>101</v>
      </c>
      <c r="AC354" s="49">
        <f t="shared" si="55"/>
        <v>0</v>
      </c>
      <c r="AD354" s="49">
        <v>0</v>
      </c>
      <c r="AE354" s="49" t="str">
        <f t="shared" si="56"/>
        <v>32A32</v>
      </c>
    </row>
    <row r="355" spans="1:31" ht="14.45" customHeight="1" x14ac:dyDescent="0.15">
      <c r="A355" s="42" t="str">
        <f t="shared" si="49"/>
        <v>0</v>
      </c>
      <c r="B355" s="43">
        <v>353</v>
      </c>
      <c r="C355" s="199" t="s">
        <v>2101</v>
      </c>
      <c r="D355" s="200" t="s">
        <v>2038</v>
      </c>
      <c r="E355" s="200" t="s">
        <v>2039</v>
      </c>
      <c r="F355" s="203" t="s">
        <v>1052</v>
      </c>
      <c r="G355" s="201">
        <v>0</v>
      </c>
      <c r="H355" s="202">
        <v>65535</v>
      </c>
      <c r="I355" s="199">
        <v>0</v>
      </c>
      <c r="J355" s="202">
        <v>0</v>
      </c>
      <c r="K355" s="202">
        <v>0</v>
      </c>
      <c r="L355" s="202" t="s">
        <v>861</v>
      </c>
      <c r="M355" s="202">
        <v>0.1</v>
      </c>
      <c r="N355" s="202" t="s">
        <v>1937</v>
      </c>
      <c r="O355" s="202">
        <v>0</v>
      </c>
      <c r="P355" s="199">
        <v>1</v>
      </c>
      <c r="Q355" s="202">
        <v>0</v>
      </c>
      <c r="R355" s="202">
        <v>5</v>
      </c>
      <c r="S355" s="202">
        <v>0</v>
      </c>
      <c r="T355" s="38"/>
      <c r="V355" s="49" t="str">
        <f t="shared" si="50"/>
        <v>10</v>
      </c>
      <c r="W355" s="49" t="str">
        <f t="shared" si="51"/>
        <v>1</v>
      </c>
      <c r="X355" s="49" t="str">
        <f t="shared" si="57"/>
        <v>0</v>
      </c>
      <c r="Y355" s="49">
        <f t="shared" si="52"/>
        <v>0</v>
      </c>
      <c r="Z355" s="49">
        <f t="shared" si="53"/>
        <v>1</v>
      </c>
      <c r="AA355" s="49">
        <f t="shared" si="54"/>
        <v>0</v>
      </c>
      <c r="AB355" s="49" t="str">
        <f t="shared" si="58"/>
        <v>101</v>
      </c>
      <c r="AC355" s="49">
        <f t="shared" si="55"/>
        <v>0</v>
      </c>
      <c r="AD355" s="49">
        <v>0</v>
      </c>
      <c r="AE355" s="49" t="str">
        <f t="shared" si="56"/>
        <v>32A0E</v>
      </c>
    </row>
    <row r="356" spans="1:31" ht="14.45" customHeight="1" x14ac:dyDescent="0.15">
      <c r="A356" s="42" t="str">
        <f t="shared" si="49"/>
        <v>0</v>
      </c>
      <c r="B356" s="43">
        <v>354</v>
      </c>
      <c r="C356" s="199" t="s">
        <v>2102</v>
      </c>
      <c r="D356" s="200" t="s">
        <v>2040</v>
      </c>
      <c r="E356" s="200" t="s">
        <v>2041</v>
      </c>
      <c r="F356" s="203" t="s">
        <v>1146</v>
      </c>
      <c r="G356" s="201">
        <v>0</v>
      </c>
      <c r="H356" s="202">
        <v>10000</v>
      </c>
      <c r="I356" s="199">
        <v>0</v>
      </c>
      <c r="J356" s="202">
        <v>0</v>
      </c>
      <c r="K356" s="202">
        <v>0</v>
      </c>
      <c r="L356" s="202" t="s">
        <v>861</v>
      </c>
      <c r="M356" s="202">
        <v>1</v>
      </c>
      <c r="N356" s="202" t="s">
        <v>1923</v>
      </c>
      <c r="O356" s="202">
        <v>0</v>
      </c>
      <c r="P356" s="199">
        <v>1</v>
      </c>
      <c r="Q356" s="202">
        <v>0</v>
      </c>
      <c r="R356" s="202">
        <v>5</v>
      </c>
      <c r="S356" s="202">
        <v>0</v>
      </c>
      <c r="T356" s="38"/>
      <c r="V356" s="49" t="str">
        <f t="shared" si="50"/>
        <v>10</v>
      </c>
      <c r="W356" s="49" t="str">
        <f t="shared" si="51"/>
        <v>0</v>
      </c>
      <c r="X356" s="49" t="str">
        <f t="shared" si="57"/>
        <v>0</v>
      </c>
      <c r="Y356" s="49">
        <f t="shared" si="52"/>
        <v>0</v>
      </c>
      <c r="Z356" s="49">
        <f t="shared" si="53"/>
        <v>1</v>
      </c>
      <c r="AA356" s="49">
        <f t="shared" si="54"/>
        <v>0</v>
      </c>
      <c r="AB356" s="49" t="str">
        <f t="shared" si="58"/>
        <v>101</v>
      </c>
      <c r="AC356" s="49">
        <f t="shared" si="55"/>
        <v>0</v>
      </c>
      <c r="AD356" s="49">
        <v>0</v>
      </c>
      <c r="AE356" s="49" t="str">
        <f t="shared" si="56"/>
        <v>32A0A</v>
      </c>
    </row>
    <row r="357" spans="1:31" ht="14.45" customHeight="1" x14ac:dyDescent="0.15">
      <c r="A357" s="42" t="str">
        <f t="shared" si="49"/>
        <v>0</v>
      </c>
      <c r="B357" s="43">
        <v>355</v>
      </c>
      <c r="C357" s="199" t="s">
        <v>2103</v>
      </c>
      <c r="D357" s="200" t="s">
        <v>2148</v>
      </c>
      <c r="E357" s="200" t="s">
        <v>2149</v>
      </c>
      <c r="F357" s="203" t="s">
        <v>1142</v>
      </c>
      <c r="G357" s="201">
        <v>0</v>
      </c>
      <c r="H357" s="202">
        <v>65535</v>
      </c>
      <c r="I357" s="199">
        <v>0</v>
      </c>
      <c r="J357" s="202">
        <v>0</v>
      </c>
      <c r="K357" s="202">
        <v>0</v>
      </c>
      <c r="L357" s="202" t="s">
        <v>861</v>
      </c>
      <c r="M357" s="202">
        <v>1</v>
      </c>
      <c r="N357" s="202" t="s">
        <v>2127</v>
      </c>
      <c r="O357" s="202">
        <v>0</v>
      </c>
      <c r="P357" s="199">
        <v>1</v>
      </c>
      <c r="Q357" s="202">
        <v>0</v>
      </c>
      <c r="R357" s="202">
        <v>5</v>
      </c>
      <c r="S357" s="202">
        <v>0</v>
      </c>
      <c r="T357" s="38"/>
      <c r="V357" s="49" t="str">
        <f t="shared" si="50"/>
        <v>10</v>
      </c>
      <c r="W357" s="49" t="str">
        <f t="shared" si="51"/>
        <v>0</v>
      </c>
      <c r="X357" s="49" t="str">
        <f t="shared" si="57"/>
        <v>0</v>
      </c>
      <c r="Y357" s="49">
        <f t="shared" si="52"/>
        <v>0</v>
      </c>
      <c r="Z357" s="49">
        <f t="shared" si="53"/>
        <v>1</v>
      </c>
      <c r="AA357" s="49">
        <f t="shared" si="54"/>
        <v>0</v>
      </c>
      <c r="AB357" s="49" t="str">
        <f t="shared" si="58"/>
        <v>101</v>
      </c>
      <c r="AC357" s="49">
        <f t="shared" si="55"/>
        <v>0</v>
      </c>
      <c r="AD357" s="49">
        <v>0</v>
      </c>
      <c r="AE357" s="49" t="str">
        <f t="shared" si="56"/>
        <v>32A0A</v>
      </c>
    </row>
    <row r="358" spans="1:31" x14ac:dyDescent="0.15">
      <c r="A358" s="42" t="str">
        <f t="shared" si="49"/>
        <v>0</v>
      </c>
      <c r="B358" s="43">
        <v>356</v>
      </c>
      <c r="C358" s="199" t="s">
        <v>2104</v>
      </c>
      <c r="D358" s="200" t="s">
        <v>2042</v>
      </c>
      <c r="E358" s="200" t="s">
        <v>2043</v>
      </c>
      <c r="F358" s="203" t="s">
        <v>1947</v>
      </c>
      <c r="G358" s="201">
        <v>0</v>
      </c>
      <c r="H358" s="202">
        <v>99</v>
      </c>
      <c r="I358" s="199">
        <v>0</v>
      </c>
      <c r="J358" s="202">
        <v>0</v>
      </c>
      <c r="K358" s="202">
        <v>0</v>
      </c>
      <c r="L358" s="202" t="s">
        <v>861</v>
      </c>
      <c r="M358" s="202">
        <v>1</v>
      </c>
      <c r="N358" s="202" t="s">
        <v>1910</v>
      </c>
      <c r="O358" s="202">
        <v>0</v>
      </c>
      <c r="P358" s="199">
        <v>1</v>
      </c>
      <c r="Q358" s="202">
        <v>0</v>
      </c>
      <c r="R358" s="202">
        <v>2</v>
      </c>
      <c r="S358" s="202">
        <v>0</v>
      </c>
      <c r="T358" s="38"/>
      <c r="V358" s="49" t="str">
        <f t="shared" si="50"/>
        <v>10</v>
      </c>
      <c r="W358" s="49" t="str">
        <f t="shared" si="51"/>
        <v>0</v>
      </c>
      <c r="X358" s="49" t="str">
        <f t="shared" si="57"/>
        <v>0</v>
      </c>
      <c r="Y358" s="49">
        <f t="shared" si="52"/>
        <v>0</v>
      </c>
      <c r="Z358" s="49">
        <f t="shared" si="53"/>
        <v>1</v>
      </c>
      <c r="AA358" s="49">
        <f t="shared" si="54"/>
        <v>0</v>
      </c>
      <c r="AB358" s="49" t="str">
        <f t="shared" si="58"/>
        <v>10</v>
      </c>
      <c r="AC358" s="49">
        <f t="shared" si="55"/>
        <v>0</v>
      </c>
      <c r="AD358" s="49">
        <v>0</v>
      </c>
      <c r="AE358" s="49" t="str">
        <f t="shared" si="56"/>
        <v>520A</v>
      </c>
    </row>
    <row r="359" spans="1:31" x14ac:dyDescent="0.15">
      <c r="A359" s="42" t="str">
        <f t="shared" si="49"/>
        <v>0</v>
      </c>
      <c r="B359" s="43">
        <v>357</v>
      </c>
      <c r="C359" s="199" t="s">
        <v>2105</v>
      </c>
      <c r="D359" s="200" t="s">
        <v>2044</v>
      </c>
      <c r="E359" s="200" t="s">
        <v>2045</v>
      </c>
      <c r="F359" s="203" t="s">
        <v>1022</v>
      </c>
      <c r="G359" s="201">
        <v>0</v>
      </c>
      <c r="H359" s="202">
        <v>60000</v>
      </c>
      <c r="I359" s="199">
        <v>0</v>
      </c>
      <c r="J359" s="202">
        <v>0</v>
      </c>
      <c r="K359" s="202">
        <v>0</v>
      </c>
      <c r="L359" s="202" t="s">
        <v>861</v>
      </c>
      <c r="M359" s="202">
        <v>0.01</v>
      </c>
      <c r="N359" s="202" t="s">
        <v>1905</v>
      </c>
      <c r="O359" s="202">
        <v>0</v>
      </c>
      <c r="P359" s="199">
        <v>1</v>
      </c>
      <c r="Q359" s="202">
        <v>0</v>
      </c>
      <c r="R359" s="202">
        <v>5</v>
      </c>
      <c r="S359" s="202">
        <v>0</v>
      </c>
      <c r="T359" s="38"/>
      <c r="V359" s="49" t="str">
        <f t="shared" si="50"/>
        <v>10</v>
      </c>
      <c r="W359" s="49" t="str">
        <f t="shared" si="51"/>
        <v>10</v>
      </c>
      <c r="X359" s="49" t="str">
        <f t="shared" si="57"/>
        <v>0</v>
      </c>
      <c r="Y359" s="49">
        <f t="shared" si="52"/>
        <v>0</v>
      </c>
      <c r="Z359" s="49">
        <f t="shared" si="53"/>
        <v>1</v>
      </c>
      <c r="AA359" s="49">
        <f t="shared" si="54"/>
        <v>0</v>
      </c>
      <c r="AB359" s="49" t="str">
        <f t="shared" si="58"/>
        <v>101</v>
      </c>
      <c r="AC359" s="49">
        <f t="shared" si="55"/>
        <v>0</v>
      </c>
      <c r="AD359" s="49">
        <v>0</v>
      </c>
      <c r="AE359" s="49" t="str">
        <f t="shared" si="56"/>
        <v>32A32</v>
      </c>
    </row>
    <row r="360" spans="1:31" x14ac:dyDescent="0.15">
      <c r="A360" s="42" t="str">
        <f t="shared" si="49"/>
        <v>0</v>
      </c>
      <c r="B360" s="43">
        <v>358</v>
      </c>
      <c r="C360" s="199" t="s">
        <v>2106</v>
      </c>
      <c r="D360" s="200" t="s">
        <v>2046</v>
      </c>
      <c r="E360" s="200" t="s">
        <v>2047</v>
      </c>
      <c r="F360" s="203" t="s">
        <v>1052</v>
      </c>
      <c r="G360" s="201">
        <v>0</v>
      </c>
      <c r="H360" s="202">
        <v>65535</v>
      </c>
      <c r="I360" s="199">
        <v>0</v>
      </c>
      <c r="J360" s="202">
        <v>0</v>
      </c>
      <c r="K360" s="202">
        <v>0</v>
      </c>
      <c r="L360" s="202" t="s">
        <v>861</v>
      </c>
      <c r="M360" s="202">
        <v>0.1</v>
      </c>
      <c r="N360" s="202" t="s">
        <v>1937</v>
      </c>
      <c r="O360" s="202">
        <v>0</v>
      </c>
      <c r="P360" s="199">
        <v>1</v>
      </c>
      <c r="Q360" s="202">
        <v>0</v>
      </c>
      <c r="R360" s="202">
        <v>5</v>
      </c>
      <c r="S360" s="202">
        <v>0</v>
      </c>
      <c r="T360" s="38"/>
      <c r="V360" s="49" t="str">
        <f t="shared" si="50"/>
        <v>10</v>
      </c>
      <c r="W360" s="49" t="str">
        <f t="shared" si="51"/>
        <v>1</v>
      </c>
      <c r="X360" s="49" t="str">
        <f t="shared" si="57"/>
        <v>0</v>
      </c>
      <c r="Y360" s="49">
        <f t="shared" si="52"/>
        <v>0</v>
      </c>
      <c r="Z360" s="49">
        <f t="shared" si="53"/>
        <v>1</v>
      </c>
      <c r="AA360" s="49">
        <f t="shared" si="54"/>
        <v>0</v>
      </c>
      <c r="AB360" s="49" t="str">
        <f t="shared" si="58"/>
        <v>101</v>
      </c>
      <c r="AC360" s="49">
        <f t="shared" si="55"/>
        <v>0</v>
      </c>
      <c r="AD360" s="49">
        <v>0</v>
      </c>
      <c r="AE360" s="49" t="str">
        <f t="shared" si="56"/>
        <v>32A0E</v>
      </c>
    </row>
    <row r="361" spans="1:31" x14ac:dyDescent="0.15">
      <c r="A361" s="42" t="str">
        <f t="shared" si="49"/>
        <v>0</v>
      </c>
      <c r="B361" s="43">
        <v>359</v>
      </c>
      <c r="C361" s="199" t="s">
        <v>2107</v>
      </c>
      <c r="D361" s="200" t="s">
        <v>2048</v>
      </c>
      <c r="E361" s="200" t="s">
        <v>2049</v>
      </c>
      <c r="F361" s="203" t="s">
        <v>1146</v>
      </c>
      <c r="G361" s="201">
        <v>0</v>
      </c>
      <c r="H361" s="202">
        <v>10000</v>
      </c>
      <c r="I361" s="199">
        <v>0</v>
      </c>
      <c r="J361" s="202">
        <v>0</v>
      </c>
      <c r="K361" s="202">
        <v>0</v>
      </c>
      <c r="L361" s="202" t="s">
        <v>861</v>
      </c>
      <c r="M361" s="202">
        <v>1</v>
      </c>
      <c r="N361" s="202" t="s">
        <v>1923</v>
      </c>
      <c r="O361" s="202">
        <v>0</v>
      </c>
      <c r="P361" s="199">
        <v>1</v>
      </c>
      <c r="Q361" s="202">
        <v>0</v>
      </c>
      <c r="R361" s="202">
        <v>5</v>
      </c>
      <c r="S361" s="202">
        <v>0</v>
      </c>
      <c r="T361" s="38"/>
      <c r="V361" s="49" t="str">
        <f t="shared" si="50"/>
        <v>10</v>
      </c>
      <c r="W361" s="49" t="str">
        <f t="shared" si="51"/>
        <v>0</v>
      </c>
      <c r="X361" s="49" t="str">
        <f t="shared" si="57"/>
        <v>0</v>
      </c>
      <c r="Y361" s="49">
        <f t="shared" si="52"/>
        <v>0</v>
      </c>
      <c r="Z361" s="49">
        <f t="shared" si="53"/>
        <v>1</v>
      </c>
      <c r="AA361" s="49">
        <f t="shared" si="54"/>
        <v>0</v>
      </c>
      <c r="AB361" s="49" t="str">
        <f t="shared" si="58"/>
        <v>101</v>
      </c>
      <c r="AC361" s="49">
        <f t="shared" si="55"/>
        <v>0</v>
      </c>
      <c r="AD361" s="49">
        <v>0</v>
      </c>
      <c r="AE361" s="49" t="str">
        <f t="shared" si="56"/>
        <v>32A0A</v>
      </c>
    </row>
    <row r="362" spans="1:31" x14ac:dyDescent="0.15">
      <c r="A362" s="42" t="str">
        <f t="shared" si="49"/>
        <v>0</v>
      </c>
      <c r="B362" s="43">
        <v>360</v>
      </c>
      <c r="C362" s="199" t="s">
        <v>2108</v>
      </c>
      <c r="D362" s="200" t="s">
        <v>2150</v>
      </c>
      <c r="E362" s="200" t="s">
        <v>2151</v>
      </c>
      <c r="F362" s="203" t="s">
        <v>1142</v>
      </c>
      <c r="G362" s="201">
        <v>0</v>
      </c>
      <c r="H362" s="202">
        <v>65535</v>
      </c>
      <c r="I362" s="199">
        <v>0</v>
      </c>
      <c r="J362" s="202">
        <v>0</v>
      </c>
      <c r="K362" s="202">
        <v>0</v>
      </c>
      <c r="L362" s="202" t="s">
        <v>861</v>
      </c>
      <c r="M362" s="202">
        <v>1</v>
      </c>
      <c r="N362" s="202" t="s">
        <v>2127</v>
      </c>
      <c r="O362" s="202">
        <v>0</v>
      </c>
      <c r="P362" s="199">
        <v>1</v>
      </c>
      <c r="Q362" s="202">
        <v>0</v>
      </c>
      <c r="R362" s="202">
        <v>5</v>
      </c>
      <c r="S362" s="202">
        <v>0</v>
      </c>
      <c r="T362" s="38"/>
      <c r="V362" s="49" t="str">
        <f t="shared" si="50"/>
        <v>10</v>
      </c>
      <c r="W362" s="49" t="str">
        <f t="shared" si="51"/>
        <v>0</v>
      </c>
      <c r="X362" s="49" t="str">
        <f t="shared" si="57"/>
        <v>0</v>
      </c>
      <c r="Y362" s="49">
        <f t="shared" si="52"/>
        <v>0</v>
      </c>
      <c r="Z362" s="49">
        <f t="shared" si="53"/>
        <v>1</v>
      </c>
      <c r="AA362" s="49">
        <f t="shared" si="54"/>
        <v>0</v>
      </c>
      <c r="AB362" s="49" t="str">
        <f t="shared" si="58"/>
        <v>101</v>
      </c>
      <c r="AC362" s="49">
        <f t="shared" si="55"/>
        <v>0</v>
      </c>
      <c r="AD362" s="49">
        <v>0</v>
      </c>
      <c r="AE362" s="49" t="str">
        <f t="shared" si="56"/>
        <v>32A0A</v>
      </c>
    </row>
    <row r="363" spans="1:31" ht="14.45" customHeight="1" x14ac:dyDescent="0.15">
      <c r="A363" s="42" t="str">
        <f t="shared" si="49"/>
        <v>0</v>
      </c>
      <c r="B363" s="43">
        <v>361</v>
      </c>
      <c r="C363" s="199" t="s">
        <v>2109</v>
      </c>
      <c r="D363" s="200" t="s">
        <v>2050</v>
      </c>
      <c r="E363" s="200" t="s">
        <v>2051</v>
      </c>
      <c r="F363" s="203" t="s">
        <v>1947</v>
      </c>
      <c r="G363" s="201">
        <v>0</v>
      </c>
      <c r="H363" s="202">
        <v>99</v>
      </c>
      <c r="I363" s="199">
        <v>0</v>
      </c>
      <c r="J363" s="202">
        <v>0</v>
      </c>
      <c r="K363" s="202">
        <v>0</v>
      </c>
      <c r="L363" s="202" t="s">
        <v>861</v>
      </c>
      <c r="M363" s="202">
        <v>1</v>
      </c>
      <c r="N363" s="202" t="s">
        <v>1910</v>
      </c>
      <c r="O363" s="202">
        <v>0</v>
      </c>
      <c r="P363" s="199">
        <v>1</v>
      </c>
      <c r="Q363" s="202">
        <v>0</v>
      </c>
      <c r="R363" s="202">
        <v>2</v>
      </c>
      <c r="S363" s="202">
        <v>0</v>
      </c>
      <c r="T363" s="38"/>
      <c r="V363" s="49" t="str">
        <f t="shared" si="50"/>
        <v>10</v>
      </c>
      <c r="W363" s="49" t="str">
        <f t="shared" si="51"/>
        <v>0</v>
      </c>
      <c r="X363" s="49" t="str">
        <f t="shared" si="57"/>
        <v>0</v>
      </c>
      <c r="Y363" s="49">
        <f t="shared" si="52"/>
        <v>0</v>
      </c>
      <c r="Z363" s="49">
        <f t="shared" si="53"/>
        <v>1</v>
      </c>
      <c r="AA363" s="49">
        <f t="shared" si="54"/>
        <v>0</v>
      </c>
      <c r="AB363" s="49" t="str">
        <f t="shared" si="58"/>
        <v>10</v>
      </c>
      <c r="AC363" s="49">
        <f t="shared" si="55"/>
        <v>0</v>
      </c>
      <c r="AD363" s="49">
        <v>0</v>
      </c>
      <c r="AE363" s="49" t="str">
        <f t="shared" si="56"/>
        <v>520A</v>
      </c>
    </row>
    <row r="364" spans="1:31" x14ac:dyDescent="0.15">
      <c r="A364" s="42" t="str">
        <f t="shared" si="49"/>
        <v>0</v>
      </c>
      <c r="B364" s="43">
        <v>362</v>
      </c>
      <c r="C364" s="199" t="s">
        <v>2110</v>
      </c>
      <c r="D364" s="200" t="s">
        <v>2052</v>
      </c>
      <c r="E364" s="200" t="s">
        <v>2053</v>
      </c>
      <c r="F364" s="203" t="s">
        <v>1022</v>
      </c>
      <c r="G364" s="201">
        <v>0</v>
      </c>
      <c r="H364" s="202">
        <v>60000</v>
      </c>
      <c r="I364" s="199">
        <v>0</v>
      </c>
      <c r="J364" s="202">
        <v>0</v>
      </c>
      <c r="K364" s="202">
        <v>0</v>
      </c>
      <c r="L364" s="202" t="s">
        <v>861</v>
      </c>
      <c r="M364" s="202">
        <v>0.01</v>
      </c>
      <c r="N364" s="202" t="s">
        <v>1905</v>
      </c>
      <c r="O364" s="202">
        <v>0</v>
      </c>
      <c r="P364" s="199">
        <v>1</v>
      </c>
      <c r="Q364" s="202">
        <v>0</v>
      </c>
      <c r="R364" s="202">
        <v>5</v>
      </c>
      <c r="S364" s="202">
        <v>0</v>
      </c>
      <c r="T364" s="38"/>
      <c r="V364" s="49" t="str">
        <f t="shared" si="50"/>
        <v>10</v>
      </c>
      <c r="W364" s="49" t="str">
        <f t="shared" si="51"/>
        <v>10</v>
      </c>
      <c r="X364" s="49" t="str">
        <f t="shared" si="57"/>
        <v>0</v>
      </c>
      <c r="Y364" s="49">
        <f t="shared" si="52"/>
        <v>0</v>
      </c>
      <c r="Z364" s="49">
        <f t="shared" si="53"/>
        <v>1</v>
      </c>
      <c r="AA364" s="49">
        <f t="shared" si="54"/>
        <v>0</v>
      </c>
      <c r="AB364" s="49" t="str">
        <f t="shared" si="58"/>
        <v>101</v>
      </c>
      <c r="AC364" s="49">
        <f t="shared" si="55"/>
        <v>0</v>
      </c>
      <c r="AD364" s="49">
        <v>0</v>
      </c>
      <c r="AE364" s="49" t="str">
        <f t="shared" si="56"/>
        <v>32A32</v>
      </c>
    </row>
    <row r="365" spans="1:31" ht="15" customHeight="1" x14ac:dyDescent="0.15">
      <c r="A365" s="42" t="str">
        <f t="shared" si="49"/>
        <v>0</v>
      </c>
      <c r="B365" s="43">
        <v>363</v>
      </c>
      <c r="C365" s="199" t="s">
        <v>2111</v>
      </c>
      <c r="D365" s="200" t="s">
        <v>2054</v>
      </c>
      <c r="E365" s="200" t="s">
        <v>2055</v>
      </c>
      <c r="F365" s="203" t="s">
        <v>1052</v>
      </c>
      <c r="G365" s="201">
        <v>0</v>
      </c>
      <c r="H365" s="202">
        <v>65535</v>
      </c>
      <c r="I365" s="199">
        <v>0</v>
      </c>
      <c r="J365" s="202">
        <v>0</v>
      </c>
      <c r="K365" s="202">
        <v>0</v>
      </c>
      <c r="L365" s="202" t="s">
        <v>861</v>
      </c>
      <c r="M365" s="202">
        <v>0.1</v>
      </c>
      <c r="N365" s="202" t="s">
        <v>1937</v>
      </c>
      <c r="O365" s="202">
        <v>0</v>
      </c>
      <c r="P365" s="199">
        <v>1</v>
      </c>
      <c r="Q365" s="202">
        <v>0</v>
      </c>
      <c r="R365" s="202">
        <v>5</v>
      </c>
      <c r="S365" s="202">
        <v>0</v>
      </c>
      <c r="T365" s="38"/>
      <c r="V365" s="49" t="str">
        <f t="shared" si="50"/>
        <v>10</v>
      </c>
      <c r="W365" s="49" t="str">
        <f t="shared" si="51"/>
        <v>1</v>
      </c>
      <c r="X365" s="49" t="str">
        <f t="shared" si="57"/>
        <v>0</v>
      </c>
      <c r="Y365" s="49">
        <f t="shared" si="52"/>
        <v>0</v>
      </c>
      <c r="Z365" s="49">
        <f t="shared" si="53"/>
        <v>1</v>
      </c>
      <c r="AA365" s="49">
        <f t="shared" si="54"/>
        <v>0</v>
      </c>
      <c r="AB365" s="49" t="str">
        <f t="shared" si="58"/>
        <v>101</v>
      </c>
      <c r="AC365" s="49">
        <f t="shared" si="55"/>
        <v>0</v>
      </c>
      <c r="AD365" s="49">
        <v>0</v>
      </c>
      <c r="AE365" s="49" t="str">
        <f t="shared" si="56"/>
        <v>32A0E</v>
      </c>
    </row>
    <row r="366" spans="1:31" x14ac:dyDescent="0.15">
      <c r="A366" s="42" t="str">
        <f t="shared" si="49"/>
        <v>0</v>
      </c>
      <c r="B366" s="43">
        <v>364</v>
      </c>
      <c r="C366" s="199" t="s">
        <v>2112</v>
      </c>
      <c r="D366" s="200" t="s">
        <v>2056</v>
      </c>
      <c r="E366" s="200" t="s">
        <v>2057</v>
      </c>
      <c r="F366" s="203" t="s">
        <v>1146</v>
      </c>
      <c r="G366" s="201">
        <v>0</v>
      </c>
      <c r="H366" s="202">
        <v>10000</v>
      </c>
      <c r="I366" s="199">
        <v>0</v>
      </c>
      <c r="J366" s="202">
        <v>0</v>
      </c>
      <c r="K366" s="202">
        <v>0</v>
      </c>
      <c r="L366" s="202" t="s">
        <v>861</v>
      </c>
      <c r="M366" s="202">
        <v>1</v>
      </c>
      <c r="N366" s="202" t="s">
        <v>1923</v>
      </c>
      <c r="O366" s="202">
        <v>0</v>
      </c>
      <c r="P366" s="199">
        <v>1</v>
      </c>
      <c r="Q366" s="202">
        <v>0</v>
      </c>
      <c r="R366" s="202">
        <v>5</v>
      </c>
      <c r="S366" s="202">
        <v>0</v>
      </c>
      <c r="T366" s="38"/>
      <c r="V366" s="49" t="str">
        <f t="shared" si="50"/>
        <v>10</v>
      </c>
      <c r="W366" s="49" t="str">
        <f t="shared" si="51"/>
        <v>0</v>
      </c>
      <c r="X366" s="49" t="str">
        <f t="shared" si="57"/>
        <v>0</v>
      </c>
      <c r="Y366" s="49">
        <f t="shared" si="52"/>
        <v>0</v>
      </c>
      <c r="Z366" s="49">
        <f t="shared" si="53"/>
        <v>1</v>
      </c>
      <c r="AA366" s="49">
        <f t="shared" si="54"/>
        <v>0</v>
      </c>
      <c r="AB366" s="49" t="str">
        <f t="shared" si="58"/>
        <v>101</v>
      </c>
      <c r="AC366" s="49">
        <f t="shared" si="55"/>
        <v>0</v>
      </c>
      <c r="AD366" s="49">
        <v>0</v>
      </c>
      <c r="AE366" s="49" t="str">
        <f t="shared" si="56"/>
        <v>32A0A</v>
      </c>
    </row>
    <row r="367" spans="1:31" ht="14.45" customHeight="1" x14ac:dyDescent="0.15">
      <c r="A367" s="42" t="str">
        <f t="shared" si="49"/>
        <v>0</v>
      </c>
      <c r="B367" s="43">
        <v>365</v>
      </c>
      <c r="C367" s="199" t="s">
        <v>2113</v>
      </c>
      <c r="D367" s="200" t="s">
        <v>2152</v>
      </c>
      <c r="E367" s="200" t="s">
        <v>2153</v>
      </c>
      <c r="F367" s="203" t="s">
        <v>1142</v>
      </c>
      <c r="G367" s="201">
        <v>0</v>
      </c>
      <c r="H367" s="202">
        <v>65535</v>
      </c>
      <c r="I367" s="199">
        <v>0</v>
      </c>
      <c r="J367" s="202">
        <v>0</v>
      </c>
      <c r="K367" s="202">
        <v>0</v>
      </c>
      <c r="L367" s="202" t="s">
        <v>861</v>
      </c>
      <c r="M367" s="202">
        <v>1</v>
      </c>
      <c r="N367" s="202" t="s">
        <v>2127</v>
      </c>
      <c r="O367" s="202">
        <v>0</v>
      </c>
      <c r="P367" s="199">
        <v>1</v>
      </c>
      <c r="Q367" s="202">
        <v>0</v>
      </c>
      <c r="R367" s="202">
        <v>5</v>
      </c>
      <c r="S367" s="202">
        <v>0</v>
      </c>
      <c r="T367" s="38"/>
      <c r="V367" s="49" t="str">
        <f t="shared" si="50"/>
        <v>10</v>
      </c>
      <c r="W367" s="49" t="str">
        <f t="shared" si="51"/>
        <v>0</v>
      </c>
      <c r="X367" s="49" t="str">
        <f t="shared" si="57"/>
        <v>0</v>
      </c>
      <c r="Y367" s="49">
        <f t="shared" si="52"/>
        <v>0</v>
      </c>
      <c r="Z367" s="49">
        <f t="shared" si="53"/>
        <v>1</v>
      </c>
      <c r="AA367" s="49">
        <f t="shared" si="54"/>
        <v>0</v>
      </c>
      <c r="AB367" s="49" t="str">
        <f t="shared" si="58"/>
        <v>101</v>
      </c>
      <c r="AC367" s="49">
        <f t="shared" si="55"/>
        <v>0</v>
      </c>
      <c r="AD367" s="49">
        <v>0</v>
      </c>
      <c r="AE367" s="49" t="str">
        <f t="shared" si="56"/>
        <v>32A0A</v>
      </c>
    </row>
    <row r="368" spans="1:31" ht="14.45" customHeight="1" x14ac:dyDescent="0.15">
      <c r="A368" s="42" t="str">
        <f t="shared" si="49"/>
        <v>0</v>
      </c>
      <c r="B368" s="43">
        <v>366</v>
      </c>
      <c r="C368" s="199" t="s">
        <v>2114</v>
      </c>
      <c r="D368" s="200" t="s">
        <v>2058</v>
      </c>
      <c r="E368" s="200" t="s">
        <v>2059</v>
      </c>
      <c r="F368" s="203" t="s">
        <v>1947</v>
      </c>
      <c r="G368" s="201">
        <v>0</v>
      </c>
      <c r="H368" s="202">
        <v>99</v>
      </c>
      <c r="I368" s="199">
        <v>0</v>
      </c>
      <c r="J368" s="202">
        <v>0</v>
      </c>
      <c r="K368" s="202">
        <v>0</v>
      </c>
      <c r="L368" s="202" t="s">
        <v>861</v>
      </c>
      <c r="M368" s="202">
        <v>1</v>
      </c>
      <c r="N368" s="202" t="s">
        <v>1910</v>
      </c>
      <c r="O368" s="202">
        <v>0</v>
      </c>
      <c r="P368" s="199">
        <v>1</v>
      </c>
      <c r="Q368" s="202">
        <v>0</v>
      </c>
      <c r="R368" s="202">
        <v>2</v>
      </c>
      <c r="S368" s="202">
        <v>0</v>
      </c>
      <c r="T368" s="38"/>
      <c r="V368" s="49" t="str">
        <f t="shared" si="50"/>
        <v>10</v>
      </c>
      <c r="W368" s="49" t="str">
        <f t="shared" si="51"/>
        <v>0</v>
      </c>
      <c r="X368" s="49" t="str">
        <f t="shared" si="57"/>
        <v>0</v>
      </c>
      <c r="Y368" s="49">
        <f t="shared" si="52"/>
        <v>0</v>
      </c>
      <c r="Z368" s="49">
        <f t="shared" si="53"/>
        <v>1</v>
      </c>
      <c r="AA368" s="49">
        <f t="shared" si="54"/>
        <v>0</v>
      </c>
      <c r="AB368" s="49" t="str">
        <f t="shared" si="58"/>
        <v>10</v>
      </c>
      <c r="AC368" s="49">
        <f t="shared" si="55"/>
        <v>0</v>
      </c>
      <c r="AD368" s="49">
        <v>0</v>
      </c>
      <c r="AE368" s="49" t="str">
        <f t="shared" si="56"/>
        <v>520A</v>
      </c>
    </row>
    <row r="369" spans="1:31" ht="14.45" customHeight="1" x14ac:dyDescent="0.15">
      <c r="A369" s="42" t="str">
        <f t="shared" si="49"/>
        <v>0</v>
      </c>
      <c r="B369" s="43">
        <v>367</v>
      </c>
      <c r="C369" s="199" t="s">
        <v>2115</v>
      </c>
      <c r="D369" s="200" t="s">
        <v>2060</v>
      </c>
      <c r="E369" s="200" t="s">
        <v>2061</v>
      </c>
      <c r="F369" s="203" t="s">
        <v>1022</v>
      </c>
      <c r="G369" s="201">
        <v>0</v>
      </c>
      <c r="H369" s="202">
        <v>60000</v>
      </c>
      <c r="I369" s="199">
        <v>0</v>
      </c>
      <c r="J369" s="202">
        <v>0</v>
      </c>
      <c r="K369" s="202">
        <v>0</v>
      </c>
      <c r="L369" s="202" t="s">
        <v>861</v>
      </c>
      <c r="M369" s="202">
        <v>0.01</v>
      </c>
      <c r="N369" s="202" t="s">
        <v>1905</v>
      </c>
      <c r="O369" s="202">
        <v>0</v>
      </c>
      <c r="P369" s="199">
        <v>1</v>
      </c>
      <c r="Q369" s="202">
        <v>0</v>
      </c>
      <c r="R369" s="202">
        <v>5</v>
      </c>
      <c r="S369" s="202">
        <v>0</v>
      </c>
      <c r="T369" s="38"/>
      <c r="V369" s="49" t="str">
        <f t="shared" si="50"/>
        <v>10</v>
      </c>
      <c r="W369" s="49" t="str">
        <f t="shared" si="51"/>
        <v>10</v>
      </c>
      <c r="X369" s="49" t="str">
        <f>DEC2BIN(14)</f>
        <v>1110</v>
      </c>
      <c r="Y369" s="49">
        <f t="shared" si="52"/>
        <v>0</v>
      </c>
      <c r="Z369" s="49">
        <f t="shared" si="53"/>
        <v>1</v>
      </c>
      <c r="AA369" s="49">
        <f t="shared" si="54"/>
        <v>0</v>
      </c>
      <c r="AB369" s="49" t="str">
        <f t="shared" si="58"/>
        <v>101</v>
      </c>
      <c r="AC369" s="49">
        <f t="shared" si="55"/>
        <v>0</v>
      </c>
      <c r="AD369" s="49">
        <v>0</v>
      </c>
      <c r="AE369" s="49" t="str">
        <f t="shared" si="56"/>
        <v>36F92</v>
      </c>
    </row>
    <row r="370" spans="1:31" ht="14.45" customHeight="1" x14ac:dyDescent="0.15">
      <c r="A370" s="42" t="str">
        <f t="shared" si="49"/>
        <v>0</v>
      </c>
      <c r="B370" s="43">
        <v>368</v>
      </c>
      <c r="C370" s="199" t="s">
        <v>2116</v>
      </c>
      <c r="D370" s="200" t="s">
        <v>2062</v>
      </c>
      <c r="E370" s="200" t="s">
        <v>2063</v>
      </c>
      <c r="F370" s="203" t="s">
        <v>1052</v>
      </c>
      <c r="G370" s="201">
        <v>0</v>
      </c>
      <c r="H370" s="202">
        <v>65535</v>
      </c>
      <c r="I370" s="199">
        <v>0</v>
      </c>
      <c r="J370" s="202">
        <v>0</v>
      </c>
      <c r="K370" s="202">
        <v>0</v>
      </c>
      <c r="L370" s="202" t="s">
        <v>861</v>
      </c>
      <c r="M370" s="202">
        <v>0.1</v>
      </c>
      <c r="N370" s="202" t="s">
        <v>1937</v>
      </c>
      <c r="O370" s="202">
        <v>0</v>
      </c>
      <c r="P370" s="199">
        <v>1</v>
      </c>
      <c r="Q370" s="202">
        <v>0</v>
      </c>
      <c r="R370" s="202">
        <v>5</v>
      </c>
      <c r="S370" s="202">
        <v>0</v>
      </c>
      <c r="T370" s="38"/>
      <c r="V370" s="49" t="str">
        <f t="shared" si="50"/>
        <v>10</v>
      </c>
      <c r="W370" s="49" t="str">
        <f t="shared" si="51"/>
        <v>1</v>
      </c>
      <c r="X370" s="49" t="str">
        <f t="shared" si="57"/>
        <v>0</v>
      </c>
      <c r="Y370" s="49">
        <f t="shared" si="52"/>
        <v>0</v>
      </c>
      <c r="Z370" s="49">
        <f t="shared" si="53"/>
        <v>1</v>
      </c>
      <c r="AA370" s="49">
        <f t="shared" si="54"/>
        <v>0</v>
      </c>
      <c r="AB370" s="49" t="str">
        <f t="shared" si="58"/>
        <v>101</v>
      </c>
      <c r="AC370" s="49">
        <f t="shared" si="55"/>
        <v>0</v>
      </c>
      <c r="AD370" s="49">
        <v>0</v>
      </c>
      <c r="AE370" s="49" t="str">
        <f t="shared" si="56"/>
        <v>32A0E</v>
      </c>
    </row>
    <row r="371" spans="1:31" ht="14.45" customHeight="1" x14ac:dyDescent="0.15">
      <c r="A371" s="42" t="str">
        <f t="shared" si="49"/>
        <v>0</v>
      </c>
      <c r="B371" s="43">
        <v>369</v>
      </c>
      <c r="C371" s="199" t="s">
        <v>2117</v>
      </c>
      <c r="D371" s="200" t="s">
        <v>2064</v>
      </c>
      <c r="E371" s="200" t="s">
        <v>2065</v>
      </c>
      <c r="F371" s="203" t="s">
        <v>1146</v>
      </c>
      <c r="G371" s="201">
        <v>0</v>
      </c>
      <c r="H371" s="202">
        <v>10000</v>
      </c>
      <c r="I371" s="199">
        <v>0</v>
      </c>
      <c r="J371" s="202">
        <v>0</v>
      </c>
      <c r="K371" s="202">
        <v>0</v>
      </c>
      <c r="L371" s="202" t="s">
        <v>861</v>
      </c>
      <c r="M371" s="202">
        <v>1</v>
      </c>
      <c r="N371" s="202" t="s">
        <v>1923</v>
      </c>
      <c r="O371" s="202">
        <v>0</v>
      </c>
      <c r="P371" s="199">
        <v>1</v>
      </c>
      <c r="Q371" s="202">
        <v>0</v>
      </c>
      <c r="R371" s="202">
        <v>5</v>
      </c>
      <c r="S371" s="202">
        <v>0</v>
      </c>
      <c r="T371" s="38"/>
      <c r="V371" s="49" t="str">
        <f t="shared" si="50"/>
        <v>10</v>
      </c>
      <c r="W371" s="49" t="str">
        <f t="shared" si="51"/>
        <v>0</v>
      </c>
      <c r="X371" s="49" t="str">
        <f t="shared" si="57"/>
        <v>0</v>
      </c>
      <c r="Y371" s="49">
        <f t="shared" si="52"/>
        <v>0</v>
      </c>
      <c r="Z371" s="49">
        <f t="shared" si="53"/>
        <v>1</v>
      </c>
      <c r="AA371" s="49">
        <f t="shared" si="54"/>
        <v>0</v>
      </c>
      <c r="AB371" s="49" t="str">
        <f t="shared" si="58"/>
        <v>101</v>
      </c>
      <c r="AC371" s="49">
        <f t="shared" si="55"/>
        <v>0</v>
      </c>
      <c r="AD371" s="49">
        <v>0</v>
      </c>
      <c r="AE371" s="49" t="str">
        <f t="shared" si="56"/>
        <v>32A0A</v>
      </c>
    </row>
    <row r="372" spans="1:31" x14ac:dyDescent="0.15">
      <c r="A372" s="42" t="str">
        <f t="shared" si="49"/>
        <v>0</v>
      </c>
      <c r="B372" s="43">
        <v>370</v>
      </c>
      <c r="C372" s="199" t="s">
        <v>2118</v>
      </c>
      <c r="D372" s="200" t="s">
        <v>2154</v>
      </c>
      <c r="E372" s="200" t="s">
        <v>2155</v>
      </c>
      <c r="F372" s="203" t="s">
        <v>1142</v>
      </c>
      <c r="G372" s="201">
        <v>0</v>
      </c>
      <c r="H372" s="202">
        <v>65535</v>
      </c>
      <c r="I372" s="199">
        <v>0</v>
      </c>
      <c r="J372" s="202">
        <v>0</v>
      </c>
      <c r="K372" s="202">
        <v>0</v>
      </c>
      <c r="L372" s="202" t="s">
        <v>861</v>
      </c>
      <c r="M372" s="202">
        <v>1</v>
      </c>
      <c r="N372" s="202" t="s">
        <v>2127</v>
      </c>
      <c r="O372" s="202">
        <v>0</v>
      </c>
      <c r="P372" s="199">
        <v>1</v>
      </c>
      <c r="Q372" s="202">
        <v>0</v>
      </c>
      <c r="R372" s="202">
        <v>5</v>
      </c>
      <c r="S372" s="202">
        <v>0</v>
      </c>
      <c r="T372" s="38"/>
      <c r="V372" s="49" t="str">
        <f t="shared" si="50"/>
        <v>10</v>
      </c>
      <c r="W372" s="49" t="str">
        <f t="shared" si="51"/>
        <v>0</v>
      </c>
      <c r="X372" s="49" t="str">
        <f t="shared" si="57"/>
        <v>0</v>
      </c>
      <c r="Y372" s="49">
        <f t="shared" si="52"/>
        <v>0</v>
      </c>
      <c r="Z372" s="49">
        <f t="shared" si="53"/>
        <v>1</v>
      </c>
      <c r="AA372" s="49">
        <f t="shared" si="54"/>
        <v>0</v>
      </c>
      <c r="AB372" s="49" t="str">
        <f t="shared" si="58"/>
        <v>101</v>
      </c>
      <c r="AC372" s="49">
        <f t="shared" si="55"/>
        <v>0</v>
      </c>
      <c r="AD372" s="49">
        <v>0</v>
      </c>
      <c r="AE372" s="49" t="str">
        <f t="shared" si="56"/>
        <v>32A0A</v>
      </c>
    </row>
    <row r="373" spans="1:31" x14ac:dyDescent="0.15">
      <c r="A373" s="42" t="str">
        <f t="shared" si="49"/>
        <v>0</v>
      </c>
      <c r="B373" s="43">
        <v>371</v>
      </c>
      <c r="C373" s="199" t="s">
        <v>2119</v>
      </c>
      <c r="D373" s="200" t="s">
        <v>1027</v>
      </c>
      <c r="E373" s="200" t="s">
        <v>2156</v>
      </c>
      <c r="F373" s="203" t="s">
        <v>856</v>
      </c>
      <c r="G373" s="201">
        <v>0</v>
      </c>
      <c r="H373" s="202">
        <v>65535</v>
      </c>
      <c r="I373" s="199">
        <v>0</v>
      </c>
      <c r="J373" s="202">
        <v>0</v>
      </c>
      <c r="K373" s="202">
        <v>0</v>
      </c>
      <c r="L373" s="202" t="s">
        <v>859</v>
      </c>
      <c r="M373" s="202">
        <v>1</v>
      </c>
      <c r="N373" s="202" t="s">
        <v>1910</v>
      </c>
      <c r="O373" s="202">
        <v>0</v>
      </c>
      <c r="P373" s="199">
        <v>0</v>
      </c>
      <c r="Q373" s="202">
        <v>1</v>
      </c>
      <c r="R373" s="202">
        <v>5</v>
      </c>
      <c r="S373" s="202">
        <v>0</v>
      </c>
      <c r="T373" s="38"/>
      <c r="V373" s="49" t="str">
        <f t="shared" si="50"/>
        <v>0</v>
      </c>
      <c r="W373" s="49" t="str">
        <f t="shared" si="51"/>
        <v>0</v>
      </c>
      <c r="X373" s="49" t="str">
        <f t="shared" si="57"/>
        <v>0</v>
      </c>
      <c r="Y373" s="49">
        <f t="shared" si="52"/>
        <v>0</v>
      </c>
      <c r="Z373" s="49">
        <f t="shared" si="53"/>
        <v>0</v>
      </c>
      <c r="AA373" s="49">
        <f t="shared" si="54"/>
        <v>1</v>
      </c>
      <c r="AB373" s="49" t="str">
        <f t="shared" si="58"/>
        <v>101</v>
      </c>
      <c r="AC373" s="49">
        <f t="shared" si="55"/>
        <v>0</v>
      </c>
      <c r="AD373" s="49">
        <v>0</v>
      </c>
      <c r="AE373" s="49" t="str">
        <f t="shared" si="56"/>
        <v>32C00</v>
      </c>
    </row>
    <row r="374" spans="1:31" x14ac:dyDescent="0.15">
      <c r="A374" s="42" t="str">
        <f t="shared" si="49"/>
        <v>0</v>
      </c>
      <c r="B374" s="43">
        <v>372</v>
      </c>
      <c r="C374" s="199" t="s">
        <v>2120</v>
      </c>
      <c r="D374" s="200" t="s">
        <v>1027</v>
      </c>
      <c r="E374" s="200" t="s">
        <v>2066</v>
      </c>
      <c r="F374" s="203" t="s">
        <v>856</v>
      </c>
      <c r="G374" s="201">
        <v>0</v>
      </c>
      <c r="H374" s="202">
        <v>65535</v>
      </c>
      <c r="I374" s="199">
        <v>0</v>
      </c>
      <c r="J374" s="202">
        <v>0</v>
      </c>
      <c r="K374" s="202">
        <v>0</v>
      </c>
      <c r="L374" s="202" t="s">
        <v>859</v>
      </c>
      <c r="M374" s="202">
        <v>1</v>
      </c>
      <c r="N374" s="202" t="s">
        <v>1910</v>
      </c>
      <c r="O374" s="202">
        <v>0</v>
      </c>
      <c r="P374" s="199">
        <v>0</v>
      </c>
      <c r="Q374" s="202">
        <v>1</v>
      </c>
      <c r="R374" s="202">
        <v>5</v>
      </c>
      <c r="S374" s="202">
        <v>0</v>
      </c>
      <c r="T374" s="38"/>
      <c r="V374" s="49" t="str">
        <f t="shared" si="50"/>
        <v>0</v>
      </c>
      <c r="W374" s="49" t="str">
        <f t="shared" si="51"/>
        <v>0</v>
      </c>
      <c r="X374" s="49" t="str">
        <f t="shared" si="57"/>
        <v>0</v>
      </c>
      <c r="Y374" s="49">
        <f t="shared" si="52"/>
        <v>0</v>
      </c>
      <c r="Z374" s="49">
        <f t="shared" si="53"/>
        <v>0</v>
      </c>
      <c r="AA374" s="49">
        <f t="shared" si="54"/>
        <v>1</v>
      </c>
      <c r="AB374" s="49" t="str">
        <f t="shared" si="58"/>
        <v>101</v>
      </c>
      <c r="AC374" s="49">
        <f t="shared" si="55"/>
        <v>0</v>
      </c>
      <c r="AD374" s="49">
        <v>0</v>
      </c>
      <c r="AE374" s="49" t="str">
        <f t="shared" si="56"/>
        <v>32C00</v>
      </c>
    </row>
    <row r="375" spans="1:31" x14ac:dyDescent="0.15">
      <c r="A375" s="42" t="str">
        <f t="shared" si="49"/>
        <v>0</v>
      </c>
      <c r="B375" s="43">
        <v>373</v>
      </c>
      <c r="C375" s="199" t="s">
        <v>2121</v>
      </c>
      <c r="D375" s="200" t="s">
        <v>1027</v>
      </c>
      <c r="E375" s="200" t="s">
        <v>2067</v>
      </c>
      <c r="F375" s="203" t="s">
        <v>856</v>
      </c>
      <c r="G375" s="201">
        <v>0</v>
      </c>
      <c r="H375" s="202">
        <v>65535</v>
      </c>
      <c r="I375" s="199">
        <v>0</v>
      </c>
      <c r="J375" s="202">
        <v>0</v>
      </c>
      <c r="K375" s="202">
        <v>0</v>
      </c>
      <c r="L375" s="202" t="s">
        <v>859</v>
      </c>
      <c r="M375" s="202">
        <v>1</v>
      </c>
      <c r="N375" s="202" t="s">
        <v>1910</v>
      </c>
      <c r="O375" s="202">
        <v>0</v>
      </c>
      <c r="P375" s="199">
        <v>0</v>
      </c>
      <c r="Q375" s="202">
        <v>1</v>
      </c>
      <c r="R375" s="202">
        <v>5</v>
      </c>
      <c r="S375" s="202">
        <v>0</v>
      </c>
      <c r="T375" s="38"/>
      <c r="V375" s="49" t="str">
        <f t="shared" si="50"/>
        <v>0</v>
      </c>
      <c r="W375" s="49" t="str">
        <f t="shared" si="51"/>
        <v>0</v>
      </c>
      <c r="X375" s="49" t="str">
        <f>DEC2BIN(14)</f>
        <v>1110</v>
      </c>
      <c r="Y375" s="49">
        <f t="shared" si="52"/>
        <v>0</v>
      </c>
      <c r="Z375" s="49">
        <f t="shared" si="53"/>
        <v>0</v>
      </c>
      <c r="AA375" s="49">
        <f t="shared" si="54"/>
        <v>1</v>
      </c>
      <c r="AB375" s="49" t="str">
        <f t="shared" si="58"/>
        <v>101</v>
      </c>
      <c r="AC375" s="49">
        <f t="shared" si="55"/>
        <v>0</v>
      </c>
      <c r="AD375" s="49">
        <v>0</v>
      </c>
      <c r="AE375" s="49" t="str">
        <f t="shared" si="56"/>
        <v>37160</v>
      </c>
    </row>
    <row r="376" spans="1:31" x14ac:dyDescent="0.15">
      <c r="A376" s="42" t="str">
        <f t="shared" si="49"/>
        <v>0</v>
      </c>
      <c r="B376" s="43">
        <v>374</v>
      </c>
      <c r="C376" s="199" t="s">
        <v>2122</v>
      </c>
      <c r="D376" s="200" t="s">
        <v>1027</v>
      </c>
      <c r="E376" s="200" t="s">
        <v>2068</v>
      </c>
      <c r="F376" s="203" t="s">
        <v>856</v>
      </c>
      <c r="G376" s="201">
        <v>0</v>
      </c>
      <c r="H376" s="202">
        <v>65535</v>
      </c>
      <c r="I376" s="199">
        <v>0</v>
      </c>
      <c r="J376" s="202">
        <v>0</v>
      </c>
      <c r="K376" s="202">
        <v>0</v>
      </c>
      <c r="L376" s="202" t="s">
        <v>859</v>
      </c>
      <c r="M376" s="202">
        <v>1</v>
      </c>
      <c r="N376" s="202" t="s">
        <v>1910</v>
      </c>
      <c r="O376" s="202">
        <v>0</v>
      </c>
      <c r="P376" s="199">
        <v>0</v>
      </c>
      <c r="Q376" s="202">
        <v>1</v>
      </c>
      <c r="R376" s="202">
        <v>5</v>
      </c>
      <c r="S376" s="202">
        <v>0</v>
      </c>
      <c r="T376" s="53"/>
      <c r="V376" s="49" t="str">
        <f t="shared" si="50"/>
        <v>0</v>
      </c>
      <c r="W376" s="49" t="str">
        <f t="shared" si="51"/>
        <v>0</v>
      </c>
      <c r="X376" s="49" t="str">
        <f t="shared" si="57"/>
        <v>0</v>
      </c>
      <c r="Y376" s="49">
        <f t="shared" si="52"/>
        <v>0</v>
      </c>
      <c r="Z376" s="49">
        <f t="shared" si="53"/>
        <v>0</v>
      </c>
      <c r="AA376" s="49">
        <f t="shared" si="54"/>
        <v>1</v>
      </c>
      <c r="AB376" s="49" t="str">
        <f t="shared" si="58"/>
        <v>101</v>
      </c>
      <c r="AC376" s="49">
        <f t="shared" si="55"/>
        <v>0</v>
      </c>
      <c r="AD376" s="49">
        <v>0</v>
      </c>
      <c r="AE376" s="49" t="str">
        <f t="shared" si="56"/>
        <v>32C00</v>
      </c>
    </row>
    <row r="377" spans="1:31" x14ac:dyDescent="0.15">
      <c r="A377" s="42" t="str">
        <f t="shared" si="49"/>
        <v>0</v>
      </c>
      <c r="B377" s="43">
        <v>375</v>
      </c>
      <c r="C377" s="195" t="s">
        <v>2069</v>
      </c>
      <c r="D377" s="194" t="s">
        <v>1027</v>
      </c>
      <c r="E377" s="197" t="s">
        <v>2070</v>
      </c>
      <c r="F377" s="198" t="s">
        <v>856</v>
      </c>
      <c r="G377" s="198">
        <v>0</v>
      </c>
      <c r="H377" s="196">
        <v>65535</v>
      </c>
      <c r="I377" s="196">
        <v>0</v>
      </c>
      <c r="J377" s="196">
        <v>0</v>
      </c>
      <c r="K377" s="196">
        <v>0</v>
      </c>
      <c r="L377" s="196" t="s">
        <v>859</v>
      </c>
      <c r="M377" s="196">
        <v>1</v>
      </c>
      <c r="N377" s="196" t="s">
        <v>1910</v>
      </c>
      <c r="O377" s="196">
        <v>0</v>
      </c>
      <c r="P377" s="196">
        <v>0</v>
      </c>
      <c r="Q377" s="196">
        <v>1</v>
      </c>
      <c r="R377" s="196">
        <v>5</v>
      </c>
      <c r="S377" s="196">
        <v>0</v>
      </c>
      <c r="T377" s="53"/>
      <c r="V377" s="49" t="str">
        <f t="shared" si="50"/>
        <v>0</v>
      </c>
      <c r="W377" s="49" t="str">
        <f t="shared" si="51"/>
        <v>0</v>
      </c>
      <c r="X377" s="49" t="str">
        <f t="shared" si="57"/>
        <v>0</v>
      </c>
      <c r="Y377" s="49">
        <f t="shared" si="52"/>
        <v>0</v>
      </c>
      <c r="Z377" s="49">
        <f t="shared" si="53"/>
        <v>0</v>
      </c>
      <c r="AA377" s="49">
        <f t="shared" si="54"/>
        <v>1</v>
      </c>
      <c r="AB377" s="49" t="str">
        <f t="shared" si="58"/>
        <v>101</v>
      </c>
      <c r="AC377" s="49">
        <f t="shared" si="55"/>
        <v>0</v>
      </c>
      <c r="AD377" s="49">
        <v>0</v>
      </c>
      <c r="AE377" s="49" t="str">
        <f t="shared" si="56"/>
        <v>32C00</v>
      </c>
    </row>
    <row r="378" spans="1:31" ht="14.45" customHeight="1" x14ac:dyDescent="0.15">
      <c r="A378" s="42" t="str">
        <f t="shared" si="49"/>
        <v>0</v>
      </c>
      <c r="B378" s="43">
        <v>376</v>
      </c>
      <c r="C378" s="195" t="s">
        <v>2071</v>
      </c>
      <c r="D378" s="194" t="s">
        <v>1027</v>
      </c>
      <c r="E378" s="197" t="s">
        <v>2072</v>
      </c>
      <c r="F378" s="198" t="s">
        <v>856</v>
      </c>
      <c r="G378" s="198">
        <v>0</v>
      </c>
      <c r="H378" s="196">
        <v>65535</v>
      </c>
      <c r="I378" s="196">
        <v>0</v>
      </c>
      <c r="J378" s="196">
        <v>0</v>
      </c>
      <c r="K378" s="196">
        <v>0</v>
      </c>
      <c r="L378" s="196" t="s">
        <v>859</v>
      </c>
      <c r="M378" s="196">
        <v>1</v>
      </c>
      <c r="N378" s="196" t="s">
        <v>1910</v>
      </c>
      <c r="O378" s="196">
        <v>0</v>
      </c>
      <c r="P378" s="196">
        <v>0</v>
      </c>
      <c r="Q378" s="196">
        <v>1</v>
      </c>
      <c r="R378" s="196">
        <v>5</v>
      </c>
      <c r="S378" s="196">
        <v>0</v>
      </c>
      <c r="T378" s="38"/>
      <c r="V378" s="49" t="str">
        <f t="shared" si="50"/>
        <v>0</v>
      </c>
      <c r="W378" s="49" t="str">
        <f t="shared" si="51"/>
        <v>0</v>
      </c>
      <c r="X378" s="49" t="str">
        <f>DEC2BIN(14)</f>
        <v>1110</v>
      </c>
      <c r="Y378" s="49">
        <f t="shared" si="52"/>
        <v>0</v>
      </c>
      <c r="Z378" s="49">
        <f t="shared" si="53"/>
        <v>0</v>
      </c>
      <c r="AA378" s="49">
        <f t="shared" si="54"/>
        <v>1</v>
      </c>
      <c r="AB378" s="49" t="str">
        <f t="shared" si="58"/>
        <v>101</v>
      </c>
      <c r="AC378" s="49">
        <f t="shared" si="55"/>
        <v>0</v>
      </c>
      <c r="AD378" s="49">
        <v>0</v>
      </c>
      <c r="AE378" s="49" t="str">
        <f t="shared" si="56"/>
        <v>37160</v>
      </c>
    </row>
    <row r="379" spans="1:31" ht="72" x14ac:dyDescent="0.15">
      <c r="A379" s="42" t="str">
        <f t="shared" si="49"/>
        <v>0</v>
      </c>
      <c r="B379" s="43">
        <v>377</v>
      </c>
      <c r="C379" s="44" t="s">
        <v>663</v>
      </c>
      <c r="D379" s="25" t="s">
        <v>837</v>
      </c>
      <c r="E379" s="45" t="s">
        <v>209</v>
      </c>
      <c r="F379" s="46" t="s">
        <v>210</v>
      </c>
      <c r="G379" s="94">
        <v>1</v>
      </c>
      <c r="H379" s="48">
        <v>11</v>
      </c>
      <c r="I379" s="44">
        <v>0</v>
      </c>
      <c r="J379" s="48">
        <v>0</v>
      </c>
      <c r="K379" s="48">
        <v>0</v>
      </c>
      <c r="L379" s="48" t="s">
        <v>860</v>
      </c>
      <c r="M379" s="48">
        <v>1</v>
      </c>
      <c r="N379" s="48" t="s">
        <v>1660</v>
      </c>
      <c r="O379" s="48">
        <v>1</v>
      </c>
      <c r="P379" s="44">
        <v>1</v>
      </c>
      <c r="Q379" s="48">
        <v>1</v>
      </c>
      <c r="R379" s="48">
        <v>2</v>
      </c>
      <c r="S379" s="48">
        <v>0</v>
      </c>
      <c r="T379" s="48" t="s">
        <v>1079</v>
      </c>
      <c r="V379" s="49" t="str">
        <f t="shared" si="50"/>
        <v>1</v>
      </c>
      <c r="W379" s="49" t="str">
        <f t="shared" si="51"/>
        <v>0</v>
      </c>
      <c r="X379" s="49" t="str">
        <f t="shared" si="57"/>
        <v>0</v>
      </c>
      <c r="Y379" s="49">
        <f t="shared" si="52"/>
        <v>1</v>
      </c>
      <c r="Z379" s="49">
        <f t="shared" si="53"/>
        <v>1</v>
      </c>
      <c r="AA379" s="49">
        <f t="shared" si="54"/>
        <v>1</v>
      </c>
      <c r="AB379" s="49" t="str">
        <f t="shared" si="58"/>
        <v>10</v>
      </c>
      <c r="AC379" s="49">
        <f t="shared" si="55"/>
        <v>0</v>
      </c>
      <c r="AD379" s="49">
        <v>0</v>
      </c>
      <c r="AE379" s="49" t="str">
        <f t="shared" si="56"/>
        <v>5701</v>
      </c>
    </row>
    <row r="380" spans="1:31" x14ac:dyDescent="0.15">
      <c r="A380" s="42" t="str">
        <f t="shared" si="49"/>
        <v>0</v>
      </c>
      <c r="B380" s="43">
        <v>378</v>
      </c>
      <c r="C380" s="44" t="s">
        <v>664</v>
      </c>
      <c r="D380" s="25" t="s">
        <v>211</v>
      </c>
      <c r="E380" s="45" t="s">
        <v>212</v>
      </c>
      <c r="F380" s="46" t="s">
        <v>1080</v>
      </c>
      <c r="G380" s="47">
        <v>1024</v>
      </c>
      <c r="H380" s="48">
        <v>10000</v>
      </c>
      <c r="I380" s="44">
        <v>1</v>
      </c>
      <c r="J380" s="48">
        <v>0</v>
      </c>
      <c r="K380" s="48">
        <v>0</v>
      </c>
      <c r="L380" s="48" t="s">
        <v>859</v>
      </c>
      <c r="M380" s="48">
        <v>1</v>
      </c>
      <c r="N380" s="48" t="s">
        <v>1660</v>
      </c>
      <c r="O380" s="48">
        <v>0</v>
      </c>
      <c r="P380" s="44">
        <v>1</v>
      </c>
      <c r="Q380" s="48">
        <v>1</v>
      </c>
      <c r="R380" s="48">
        <v>5</v>
      </c>
      <c r="S380" s="48">
        <v>0</v>
      </c>
      <c r="T380" s="48"/>
      <c r="V380" s="49" t="str">
        <f t="shared" si="50"/>
        <v>0</v>
      </c>
      <c r="W380" s="49" t="str">
        <f t="shared" si="51"/>
        <v>0</v>
      </c>
      <c r="X380" s="49" t="str">
        <f t="shared" si="57"/>
        <v>0</v>
      </c>
      <c r="Y380" s="49">
        <f t="shared" si="52"/>
        <v>0</v>
      </c>
      <c r="Z380" s="49">
        <f t="shared" si="53"/>
        <v>1</v>
      </c>
      <c r="AA380" s="49">
        <f t="shared" si="54"/>
        <v>1</v>
      </c>
      <c r="AB380" s="49" t="str">
        <f t="shared" si="58"/>
        <v>101</v>
      </c>
      <c r="AC380" s="49">
        <f t="shared" si="55"/>
        <v>0</v>
      </c>
      <c r="AD380" s="49">
        <v>0</v>
      </c>
      <c r="AE380" s="49" t="str">
        <f t="shared" si="56"/>
        <v>32E00</v>
      </c>
    </row>
    <row r="381" spans="1:31" ht="14.45" customHeight="1" x14ac:dyDescent="0.15">
      <c r="A381" s="42" t="str">
        <f t="shared" si="49"/>
        <v>0</v>
      </c>
      <c r="B381" s="43">
        <v>379</v>
      </c>
      <c r="C381" s="44" t="s">
        <v>665</v>
      </c>
      <c r="D381" s="25" t="s">
        <v>213</v>
      </c>
      <c r="E381" s="45" t="s">
        <v>214</v>
      </c>
      <c r="F381" s="46" t="s">
        <v>215</v>
      </c>
      <c r="G381" s="47">
        <v>0</v>
      </c>
      <c r="H381" s="48">
        <v>1</v>
      </c>
      <c r="I381" s="44">
        <v>0</v>
      </c>
      <c r="J381" s="48">
        <v>0</v>
      </c>
      <c r="K381" s="48">
        <v>0</v>
      </c>
      <c r="L381" s="48" t="s">
        <v>860</v>
      </c>
      <c r="M381" s="48">
        <v>1</v>
      </c>
      <c r="N381" s="48" t="s">
        <v>1660</v>
      </c>
      <c r="O381" s="48">
        <v>0</v>
      </c>
      <c r="P381" s="44">
        <v>1</v>
      </c>
      <c r="Q381" s="48">
        <v>1</v>
      </c>
      <c r="R381" s="48">
        <v>1</v>
      </c>
      <c r="S381" s="48">
        <v>0</v>
      </c>
      <c r="T381" s="48"/>
      <c r="V381" s="49" t="str">
        <f t="shared" si="50"/>
        <v>1</v>
      </c>
      <c r="W381" s="49" t="str">
        <f t="shared" si="51"/>
        <v>0</v>
      </c>
      <c r="X381" s="49" t="str">
        <f t="shared" si="57"/>
        <v>0</v>
      </c>
      <c r="Y381" s="49">
        <f t="shared" si="52"/>
        <v>0</v>
      </c>
      <c r="Z381" s="49">
        <f t="shared" si="53"/>
        <v>1</v>
      </c>
      <c r="AA381" s="49">
        <f t="shared" si="54"/>
        <v>1</v>
      </c>
      <c r="AB381" s="49" t="str">
        <f t="shared" si="58"/>
        <v>1</v>
      </c>
      <c r="AC381" s="49">
        <f t="shared" si="55"/>
        <v>0</v>
      </c>
      <c r="AD381" s="49">
        <v>0</v>
      </c>
      <c r="AE381" s="49" t="str">
        <f t="shared" si="56"/>
        <v>E01</v>
      </c>
    </row>
    <row r="382" spans="1:31" ht="14.45" customHeight="1" x14ac:dyDescent="0.15">
      <c r="A382" s="42" t="str">
        <f t="shared" si="49"/>
        <v>0</v>
      </c>
      <c r="B382" s="43">
        <v>380</v>
      </c>
      <c r="C382" s="44" t="s">
        <v>666</v>
      </c>
      <c r="D382" s="25" t="s">
        <v>216</v>
      </c>
      <c r="E382" s="121" t="s">
        <v>217</v>
      </c>
      <c r="F382" s="46" t="s">
        <v>218</v>
      </c>
      <c r="G382" s="47">
        <v>1000</v>
      </c>
      <c r="H382" s="141">
        <v>65535</v>
      </c>
      <c r="I382" s="44">
        <v>1</v>
      </c>
      <c r="J382" s="48">
        <v>0</v>
      </c>
      <c r="K382" s="48">
        <v>0</v>
      </c>
      <c r="L382" s="48" t="s">
        <v>859</v>
      </c>
      <c r="M382" s="48">
        <v>1</v>
      </c>
      <c r="N382" s="48" t="s">
        <v>1601</v>
      </c>
      <c r="O382" s="48">
        <v>0</v>
      </c>
      <c r="P382" s="44">
        <v>0</v>
      </c>
      <c r="Q382" s="48">
        <v>1</v>
      </c>
      <c r="R382" s="108">
        <v>5</v>
      </c>
      <c r="S382" s="48">
        <v>0</v>
      </c>
      <c r="T382" s="48"/>
      <c r="V382" s="49" t="str">
        <f t="shared" si="50"/>
        <v>0</v>
      </c>
      <c r="W382" s="49" t="str">
        <f t="shared" si="51"/>
        <v>0</v>
      </c>
      <c r="X382" s="49" t="str">
        <f t="shared" si="57"/>
        <v>0</v>
      </c>
      <c r="Y382" s="49">
        <f t="shared" si="52"/>
        <v>0</v>
      </c>
      <c r="Z382" s="49">
        <f t="shared" si="53"/>
        <v>0</v>
      </c>
      <c r="AA382" s="49">
        <f t="shared" si="54"/>
        <v>1</v>
      </c>
      <c r="AB382" s="49" t="str">
        <f t="shared" si="58"/>
        <v>101</v>
      </c>
      <c r="AC382" s="49">
        <f t="shared" si="55"/>
        <v>0</v>
      </c>
      <c r="AD382" s="49">
        <v>0</v>
      </c>
      <c r="AE382" s="49" t="str">
        <f t="shared" si="56"/>
        <v>32C00</v>
      </c>
    </row>
    <row r="383" spans="1:31" x14ac:dyDescent="0.15">
      <c r="A383" s="42" t="str">
        <f t="shared" si="49"/>
        <v>0</v>
      </c>
      <c r="B383" s="43">
        <v>381</v>
      </c>
      <c r="C383" s="44" t="s">
        <v>667</v>
      </c>
      <c r="D383" s="25" t="s">
        <v>219</v>
      </c>
      <c r="E383" s="45" t="s">
        <v>220</v>
      </c>
      <c r="F383" s="46" t="s">
        <v>221</v>
      </c>
      <c r="G383" s="47">
        <v>1000</v>
      </c>
      <c r="H383" s="141">
        <v>65535</v>
      </c>
      <c r="I383" s="44">
        <v>1</v>
      </c>
      <c r="J383" s="48">
        <v>0</v>
      </c>
      <c r="K383" s="48">
        <v>0</v>
      </c>
      <c r="L383" s="48" t="s">
        <v>859</v>
      </c>
      <c r="M383" s="48">
        <v>1</v>
      </c>
      <c r="N383" s="48" t="s">
        <v>1601</v>
      </c>
      <c r="O383" s="48">
        <v>0</v>
      </c>
      <c r="P383" s="44">
        <v>0</v>
      </c>
      <c r="Q383" s="48">
        <v>1</v>
      </c>
      <c r="R383" s="108">
        <v>5</v>
      </c>
      <c r="S383" s="48">
        <v>0</v>
      </c>
      <c r="T383" s="48"/>
      <c r="V383" s="49" t="str">
        <f t="shared" si="50"/>
        <v>0</v>
      </c>
      <c r="W383" s="49" t="str">
        <f t="shared" si="51"/>
        <v>0</v>
      </c>
      <c r="X383" s="49" t="str">
        <f t="shared" si="57"/>
        <v>0</v>
      </c>
      <c r="Y383" s="49">
        <f t="shared" si="52"/>
        <v>0</v>
      </c>
      <c r="Z383" s="49">
        <f t="shared" si="53"/>
        <v>0</v>
      </c>
      <c r="AA383" s="49">
        <f t="shared" si="54"/>
        <v>1</v>
      </c>
      <c r="AB383" s="49" t="str">
        <f t="shared" si="58"/>
        <v>101</v>
      </c>
      <c r="AC383" s="49">
        <f t="shared" si="55"/>
        <v>0</v>
      </c>
      <c r="AD383" s="49">
        <v>0</v>
      </c>
      <c r="AE383" s="49" t="str">
        <f t="shared" si="56"/>
        <v>32C00</v>
      </c>
    </row>
    <row r="384" spans="1:31" x14ac:dyDescent="0.15">
      <c r="A384" s="42" t="str">
        <f t="shared" si="49"/>
        <v>0</v>
      </c>
      <c r="B384" s="43">
        <v>382</v>
      </c>
      <c r="C384" s="44" t="s">
        <v>668</v>
      </c>
      <c r="D384" s="25" t="s">
        <v>222</v>
      </c>
      <c r="E384" s="45" t="s">
        <v>223</v>
      </c>
      <c r="F384" s="46" t="s">
        <v>224</v>
      </c>
      <c r="G384" s="47">
        <v>0</v>
      </c>
      <c r="H384" s="141">
        <v>80</v>
      </c>
      <c r="I384" s="44">
        <v>0</v>
      </c>
      <c r="J384" s="48">
        <v>0</v>
      </c>
      <c r="K384" s="48">
        <v>0</v>
      </c>
      <c r="L384" s="48" t="s">
        <v>859</v>
      </c>
      <c r="M384" s="48">
        <v>0.1</v>
      </c>
      <c r="N384" s="48" t="s">
        <v>1644</v>
      </c>
      <c r="O384" s="48">
        <v>0</v>
      </c>
      <c r="P384" s="44">
        <v>0</v>
      </c>
      <c r="Q384" s="48">
        <v>1</v>
      </c>
      <c r="R384" s="48">
        <v>2</v>
      </c>
      <c r="S384" s="48">
        <v>0</v>
      </c>
      <c r="T384" s="48"/>
      <c r="V384" s="49" t="str">
        <f t="shared" si="50"/>
        <v>0</v>
      </c>
      <c r="W384" s="49" t="str">
        <f t="shared" si="51"/>
        <v>1</v>
      </c>
      <c r="X384" s="49" t="str">
        <f t="shared" si="57"/>
        <v>0</v>
      </c>
      <c r="Y384" s="49">
        <f t="shared" si="52"/>
        <v>0</v>
      </c>
      <c r="Z384" s="49">
        <f t="shared" si="53"/>
        <v>0</v>
      </c>
      <c r="AA384" s="49">
        <f t="shared" si="54"/>
        <v>1</v>
      </c>
      <c r="AB384" s="49" t="str">
        <f t="shared" si="58"/>
        <v>10</v>
      </c>
      <c r="AC384" s="49">
        <f t="shared" si="55"/>
        <v>0</v>
      </c>
      <c r="AD384" s="49">
        <v>0</v>
      </c>
      <c r="AE384" s="49" t="str">
        <f t="shared" si="56"/>
        <v>5404</v>
      </c>
    </row>
    <row r="385" spans="1:31" ht="48.75" customHeight="1" x14ac:dyDescent="0.15">
      <c r="A385" s="42" t="str">
        <f t="shared" si="49"/>
        <v>0</v>
      </c>
      <c r="B385" s="43">
        <v>383</v>
      </c>
      <c r="C385" s="44" t="s">
        <v>669</v>
      </c>
      <c r="D385" s="25" t="s">
        <v>225</v>
      </c>
      <c r="E385" s="45" t="s">
        <v>226</v>
      </c>
      <c r="F385" s="142" t="s">
        <v>227</v>
      </c>
      <c r="G385" s="94">
        <v>1</v>
      </c>
      <c r="H385" s="141">
        <v>3</v>
      </c>
      <c r="I385" s="44">
        <v>0</v>
      </c>
      <c r="J385" s="48">
        <v>0</v>
      </c>
      <c r="K385" s="48">
        <v>0</v>
      </c>
      <c r="L385" s="48" t="s">
        <v>860</v>
      </c>
      <c r="M385" s="48">
        <v>1</v>
      </c>
      <c r="N385" s="48" t="s">
        <v>1601</v>
      </c>
      <c r="O385" s="48">
        <v>0</v>
      </c>
      <c r="P385" s="44">
        <v>1</v>
      </c>
      <c r="Q385" s="48">
        <v>1</v>
      </c>
      <c r="R385" s="48">
        <v>1</v>
      </c>
      <c r="S385" s="48">
        <v>0</v>
      </c>
      <c r="T385" s="48"/>
      <c r="V385" s="49" t="str">
        <f t="shared" si="50"/>
        <v>1</v>
      </c>
      <c r="W385" s="49" t="str">
        <f t="shared" si="51"/>
        <v>0</v>
      </c>
      <c r="X385" s="49" t="str">
        <f t="shared" si="57"/>
        <v>0</v>
      </c>
      <c r="Y385" s="49">
        <f t="shared" si="52"/>
        <v>0</v>
      </c>
      <c r="Z385" s="49">
        <f t="shared" si="53"/>
        <v>1</v>
      </c>
      <c r="AA385" s="49">
        <f t="shared" si="54"/>
        <v>1</v>
      </c>
      <c r="AB385" s="49" t="str">
        <f t="shared" si="58"/>
        <v>1</v>
      </c>
      <c r="AC385" s="49">
        <f t="shared" si="55"/>
        <v>0</v>
      </c>
      <c r="AD385" s="49">
        <v>0</v>
      </c>
      <c r="AE385" s="49" t="str">
        <f t="shared" si="56"/>
        <v>E01</v>
      </c>
    </row>
    <row r="386" spans="1:31" x14ac:dyDescent="0.15">
      <c r="A386" s="42" t="str">
        <f t="shared" si="49"/>
        <v>0</v>
      </c>
      <c r="B386" s="43">
        <v>384</v>
      </c>
      <c r="C386" s="44" t="s">
        <v>670</v>
      </c>
      <c r="D386" s="25" t="s">
        <v>228</v>
      </c>
      <c r="E386" s="45" t="s">
        <v>229</v>
      </c>
      <c r="F386" s="46" t="s">
        <v>1080</v>
      </c>
      <c r="G386" s="183">
        <v>4096</v>
      </c>
      <c r="H386" s="141">
        <v>10000</v>
      </c>
      <c r="I386" s="44">
        <v>1</v>
      </c>
      <c r="J386" s="48">
        <v>0</v>
      </c>
      <c r="K386" s="48">
        <v>0</v>
      </c>
      <c r="L386" s="48" t="s">
        <v>859</v>
      </c>
      <c r="M386" s="48">
        <v>1</v>
      </c>
      <c r="N386" s="48" t="s">
        <v>1601</v>
      </c>
      <c r="O386" s="48">
        <v>0</v>
      </c>
      <c r="P386" s="44">
        <v>1</v>
      </c>
      <c r="Q386" s="48">
        <v>1</v>
      </c>
      <c r="R386" s="48">
        <v>5</v>
      </c>
      <c r="S386" s="48">
        <v>0</v>
      </c>
      <c r="T386" s="48"/>
      <c r="V386" s="49" t="str">
        <f t="shared" si="50"/>
        <v>0</v>
      </c>
      <c r="W386" s="49" t="str">
        <f t="shared" si="51"/>
        <v>0</v>
      </c>
      <c r="X386" s="49" t="str">
        <f t="shared" si="57"/>
        <v>0</v>
      </c>
      <c r="Y386" s="49">
        <f t="shared" si="52"/>
        <v>0</v>
      </c>
      <c r="Z386" s="49">
        <f t="shared" si="53"/>
        <v>1</v>
      </c>
      <c r="AA386" s="49">
        <f t="shared" si="54"/>
        <v>1</v>
      </c>
      <c r="AB386" s="49" t="str">
        <f t="shared" si="58"/>
        <v>101</v>
      </c>
      <c r="AC386" s="49">
        <f t="shared" si="55"/>
        <v>0</v>
      </c>
      <c r="AD386" s="49">
        <v>0</v>
      </c>
      <c r="AE386" s="49" t="str">
        <f t="shared" si="56"/>
        <v>32E00</v>
      </c>
    </row>
    <row r="387" spans="1:31" ht="14.45" customHeight="1" x14ac:dyDescent="0.15">
      <c r="A387" s="42" t="str">
        <f t="shared" si="49"/>
        <v>0</v>
      </c>
      <c r="B387" s="43">
        <v>385</v>
      </c>
      <c r="C387" s="44" t="s">
        <v>671</v>
      </c>
      <c r="D387" s="25" t="s">
        <v>230</v>
      </c>
      <c r="E387" s="45" t="s">
        <v>231</v>
      </c>
      <c r="F387" s="46" t="s">
        <v>1668</v>
      </c>
      <c r="G387" s="185">
        <v>1</v>
      </c>
      <c r="H387" s="141">
        <v>1</v>
      </c>
      <c r="I387" s="44">
        <v>0</v>
      </c>
      <c r="J387" s="48">
        <v>0</v>
      </c>
      <c r="K387" s="48">
        <v>0</v>
      </c>
      <c r="L387" s="48" t="s">
        <v>860</v>
      </c>
      <c r="M387" s="48">
        <v>1</v>
      </c>
      <c r="N387" s="48" t="s">
        <v>1601</v>
      </c>
      <c r="O387" s="48">
        <v>0</v>
      </c>
      <c r="P387" s="44">
        <v>1</v>
      </c>
      <c r="Q387" s="48">
        <v>1</v>
      </c>
      <c r="R387" s="48">
        <v>1</v>
      </c>
      <c r="S387" s="48">
        <v>0</v>
      </c>
      <c r="T387" s="48"/>
      <c r="V387" s="49" t="str">
        <f t="shared" si="50"/>
        <v>1</v>
      </c>
      <c r="W387" s="49" t="str">
        <f t="shared" si="51"/>
        <v>0</v>
      </c>
      <c r="X387" s="49" t="str">
        <f>DEC2BIN(15)</f>
        <v>1111</v>
      </c>
      <c r="Y387" s="49">
        <f t="shared" si="52"/>
        <v>0</v>
      </c>
      <c r="Z387" s="49">
        <f t="shared" si="53"/>
        <v>1</v>
      </c>
      <c r="AA387" s="49">
        <f t="shared" si="54"/>
        <v>1</v>
      </c>
      <c r="AB387" s="49" t="str">
        <f t="shared" si="58"/>
        <v>1</v>
      </c>
      <c r="AC387" s="49">
        <f t="shared" si="55"/>
        <v>0</v>
      </c>
      <c r="AD387" s="49">
        <v>0</v>
      </c>
      <c r="AE387" s="49" t="str">
        <f t="shared" si="56"/>
        <v>5371</v>
      </c>
    </row>
    <row r="388" spans="1:31" ht="14.45" customHeight="1" x14ac:dyDescent="0.15">
      <c r="A388" s="42" t="str">
        <f t="shared" ref="A388:A451" si="59">DEC2HEX(AH388)</f>
        <v>0</v>
      </c>
      <c r="B388" s="43">
        <v>386</v>
      </c>
      <c r="C388" s="44" t="s">
        <v>672</v>
      </c>
      <c r="D388" s="25" t="s">
        <v>232</v>
      </c>
      <c r="E388" s="45" t="s">
        <v>233</v>
      </c>
      <c r="F388" s="46" t="s">
        <v>221</v>
      </c>
      <c r="G388" s="47">
        <v>1000</v>
      </c>
      <c r="H388" s="141">
        <v>65535</v>
      </c>
      <c r="I388" s="44">
        <v>1</v>
      </c>
      <c r="J388" s="48">
        <v>0</v>
      </c>
      <c r="K388" s="48">
        <v>0</v>
      </c>
      <c r="L388" s="48" t="s">
        <v>859</v>
      </c>
      <c r="M388" s="48">
        <v>1</v>
      </c>
      <c r="N388" s="48" t="s">
        <v>1601</v>
      </c>
      <c r="O388" s="48">
        <v>0</v>
      </c>
      <c r="P388" s="44">
        <v>0</v>
      </c>
      <c r="Q388" s="48">
        <v>1</v>
      </c>
      <c r="R388" s="108">
        <v>5</v>
      </c>
      <c r="S388" s="48">
        <v>0</v>
      </c>
      <c r="T388" s="48"/>
      <c r="V388" s="49" t="str">
        <f t="shared" si="50"/>
        <v>0</v>
      </c>
      <c r="W388" s="49" t="str">
        <f t="shared" si="51"/>
        <v>0</v>
      </c>
      <c r="X388" s="49" t="str">
        <f t="shared" si="57"/>
        <v>0</v>
      </c>
      <c r="Y388" s="49">
        <f t="shared" si="52"/>
        <v>0</v>
      </c>
      <c r="Z388" s="49">
        <f t="shared" si="53"/>
        <v>0</v>
      </c>
      <c r="AA388" s="49">
        <f t="shared" si="54"/>
        <v>1</v>
      </c>
      <c r="AB388" s="49" t="str">
        <f t="shared" si="58"/>
        <v>101</v>
      </c>
      <c r="AC388" s="49">
        <f t="shared" si="55"/>
        <v>0</v>
      </c>
      <c r="AD388" s="49">
        <v>0</v>
      </c>
      <c r="AE388" s="49" t="str">
        <f t="shared" si="56"/>
        <v>32C00</v>
      </c>
    </row>
    <row r="389" spans="1:31" x14ac:dyDescent="0.15">
      <c r="A389" s="42" t="str">
        <f t="shared" si="59"/>
        <v>0</v>
      </c>
      <c r="B389" s="43">
        <v>387</v>
      </c>
      <c r="C389" s="44" t="s">
        <v>1329</v>
      </c>
      <c r="D389" s="25" t="s">
        <v>234</v>
      </c>
      <c r="E389" s="45" t="s">
        <v>235</v>
      </c>
      <c r="F389" s="46" t="s">
        <v>221</v>
      </c>
      <c r="G389" s="47">
        <v>1000</v>
      </c>
      <c r="H389" s="141">
        <v>65535</v>
      </c>
      <c r="I389" s="44">
        <v>1</v>
      </c>
      <c r="J389" s="48">
        <v>0</v>
      </c>
      <c r="K389" s="48">
        <v>0</v>
      </c>
      <c r="L389" s="48" t="s">
        <v>859</v>
      </c>
      <c r="M389" s="48">
        <v>1</v>
      </c>
      <c r="N389" s="48" t="s">
        <v>1601</v>
      </c>
      <c r="O389" s="48">
        <v>0</v>
      </c>
      <c r="P389" s="44">
        <v>0</v>
      </c>
      <c r="Q389" s="48">
        <v>1</v>
      </c>
      <c r="R389" s="108">
        <v>5</v>
      </c>
      <c r="S389" s="48">
        <v>0</v>
      </c>
      <c r="T389" s="48"/>
      <c r="V389" s="49" t="str">
        <f t="shared" si="50"/>
        <v>0</v>
      </c>
      <c r="W389" s="49" t="str">
        <f t="shared" si="51"/>
        <v>0</v>
      </c>
      <c r="X389" s="49" t="str">
        <f>DEC2BIN(14)</f>
        <v>1110</v>
      </c>
      <c r="Y389" s="49">
        <f t="shared" si="52"/>
        <v>0</v>
      </c>
      <c r="Z389" s="49">
        <f t="shared" si="53"/>
        <v>0</v>
      </c>
      <c r="AA389" s="49">
        <f t="shared" si="54"/>
        <v>1</v>
      </c>
      <c r="AB389" s="49" t="str">
        <f t="shared" si="58"/>
        <v>101</v>
      </c>
      <c r="AC389" s="49">
        <f t="shared" si="55"/>
        <v>0</v>
      </c>
      <c r="AD389" s="49">
        <v>0</v>
      </c>
      <c r="AE389" s="49" t="str">
        <f t="shared" si="56"/>
        <v>37160</v>
      </c>
    </row>
    <row r="390" spans="1:31" ht="14.45" customHeight="1" x14ac:dyDescent="0.15">
      <c r="A390" s="42" t="str">
        <f t="shared" si="59"/>
        <v>0</v>
      </c>
      <c r="B390" s="43">
        <v>388</v>
      </c>
      <c r="C390" s="44" t="s">
        <v>1330</v>
      </c>
      <c r="D390" s="25" t="s">
        <v>236</v>
      </c>
      <c r="E390" s="45" t="s">
        <v>237</v>
      </c>
      <c r="F390" s="46" t="s">
        <v>224</v>
      </c>
      <c r="G390" s="47">
        <v>0</v>
      </c>
      <c r="H390" s="48">
        <v>80</v>
      </c>
      <c r="I390" s="44">
        <v>0</v>
      </c>
      <c r="J390" s="48">
        <v>0</v>
      </c>
      <c r="K390" s="48">
        <v>0</v>
      </c>
      <c r="L390" s="48" t="s">
        <v>859</v>
      </c>
      <c r="M390" s="48">
        <v>0.1</v>
      </c>
      <c r="N390" s="48" t="s">
        <v>1644</v>
      </c>
      <c r="O390" s="48">
        <v>0</v>
      </c>
      <c r="P390" s="44">
        <v>0</v>
      </c>
      <c r="Q390" s="48">
        <v>1</v>
      </c>
      <c r="R390" s="48">
        <v>2</v>
      </c>
      <c r="S390" s="48">
        <v>0</v>
      </c>
      <c r="T390" s="48"/>
      <c r="V390" s="49" t="str">
        <f t="shared" si="50"/>
        <v>0</v>
      </c>
      <c r="W390" s="49" t="str">
        <f t="shared" si="51"/>
        <v>1</v>
      </c>
      <c r="X390" s="49" t="str">
        <f t="shared" si="57"/>
        <v>0</v>
      </c>
      <c r="Y390" s="49">
        <f t="shared" si="52"/>
        <v>0</v>
      </c>
      <c r="Z390" s="49">
        <f t="shared" si="53"/>
        <v>0</v>
      </c>
      <c r="AA390" s="49">
        <f t="shared" si="54"/>
        <v>1</v>
      </c>
      <c r="AB390" s="49" t="str">
        <f t="shared" si="58"/>
        <v>10</v>
      </c>
      <c r="AC390" s="49">
        <f t="shared" si="55"/>
        <v>0</v>
      </c>
      <c r="AD390" s="49">
        <v>0</v>
      </c>
      <c r="AE390" s="49" t="str">
        <f t="shared" si="56"/>
        <v>5404</v>
      </c>
    </row>
    <row r="391" spans="1:31" ht="72" x14ac:dyDescent="0.15">
      <c r="A391" s="42" t="str">
        <f t="shared" si="59"/>
        <v>0</v>
      </c>
      <c r="B391" s="43">
        <v>389</v>
      </c>
      <c r="C391" s="44" t="s">
        <v>1331</v>
      </c>
      <c r="D391" s="25" t="s">
        <v>238</v>
      </c>
      <c r="E391" s="45" t="s">
        <v>239</v>
      </c>
      <c r="F391" s="78" t="s">
        <v>240</v>
      </c>
      <c r="G391" s="47">
        <v>11</v>
      </c>
      <c r="H391" s="48">
        <v>11</v>
      </c>
      <c r="I391" s="44">
        <v>0</v>
      </c>
      <c r="J391" s="48">
        <v>0</v>
      </c>
      <c r="K391" s="48">
        <v>0</v>
      </c>
      <c r="L391" s="48" t="s">
        <v>860</v>
      </c>
      <c r="M391" s="48">
        <v>1</v>
      </c>
      <c r="N391" s="48" t="s">
        <v>1601</v>
      </c>
      <c r="O391" s="48">
        <v>1</v>
      </c>
      <c r="P391" s="44">
        <v>0</v>
      </c>
      <c r="Q391" s="48">
        <v>1</v>
      </c>
      <c r="R391" s="48">
        <v>2</v>
      </c>
      <c r="S391" s="48">
        <v>0</v>
      </c>
      <c r="T391" s="48" t="s">
        <v>241</v>
      </c>
      <c r="V391" s="49" t="str">
        <f t="shared" si="50"/>
        <v>1</v>
      </c>
      <c r="W391" s="49" t="str">
        <f t="shared" si="51"/>
        <v>0</v>
      </c>
      <c r="X391" s="49" t="str">
        <f t="shared" si="57"/>
        <v>0</v>
      </c>
      <c r="Y391" s="49">
        <f t="shared" si="52"/>
        <v>1</v>
      </c>
      <c r="Z391" s="49">
        <f t="shared" si="53"/>
        <v>0</v>
      </c>
      <c r="AA391" s="49">
        <f t="shared" si="54"/>
        <v>1</v>
      </c>
      <c r="AB391" s="49" t="str">
        <f t="shared" si="58"/>
        <v>10</v>
      </c>
      <c r="AC391" s="49">
        <f t="shared" si="55"/>
        <v>0</v>
      </c>
      <c r="AD391" s="49">
        <v>0</v>
      </c>
      <c r="AE391" s="49" t="str">
        <f t="shared" si="56"/>
        <v>5501</v>
      </c>
    </row>
    <row r="392" spans="1:31" ht="14.45" customHeight="1" x14ac:dyDescent="0.15">
      <c r="A392" s="42" t="str">
        <f t="shared" si="59"/>
        <v>0</v>
      </c>
      <c r="B392" s="43">
        <v>390</v>
      </c>
      <c r="C392" s="44" t="s">
        <v>1332</v>
      </c>
      <c r="D392" s="25" t="s">
        <v>242</v>
      </c>
      <c r="E392" s="45" t="s">
        <v>243</v>
      </c>
      <c r="F392" s="46" t="s">
        <v>1074</v>
      </c>
      <c r="G392" s="47">
        <v>1200</v>
      </c>
      <c r="H392" s="48">
        <v>1200</v>
      </c>
      <c r="I392" s="44">
        <v>0</v>
      </c>
      <c r="J392" s="48">
        <v>0</v>
      </c>
      <c r="K392" s="48">
        <v>0</v>
      </c>
      <c r="L392" s="48" t="s">
        <v>859</v>
      </c>
      <c r="M392" s="48">
        <v>0.1</v>
      </c>
      <c r="N392" s="48" t="s">
        <v>1634</v>
      </c>
      <c r="O392" s="48">
        <v>0</v>
      </c>
      <c r="P392" s="44">
        <v>0</v>
      </c>
      <c r="Q392" s="48">
        <v>1</v>
      </c>
      <c r="R392" s="48">
        <v>4</v>
      </c>
      <c r="S392" s="48">
        <v>0</v>
      </c>
      <c r="T392" s="48"/>
      <c r="V392" s="49" t="str">
        <f t="shared" si="50"/>
        <v>0</v>
      </c>
      <c r="W392" s="49" t="str">
        <f t="shared" si="51"/>
        <v>1</v>
      </c>
      <c r="X392" s="49" t="e">
        <f t="shared" si="57"/>
        <v>#N/A</v>
      </c>
      <c r="Y392" s="49">
        <f t="shared" si="52"/>
        <v>0</v>
      </c>
      <c r="Z392" s="49">
        <f t="shared" si="53"/>
        <v>0</v>
      </c>
      <c r="AA392" s="49">
        <f t="shared" si="54"/>
        <v>1</v>
      </c>
      <c r="AB392" s="49" t="str">
        <f t="shared" si="58"/>
        <v>100</v>
      </c>
      <c r="AC392" s="49">
        <f t="shared" si="55"/>
        <v>0</v>
      </c>
      <c r="AD392" s="49">
        <v>0</v>
      </c>
      <c r="AE392" s="49" t="e">
        <f t="shared" si="56"/>
        <v>#N/A</v>
      </c>
    </row>
    <row r="393" spans="1:31" ht="14.45" customHeight="1" x14ac:dyDescent="0.15">
      <c r="A393" s="42" t="str">
        <f t="shared" si="59"/>
        <v>0</v>
      </c>
      <c r="B393" s="43">
        <v>391</v>
      </c>
      <c r="C393" s="44" t="s">
        <v>1333</v>
      </c>
      <c r="D393" s="25" t="s">
        <v>244</v>
      </c>
      <c r="E393" s="45" t="s">
        <v>245</v>
      </c>
      <c r="F393" s="46" t="s">
        <v>246</v>
      </c>
      <c r="G393" s="47">
        <v>50</v>
      </c>
      <c r="H393" s="48">
        <v>2000</v>
      </c>
      <c r="I393" s="44">
        <v>0</v>
      </c>
      <c r="J393" s="48">
        <v>0</v>
      </c>
      <c r="K393" s="48">
        <v>0</v>
      </c>
      <c r="L393" s="48" t="s">
        <v>859</v>
      </c>
      <c r="M393" s="48">
        <v>0.01</v>
      </c>
      <c r="N393" s="48" t="s">
        <v>1644</v>
      </c>
      <c r="O393" s="48">
        <v>0</v>
      </c>
      <c r="P393" s="44">
        <v>0</v>
      </c>
      <c r="Q393" s="48">
        <v>1</v>
      </c>
      <c r="R393" s="48">
        <v>4</v>
      </c>
      <c r="S393" s="48">
        <v>0</v>
      </c>
      <c r="T393" s="48"/>
      <c r="V393" s="49" t="str">
        <f t="shared" si="50"/>
        <v>0</v>
      </c>
      <c r="W393" s="49" t="str">
        <f t="shared" si="51"/>
        <v>10</v>
      </c>
      <c r="X393" s="49" t="str">
        <f t="shared" si="57"/>
        <v>0</v>
      </c>
      <c r="Y393" s="49">
        <f t="shared" si="52"/>
        <v>0</v>
      </c>
      <c r="Z393" s="49">
        <f t="shared" si="53"/>
        <v>0</v>
      </c>
      <c r="AA393" s="49">
        <f t="shared" si="54"/>
        <v>1</v>
      </c>
      <c r="AB393" s="49" t="str">
        <f t="shared" si="58"/>
        <v>100</v>
      </c>
      <c r="AC393" s="49">
        <f t="shared" si="55"/>
        <v>0</v>
      </c>
      <c r="AD393" s="49">
        <v>0</v>
      </c>
      <c r="AE393" s="49" t="str">
        <f t="shared" si="56"/>
        <v>32428</v>
      </c>
    </row>
    <row r="394" spans="1:31" ht="24.75" x14ac:dyDescent="0.15">
      <c r="A394" s="42" t="str">
        <f t="shared" si="59"/>
        <v>0</v>
      </c>
      <c r="B394" s="43">
        <v>392</v>
      </c>
      <c r="C394" s="44" t="s">
        <v>1334</v>
      </c>
      <c r="D394" s="25" t="s">
        <v>247</v>
      </c>
      <c r="E394" s="45" t="s">
        <v>248</v>
      </c>
      <c r="F394" s="46" t="s">
        <v>1075</v>
      </c>
      <c r="G394" s="47">
        <v>100</v>
      </c>
      <c r="H394" s="48">
        <v>500</v>
      </c>
      <c r="I394" s="44">
        <v>0</v>
      </c>
      <c r="J394" s="48">
        <v>0</v>
      </c>
      <c r="K394" s="48">
        <v>0</v>
      </c>
      <c r="L394" s="48" t="s">
        <v>859</v>
      </c>
      <c r="M394" s="48">
        <v>0.1</v>
      </c>
      <c r="N394" s="48" t="s">
        <v>1634</v>
      </c>
      <c r="O394" s="48">
        <v>0</v>
      </c>
      <c r="P394" s="44">
        <v>0</v>
      </c>
      <c r="Q394" s="48">
        <v>1</v>
      </c>
      <c r="R394" s="48">
        <v>3</v>
      </c>
      <c r="S394" s="48">
        <v>0</v>
      </c>
      <c r="T394" s="48"/>
      <c r="V394" s="49" t="str">
        <f t="shared" si="50"/>
        <v>0</v>
      </c>
      <c r="W394" s="49" t="str">
        <f t="shared" si="51"/>
        <v>1</v>
      </c>
      <c r="X394" s="49" t="e">
        <f t="shared" si="57"/>
        <v>#N/A</v>
      </c>
      <c r="Y394" s="49">
        <f t="shared" si="52"/>
        <v>0</v>
      </c>
      <c r="Z394" s="49">
        <f t="shared" si="53"/>
        <v>0</v>
      </c>
      <c r="AA394" s="49">
        <f t="shared" si="54"/>
        <v>1</v>
      </c>
      <c r="AB394" s="49" t="str">
        <f t="shared" si="58"/>
        <v>11</v>
      </c>
      <c r="AC394" s="49">
        <f t="shared" si="55"/>
        <v>0</v>
      </c>
      <c r="AD394" s="49">
        <v>0</v>
      </c>
      <c r="AE394" s="49" t="e">
        <f t="shared" si="56"/>
        <v>#N/A</v>
      </c>
    </row>
    <row r="395" spans="1:31" ht="24.75" x14ac:dyDescent="0.15">
      <c r="A395" s="42" t="str">
        <f t="shared" si="59"/>
        <v>0</v>
      </c>
      <c r="B395" s="43">
        <v>393</v>
      </c>
      <c r="C395" s="44" t="s">
        <v>1335</v>
      </c>
      <c r="D395" s="25" t="s">
        <v>249</v>
      </c>
      <c r="E395" s="45" t="s">
        <v>250</v>
      </c>
      <c r="F395" s="46" t="s">
        <v>246</v>
      </c>
      <c r="G395" s="47">
        <v>100</v>
      </c>
      <c r="H395" s="75">
        <v>2000</v>
      </c>
      <c r="I395" s="67">
        <v>0</v>
      </c>
      <c r="J395" s="48">
        <v>0</v>
      </c>
      <c r="K395" s="48">
        <v>0</v>
      </c>
      <c r="L395" s="48" t="s">
        <v>859</v>
      </c>
      <c r="M395" s="48">
        <v>0.01</v>
      </c>
      <c r="N395" s="48" t="s">
        <v>1644</v>
      </c>
      <c r="O395" s="75">
        <v>0</v>
      </c>
      <c r="P395" s="67">
        <v>0</v>
      </c>
      <c r="Q395" s="48">
        <v>1</v>
      </c>
      <c r="R395" s="48">
        <v>4</v>
      </c>
      <c r="S395" s="48">
        <v>0</v>
      </c>
      <c r="T395" s="48"/>
      <c r="V395" s="49" t="str">
        <f t="shared" si="50"/>
        <v>0</v>
      </c>
      <c r="W395" s="49" t="str">
        <f t="shared" si="51"/>
        <v>10</v>
      </c>
      <c r="X395" s="49" t="str">
        <f t="shared" si="57"/>
        <v>0</v>
      </c>
      <c r="Y395" s="49">
        <f t="shared" si="52"/>
        <v>0</v>
      </c>
      <c r="Z395" s="49">
        <f t="shared" si="53"/>
        <v>0</v>
      </c>
      <c r="AA395" s="49">
        <f t="shared" si="54"/>
        <v>1</v>
      </c>
      <c r="AB395" s="49" t="str">
        <f t="shared" si="58"/>
        <v>100</v>
      </c>
      <c r="AC395" s="49">
        <f t="shared" si="55"/>
        <v>0</v>
      </c>
      <c r="AD395" s="49">
        <v>0</v>
      </c>
      <c r="AE395" s="49" t="str">
        <f t="shared" si="56"/>
        <v>32428</v>
      </c>
    </row>
    <row r="396" spans="1:31" ht="101.25" x14ac:dyDescent="0.15">
      <c r="A396" s="42" t="str">
        <f t="shared" si="59"/>
        <v>0</v>
      </c>
      <c r="B396" s="43">
        <v>394</v>
      </c>
      <c r="C396" s="38" t="s">
        <v>673</v>
      </c>
      <c r="D396" s="50" t="s">
        <v>251</v>
      </c>
      <c r="E396" s="262" t="s">
        <v>252</v>
      </c>
      <c r="F396" s="54" t="s">
        <v>253</v>
      </c>
      <c r="G396" s="165">
        <v>60</v>
      </c>
      <c r="H396" s="53">
        <v>160</v>
      </c>
      <c r="I396" s="38">
        <v>7</v>
      </c>
      <c r="J396" s="53">
        <v>0</v>
      </c>
      <c r="K396" s="53">
        <v>0</v>
      </c>
      <c r="L396" s="53" t="s">
        <v>1594</v>
      </c>
      <c r="M396" s="53">
        <v>0.1</v>
      </c>
      <c r="N396" s="53" t="s">
        <v>1872</v>
      </c>
      <c r="O396" s="53">
        <v>0</v>
      </c>
      <c r="P396" s="38">
        <v>1</v>
      </c>
      <c r="Q396" s="53">
        <v>1</v>
      </c>
      <c r="R396" s="53">
        <v>3</v>
      </c>
      <c r="S396" s="53">
        <v>0</v>
      </c>
      <c r="T396" s="53"/>
      <c r="V396" s="49" t="str">
        <f t="shared" si="50"/>
        <v>0</v>
      </c>
      <c r="W396" s="49" t="str">
        <f t="shared" si="51"/>
        <v>1</v>
      </c>
      <c r="X396" s="49" t="str">
        <f t="shared" si="57"/>
        <v>0</v>
      </c>
      <c r="Y396" s="49">
        <f t="shared" si="52"/>
        <v>0</v>
      </c>
      <c r="Z396" s="49">
        <f t="shared" si="53"/>
        <v>1</v>
      </c>
      <c r="AA396" s="49">
        <f t="shared" si="54"/>
        <v>1</v>
      </c>
      <c r="AB396" s="49" t="str">
        <f t="shared" si="58"/>
        <v>11</v>
      </c>
      <c r="AC396" s="49">
        <f t="shared" si="55"/>
        <v>0</v>
      </c>
      <c r="AD396" s="49">
        <v>0</v>
      </c>
      <c r="AE396" s="49" t="str">
        <f t="shared" si="56"/>
        <v>5E04</v>
      </c>
    </row>
    <row r="397" spans="1:31" ht="153.75" x14ac:dyDescent="0.15">
      <c r="A397" s="42" t="str">
        <f t="shared" si="59"/>
        <v>0</v>
      </c>
      <c r="B397" s="43">
        <v>395</v>
      </c>
      <c r="C397" s="38" t="s">
        <v>674</v>
      </c>
      <c r="D397" s="50" t="s">
        <v>1488</v>
      </c>
      <c r="E397" s="51" t="s">
        <v>254</v>
      </c>
      <c r="F397" s="54" t="s">
        <v>255</v>
      </c>
      <c r="G397" s="277">
        <v>121</v>
      </c>
      <c r="H397" s="53">
        <v>1121</v>
      </c>
      <c r="I397" s="38">
        <v>0</v>
      </c>
      <c r="J397" s="53">
        <v>0</v>
      </c>
      <c r="K397" s="53">
        <v>0</v>
      </c>
      <c r="L397" s="53" t="s">
        <v>1653</v>
      </c>
      <c r="M397" s="53">
        <v>1</v>
      </c>
      <c r="N397" s="53" t="s">
        <v>1660</v>
      </c>
      <c r="O397" s="53">
        <v>1</v>
      </c>
      <c r="P397" s="38">
        <v>0</v>
      </c>
      <c r="Q397" s="53">
        <v>1</v>
      </c>
      <c r="R397" s="53">
        <v>4</v>
      </c>
      <c r="S397" s="53">
        <v>0</v>
      </c>
      <c r="T397" s="53" t="s">
        <v>1081</v>
      </c>
      <c r="V397" s="49" t="str">
        <f t="shared" si="50"/>
        <v>1</v>
      </c>
      <c r="W397" s="49" t="str">
        <f t="shared" si="51"/>
        <v>0</v>
      </c>
      <c r="X397" s="49" t="str">
        <f t="shared" si="57"/>
        <v>0</v>
      </c>
      <c r="Y397" s="49">
        <f t="shared" si="52"/>
        <v>1</v>
      </c>
      <c r="Z397" s="49">
        <f t="shared" si="53"/>
        <v>0</v>
      </c>
      <c r="AA397" s="49">
        <f t="shared" si="54"/>
        <v>1</v>
      </c>
      <c r="AB397" s="49" t="str">
        <f t="shared" si="58"/>
        <v>100</v>
      </c>
      <c r="AC397" s="49">
        <f t="shared" si="55"/>
        <v>0</v>
      </c>
      <c r="AD397" s="49">
        <v>0</v>
      </c>
      <c r="AE397" s="49" t="str">
        <f t="shared" si="56"/>
        <v>32501</v>
      </c>
    </row>
    <row r="398" spans="1:31" s="327" customFormat="1" ht="105.75" x14ac:dyDescent="0.15">
      <c r="A398" s="318" t="str">
        <f t="shared" si="59"/>
        <v>0</v>
      </c>
      <c r="B398" s="319">
        <v>396</v>
      </c>
      <c r="C398" s="328" t="s">
        <v>675</v>
      </c>
      <c r="D398" s="329" t="s">
        <v>2845</v>
      </c>
      <c r="E398" s="330" t="s">
        <v>256</v>
      </c>
      <c r="F398" s="332" t="s">
        <v>2757</v>
      </c>
      <c r="G398" s="277">
        <v>0</v>
      </c>
      <c r="H398" s="331">
        <v>111</v>
      </c>
      <c r="I398" s="328">
        <v>0</v>
      </c>
      <c r="J398" s="331">
        <v>0</v>
      </c>
      <c r="K398" s="331">
        <v>0</v>
      </c>
      <c r="L398" s="331" t="s">
        <v>860</v>
      </c>
      <c r="M398" s="331">
        <v>1</v>
      </c>
      <c r="N398" s="331" t="s">
        <v>1660</v>
      </c>
      <c r="O398" s="331">
        <v>1</v>
      </c>
      <c r="P398" s="328">
        <v>0</v>
      </c>
      <c r="Q398" s="331">
        <v>1</v>
      </c>
      <c r="R398" s="331">
        <v>3</v>
      </c>
      <c r="S398" s="331">
        <v>0</v>
      </c>
      <c r="T398" s="331" t="s">
        <v>1082</v>
      </c>
      <c r="V398" s="327" t="str">
        <f t="shared" ref="V398:V456" si="60">IF(L398="△",DEC2BIN(0),IF(L398="×",DEC2BIN(1),IF(L398="◎",DEC2BIN(2),DEC2BIN(3))))</f>
        <v>1</v>
      </c>
      <c r="W398" s="327" t="str">
        <f t="shared" ref="W398:W456" si="61">IF(M398=1,DEC2BIN(0),IF(M398=0.1,DEC2BIN(1),IF(M398=0.01,DEC2BIN(2),DEC2BIN(3))))</f>
        <v>0</v>
      </c>
      <c r="X398" s="327" t="str">
        <f t="shared" ref="X398:X456" si="62">LOOKUP(N398,$AG$2:$AG$17,$AH$2:$AH$17)</f>
        <v>0</v>
      </c>
      <c r="Y398" s="327">
        <f t="shared" ref="Y398:Z456" si="63">O398</f>
        <v>1</v>
      </c>
      <c r="Z398" s="327">
        <f t="shared" si="63"/>
        <v>0</v>
      </c>
      <c r="AA398" s="327">
        <f t="shared" ref="AA398:AA456" si="64">Q398</f>
        <v>1</v>
      </c>
      <c r="AB398" s="327" t="str">
        <f t="shared" si="58"/>
        <v>11</v>
      </c>
      <c r="AC398" s="327">
        <f t="shared" ref="AC398:AC456" si="65">S398</f>
        <v>0</v>
      </c>
      <c r="AD398" s="327">
        <v>0</v>
      </c>
      <c r="AE398" s="327" t="str">
        <f t="shared" ref="AE398:AE456" si="66">DEC2HEX(V398+W398*4+X398*16+Y398*256+Z398*512+AA398*1024+AB398*2048+AC398*16384)</f>
        <v>5D01</v>
      </c>
    </row>
    <row r="399" spans="1:31" s="327" customFormat="1" ht="23.25" x14ac:dyDescent="0.15">
      <c r="A399" s="318" t="str">
        <f t="shared" si="59"/>
        <v>0</v>
      </c>
      <c r="B399" s="319">
        <v>397</v>
      </c>
      <c r="C399" s="328" t="s">
        <v>676</v>
      </c>
      <c r="D399" s="329" t="s">
        <v>2845</v>
      </c>
      <c r="E399" s="330" t="s">
        <v>257</v>
      </c>
      <c r="F399" s="332" t="s">
        <v>2758</v>
      </c>
      <c r="G399" s="277">
        <v>0</v>
      </c>
      <c r="H399" s="331">
        <v>60000</v>
      </c>
      <c r="I399" s="328">
        <v>0</v>
      </c>
      <c r="J399" s="331">
        <v>0</v>
      </c>
      <c r="K399" s="331">
        <v>0</v>
      </c>
      <c r="L399" s="331" t="s">
        <v>1696</v>
      </c>
      <c r="M399" s="331">
        <v>0.1</v>
      </c>
      <c r="N399" s="331" t="s">
        <v>1697</v>
      </c>
      <c r="O399" s="331">
        <v>0</v>
      </c>
      <c r="P399" s="328">
        <v>0</v>
      </c>
      <c r="Q399" s="331">
        <v>1</v>
      </c>
      <c r="R399" s="331">
        <v>5</v>
      </c>
      <c r="S399" s="331">
        <v>0</v>
      </c>
      <c r="T399" s="331"/>
      <c r="V399" s="327" t="str">
        <f t="shared" si="60"/>
        <v>0</v>
      </c>
      <c r="W399" s="327" t="str">
        <f t="shared" si="61"/>
        <v>1</v>
      </c>
      <c r="X399" s="327" t="str">
        <f t="shared" si="62"/>
        <v>0</v>
      </c>
      <c r="Y399" s="327">
        <f t="shared" si="63"/>
        <v>0</v>
      </c>
      <c r="Z399" s="327">
        <f t="shared" si="63"/>
        <v>0</v>
      </c>
      <c r="AA399" s="327">
        <f t="shared" si="64"/>
        <v>1</v>
      </c>
      <c r="AB399" s="327" t="str">
        <f t="shared" ref="AB399:AB457" si="67">DEC2BIN(R399)</f>
        <v>101</v>
      </c>
      <c r="AC399" s="327">
        <f t="shared" si="65"/>
        <v>0</v>
      </c>
      <c r="AD399" s="327">
        <v>0</v>
      </c>
      <c r="AE399" s="327" t="str">
        <f t="shared" si="66"/>
        <v>32C04</v>
      </c>
    </row>
    <row r="400" spans="1:31" s="327" customFormat="1" ht="23.25" x14ac:dyDescent="0.15">
      <c r="A400" s="318" t="str">
        <f t="shared" si="59"/>
        <v>0</v>
      </c>
      <c r="B400" s="319">
        <v>398</v>
      </c>
      <c r="C400" s="328" t="s">
        <v>677</v>
      </c>
      <c r="D400" s="329" t="s">
        <v>2844</v>
      </c>
      <c r="E400" s="330" t="s">
        <v>258</v>
      </c>
      <c r="F400" s="332" t="s">
        <v>2758</v>
      </c>
      <c r="G400" s="277">
        <v>0</v>
      </c>
      <c r="H400" s="331">
        <v>60000</v>
      </c>
      <c r="I400" s="328">
        <v>0</v>
      </c>
      <c r="J400" s="331">
        <v>0</v>
      </c>
      <c r="K400" s="331">
        <v>0</v>
      </c>
      <c r="L400" s="331" t="s">
        <v>1696</v>
      </c>
      <c r="M400" s="331">
        <v>0.1</v>
      </c>
      <c r="N400" s="331" t="s">
        <v>1697</v>
      </c>
      <c r="O400" s="331">
        <v>0</v>
      </c>
      <c r="P400" s="328">
        <v>0</v>
      </c>
      <c r="Q400" s="331">
        <v>1</v>
      </c>
      <c r="R400" s="331">
        <v>5</v>
      </c>
      <c r="S400" s="331">
        <v>0</v>
      </c>
      <c r="T400" s="331"/>
      <c r="V400" s="327" t="str">
        <f t="shared" si="60"/>
        <v>0</v>
      </c>
      <c r="W400" s="327" t="str">
        <f t="shared" si="61"/>
        <v>1</v>
      </c>
      <c r="X400" s="327" t="str">
        <f t="shared" si="62"/>
        <v>0</v>
      </c>
      <c r="Y400" s="327">
        <f t="shared" si="63"/>
        <v>0</v>
      </c>
      <c r="Z400" s="327">
        <f t="shared" si="63"/>
        <v>0</v>
      </c>
      <c r="AA400" s="327">
        <f t="shared" si="64"/>
        <v>1</v>
      </c>
      <c r="AB400" s="327" t="str">
        <f t="shared" si="67"/>
        <v>101</v>
      </c>
      <c r="AC400" s="327">
        <f t="shared" si="65"/>
        <v>0</v>
      </c>
      <c r="AD400" s="327">
        <v>0</v>
      </c>
      <c r="AE400" s="327" t="str">
        <f t="shared" si="66"/>
        <v>32C04</v>
      </c>
    </row>
    <row r="401" spans="1:31" s="327" customFormat="1" ht="23.25" x14ac:dyDescent="0.15">
      <c r="A401" s="318" t="str">
        <f t="shared" si="59"/>
        <v>0</v>
      </c>
      <c r="B401" s="319">
        <v>399</v>
      </c>
      <c r="C401" s="328" t="s">
        <v>678</v>
      </c>
      <c r="D401" s="329" t="s">
        <v>2687</v>
      </c>
      <c r="E401" s="330" t="s">
        <v>259</v>
      </c>
      <c r="F401" s="332" t="s">
        <v>2759</v>
      </c>
      <c r="G401" s="277">
        <v>0</v>
      </c>
      <c r="H401" s="331">
        <v>1</v>
      </c>
      <c r="I401" s="328">
        <v>0</v>
      </c>
      <c r="J401" s="331">
        <v>0</v>
      </c>
      <c r="K401" s="331">
        <v>0</v>
      </c>
      <c r="L401" s="331" t="s">
        <v>860</v>
      </c>
      <c r="M401" s="331">
        <v>1</v>
      </c>
      <c r="N401" s="331" t="s">
        <v>1660</v>
      </c>
      <c r="O401" s="331">
        <v>0</v>
      </c>
      <c r="P401" s="328">
        <v>0</v>
      </c>
      <c r="Q401" s="331">
        <v>1</v>
      </c>
      <c r="R401" s="331">
        <v>1</v>
      </c>
      <c r="S401" s="331">
        <v>0</v>
      </c>
      <c r="T401" s="331"/>
      <c r="V401" s="327" t="str">
        <f t="shared" si="60"/>
        <v>1</v>
      </c>
      <c r="W401" s="327" t="str">
        <f t="shared" si="61"/>
        <v>0</v>
      </c>
      <c r="X401" s="327" t="str">
        <f t="shared" si="62"/>
        <v>0</v>
      </c>
      <c r="Y401" s="327">
        <f t="shared" si="63"/>
        <v>0</v>
      </c>
      <c r="Z401" s="327">
        <f t="shared" si="63"/>
        <v>0</v>
      </c>
      <c r="AA401" s="327">
        <f t="shared" si="64"/>
        <v>1</v>
      </c>
      <c r="AB401" s="327" t="str">
        <f t="shared" si="67"/>
        <v>1</v>
      </c>
      <c r="AC401" s="327">
        <f t="shared" si="65"/>
        <v>0</v>
      </c>
      <c r="AD401" s="327">
        <v>0</v>
      </c>
      <c r="AE401" s="327" t="str">
        <f t="shared" si="66"/>
        <v>C01</v>
      </c>
    </row>
    <row r="402" spans="1:31" s="327" customFormat="1" x14ac:dyDescent="0.15">
      <c r="A402" s="318" t="str">
        <f t="shared" si="59"/>
        <v>0</v>
      </c>
      <c r="B402" s="319">
        <v>400</v>
      </c>
      <c r="C402" s="328" t="s">
        <v>679</v>
      </c>
      <c r="D402" s="329" t="s">
        <v>2687</v>
      </c>
      <c r="E402" s="330" t="s">
        <v>260</v>
      </c>
      <c r="F402" s="332" t="s">
        <v>2760</v>
      </c>
      <c r="G402" s="277">
        <v>250</v>
      </c>
      <c r="H402" s="331">
        <v>1000</v>
      </c>
      <c r="I402" s="328">
        <v>0</v>
      </c>
      <c r="J402" s="331">
        <v>0</v>
      </c>
      <c r="K402" s="331">
        <v>0</v>
      </c>
      <c r="L402" s="331" t="s">
        <v>1696</v>
      </c>
      <c r="M402" s="331">
        <v>0.01</v>
      </c>
      <c r="N402" s="331" t="s">
        <v>1648</v>
      </c>
      <c r="O402" s="331">
        <v>0</v>
      </c>
      <c r="P402" s="328">
        <v>0</v>
      </c>
      <c r="Q402" s="331">
        <v>1</v>
      </c>
      <c r="R402" s="331">
        <v>4</v>
      </c>
      <c r="S402" s="331">
        <v>0</v>
      </c>
      <c r="T402" s="331"/>
      <c r="V402" s="327" t="str">
        <f t="shared" si="60"/>
        <v>0</v>
      </c>
      <c r="W402" s="327" t="str">
        <f t="shared" si="61"/>
        <v>10</v>
      </c>
      <c r="X402" s="327" t="str">
        <f t="shared" si="62"/>
        <v>0</v>
      </c>
      <c r="Y402" s="327">
        <f t="shared" si="63"/>
        <v>0</v>
      </c>
      <c r="Z402" s="327">
        <f t="shared" si="63"/>
        <v>0</v>
      </c>
      <c r="AA402" s="327">
        <f t="shared" si="64"/>
        <v>1</v>
      </c>
      <c r="AB402" s="327" t="str">
        <f t="shared" si="67"/>
        <v>100</v>
      </c>
      <c r="AC402" s="327">
        <f t="shared" si="65"/>
        <v>0</v>
      </c>
      <c r="AD402" s="327">
        <v>0</v>
      </c>
      <c r="AE402" s="327" t="str">
        <f t="shared" si="66"/>
        <v>32428</v>
      </c>
    </row>
    <row r="403" spans="1:31" s="327" customFormat="1" x14ac:dyDescent="0.15">
      <c r="A403" s="318" t="str">
        <f t="shared" si="59"/>
        <v>0</v>
      </c>
      <c r="B403" s="319">
        <v>401</v>
      </c>
      <c r="C403" s="328" t="s">
        <v>680</v>
      </c>
      <c r="D403" s="329" t="s">
        <v>2687</v>
      </c>
      <c r="E403" s="330" t="s">
        <v>261</v>
      </c>
      <c r="F403" s="332" t="s">
        <v>2761</v>
      </c>
      <c r="G403" s="277">
        <v>1200</v>
      </c>
      <c r="H403" s="331">
        <v>2000</v>
      </c>
      <c r="I403" s="328">
        <v>0</v>
      </c>
      <c r="J403" s="331">
        <v>0</v>
      </c>
      <c r="K403" s="331">
        <v>0</v>
      </c>
      <c r="L403" s="331" t="s">
        <v>1696</v>
      </c>
      <c r="M403" s="331">
        <v>0.1</v>
      </c>
      <c r="N403" s="331" t="s">
        <v>1719</v>
      </c>
      <c r="O403" s="331">
        <v>0</v>
      </c>
      <c r="P403" s="328">
        <v>0</v>
      </c>
      <c r="Q403" s="331">
        <v>1</v>
      </c>
      <c r="R403" s="331">
        <v>4</v>
      </c>
      <c r="S403" s="331">
        <v>0</v>
      </c>
      <c r="T403" s="331"/>
      <c r="V403" s="327" t="str">
        <f t="shared" si="60"/>
        <v>0</v>
      </c>
      <c r="W403" s="327" t="str">
        <f t="shared" si="61"/>
        <v>1</v>
      </c>
      <c r="X403" s="327" t="str">
        <f>DEC2BIN(14)</f>
        <v>1110</v>
      </c>
      <c r="Y403" s="327">
        <f t="shared" si="63"/>
        <v>0</v>
      </c>
      <c r="Z403" s="327">
        <f t="shared" si="63"/>
        <v>0</v>
      </c>
      <c r="AA403" s="327">
        <f t="shared" si="64"/>
        <v>1</v>
      </c>
      <c r="AB403" s="327" t="str">
        <f t="shared" si="67"/>
        <v>100</v>
      </c>
      <c r="AC403" s="327">
        <f t="shared" si="65"/>
        <v>0</v>
      </c>
      <c r="AD403" s="327">
        <v>0</v>
      </c>
      <c r="AE403" s="327" t="str">
        <f t="shared" si="66"/>
        <v>36964</v>
      </c>
    </row>
    <row r="404" spans="1:31" s="327" customFormat="1" x14ac:dyDescent="0.15">
      <c r="A404" s="318" t="str">
        <f t="shared" si="59"/>
        <v>0</v>
      </c>
      <c r="B404" s="319">
        <v>402</v>
      </c>
      <c r="C404" s="328" t="s">
        <v>681</v>
      </c>
      <c r="D404" s="329" t="s">
        <v>2688</v>
      </c>
      <c r="E404" s="330" t="s">
        <v>262</v>
      </c>
      <c r="F404" s="332" t="s">
        <v>2762</v>
      </c>
      <c r="G404" s="277">
        <v>10</v>
      </c>
      <c r="H404" s="331">
        <v>100</v>
      </c>
      <c r="I404" s="328">
        <v>0</v>
      </c>
      <c r="J404" s="331">
        <v>0</v>
      </c>
      <c r="K404" s="331">
        <v>0</v>
      </c>
      <c r="L404" s="331" t="s">
        <v>1594</v>
      </c>
      <c r="M404" s="331">
        <v>0.1</v>
      </c>
      <c r="N404" s="331" t="s">
        <v>1644</v>
      </c>
      <c r="O404" s="331">
        <v>0</v>
      </c>
      <c r="P404" s="328">
        <v>0</v>
      </c>
      <c r="Q404" s="331">
        <v>1</v>
      </c>
      <c r="R404" s="331">
        <v>3</v>
      </c>
      <c r="S404" s="331">
        <v>0</v>
      </c>
      <c r="T404" s="331"/>
      <c r="V404" s="327" t="str">
        <f t="shared" si="60"/>
        <v>0</v>
      </c>
      <c r="W404" s="327" t="str">
        <f t="shared" si="61"/>
        <v>1</v>
      </c>
      <c r="X404" s="327" t="str">
        <f t="shared" si="62"/>
        <v>0</v>
      </c>
      <c r="Y404" s="327">
        <f t="shared" si="63"/>
        <v>0</v>
      </c>
      <c r="Z404" s="327">
        <f t="shared" si="63"/>
        <v>0</v>
      </c>
      <c r="AA404" s="327">
        <f t="shared" si="64"/>
        <v>1</v>
      </c>
      <c r="AB404" s="327" t="str">
        <f t="shared" si="67"/>
        <v>11</v>
      </c>
      <c r="AC404" s="327">
        <f t="shared" si="65"/>
        <v>0</v>
      </c>
      <c r="AD404" s="327">
        <v>0</v>
      </c>
      <c r="AE404" s="327" t="str">
        <f t="shared" si="66"/>
        <v>5C04</v>
      </c>
    </row>
    <row r="405" spans="1:31" s="327" customFormat="1" x14ac:dyDescent="0.15">
      <c r="A405" s="318" t="str">
        <f t="shared" si="59"/>
        <v>0</v>
      </c>
      <c r="B405" s="319">
        <v>403</v>
      </c>
      <c r="C405" s="328" t="s">
        <v>682</v>
      </c>
      <c r="D405" s="329" t="s">
        <v>2687</v>
      </c>
      <c r="E405" s="330" t="s">
        <v>263</v>
      </c>
      <c r="F405" s="332" t="s">
        <v>2763</v>
      </c>
      <c r="G405" s="277">
        <v>200</v>
      </c>
      <c r="H405" s="331">
        <v>1000</v>
      </c>
      <c r="I405" s="328">
        <v>0</v>
      </c>
      <c r="J405" s="331">
        <v>0</v>
      </c>
      <c r="K405" s="331">
        <v>0</v>
      </c>
      <c r="L405" s="331" t="s">
        <v>1594</v>
      </c>
      <c r="M405" s="331">
        <v>0.01</v>
      </c>
      <c r="N405" s="331" t="s">
        <v>1628</v>
      </c>
      <c r="O405" s="331">
        <v>0</v>
      </c>
      <c r="P405" s="328">
        <v>0</v>
      </c>
      <c r="Q405" s="331">
        <v>1</v>
      </c>
      <c r="R405" s="331">
        <v>4</v>
      </c>
      <c r="S405" s="331">
        <v>0</v>
      </c>
      <c r="T405" s="331"/>
      <c r="V405" s="327" t="str">
        <f t="shared" si="60"/>
        <v>0</v>
      </c>
      <c r="W405" s="327" t="str">
        <f t="shared" si="61"/>
        <v>10</v>
      </c>
      <c r="X405" s="327" t="str">
        <f>DEC2BIN(14)</f>
        <v>1110</v>
      </c>
      <c r="Y405" s="327">
        <f t="shared" si="63"/>
        <v>0</v>
      </c>
      <c r="Z405" s="327">
        <f t="shared" si="63"/>
        <v>0</v>
      </c>
      <c r="AA405" s="327">
        <f t="shared" si="64"/>
        <v>1</v>
      </c>
      <c r="AB405" s="327" t="str">
        <f t="shared" si="67"/>
        <v>100</v>
      </c>
      <c r="AC405" s="327">
        <f t="shared" si="65"/>
        <v>0</v>
      </c>
      <c r="AD405" s="327">
        <v>0</v>
      </c>
      <c r="AE405" s="327" t="str">
        <f t="shared" si="66"/>
        <v>36988</v>
      </c>
    </row>
    <row r="406" spans="1:31" s="327" customFormat="1" x14ac:dyDescent="0.15">
      <c r="A406" s="318" t="str">
        <f t="shared" si="59"/>
        <v>0</v>
      </c>
      <c r="B406" s="319">
        <v>404</v>
      </c>
      <c r="C406" s="328" t="s">
        <v>683</v>
      </c>
      <c r="D406" s="329" t="s">
        <v>2687</v>
      </c>
      <c r="E406" s="330" t="s">
        <v>264</v>
      </c>
      <c r="F406" s="332" t="s">
        <v>2762</v>
      </c>
      <c r="G406" s="277">
        <v>0</v>
      </c>
      <c r="H406" s="331">
        <v>100</v>
      </c>
      <c r="I406" s="328">
        <v>0</v>
      </c>
      <c r="J406" s="331">
        <v>0</v>
      </c>
      <c r="K406" s="331">
        <v>0</v>
      </c>
      <c r="L406" s="331" t="s">
        <v>1594</v>
      </c>
      <c r="M406" s="331">
        <v>0.1</v>
      </c>
      <c r="N406" s="331" t="s">
        <v>1644</v>
      </c>
      <c r="O406" s="331">
        <v>0</v>
      </c>
      <c r="P406" s="328">
        <v>0</v>
      </c>
      <c r="Q406" s="331">
        <v>1</v>
      </c>
      <c r="R406" s="331">
        <v>3</v>
      </c>
      <c r="S406" s="331">
        <v>0</v>
      </c>
      <c r="T406" s="331"/>
      <c r="V406" s="327" t="str">
        <f t="shared" si="60"/>
        <v>0</v>
      </c>
      <c r="W406" s="327" t="str">
        <f t="shared" si="61"/>
        <v>1</v>
      </c>
      <c r="X406" s="327" t="str">
        <f>DEC2BIN(14)</f>
        <v>1110</v>
      </c>
      <c r="Y406" s="327">
        <f t="shared" si="63"/>
        <v>0</v>
      </c>
      <c r="Z406" s="327">
        <f t="shared" si="63"/>
        <v>0</v>
      </c>
      <c r="AA406" s="327">
        <f t="shared" si="64"/>
        <v>1</v>
      </c>
      <c r="AB406" s="327" t="str">
        <f t="shared" si="67"/>
        <v>11</v>
      </c>
      <c r="AC406" s="327">
        <f t="shared" si="65"/>
        <v>0</v>
      </c>
      <c r="AD406" s="327">
        <v>0</v>
      </c>
      <c r="AE406" s="327" t="str">
        <f t="shared" si="66"/>
        <v>A164</v>
      </c>
    </row>
    <row r="407" spans="1:31" s="327" customFormat="1" x14ac:dyDescent="0.15">
      <c r="A407" s="318" t="str">
        <f t="shared" si="59"/>
        <v>0</v>
      </c>
      <c r="B407" s="319">
        <v>405</v>
      </c>
      <c r="C407" s="328" t="s">
        <v>684</v>
      </c>
      <c r="D407" s="329" t="s">
        <v>2687</v>
      </c>
      <c r="E407" s="330" t="s">
        <v>265</v>
      </c>
      <c r="F407" s="332" t="s">
        <v>2762</v>
      </c>
      <c r="G407" s="277">
        <v>10</v>
      </c>
      <c r="H407" s="331">
        <v>100</v>
      </c>
      <c r="I407" s="328">
        <v>0</v>
      </c>
      <c r="J407" s="331">
        <v>0</v>
      </c>
      <c r="K407" s="331">
        <v>0</v>
      </c>
      <c r="L407" s="331" t="s">
        <v>1594</v>
      </c>
      <c r="M407" s="331">
        <v>0.1</v>
      </c>
      <c r="N407" s="331" t="s">
        <v>1644</v>
      </c>
      <c r="O407" s="331">
        <v>0</v>
      </c>
      <c r="P407" s="328">
        <v>0</v>
      </c>
      <c r="Q407" s="331">
        <v>1</v>
      </c>
      <c r="R407" s="331">
        <v>3</v>
      </c>
      <c r="S407" s="331">
        <v>0</v>
      </c>
      <c r="T407" s="331"/>
      <c r="V407" s="327" t="str">
        <f t="shared" si="60"/>
        <v>0</v>
      </c>
      <c r="W407" s="327" t="str">
        <f t="shared" si="61"/>
        <v>1</v>
      </c>
      <c r="X407" s="327" t="str">
        <f>DEC2BIN(14)</f>
        <v>1110</v>
      </c>
      <c r="Y407" s="327">
        <f t="shared" si="63"/>
        <v>0</v>
      </c>
      <c r="Z407" s="327">
        <f t="shared" si="63"/>
        <v>0</v>
      </c>
      <c r="AA407" s="327">
        <f t="shared" si="64"/>
        <v>1</v>
      </c>
      <c r="AB407" s="327" t="str">
        <f t="shared" si="67"/>
        <v>11</v>
      </c>
      <c r="AC407" s="327">
        <f t="shared" si="65"/>
        <v>0</v>
      </c>
      <c r="AD407" s="327">
        <v>0</v>
      </c>
      <c r="AE407" s="327" t="str">
        <f t="shared" si="66"/>
        <v>A164</v>
      </c>
    </row>
    <row r="408" spans="1:31" s="327" customFormat="1" ht="23.25" x14ac:dyDescent="0.15">
      <c r="A408" s="318" t="str">
        <f t="shared" si="59"/>
        <v>0</v>
      </c>
      <c r="B408" s="319">
        <v>406</v>
      </c>
      <c r="C408" s="320" t="s">
        <v>685</v>
      </c>
      <c r="D408" s="321" t="s">
        <v>2844</v>
      </c>
      <c r="E408" s="322" t="s">
        <v>266</v>
      </c>
      <c r="F408" s="323" t="s">
        <v>2764</v>
      </c>
      <c r="G408" s="324">
        <v>0</v>
      </c>
      <c r="H408" s="325">
        <v>1</v>
      </c>
      <c r="I408" s="320">
        <v>0</v>
      </c>
      <c r="J408" s="325">
        <v>0</v>
      </c>
      <c r="K408" s="325">
        <v>0</v>
      </c>
      <c r="L408" s="325" t="s">
        <v>860</v>
      </c>
      <c r="M408" s="325">
        <v>1</v>
      </c>
      <c r="N408" s="325" t="s">
        <v>1601</v>
      </c>
      <c r="O408" s="325">
        <v>0</v>
      </c>
      <c r="P408" s="320">
        <v>0</v>
      </c>
      <c r="Q408" s="325">
        <v>1</v>
      </c>
      <c r="R408" s="325">
        <v>1</v>
      </c>
      <c r="S408" s="325">
        <v>0</v>
      </c>
      <c r="T408" s="325"/>
      <c r="V408" s="327" t="str">
        <f t="shared" si="60"/>
        <v>1</v>
      </c>
      <c r="W408" s="327" t="str">
        <f t="shared" si="61"/>
        <v>0</v>
      </c>
      <c r="X408" s="327" t="str">
        <f t="shared" si="62"/>
        <v>0</v>
      </c>
      <c r="Y408" s="327">
        <f t="shared" si="63"/>
        <v>0</v>
      </c>
      <c r="Z408" s="327">
        <f t="shared" si="63"/>
        <v>0</v>
      </c>
      <c r="AA408" s="327">
        <f t="shared" si="64"/>
        <v>1</v>
      </c>
      <c r="AB408" s="327" t="str">
        <f t="shared" si="67"/>
        <v>1</v>
      </c>
      <c r="AC408" s="327">
        <f t="shared" si="65"/>
        <v>0</v>
      </c>
      <c r="AD408" s="327">
        <v>0</v>
      </c>
      <c r="AE408" s="327" t="str">
        <f t="shared" si="66"/>
        <v>C01</v>
      </c>
    </row>
    <row r="409" spans="1:31" s="327" customFormat="1" x14ac:dyDescent="0.15">
      <c r="A409" s="318" t="str">
        <f t="shared" si="59"/>
        <v>0</v>
      </c>
      <c r="B409" s="319">
        <v>407</v>
      </c>
      <c r="C409" s="366" t="s">
        <v>1927</v>
      </c>
      <c r="D409" s="367" t="s">
        <v>2844</v>
      </c>
      <c r="E409" s="368" t="s">
        <v>1928</v>
      </c>
      <c r="F409" s="369" t="s">
        <v>2765</v>
      </c>
      <c r="G409" s="310">
        <v>135</v>
      </c>
      <c r="H409" s="370">
        <v>150</v>
      </c>
      <c r="I409" s="366">
        <v>120</v>
      </c>
      <c r="J409" s="370">
        <v>0</v>
      </c>
      <c r="K409" s="370">
        <v>0</v>
      </c>
      <c r="L409" s="370" t="s">
        <v>859</v>
      </c>
      <c r="M409" s="370">
        <v>1</v>
      </c>
      <c r="N409" s="370" t="s">
        <v>1907</v>
      </c>
      <c r="O409" s="370">
        <v>0</v>
      </c>
      <c r="P409" s="366">
        <v>0</v>
      </c>
      <c r="Q409" s="370">
        <v>1</v>
      </c>
      <c r="R409" s="370">
        <v>3</v>
      </c>
      <c r="S409" s="370">
        <v>0</v>
      </c>
      <c r="T409" s="325"/>
      <c r="V409" s="327" t="str">
        <f t="shared" si="60"/>
        <v>0</v>
      </c>
      <c r="W409" s="327" t="str">
        <f t="shared" si="61"/>
        <v>0</v>
      </c>
      <c r="X409" s="327" t="e">
        <f t="shared" si="62"/>
        <v>#N/A</v>
      </c>
      <c r="Y409" s="327">
        <f t="shared" si="63"/>
        <v>0</v>
      </c>
      <c r="Z409" s="327">
        <f t="shared" si="63"/>
        <v>0</v>
      </c>
      <c r="AA409" s="327">
        <f t="shared" si="64"/>
        <v>1</v>
      </c>
      <c r="AB409" s="327" t="str">
        <f t="shared" si="67"/>
        <v>11</v>
      </c>
      <c r="AC409" s="327">
        <f t="shared" si="65"/>
        <v>0</v>
      </c>
      <c r="AD409" s="327">
        <v>0</v>
      </c>
      <c r="AE409" s="327" t="e">
        <f t="shared" si="66"/>
        <v>#N/A</v>
      </c>
    </row>
    <row r="410" spans="1:31" s="327" customFormat="1" ht="14.45" customHeight="1" x14ac:dyDescent="0.15">
      <c r="A410" s="318" t="str">
        <f t="shared" si="59"/>
        <v>0</v>
      </c>
      <c r="B410" s="319">
        <v>408</v>
      </c>
      <c r="C410" s="320" t="s">
        <v>686</v>
      </c>
      <c r="D410" s="321" t="s">
        <v>2844</v>
      </c>
      <c r="E410" s="322" t="s">
        <v>267</v>
      </c>
      <c r="F410" s="323" t="s">
        <v>2717</v>
      </c>
      <c r="G410" s="324">
        <v>0</v>
      </c>
      <c r="H410" s="325">
        <v>1</v>
      </c>
      <c r="I410" s="320">
        <v>0</v>
      </c>
      <c r="J410" s="325">
        <v>0</v>
      </c>
      <c r="K410" s="325">
        <v>0</v>
      </c>
      <c r="L410" s="325" t="s">
        <v>860</v>
      </c>
      <c r="M410" s="325">
        <v>1</v>
      </c>
      <c r="N410" s="325" t="s">
        <v>1601</v>
      </c>
      <c r="O410" s="325">
        <v>0</v>
      </c>
      <c r="P410" s="320">
        <v>0</v>
      </c>
      <c r="Q410" s="325">
        <v>1</v>
      </c>
      <c r="R410" s="325">
        <v>1</v>
      </c>
      <c r="S410" s="325">
        <v>0</v>
      </c>
      <c r="T410" s="325"/>
      <c r="V410" s="327" t="str">
        <f t="shared" si="60"/>
        <v>1</v>
      </c>
      <c r="W410" s="327" t="str">
        <f t="shared" si="61"/>
        <v>0</v>
      </c>
      <c r="X410" s="327" t="str">
        <f t="shared" si="62"/>
        <v>0</v>
      </c>
      <c r="Y410" s="327">
        <f t="shared" si="63"/>
        <v>0</v>
      </c>
      <c r="Z410" s="327">
        <f t="shared" si="63"/>
        <v>0</v>
      </c>
      <c r="AA410" s="327">
        <f t="shared" si="64"/>
        <v>1</v>
      </c>
      <c r="AB410" s="327" t="str">
        <f t="shared" si="67"/>
        <v>1</v>
      </c>
      <c r="AC410" s="327">
        <f t="shared" si="65"/>
        <v>0</v>
      </c>
      <c r="AD410" s="327">
        <v>0</v>
      </c>
      <c r="AE410" s="327" t="str">
        <f t="shared" si="66"/>
        <v>C01</v>
      </c>
    </row>
    <row r="411" spans="1:31" ht="54.75" customHeight="1" x14ac:dyDescent="0.15">
      <c r="A411" s="42" t="str">
        <f t="shared" si="59"/>
        <v>0</v>
      </c>
      <c r="B411" s="43">
        <v>409</v>
      </c>
      <c r="C411" s="44" t="s">
        <v>687</v>
      </c>
      <c r="D411" s="25" t="s">
        <v>268</v>
      </c>
      <c r="E411" s="45" t="s">
        <v>269</v>
      </c>
      <c r="F411" s="46" t="s">
        <v>270</v>
      </c>
      <c r="G411" s="47">
        <v>0</v>
      </c>
      <c r="H411" s="48">
        <v>111</v>
      </c>
      <c r="I411" s="44">
        <v>0</v>
      </c>
      <c r="J411" s="48">
        <v>0</v>
      </c>
      <c r="K411" s="48">
        <v>0</v>
      </c>
      <c r="L411" s="48" t="s">
        <v>860</v>
      </c>
      <c r="M411" s="48">
        <v>1</v>
      </c>
      <c r="N411" s="48" t="s">
        <v>1601</v>
      </c>
      <c r="O411" s="48">
        <v>1</v>
      </c>
      <c r="P411" s="44">
        <v>0</v>
      </c>
      <c r="Q411" s="48">
        <v>1</v>
      </c>
      <c r="R411" s="48">
        <v>3</v>
      </c>
      <c r="S411" s="48">
        <v>0</v>
      </c>
      <c r="T411" s="48" t="s">
        <v>1083</v>
      </c>
      <c r="V411" s="49" t="str">
        <f t="shared" si="60"/>
        <v>1</v>
      </c>
      <c r="W411" s="49" t="str">
        <f t="shared" si="61"/>
        <v>0</v>
      </c>
      <c r="X411" s="49" t="str">
        <f t="shared" si="62"/>
        <v>0</v>
      </c>
      <c r="Y411" s="49">
        <f t="shared" si="63"/>
        <v>1</v>
      </c>
      <c r="Z411" s="49">
        <f t="shared" si="63"/>
        <v>0</v>
      </c>
      <c r="AA411" s="49">
        <f t="shared" si="64"/>
        <v>1</v>
      </c>
      <c r="AB411" s="49" t="str">
        <f t="shared" si="67"/>
        <v>11</v>
      </c>
      <c r="AC411" s="49">
        <f t="shared" si="65"/>
        <v>0</v>
      </c>
      <c r="AD411" s="49">
        <v>0</v>
      </c>
      <c r="AE411" s="49" t="str">
        <f t="shared" si="66"/>
        <v>5D01</v>
      </c>
    </row>
    <row r="412" spans="1:31" x14ac:dyDescent="0.15">
      <c r="A412" s="42" t="str">
        <f t="shared" si="59"/>
        <v>0</v>
      </c>
      <c r="B412" s="43">
        <v>410</v>
      </c>
      <c r="C412" s="44" t="s">
        <v>688</v>
      </c>
      <c r="D412" s="25" t="s">
        <v>1084</v>
      </c>
      <c r="E412" s="45" t="s">
        <v>271</v>
      </c>
      <c r="F412" s="46" t="s">
        <v>1064</v>
      </c>
      <c r="G412" s="47">
        <v>1800</v>
      </c>
      <c r="H412" s="48">
        <v>2000</v>
      </c>
      <c r="I412" s="44">
        <v>200</v>
      </c>
      <c r="J412" s="48">
        <v>0</v>
      </c>
      <c r="K412" s="48">
        <v>0</v>
      </c>
      <c r="L412" s="48" t="s">
        <v>859</v>
      </c>
      <c r="M412" s="48">
        <v>0.1</v>
      </c>
      <c r="N412" s="48" t="s">
        <v>1634</v>
      </c>
      <c r="O412" s="48">
        <v>0</v>
      </c>
      <c r="P412" s="44">
        <v>0</v>
      </c>
      <c r="Q412" s="48">
        <v>1</v>
      </c>
      <c r="R412" s="48">
        <v>4</v>
      </c>
      <c r="S412" s="48">
        <v>0</v>
      </c>
      <c r="T412" s="48"/>
      <c r="V412" s="49" t="str">
        <f t="shared" si="60"/>
        <v>0</v>
      </c>
      <c r="W412" s="49" t="str">
        <f t="shared" si="61"/>
        <v>1</v>
      </c>
      <c r="X412" s="49" t="e">
        <f t="shared" si="62"/>
        <v>#N/A</v>
      </c>
      <c r="Y412" s="49">
        <f t="shared" si="63"/>
        <v>0</v>
      </c>
      <c r="Z412" s="49">
        <f t="shared" si="63"/>
        <v>0</v>
      </c>
      <c r="AA412" s="49">
        <f t="shared" si="64"/>
        <v>1</v>
      </c>
      <c r="AB412" s="49" t="str">
        <f t="shared" si="67"/>
        <v>100</v>
      </c>
      <c r="AC412" s="49">
        <f t="shared" si="65"/>
        <v>0</v>
      </c>
      <c r="AD412" s="49">
        <v>0</v>
      </c>
      <c r="AE412" s="49" t="e">
        <f t="shared" si="66"/>
        <v>#N/A</v>
      </c>
    </row>
    <row r="413" spans="1:31" x14ac:dyDescent="0.15">
      <c r="A413" s="42" t="str">
        <f t="shared" si="59"/>
        <v>0</v>
      </c>
      <c r="B413" s="43">
        <v>411</v>
      </c>
      <c r="C413" s="44" t="s">
        <v>689</v>
      </c>
      <c r="D413" s="25" t="s">
        <v>1085</v>
      </c>
      <c r="E413" s="45" t="s">
        <v>272</v>
      </c>
      <c r="F413" s="46" t="s">
        <v>1086</v>
      </c>
      <c r="G413" s="47">
        <v>50</v>
      </c>
      <c r="H413" s="48">
        <v>600</v>
      </c>
      <c r="I413" s="44">
        <v>1</v>
      </c>
      <c r="J413" s="48">
        <v>0</v>
      </c>
      <c r="K413" s="48">
        <v>0</v>
      </c>
      <c r="L413" s="48" t="s">
        <v>859</v>
      </c>
      <c r="M413" s="48">
        <v>0.1</v>
      </c>
      <c r="N413" s="48" t="s">
        <v>1644</v>
      </c>
      <c r="O413" s="48">
        <v>0</v>
      </c>
      <c r="P413" s="44">
        <v>0</v>
      </c>
      <c r="Q413" s="48">
        <v>1</v>
      </c>
      <c r="R413" s="48">
        <v>3</v>
      </c>
      <c r="S413" s="48">
        <v>0</v>
      </c>
      <c r="T413" s="48"/>
      <c r="V413" s="49" t="str">
        <f t="shared" si="60"/>
        <v>0</v>
      </c>
      <c r="W413" s="49" t="str">
        <f t="shared" si="61"/>
        <v>1</v>
      </c>
      <c r="X413" s="49" t="str">
        <f t="shared" si="62"/>
        <v>0</v>
      </c>
      <c r="Y413" s="49">
        <f t="shared" si="63"/>
        <v>0</v>
      </c>
      <c r="Z413" s="49">
        <f t="shared" si="63"/>
        <v>0</v>
      </c>
      <c r="AA413" s="49">
        <f t="shared" si="64"/>
        <v>1</v>
      </c>
      <c r="AB413" s="49" t="str">
        <f t="shared" si="67"/>
        <v>11</v>
      </c>
      <c r="AC413" s="49">
        <f t="shared" si="65"/>
        <v>0</v>
      </c>
      <c r="AD413" s="49">
        <v>0</v>
      </c>
      <c r="AE413" s="49" t="str">
        <f t="shared" si="66"/>
        <v>5C04</v>
      </c>
    </row>
    <row r="414" spans="1:31" ht="139.9" customHeight="1" x14ac:dyDescent="0.15">
      <c r="A414" s="42" t="str">
        <f t="shared" si="59"/>
        <v>0</v>
      </c>
      <c r="B414" s="43">
        <v>412</v>
      </c>
      <c r="C414" s="44" t="s">
        <v>690</v>
      </c>
      <c r="D414" s="25" t="s">
        <v>1489</v>
      </c>
      <c r="E414" s="99" t="s">
        <v>71</v>
      </c>
      <c r="F414" s="110" t="s">
        <v>755</v>
      </c>
      <c r="G414" s="47">
        <v>0</v>
      </c>
      <c r="H414" s="48">
        <v>1111</v>
      </c>
      <c r="I414" s="44">
        <v>0</v>
      </c>
      <c r="J414" s="48">
        <v>0</v>
      </c>
      <c r="K414" s="48">
        <v>0</v>
      </c>
      <c r="L414" s="48" t="s">
        <v>860</v>
      </c>
      <c r="M414" s="48">
        <v>1</v>
      </c>
      <c r="N414" s="48" t="s">
        <v>1660</v>
      </c>
      <c r="O414" s="48">
        <v>1</v>
      </c>
      <c r="P414" s="44">
        <v>0</v>
      </c>
      <c r="Q414" s="48">
        <v>1</v>
      </c>
      <c r="R414" s="48">
        <v>4</v>
      </c>
      <c r="S414" s="48">
        <v>0</v>
      </c>
      <c r="T414" s="48" t="s">
        <v>1087</v>
      </c>
      <c r="V414" s="49" t="str">
        <f t="shared" si="60"/>
        <v>1</v>
      </c>
      <c r="W414" s="49" t="str">
        <f t="shared" si="61"/>
        <v>0</v>
      </c>
      <c r="X414" s="49" t="str">
        <f t="shared" si="62"/>
        <v>0</v>
      </c>
      <c r="Y414" s="49">
        <f t="shared" si="63"/>
        <v>1</v>
      </c>
      <c r="Z414" s="49">
        <f t="shared" si="63"/>
        <v>0</v>
      </c>
      <c r="AA414" s="49">
        <f t="shared" si="64"/>
        <v>1</v>
      </c>
      <c r="AB414" s="49" t="str">
        <f t="shared" si="67"/>
        <v>100</v>
      </c>
      <c r="AC414" s="49">
        <f t="shared" si="65"/>
        <v>0</v>
      </c>
      <c r="AD414" s="49">
        <v>0</v>
      </c>
      <c r="AE414" s="49" t="str">
        <f t="shared" si="66"/>
        <v>32501</v>
      </c>
    </row>
    <row r="415" spans="1:31" s="118" customFormat="1" ht="157.5" x14ac:dyDescent="0.15">
      <c r="A415" s="115" t="str">
        <f t="shared" si="59"/>
        <v>0</v>
      </c>
      <c r="B415" s="116">
        <v>413</v>
      </c>
      <c r="C415" s="119" t="s">
        <v>691</v>
      </c>
      <c r="D415" s="120" t="s">
        <v>1490</v>
      </c>
      <c r="E415" s="121" t="s">
        <v>754</v>
      </c>
      <c r="F415" s="122" t="s">
        <v>790</v>
      </c>
      <c r="G415" s="123">
        <v>3000</v>
      </c>
      <c r="H415" s="124">
        <v>3111</v>
      </c>
      <c r="I415" s="119">
        <v>0</v>
      </c>
      <c r="J415" s="124">
        <v>0</v>
      </c>
      <c r="K415" s="124">
        <v>0</v>
      </c>
      <c r="L415" s="124" t="s">
        <v>860</v>
      </c>
      <c r="M415" s="124">
        <v>1</v>
      </c>
      <c r="N415" s="124" t="s">
        <v>1004</v>
      </c>
      <c r="O415" s="124">
        <v>1</v>
      </c>
      <c r="P415" s="119">
        <v>0</v>
      </c>
      <c r="Q415" s="124">
        <v>1</v>
      </c>
      <c r="R415" s="124">
        <v>4</v>
      </c>
      <c r="S415" s="124">
        <v>0</v>
      </c>
      <c r="T415" s="124" t="s">
        <v>1088</v>
      </c>
      <c r="V415" s="118" t="str">
        <f t="shared" si="60"/>
        <v>1</v>
      </c>
      <c r="W415" s="118" t="str">
        <f t="shared" si="61"/>
        <v>0</v>
      </c>
      <c r="X415" s="118" t="str">
        <f t="shared" si="62"/>
        <v>0</v>
      </c>
      <c r="Y415" s="118">
        <f t="shared" si="63"/>
        <v>1</v>
      </c>
      <c r="Z415" s="118">
        <f t="shared" si="63"/>
        <v>0</v>
      </c>
      <c r="AA415" s="118">
        <f t="shared" si="64"/>
        <v>1</v>
      </c>
      <c r="AB415" s="118" t="str">
        <f t="shared" si="67"/>
        <v>100</v>
      </c>
      <c r="AC415" s="118">
        <f t="shared" si="65"/>
        <v>0</v>
      </c>
      <c r="AD415" s="118">
        <v>0</v>
      </c>
      <c r="AE415" s="118" t="str">
        <f t="shared" si="66"/>
        <v>32501</v>
      </c>
    </row>
    <row r="416" spans="1:31" s="327" customFormat="1" ht="23.25" x14ac:dyDescent="0.15">
      <c r="A416" s="318" t="str">
        <f t="shared" si="59"/>
        <v>0</v>
      </c>
      <c r="B416" s="319">
        <v>414</v>
      </c>
      <c r="C416" s="320" t="s">
        <v>692</v>
      </c>
      <c r="D416" s="321" t="s">
        <v>2844</v>
      </c>
      <c r="E416" s="322" t="s">
        <v>273</v>
      </c>
      <c r="F416" s="323" t="s">
        <v>2766</v>
      </c>
      <c r="G416" s="324">
        <v>0</v>
      </c>
      <c r="H416" s="325">
        <v>1</v>
      </c>
      <c r="I416" s="320">
        <v>0</v>
      </c>
      <c r="J416" s="325">
        <v>0</v>
      </c>
      <c r="K416" s="325">
        <v>0</v>
      </c>
      <c r="L416" s="325" t="s">
        <v>860</v>
      </c>
      <c r="M416" s="325">
        <v>1</v>
      </c>
      <c r="N416" s="325" t="s">
        <v>1660</v>
      </c>
      <c r="O416" s="325">
        <v>0</v>
      </c>
      <c r="P416" s="320">
        <v>0</v>
      </c>
      <c r="Q416" s="325">
        <v>1</v>
      </c>
      <c r="R416" s="325">
        <v>1</v>
      </c>
      <c r="S416" s="325">
        <v>0</v>
      </c>
      <c r="T416" s="325"/>
      <c r="V416" s="327" t="str">
        <f t="shared" si="60"/>
        <v>1</v>
      </c>
      <c r="W416" s="327" t="str">
        <f t="shared" si="61"/>
        <v>0</v>
      </c>
      <c r="X416" s="327" t="str">
        <f t="shared" si="62"/>
        <v>0</v>
      </c>
      <c r="Y416" s="327">
        <f t="shared" si="63"/>
        <v>0</v>
      </c>
      <c r="Z416" s="327">
        <f t="shared" si="63"/>
        <v>0</v>
      </c>
      <c r="AA416" s="327">
        <f t="shared" si="64"/>
        <v>1</v>
      </c>
      <c r="AB416" s="327" t="str">
        <f t="shared" si="67"/>
        <v>1</v>
      </c>
      <c r="AC416" s="327">
        <f t="shared" si="65"/>
        <v>0</v>
      </c>
      <c r="AD416" s="327">
        <v>0</v>
      </c>
      <c r="AE416" s="327" t="str">
        <f t="shared" si="66"/>
        <v>C01</v>
      </c>
    </row>
    <row r="417" spans="1:31" x14ac:dyDescent="0.15">
      <c r="A417" s="42" t="str">
        <f t="shared" si="59"/>
        <v>0</v>
      </c>
      <c r="B417" s="43">
        <v>415</v>
      </c>
      <c r="C417" s="44" t="s">
        <v>693</v>
      </c>
      <c r="D417" s="25" t="s">
        <v>1089</v>
      </c>
      <c r="E417" s="45" t="s">
        <v>274</v>
      </c>
      <c r="F417" s="46" t="s">
        <v>1090</v>
      </c>
      <c r="G417" s="47">
        <v>0</v>
      </c>
      <c r="H417" s="48">
        <v>20</v>
      </c>
      <c r="I417" s="44">
        <v>0</v>
      </c>
      <c r="J417" s="48">
        <v>0</v>
      </c>
      <c r="K417" s="48">
        <v>0</v>
      </c>
      <c r="L417" s="48" t="s">
        <v>860</v>
      </c>
      <c r="M417" s="48">
        <v>1</v>
      </c>
      <c r="N417" s="48" t="s">
        <v>1660</v>
      </c>
      <c r="O417" s="48">
        <v>0</v>
      </c>
      <c r="P417" s="44">
        <v>0</v>
      </c>
      <c r="Q417" s="48">
        <v>1</v>
      </c>
      <c r="R417" s="48">
        <v>2</v>
      </c>
      <c r="S417" s="48">
        <v>0</v>
      </c>
      <c r="T417" s="48"/>
      <c r="V417" s="49" t="str">
        <f t="shared" si="60"/>
        <v>1</v>
      </c>
      <c r="W417" s="49" t="str">
        <f t="shared" si="61"/>
        <v>0</v>
      </c>
      <c r="X417" s="49" t="str">
        <f t="shared" si="62"/>
        <v>0</v>
      </c>
      <c r="Y417" s="49">
        <f t="shared" si="63"/>
        <v>0</v>
      </c>
      <c r="Z417" s="49">
        <f t="shared" si="63"/>
        <v>0</v>
      </c>
      <c r="AA417" s="49">
        <f t="shared" si="64"/>
        <v>1</v>
      </c>
      <c r="AB417" s="49" t="str">
        <f t="shared" si="67"/>
        <v>10</v>
      </c>
      <c r="AC417" s="49">
        <f t="shared" si="65"/>
        <v>0</v>
      </c>
      <c r="AD417" s="49">
        <v>0</v>
      </c>
      <c r="AE417" s="49" t="str">
        <f t="shared" si="66"/>
        <v>5401</v>
      </c>
    </row>
    <row r="418" spans="1:31" x14ac:dyDescent="0.15">
      <c r="A418" s="42" t="str">
        <f t="shared" si="59"/>
        <v>0</v>
      </c>
      <c r="B418" s="43">
        <v>416</v>
      </c>
      <c r="C418" s="44" t="s">
        <v>694</v>
      </c>
      <c r="D418" s="25" t="s">
        <v>1091</v>
      </c>
      <c r="E418" s="45" t="s">
        <v>275</v>
      </c>
      <c r="F418" s="46" t="s">
        <v>1092</v>
      </c>
      <c r="G418" s="47">
        <v>20</v>
      </c>
      <c r="H418" s="48">
        <v>200</v>
      </c>
      <c r="I418" s="44">
        <v>20</v>
      </c>
      <c r="J418" s="48">
        <v>0</v>
      </c>
      <c r="K418" s="48">
        <v>0</v>
      </c>
      <c r="L418" s="48" t="s">
        <v>860</v>
      </c>
      <c r="M418" s="48">
        <v>0.1</v>
      </c>
      <c r="N418" s="48" t="s">
        <v>1697</v>
      </c>
      <c r="O418" s="48">
        <v>0</v>
      </c>
      <c r="P418" s="44">
        <v>0</v>
      </c>
      <c r="Q418" s="48">
        <v>1</v>
      </c>
      <c r="R418" s="48">
        <v>3</v>
      </c>
      <c r="S418" s="48">
        <v>0</v>
      </c>
      <c r="T418" s="48"/>
      <c r="V418" s="49" t="str">
        <f t="shared" si="60"/>
        <v>1</v>
      </c>
      <c r="W418" s="49" t="str">
        <f t="shared" si="61"/>
        <v>1</v>
      </c>
      <c r="X418" s="49" t="str">
        <f t="shared" si="62"/>
        <v>0</v>
      </c>
      <c r="Y418" s="49">
        <f t="shared" si="63"/>
        <v>0</v>
      </c>
      <c r="Z418" s="49">
        <f t="shared" si="63"/>
        <v>0</v>
      </c>
      <c r="AA418" s="49">
        <f t="shared" si="64"/>
        <v>1</v>
      </c>
      <c r="AB418" s="49" t="str">
        <f t="shared" si="67"/>
        <v>11</v>
      </c>
      <c r="AC418" s="49">
        <f t="shared" si="65"/>
        <v>0</v>
      </c>
      <c r="AD418" s="49">
        <v>0</v>
      </c>
      <c r="AE418" s="49" t="str">
        <f t="shared" si="66"/>
        <v>5C05</v>
      </c>
    </row>
    <row r="419" spans="1:31" ht="14.45" customHeight="1" x14ac:dyDescent="0.15">
      <c r="A419" s="42" t="str">
        <f t="shared" si="59"/>
        <v>0</v>
      </c>
      <c r="B419" s="43">
        <v>417</v>
      </c>
      <c r="C419" s="44" t="s">
        <v>695</v>
      </c>
      <c r="D419" s="25" t="s">
        <v>276</v>
      </c>
      <c r="E419" s="45" t="s">
        <v>277</v>
      </c>
      <c r="F419" s="46" t="s">
        <v>278</v>
      </c>
      <c r="G419" s="47">
        <v>10</v>
      </c>
      <c r="H419" s="48">
        <v>111</v>
      </c>
      <c r="I419" s="44">
        <v>0</v>
      </c>
      <c r="J419" s="48">
        <v>0</v>
      </c>
      <c r="K419" s="48">
        <v>0</v>
      </c>
      <c r="L419" s="48" t="s">
        <v>1653</v>
      </c>
      <c r="M419" s="48">
        <v>1</v>
      </c>
      <c r="N419" s="48" t="s">
        <v>1660</v>
      </c>
      <c r="O419" s="48">
        <v>1</v>
      </c>
      <c r="P419" s="44">
        <v>0</v>
      </c>
      <c r="Q419" s="48">
        <v>1</v>
      </c>
      <c r="R419" s="48">
        <v>3</v>
      </c>
      <c r="S419" s="48">
        <v>0</v>
      </c>
      <c r="T419" s="48" t="s">
        <v>1093</v>
      </c>
      <c r="V419" s="49" t="str">
        <f t="shared" si="60"/>
        <v>1</v>
      </c>
      <c r="W419" s="49" t="str">
        <f t="shared" si="61"/>
        <v>0</v>
      </c>
      <c r="X419" s="49" t="str">
        <f t="shared" si="62"/>
        <v>0</v>
      </c>
      <c r="Y419" s="49">
        <f t="shared" si="63"/>
        <v>1</v>
      </c>
      <c r="Z419" s="49">
        <f t="shared" si="63"/>
        <v>0</v>
      </c>
      <c r="AA419" s="49">
        <f t="shared" si="64"/>
        <v>1</v>
      </c>
      <c r="AB419" s="49" t="str">
        <f t="shared" si="67"/>
        <v>11</v>
      </c>
      <c r="AC419" s="49">
        <f t="shared" si="65"/>
        <v>0</v>
      </c>
      <c r="AD419" s="49">
        <v>0</v>
      </c>
      <c r="AE419" s="49" t="str">
        <f t="shared" si="66"/>
        <v>5D01</v>
      </c>
    </row>
    <row r="420" spans="1:31" ht="34.5" x14ac:dyDescent="0.15">
      <c r="A420" s="42" t="str">
        <f t="shared" si="59"/>
        <v>0</v>
      </c>
      <c r="B420" s="43">
        <v>418</v>
      </c>
      <c r="C420" s="44" t="s">
        <v>696</v>
      </c>
      <c r="D420" s="25" t="s">
        <v>1094</v>
      </c>
      <c r="E420" s="45" t="s">
        <v>279</v>
      </c>
      <c r="F420" s="46" t="s">
        <v>280</v>
      </c>
      <c r="G420" s="47">
        <v>0</v>
      </c>
      <c r="H420" s="48">
        <v>1</v>
      </c>
      <c r="I420" s="44">
        <v>0</v>
      </c>
      <c r="J420" s="48">
        <v>0</v>
      </c>
      <c r="K420" s="48">
        <v>0</v>
      </c>
      <c r="L420" s="48" t="s">
        <v>859</v>
      </c>
      <c r="M420" s="48">
        <v>1</v>
      </c>
      <c r="N420" s="48" t="s">
        <v>1660</v>
      </c>
      <c r="O420" s="48">
        <v>0</v>
      </c>
      <c r="P420" s="44">
        <v>0</v>
      </c>
      <c r="Q420" s="48">
        <v>1</v>
      </c>
      <c r="R420" s="48">
        <v>1</v>
      </c>
      <c r="S420" s="48">
        <v>0</v>
      </c>
      <c r="T420" s="48"/>
      <c r="V420" s="49" t="str">
        <f t="shared" si="60"/>
        <v>0</v>
      </c>
      <c r="W420" s="49" t="str">
        <f t="shared" si="61"/>
        <v>0</v>
      </c>
      <c r="X420" s="49" t="str">
        <f t="shared" si="62"/>
        <v>0</v>
      </c>
      <c r="Y420" s="49">
        <f t="shared" si="63"/>
        <v>0</v>
      </c>
      <c r="Z420" s="49">
        <f t="shared" si="63"/>
        <v>0</v>
      </c>
      <c r="AA420" s="49">
        <f t="shared" si="64"/>
        <v>1</v>
      </c>
      <c r="AB420" s="49" t="str">
        <f t="shared" si="67"/>
        <v>1</v>
      </c>
      <c r="AC420" s="49">
        <f t="shared" si="65"/>
        <v>0</v>
      </c>
      <c r="AD420" s="49">
        <v>0</v>
      </c>
      <c r="AE420" s="49" t="str">
        <f t="shared" si="66"/>
        <v>C00</v>
      </c>
    </row>
    <row r="421" spans="1:31" x14ac:dyDescent="0.15">
      <c r="A421" s="42" t="str">
        <f t="shared" si="59"/>
        <v>0</v>
      </c>
      <c r="B421" s="43">
        <v>419</v>
      </c>
      <c r="C421" s="44" t="s">
        <v>697</v>
      </c>
      <c r="D421" s="25" t="s">
        <v>281</v>
      </c>
      <c r="E421" s="45" t="s">
        <v>282</v>
      </c>
      <c r="F421" s="46" t="s">
        <v>283</v>
      </c>
      <c r="G421" s="47">
        <v>800</v>
      </c>
      <c r="H421" s="48">
        <v>1000</v>
      </c>
      <c r="I421" s="44">
        <v>0</v>
      </c>
      <c r="J421" s="48">
        <v>0</v>
      </c>
      <c r="K421" s="48">
        <v>0</v>
      </c>
      <c r="L421" s="48" t="s">
        <v>859</v>
      </c>
      <c r="M421" s="48">
        <v>0.1</v>
      </c>
      <c r="N421" s="48" t="s">
        <v>284</v>
      </c>
      <c r="O421" s="48">
        <v>0</v>
      </c>
      <c r="P421" s="44">
        <v>0</v>
      </c>
      <c r="Q421" s="48">
        <v>1</v>
      </c>
      <c r="R421" s="48">
        <v>4</v>
      </c>
      <c r="S421" s="48">
        <v>1</v>
      </c>
      <c r="T421" s="48"/>
      <c r="V421" s="49" t="str">
        <f t="shared" si="60"/>
        <v>0</v>
      </c>
      <c r="W421" s="49" t="str">
        <f t="shared" si="61"/>
        <v>1</v>
      </c>
      <c r="X421" s="49" t="str">
        <f t="shared" si="62"/>
        <v>0</v>
      </c>
      <c r="Y421" s="49">
        <f t="shared" si="63"/>
        <v>0</v>
      </c>
      <c r="Z421" s="49">
        <f t="shared" si="63"/>
        <v>0</v>
      </c>
      <c r="AA421" s="49">
        <f t="shared" si="64"/>
        <v>1</v>
      </c>
      <c r="AB421" s="49" t="str">
        <f t="shared" si="67"/>
        <v>100</v>
      </c>
      <c r="AC421" s="49">
        <f t="shared" si="65"/>
        <v>1</v>
      </c>
      <c r="AD421" s="49">
        <v>0</v>
      </c>
      <c r="AE421" s="49" t="str">
        <f t="shared" si="66"/>
        <v>36404</v>
      </c>
    </row>
    <row r="422" spans="1:31" x14ac:dyDescent="0.15">
      <c r="A422" s="42" t="str">
        <f t="shared" si="59"/>
        <v>0</v>
      </c>
      <c r="B422" s="43">
        <v>420</v>
      </c>
      <c r="C422" s="212" t="s">
        <v>698</v>
      </c>
      <c r="D422" s="218" t="s">
        <v>2163</v>
      </c>
      <c r="E422" s="219" t="s">
        <v>2164</v>
      </c>
      <c r="F422" s="222" t="s">
        <v>856</v>
      </c>
      <c r="G422" s="220">
        <v>50</v>
      </c>
      <c r="H422" s="221">
        <v>65535</v>
      </c>
      <c r="I422" s="212">
        <v>0</v>
      </c>
      <c r="J422" s="221">
        <v>0</v>
      </c>
      <c r="K422" s="221">
        <v>0</v>
      </c>
      <c r="L422" s="221" t="s">
        <v>859</v>
      </c>
      <c r="M422" s="221">
        <v>1</v>
      </c>
      <c r="N422" s="221" t="s">
        <v>1910</v>
      </c>
      <c r="O422" s="221">
        <v>0</v>
      </c>
      <c r="P422" s="212">
        <v>0</v>
      </c>
      <c r="Q422" s="221">
        <v>1</v>
      </c>
      <c r="R422" s="221">
        <v>5</v>
      </c>
      <c r="S422" s="221">
        <v>0</v>
      </c>
      <c r="T422" s="53"/>
      <c r="V422" s="49" t="str">
        <f t="shared" si="60"/>
        <v>0</v>
      </c>
      <c r="W422" s="49" t="str">
        <f t="shared" si="61"/>
        <v>0</v>
      </c>
      <c r="X422" s="49" t="str">
        <f t="shared" si="62"/>
        <v>0</v>
      </c>
      <c r="Y422" s="49">
        <f t="shared" si="63"/>
        <v>0</v>
      </c>
      <c r="Z422" s="49">
        <f t="shared" si="63"/>
        <v>0</v>
      </c>
      <c r="AA422" s="49">
        <f t="shared" si="64"/>
        <v>1</v>
      </c>
      <c r="AB422" s="49" t="str">
        <f t="shared" si="67"/>
        <v>101</v>
      </c>
      <c r="AC422" s="49">
        <f t="shared" si="65"/>
        <v>0</v>
      </c>
      <c r="AD422" s="49">
        <v>0</v>
      </c>
      <c r="AE422" s="49" t="str">
        <f t="shared" si="66"/>
        <v>32C00</v>
      </c>
    </row>
    <row r="423" spans="1:31" x14ac:dyDescent="0.15">
      <c r="A423" s="42" t="str">
        <f t="shared" si="59"/>
        <v>0</v>
      </c>
      <c r="B423" s="43">
        <v>421</v>
      </c>
      <c r="C423" s="212" t="s">
        <v>2165</v>
      </c>
      <c r="D423" s="218" t="s">
        <v>2166</v>
      </c>
      <c r="E423" s="219" t="s">
        <v>2167</v>
      </c>
      <c r="F423" s="222" t="s">
        <v>856</v>
      </c>
      <c r="G423" s="220">
        <v>0</v>
      </c>
      <c r="H423" s="221">
        <v>65535</v>
      </c>
      <c r="I423" s="212">
        <v>0</v>
      </c>
      <c r="J423" s="221">
        <v>0</v>
      </c>
      <c r="K423" s="221">
        <v>0</v>
      </c>
      <c r="L423" s="221" t="s">
        <v>859</v>
      </c>
      <c r="M423" s="221">
        <v>1</v>
      </c>
      <c r="N423" s="221" t="s">
        <v>1910</v>
      </c>
      <c r="O423" s="221">
        <v>0</v>
      </c>
      <c r="P423" s="212">
        <v>0</v>
      </c>
      <c r="Q423" s="221">
        <v>1</v>
      </c>
      <c r="R423" s="221">
        <v>5</v>
      </c>
      <c r="S423" s="221">
        <v>0</v>
      </c>
      <c r="T423" s="53"/>
      <c r="V423" s="49" t="str">
        <f t="shared" si="60"/>
        <v>0</v>
      </c>
      <c r="W423" s="49" t="str">
        <f t="shared" si="61"/>
        <v>0</v>
      </c>
      <c r="X423" s="49" t="str">
        <f t="shared" si="62"/>
        <v>0</v>
      </c>
      <c r="Y423" s="49">
        <f t="shared" si="63"/>
        <v>0</v>
      </c>
      <c r="Z423" s="49">
        <f t="shared" si="63"/>
        <v>0</v>
      </c>
      <c r="AA423" s="49">
        <f t="shared" si="64"/>
        <v>1</v>
      </c>
      <c r="AB423" s="49" t="str">
        <f t="shared" si="67"/>
        <v>101</v>
      </c>
      <c r="AC423" s="49">
        <f t="shared" si="65"/>
        <v>0</v>
      </c>
      <c r="AD423" s="49">
        <v>0</v>
      </c>
      <c r="AE423" s="49" t="str">
        <f t="shared" si="66"/>
        <v>32C00</v>
      </c>
    </row>
    <row r="424" spans="1:31" ht="45" x14ac:dyDescent="0.15">
      <c r="A424" s="42" t="str">
        <f t="shared" si="59"/>
        <v>0</v>
      </c>
      <c r="B424" s="43">
        <v>422</v>
      </c>
      <c r="C424" s="212" t="s">
        <v>699</v>
      </c>
      <c r="D424" s="218" t="s">
        <v>2168</v>
      </c>
      <c r="E424" s="219" t="s">
        <v>2635</v>
      </c>
      <c r="F424" s="222" t="s">
        <v>2169</v>
      </c>
      <c r="G424" s="220">
        <v>100</v>
      </c>
      <c r="H424" s="221" t="s">
        <v>857</v>
      </c>
      <c r="I424" s="212">
        <v>0</v>
      </c>
      <c r="J424" s="221">
        <v>0</v>
      </c>
      <c r="K424" s="221">
        <v>0</v>
      </c>
      <c r="L424" s="221" t="s">
        <v>859</v>
      </c>
      <c r="M424" s="221">
        <v>1</v>
      </c>
      <c r="N424" s="221" t="s">
        <v>1910</v>
      </c>
      <c r="O424" s="221">
        <v>1</v>
      </c>
      <c r="P424" s="212">
        <v>0</v>
      </c>
      <c r="Q424" s="221">
        <v>1</v>
      </c>
      <c r="R424" s="221">
        <v>4</v>
      </c>
      <c r="S424" s="221">
        <v>0</v>
      </c>
      <c r="T424" s="53"/>
      <c r="V424" s="49" t="str">
        <f t="shared" si="60"/>
        <v>0</v>
      </c>
      <c r="W424" s="49" t="str">
        <f t="shared" si="61"/>
        <v>0</v>
      </c>
      <c r="X424" s="49" t="str">
        <f t="shared" si="62"/>
        <v>0</v>
      </c>
      <c r="Y424" s="49">
        <f t="shared" si="63"/>
        <v>1</v>
      </c>
      <c r="Z424" s="49">
        <f t="shared" si="63"/>
        <v>0</v>
      </c>
      <c r="AA424" s="49">
        <f t="shared" si="64"/>
        <v>1</v>
      </c>
      <c r="AB424" s="49" t="str">
        <f t="shared" si="67"/>
        <v>100</v>
      </c>
      <c r="AC424" s="49">
        <f t="shared" si="65"/>
        <v>0</v>
      </c>
      <c r="AD424" s="49">
        <v>0</v>
      </c>
      <c r="AE424" s="49" t="str">
        <f t="shared" si="66"/>
        <v>32500</v>
      </c>
    </row>
    <row r="425" spans="1:31" s="118" customFormat="1" x14ac:dyDescent="0.15">
      <c r="A425" s="115" t="str">
        <f t="shared" si="59"/>
        <v>0</v>
      </c>
      <c r="B425" s="116">
        <v>423</v>
      </c>
      <c r="C425" s="212" t="s">
        <v>2170</v>
      </c>
      <c r="D425" s="218" t="s">
        <v>2171</v>
      </c>
      <c r="E425" s="219" t="s">
        <v>2172</v>
      </c>
      <c r="F425" s="222" t="s">
        <v>2173</v>
      </c>
      <c r="G425" s="220">
        <v>1</v>
      </c>
      <c r="H425" s="221">
        <v>1</v>
      </c>
      <c r="I425" s="212">
        <v>0</v>
      </c>
      <c r="J425" s="221">
        <v>0</v>
      </c>
      <c r="K425" s="221">
        <v>0</v>
      </c>
      <c r="L425" s="221" t="s">
        <v>859</v>
      </c>
      <c r="M425" s="221">
        <v>1</v>
      </c>
      <c r="N425" s="221" t="s">
        <v>1910</v>
      </c>
      <c r="O425" s="221">
        <v>0</v>
      </c>
      <c r="P425" s="212">
        <v>0</v>
      </c>
      <c r="Q425" s="221">
        <v>1</v>
      </c>
      <c r="R425" s="221">
        <v>1</v>
      </c>
      <c r="S425" s="221">
        <v>0</v>
      </c>
      <c r="T425" s="117"/>
      <c r="V425" s="118" t="str">
        <f t="shared" si="60"/>
        <v>0</v>
      </c>
      <c r="W425" s="118" t="str">
        <f t="shared" si="61"/>
        <v>0</v>
      </c>
      <c r="X425" s="118" t="str">
        <f t="shared" si="62"/>
        <v>0</v>
      </c>
      <c r="Y425" s="118">
        <f t="shared" si="63"/>
        <v>0</v>
      </c>
      <c r="Z425" s="118">
        <f t="shared" si="63"/>
        <v>0</v>
      </c>
      <c r="AA425" s="118">
        <f t="shared" si="64"/>
        <v>1</v>
      </c>
      <c r="AB425" s="118" t="str">
        <f t="shared" si="67"/>
        <v>1</v>
      </c>
      <c r="AC425" s="118">
        <f t="shared" si="65"/>
        <v>0</v>
      </c>
      <c r="AD425" s="118">
        <v>0</v>
      </c>
      <c r="AE425" s="118" t="str">
        <f t="shared" si="66"/>
        <v>C00</v>
      </c>
    </row>
    <row r="426" spans="1:31" x14ac:dyDescent="0.15">
      <c r="A426" s="42" t="str">
        <f t="shared" si="59"/>
        <v>0</v>
      </c>
      <c r="B426" s="43">
        <v>424</v>
      </c>
      <c r="C426" s="212" t="s">
        <v>700</v>
      </c>
      <c r="D426" s="218" t="s">
        <v>2174</v>
      </c>
      <c r="E426" s="219" t="s">
        <v>2175</v>
      </c>
      <c r="F426" s="222" t="s">
        <v>2176</v>
      </c>
      <c r="G426" s="220">
        <v>10000</v>
      </c>
      <c r="H426" s="221">
        <v>65535</v>
      </c>
      <c r="I426" s="212">
        <v>0</v>
      </c>
      <c r="J426" s="221">
        <v>0</v>
      </c>
      <c r="K426" s="221">
        <v>0</v>
      </c>
      <c r="L426" s="221" t="s">
        <v>859</v>
      </c>
      <c r="M426" s="221">
        <v>0.01</v>
      </c>
      <c r="N426" s="221" t="s">
        <v>1905</v>
      </c>
      <c r="O426" s="221">
        <v>0</v>
      </c>
      <c r="P426" s="212">
        <v>0</v>
      </c>
      <c r="Q426" s="221">
        <v>1</v>
      </c>
      <c r="R426" s="221">
        <v>5</v>
      </c>
      <c r="S426" s="221">
        <v>0</v>
      </c>
      <c r="T426" s="53"/>
      <c r="V426" s="49" t="str">
        <f t="shared" si="60"/>
        <v>0</v>
      </c>
      <c r="W426" s="49" t="str">
        <f t="shared" si="61"/>
        <v>10</v>
      </c>
      <c r="X426" s="49" t="str">
        <f t="shared" si="62"/>
        <v>0</v>
      </c>
      <c r="Y426" s="49">
        <f t="shared" si="63"/>
        <v>0</v>
      </c>
      <c r="Z426" s="49">
        <f t="shared" si="63"/>
        <v>0</v>
      </c>
      <c r="AA426" s="49">
        <f t="shared" si="64"/>
        <v>1</v>
      </c>
      <c r="AB426" s="49" t="str">
        <f t="shared" si="67"/>
        <v>101</v>
      </c>
      <c r="AC426" s="49">
        <f t="shared" si="65"/>
        <v>0</v>
      </c>
      <c r="AD426" s="49">
        <v>0</v>
      </c>
      <c r="AE426" s="49" t="str">
        <f t="shared" si="66"/>
        <v>32C28</v>
      </c>
    </row>
    <row r="427" spans="1:31" x14ac:dyDescent="0.15">
      <c r="A427" s="42" t="str">
        <f t="shared" si="59"/>
        <v>0</v>
      </c>
      <c r="B427" s="43">
        <v>425</v>
      </c>
      <c r="C427" s="212" t="s">
        <v>2177</v>
      </c>
      <c r="D427" s="218" t="s">
        <v>1911</v>
      </c>
      <c r="E427" s="219" t="s">
        <v>1912</v>
      </c>
      <c r="F427" s="222" t="s">
        <v>856</v>
      </c>
      <c r="G427" s="220">
        <v>50</v>
      </c>
      <c r="H427" s="221">
        <v>65535</v>
      </c>
      <c r="I427" s="212">
        <v>0</v>
      </c>
      <c r="J427" s="221">
        <v>0</v>
      </c>
      <c r="K427" s="221">
        <v>0</v>
      </c>
      <c r="L427" s="221" t="s">
        <v>859</v>
      </c>
      <c r="M427" s="221">
        <v>0.1</v>
      </c>
      <c r="N427" s="221" t="s">
        <v>1910</v>
      </c>
      <c r="O427" s="221">
        <v>0</v>
      </c>
      <c r="P427" s="212">
        <v>0</v>
      </c>
      <c r="Q427" s="221">
        <v>1</v>
      </c>
      <c r="R427" s="221">
        <v>5</v>
      </c>
      <c r="S427" s="221">
        <v>0</v>
      </c>
      <c r="T427" s="53"/>
      <c r="V427" s="49" t="str">
        <f t="shared" si="60"/>
        <v>0</v>
      </c>
      <c r="W427" s="49" t="str">
        <f t="shared" si="61"/>
        <v>1</v>
      </c>
      <c r="X427" s="49" t="str">
        <f t="shared" si="62"/>
        <v>0</v>
      </c>
      <c r="Y427" s="49">
        <f t="shared" si="63"/>
        <v>0</v>
      </c>
      <c r="Z427" s="49">
        <f t="shared" si="63"/>
        <v>0</v>
      </c>
      <c r="AA427" s="49">
        <f t="shared" si="64"/>
        <v>1</v>
      </c>
      <c r="AB427" s="49" t="str">
        <f t="shared" si="67"/>
        <v>101</v>
      </c>
      <c r="AC427" s="49">
        <f t="shared" si="65"/>
        <v>0</v>
      </c>
      <c r="AD427" s="49">
        <v>0</v>
      </c>
      <c r="AE427" s="49" t="str">
        <f t="shared" si="66"/>
        <v>32C04</v>
      </c>
    </row>
    <row r="428" spans="1:31" x14ac:dyDescent="0.15">
      <c r="A428" s="42" t="str">
        <f t="shared" si="59"/>
        <v>0</v>
      </c>
      <c r="B428" s="43">
        <v>426</v>
      </c>
      <c r="C428" s="212" t="s">
        <v>701</v>
      </c>
      <c r="D428" s="218" t="s">
        <v>1913</v>
      </c>
      <c r="E428" s="219" t="s">
        <v>1914</v>
      </c>
      <c r="F428" s="222" t="s">
        <v>856</v>
      </c>
      <c r="G428" s="220">
        <v>30</v>
      </c>
      <c r="H428" s="221">
        <v>65535</v>
      </c>
      <c r="I428" s="212">
        <v>0</v>
      </c>
      <c r="J428" s="221">
        <v>0</v>
      </c>
      <c r="K428" s="221">
        <v>0</v>
      </c>
      <c r="L428" s="221" t="s">
        <v>859</v>
      </c>
      <c r="M428" s="221">
        <v>0.1</v>
      </c>
      <c r="N428" s="221" t="s">
        <v>1910</v>
      </c>
      <c r="O428" s="221">
        <v>0</v>
      </c>
      <c r="P428" s="212">
        <v>0</v>
      </c>
      <c r="Q428" s="221">
        <v>1</v>
      </c>
      <c r="R428" s="221">
        <v>5</v>
      </c>
      <c r="S428" s="221">
        <v>0</v>
      </c>
      <c r="T428" s="53"/>
      <c r="V428" s="49" t="str">
        <f t="shared" si="60"/>
        <v>0</v>
      </c>
      <c r="W428" s="49" t="str">
        <f t="shared" si="61"/>
        <v>1</v>
      </c>
      <c r="X428" s="49" t="str">
        <f t="shared" si="62"/>
        <v>0</v>
      </c>
      <c r="Y428" s="49">
        <f t="shared" si="63"/>
        <v>0</v>
      </c>
      <c r="Z428" s="49">
        <f t="shared" si="63"/>
        <v>0</v>
      </c>
      <c r="AA428" s="49">
        <f t="shared" si="64"/>
        <v>1</v>
      </c>
      <c r="AB428" s="49" t="str">
        <f t="shared" si="67"/>
        <v>101</v>
      </c>
      <c r="AC428" s="49">
        <f t="shared" si="65"/>
        <v>0</v>
      </c>
      <c r="AD428" s="49">
        <v>0</v>
      </c>
      <c r="AE428" s="49" t="str">
        <f t="shared" si="66"/>
        <v>32C04</v>
      </c>
    </row>
    <row r="429" spans="1:31" s="118" customFormat="1" x14ac:dyDescent="0.15">
      <c r="A429" s="115" t="str">
        <f t="shared" si="59"/>
        <v>0</v>
      </c>
      <c r="B429" s="116">
        <v>427</v>
      </c>
      <c r="C429" s="212" t="s">
        <v>2178</v>
      </c>
      <c r="D429" s="218" t="s">
        <v>2179</v>
      </c>
      <c r="E429" s="219" t="s">
        <v>2180</v>
      </c>
      <c r="F429" s="222" t="s">
        <v>854</v>
      </c>
      <c r="G429" s="220">
        <v>0</v>
      </c>
      <c r="H429" s="221">
        <v>60000</v>
      </c>
      <c r="I429" s="212">
        <v>0</v>
      </c>
      <c r="J429" s="221" t="s">
        <v>2181</v>
      </c>
      <c r="K429" s="221" t="s">
        <v>2182</v>
      </c>
      <c r="L429" s="221" t="s">
        <v>859</v>
      </c>
      <c r="M429" s="221">
        <v>0.01</v>
      </c>
      <c r="N429" s="221" t="s">
        <v>1905</v>
      </c>
      <c r="O429" s="221">
        <v>0</v>
      </c>
      <c r="P429" s="212">
        <v>0</v>
      </c>
      <c r="Q429" s="221">
        <v>1</v>
      </c>
      <c r="R429" s="221">
        <v>5</v>
      </c>
      <c r="S429" s="221">
        <v>0</v>
      </c>
      <c r="T429" s="117"/>
      <c r="V429" s="118" t="str">
        <f t="shared" si="60"/>
        <v>0</v>
      </c>
      <c r="W429" s="118" t="str">
        <f t="shared" si="61"/>
        <v>10</v>
      </c>
      <c r="X429" s="118" t="str">
        <f t="shared" si="62"/>
        <v>0</v>
      </c>
      <c r="Y429" s="118">
        <f t="shared" si="63"/>
        <v>0</v>
      </c>
      <c r="Z429" s="118">
        <f t="shared" si="63"/>
        <v>0</v>
      </c>
      <c r="AA429" s="118">
        <f t="shared" si="64"/>
        <v>1</v>
      </c>
      <c r="AB429" s="118" t="str">
        <f t="shared" si="67"/>
        <v>101</v>
      </c>
      <c r="AC429" s="118">
        <f t="shared" si="65"/>
        <v>0</v>
      </c>
      <c r="AD429" s="118">
        <v>0</v>
      </c>
      <c r="AE429" s="118" t="str">
        <f t="shared" si="66"/>
        <v>32C28</v>
      </c>
    </row>
    <row r="430" spans="1:31" s="118" customFormat="1" x14ac:dyDescent="0.15">
      <c r="A430" s="115" t="str">
        <f t="shared" si="59"/>
        <v>0</v>
      </c>
      <c r="B430" s="116">
        <v>428</v>
      </c>
      <c r="C430" s="212" t="s">
        <v>702</v>
      </c>
      <c r="D430" s="218" t="s">
        <v>2183</v>
      </c>
      <c r="E430" s="219" t="s">
        <v>2184</v>
      </c>
      <c r="F430" s="222" t="s">
        <v>854</v>
      </c>
      <c r="G430" s="220">
        <v>0</v>
      </c>
      <c r="H430" s="221">
        <v>60000</v>
      </c>
      <c r="I430" s="212">
        <v>0</v>
      </c>
      <c r="J430" s="221" t="s">
        <v>435</v>
      </c>
      <c r="K430" s="221" t="s">
        <v>436</v>
      </c>
      <c r="L430" s="221" t="s">
        <v>859</v>
      </c>
      <c r="M430" s="221">
        <v>0.01</v>
      </c>
      <c r="N430" s="221" t="s">
        <v>1905</v>
      </c>
      <c r="O430" s="221">
        <v>0</v>
      </c>
      <c r="P430" s="212">
        <v>0</v>
      </c>
      <c r="Q430" s="221">
        <v>1</v>
      </c>
      <c r="R430" s="221">
        <v>5</v>
      </c>
      <c r="S430" s="221">
        <v>0</v>
      </c>
      <c r="T430" s="117"/>
      <c r="V430" s="118" t="str">
        <f t="shared" si="60"/>
        <v>0</v>
      </c>
      <c r="W430" s="118" t="str">
        <f t="shared" si="61"/>
        <v>10</v>
      </c>
      <c r="X430" s="118" t="str">
        <f t="shared" si="62"/>
        <v>0</v>
      </c>
      <c r="Y430" s="118">
        <f t="shared" si="63"/>
        <v>0</v>
      </c>
      <c r="Z430" s="118">
        <f t="shared" si="63"/>
        <v>0</v>
      </c>
      <c r="AA430" s="118">
        <f t="shared" si="64"/>
        <v>1</v>
      </c>
      <c r="AB430" s="118" t="str">
        <f t="shared" si="67"/>
        <v>101</v>
      </c>
      <c r="AC430" s="118">
        <f t="shared" si="65"/>
        <v>0</v>
      </c>
      <c r="AD430" s="118">
        <v>0</v>
      </c>
      <c r="AE430" s="118" t="str">
        <f t="shared" si="66"/>
        <v>32C28</v>
      </c>
    </row>
    <row r="431" spans="1:31" s="118" customFormat="1" x14ac:dyDescent="0.15">
      <c r="A431" s="115" t="str">
        <f t="shared" si="59"/>
        <v>0</v>
      </c>
      <c r="B431" s="116">
        <v>429</v>
      </c>
      <c r="C431" s="212" t="s">
        <v>2185</v>
      </c>
      <c r="D431" s="218" t="s">
        <v>2186</v>
      </c>
      <c r="E431" s="219" t="s">
        <v>2187</v>
      </c>
      <c r="F431" s="222" t="s">
        <v>34</v>
      </c>
      <c r="G431" s="220">
        <v>50</v>
      </c>
      <c r="H431" s="221">
        <v>12000</v>
      </c>
      <c r="I431" s="212">
        <v>0</v>
      </c>
      <c r="J431" s="221">
        <v>0</v>
      </c>
      <c r="K431" s="221">
        <v>0</v>
      </c>
      <c r="L431" s="221" t="s">
        <v>859</v>
      </c>
      <c r="M431" s="221">
        <v>0.01</v>
      </c>
      <c r="N431" s="221" t="s">
        <v>2188</v>
      </c>
      <c r="O431" s="221">
        <v>0</v>
      </c>
      <c r="P431" s="212">
        <v>0</v>
      </c>
      <c r="Q431" s="221">
        <v>1</v>
      </c>
      <c r="R431" s="221">
        <v>5</v>
      </c>
      <c r="S431" s="221">
        <v>0</v>
      </c>
      <c r="T431" s="117"/>
      <c r="V431" s="118" t="str">
        <f t="shared" si="60"/>
        <v>0</v>
      </c>
      <c r="W431" s="118" t="str">
        <f t="shared" si="61"/>
        <v>10</v>
      </c>
      <c r="X431" s="118" t="str">
        <f t="shared" si="62"/>
        <v>0</v>
      </c>
      <c r="Y431" s="118">
        <f t="shared" si="63"/>
        <v>0</v>
      </c>
      <c r="Z431" s="118">
        <f t="shared" si="63"/>
        <v>0</v>
      </c>
      <c r="AA431" s="118">
        <f t="shared" si="64"/>
        <v>1</v>
      </c>
      <c r="AB431" s="118" t="str">
        <f t="shared" si="67"/>
        <v>101</v>
      </c>
      <c r="AC431" s="118">
        <f t="shared" si="65"/>
        <v>0</v>
      </c>
      <c r="AD431" s="118">
        <v>0</v>
      </c>
      <c r="AE431" s="118" t="str">
        <f t="shared" si="66"/>
        <v>32C28</v>
      </c>
    </row>
    <row r="432" spans="1:31" s="118" customFormat="1" x14ac:dyDescent="0.15">
      <c r="A432" s="115" t="str">
        <f t="shared" si="59"/>
        <v>0</v>
      </c>
      <c r="B432" s="116">
        <v>430</v>
      </c>
      <c r="C432" s="212" t="s">
        <v>703</v>
      </c>
      <c r="D432" s="218" t="s">
        <v>2189</v>
      </c>
      <c r="E432" s="219" t="s">
        <v>2190</v>
      </c>
      <c r="F432" s="222" t="s">
        <v>856</v>
      </c>
      <c r="G432" s="220">
        <v>1</v>
      </c>
      <c r="H432" s="221">
        <v>65535</v>
      </c>
      <c r="I432" s="212">
        <v>0</v>
      </c>
      <c r="J432" s="221">
        <v>0</v>
      </c>
      <c r="K432" s="221">
        <v>0</v>
      </c>
      <c r="L432" s="221" t="s">
        <v>859</v>
      </c>
      <c r="M432" s="221">
        <v>1</v>
      </c>
      <c r="N432" s="221" t="s">
        <v>1910</v>
      </c>
      <c r="O432" s="221">
        <v>0</v>
      </c>
      <c r="P432" s="212">
        <v>0</v>
      </c>
      <c r="Q432" s="221">
        <v>1</v>
      </c>
      <c r="R432" s="221">
        <v>5</v>
      </c>
      <c r="S432" s="221">
        <v>0</v>
      </c>
      <c r="T432" s="117"/>
      <c r="V432" s="118" t="str">
        <f t="shared" si="60"/>
        <v>0</v>
      </c>
      <c r="W432" s="118" t="str">
        <f t="shared" si="61"/>
        <v>0</v>
      </c>
      <c r="X432" s="118" t="str">
        <f t="shared" si="62"/>
        <v>0</v>
      </c>
      <c r="Y432" s="118">
        <f t="shared" si="63"/>
        <v>0</v>
      </c>
      <c r="Z432" s="118">
        <f t="shared" si="63"/>
        <v>0</v>
      </c>
      <c r="AA432" s="118">
        <f t="shared" si="64"/>
        <v>1</v>
      </c>
      <c r="AB432" s="118" t="str">
        <f t="shared" si="67"/>
        <v>101</v>
      </c>
      <c r="AC432" s="118">
        <f t="shared" si="65"/>
        <v>0</v>
      </c>
      <c r="AD432" s="118">
        <v>0</v>
      </c>
      <c r="AE432" s="118" t="str">
        <f t="shared" si="66"/>
        <v>32C00</v>
      </c>
    </row>
    <row r="433" spans="1:31" s="118" customFormat="1" x14ac:dyDescent="0.15">
      <c r="A433" s="115" t="str">
        <f t="shared" si="59"/>
        <v>0</v>
      </c>
      <c r="B433" s="116">
        <v>431</v>
      </c>
      <c r="C433" s="212" t="s">
        <v>2191</v>
      </c>
      <c r="D433" s="218" t="s">
        <v>2192</v>
      </c>
      <c r="E433" s="219" t="s">
        <v>66</v>
      </c>
      <c r="F433" s="222" t="s">
        <v>854</v>
      </c>
      <c r="G433" s="220">
        <v>10000</v>
      </c>
      <c r="H433" s="221">
        <v>60000</v>
      </c>
      <c r="I433" s="221">
        <v>0</v>
      </c>
      <c r="J433" s="221" t="s">
        <v>435</v>
      </c>
      <c r="K433" s="221" t="s">
        <v>436</v>
      </c>
      <c r="L433" s="221" t="s">
        <v>859</v>
      </c>
      <c r="M433" s="221">
        <v>0.01</v>
      </c>
      <c r="N433" s="221" t="s">
        <v>1905</v>
      </c>
      <c r="O433" s="221">
        <v>0</v>
      </c>
      <c r="P433" s="221">
        <v>0</v>
      </c>
      <c r="Q433" s="221">
        <v>1</v>
      </c>
      <c r="R433" s="221">
        <v>5</v>
      </c>
      <c r="S433" s="221">
        <v>0</v>
      </c>
      <c r="T433" s="117"/>
      <c r="V433" s="118" t="str">
        <f t="shared" si="60"/>
        <v>0</v>
      </c>
      <c r="W433" s="118" t="str">
        <f t="shared" si="61"/>
        <v>10</v>
      </c>
      <c r="X433" s="118" t="str">
        <f t="shared" si="62"/>
        <v>0</v>
      </c>
      <c r="Y433" s="118">
        <f t="shared" si="63"/>
        <v>0</v>
      </c>
      <c r="Z433" s="118">
        <f t="shared" si="63"/>
        <v>0</v>
      </c>
      <c r="AA433" s="118">
        <f t="shared" si="64"/>
        <v>1</v>
      </c>
      <c r="AB433" s="118" t="str">
        <f t="shared" si="67"/>
        <v>101</v>
      </c>
      <c r="AC433" s="118">
        <f t="shared" si="65"/>
        <v>0</v>
      </c>
      <c r="AD433" s="118">
        <v>0</v>
      </c>
      <c r="AE433" s="118" t="str">
        <f t="shared" si="66"/>
        <v>32C28</v>
      </c>
    </row>
    <row r="434" spans="1:31" s="118" customFormat="1" x14ac:dyDescent="0.15">
      <c r="A434" s="115" t="str">
        <f t="shared" si="59"/>
        <v>0</v>
      </c>
      <c r="B434" s="116">
        <v>432</v>
      </c>
      <c r="C434" s="212" t="s">
        <v>704</v>
      </c>
      <c r="D434" s="218" t="s">
        <v>2193</v>
      </c>
      <c r="E434" s="219" t="s">
        <v>67</v>
      </c>
      <c r="F434" s="222" t="s">
        <v>854</v>
      </c>
      <c r="G434" s="220">
        <v>9000</v>
      </c>
      <c r="H434" s="221">
        <v>60000</v>
      </c>
      <c r="I434" s="221">
        <v>0</v>
      </c>
      <c r="J434" s="221" t="s">
        <v>435</v>
      </c>
      <c r="K434" s="221" t="s">
        <v>436</v>
      </c>
      <c r="L434" s="221" t="s">
        <v>859</v>
      </c>
      <c r="M434" s="221">
        <v>0.01</v>
      </c>
      <c r="N434" s="221" t="s">
        <v>1905</v>
      </c>
      <c r="O434" s="221">
        <v>0</v>
      </c>
      <c r="P434" s="221">
        <v>0</v>
      </c>
      <c r="Q434" s="221">
        <v>1</v>
      </c>
      <c r="R434" s="221">
        <v>5</v>
      </c>
      <c r="S434" s="221">
        <v>0</v>
      </c>
      <c r="T434" s="117"/>
      <c r="V434" s="118" t="str">
        <f t="shared" si="60"/>
        <v>0</v>
      </c>
      <c r="W434" s="118" t="str">
        <f t="shared" si="61"/>
        <v>10</v>
      </c>
      <c r="X434" s="118" t="str">
        <f t="shared" si="62"/>
        <v>0</v>
      </c>
      <c r="Y434" s="118">
        <f t="shared" si="63"/>
        <v>0</v>
      </c>
      <c r="Z434" s="118">
        <f t="shared" si="63"/>
        <v>0</v>
      </c>
      <c r="AA434" s="118">
        <f t="shared" si="64"/>
        <v>1</v>
      </c>
      <c r="AB434" s="118" t="str">
        <f t="shared" si="67"/>
        <v>101</v>
      </c>
      <c r="AC434" s="118">
        <f t="shared" si="65"/>
        <v>0</v>
      </c>
      <c r="AD434" s="118">
        <v>0</v>
      </c>
      <c r="AE434" s="118" t="str">
        <f t="shared" si="66"/>
        <v>32C28</v>
      </c>
    </row>
    <row r="435" spans="1:31" ht="14.45" customHeight="1" x14ac:dyDescent="0.15">
      <c r="A435" s="42" t="str">
        <f t="shared" si="59"/>
        <v>0</v>
      </c>
      <c r="B435" s="43">
        <v>433</v>
      </c>
      <c r="C435" s="212" t="s">
        <v>2194</v>
      </c>
      <c r="D435" s="218" t="s">
        <v>2195</v>
      </c>
      <c r="E435" s="219" t="s">
        <v>68</v>
      </c>
      <c r="F435" s="222" t="s">
        <v>856</v>
      </c>
      <c r="G435" s="224">
        <v>60</v>
      </c>
      <c r="H435" s="221">
        <v>160</v>
      </c>
      <c r="I435" s="212">
        <v>7</v>
      </c>
      <c r="J435" s="221">
        <v>0</v>
      </c>
      <c r="K435" s="221">
        <v>0</v>
      </c>
      <c r="L435" s="221" t="s">
        <v>859</v>
      </c>
      <c r="M435" s="221">
        <v>0.1</v>
      </c>
      <c r="N435" s="221" t="s">
        <v>2196</v>
      </c>
      <c r="O435" s="221">
        <v>0</v>
      </c>
      <c r="P435" s="221">
        <v>1</v>
      </c>
      <c r="Q435" s="221">
        <v>1</v>
      </c>
      <c r="R435" s="221">
        <v>3</v>
      </c>
      <c r="S435" s="221">
        <v>0</v>
      </c>
      <c r="T435" s="53"/>
      <c r="V435" s="49" t="str">
        <f t="shared" si="60"/>
        <v>0</v>
      </c>
      <c r="W435" s="49" t="str">
        <f t="shared" si="61"/>
        <v>1</v>
      </c>
      <c r="X435" s="49" t="str">
        <f t="shared" si="62"/>
        <v>0</v>
      </c>
      <c r="Y435" s="49">
        <f t="shared" si="63"/>
        <v>0</v>
      </c>
      <c r="Z435" s="49">
        <f t="shared" si="63"/>
        <v>1</v>
      </c>
      <c r="AA435" s="49">
        <f t="shared" si="64"/>
        <v>1</v>
      </c>
      <c r="AB435" s="49" t="str">
        <f t="shared" si="67"/>
        <v>11</v>
      </c>
      <c r="AC435" s="49">
        <f t="shared" si="65"/>
        <v>0</v>
      </c>
      <c r="AD435" s="49">
        <v>0</v>
      </c>
      <c r="AE435" s="49" t="str">
        <f t="shared" si="66"/>
        <v>5E04</v>
      </c>
    </row>
    <row r="436" spans="1:31" x14ac:dyDescent="0.15">
      <c r="A436" s="42" t="str">
        <f t="shared" si="59"/>
        <v>0</v>
      </c>
      <c r="B436" s="43">
        <v>434</v>
      </c>
      <c r="C436" s="212" t="s">
        <v>705</v>
      </c>
      <c r="D436" s="218" t="s">
        <v>2197</v>
      </c>
      <c r="E436" s="219" t="s">
        <v>2198</v>
      </c>
      <c r="F436" s="222" t="s">
        <v>856</v>
      </c>
      <c r="G436" s="224">
        <v>100</v>
      </c>
      <c r="H436" s="221">
        <v>160</v>
      </c>
      <c r="I436" s="212">
        <v>7</v>
      </c>
      <c r="J436" s="221">
        <v>0</v>
      </c>
      <c r="K436" s="221">
        <v>0</v>
      </c>
      <c r="L436" s="221" t="s">
        <v>859</v>
      </c>
      <c r="M436" s="221">
        <v>0.1</v>
      </c>
      <c r="N436" s="221" t="s">
        <v>2196</v>
      </c>
      <c r="O436" s="221">
        <v>0</v>
      </c>
      <c r="P436" s="221">
        <v>1</v>
      </c>
      <c r="Q436" s="221">
        <v>1</v>
      </c>
      <c r="R436" s="221">
        <v>3</v>
      </c>
      <c r="S436" s="221">
        <v>0</v>
      </c>
      <c r="T436" s="53"/>
      <c r="V436" s="49" t="str">
        <f t="shared" si="60"/>
        <v>0</v>
      </c>
      <c r="W436" s="49" t="str">
        <f t="shared" si="61"/>
        <v>1</v>
      </c>
      <c r="X436" s="49" t="str">
        <f t="shared" si="62"/>
        <v>0</v>
      </c>
      <c r="Y436" s="49">
        <f t="shared" si="63"/>
        <v>0</v>
      </c>
      <c r="Z436" s="49">
        <f t="shared" si="63"/>
        <v>1</v>
      </c>
      <c r="AA436" s="49">
        <f t="shared" si="64"/>
        <v>1</v>
      </c>
      <c r="AB436" s="49" t="str">
        <f t="shared" si="67"/>
        <v>11</v>
      </c>
      <c r="AC436" s="49">
        <f t="shared" si="65"/>
        <v>0</v>
      </c>
      <c r="AD436" s="49">
        <v>0</v>
      </c>
      <c r="AE436" s="49" t="str">
        <f t="shared" si="66"/>
        <v>5E04</v>
      </c>
    </row>
    <row r="437" spans="1:31" x14ac:dyDescent="0.15">
      <c r="A437" s="42" t="str">
        <f t="shared" si="59"/>
        <v>0</v>
      </c>
      <c r="B437" s="43">
        <v>435</v>
      </c>
      <c r="C437" s="212" t="s">
        <v>2199</v>
      </c>
      <c r="D437" s="218" t="s">
        <v>2200</v>
      </c>
      <c r="E437" s="219" t="s">
        <v>69</v>
      </c>
      <c r="F437" s="222" t="s">
        <v>856</v>
      </c>
      <c r="G437" s="220">
        <v>10</v>
      </c>
      <c r="H437" s="221">
        <v>65535</v>
      </c>
      <c r="I437" s="212">
        <v>0</v>
      </c>
      <c r="J437" s="221">
        <v>0</v>
      </c>
      <c r="K437" s="221">
        <v>0</v>
      </c>
      <c r="L437" s="221" t="s">
        <v>859</v>
      </c>
      <c r="M437" s="221">
        <v>1</v>
      </c>
      <c r="N437" s="221" t="s">
        <v>1910</v>
      </c>
      <c r="O437" s="221">
        <v>0</v>
      </c>
      <c r="P437" s="212">
        <v>0</v>
      </c>
      <c r="Q437" s="221">
        <v>1</v>
      </c>
      <c r="R437" s="221">
        <v>5</v>
      </c>
      <c r="S437" s="221">
        <v>0</v>
      </c>
      <c r="T437" s="53"/>
      <c r="V437" s="49" t="str">
        <f t="shared" si="60"/>
        <v>0</v>
      </c>
      <c r="W437" s="49" t="str">
        <f t="shared" si="61"/>
        <v>0</v>
      </c>
      <c r="X437" s="49" t="str">
        <f t="shared" si="62"/>
        <v>0</v>
      </c>
      <c r="Y437" s="49">
        <f t="shared" si="63"/>
        <v>0</v>
      </c>
      <c r="Z437" s="49">
        <f t="shared" si="63"/>
        <v>0</v>
      </c>
      <c r="AA437" s="49">
        <f t="shared" si="64"/>
        <v>1</v>
      </c>
      <c r="AB437" s="49" t="str">
        <f t="shared" si="67"/>
        <v>101</v>
      </c>
      <c r="AC437" s="49">
        <f t="shared" si="65"/>
        <v>0</v>
      </c>
      <c r="AD437" s="49">
        <v>0</v>
      </c>
      <c r="AE437" s="49" t="str">
        <f t="shared" si="66"/>
        <v>32C00</v>
      </c>
    </row>
    <row r="438" spans="1:31" x14ac:dyDescent="0.15">
      <c r="A438" s="42" t="str">
        <f t="shared" si="59"/>
        <v>0</v>
      </c>
      <c r="B438" s="43">
        <v>436</v>
      </c>
      <c r="C438" s="212" t="s">
        <v>706</v>
      </c>
      <c r="D438" s="218" t="s">
        <v>2201</v>
      </c>
      <c r="E438" s="219" t="s">
        <v>70</v>
      </c>
      <c r="F438" s="222" t="s">
        <v>856</v>
      </c>
      <c r="G438" s="220">
        <v>3</v>
      </c>
      <c r="H438" s="221">
        <v>65535</v>
      </c>
      <c r="I438" s="212">
        <v>0</v>
      </c>
      <c r="J438" s="221">
        <v>0</v>
      </c>
      <c r="K438" s="221">
        <v>0</v>
      </c>
      <c r="L438" s="221" t="s">
        <v>859</v>
      </c>
      <c r="M438" s="221">
        <v>1</v>
      </c>
      <c r="N438" s="221" t="s">
        <v>1910</v>
      </c>
      <c r="O438" s="221">
        <v>0</v>
      </c>
      <c r="P438" s="212">
        <v>0</v>
      </c>
      <c r="Q438" s="221">
        <v>1</v>
      </c>
      <c r="R438" s="221">
        <v>5</v>
      </c>
      <c r="S438" s="221">
        <v>0</v>
      </c>
      <c r="T438" s="53"/>
      <c r="V438" s="49" t="str">
        <f t="shared" si="60"/>
        <v>0</v>
      </c>
      <c r="W438" s="49" t="str">
        <f t="shared" si="61"/>
        <v>0</v>
      </c>
      <c r="X438" s="49" t="str">
        <f t="shared" si="62"/>
        <v>0</v>
      </c>
      <c r="Y438" s="49">
        <f t="shared" si="63"/>
        <v>0</v>
      </c>
      <c r="Z438" s="49">
        <f t="shared" si="63"/>
        <v>0</v>
      </c>
      <c r="AA438" s="49">
        <f t="shared" si="64"/>
        <v>1</v>
      </c>
      <c r="AB438" s="49" t="str">
        <f t="shared" si="67"/>
        <v>101</v>
      </c>
      <c r="AC438" s="49">
        <f t="shared" si="65"/>
        <v>0</v>
      </c>
      <c r="AD438" s="49">
        <v>0</v>
      </c>
      <c r="AE438" s="49" t="str">
        <f t="shared" si="66"/>
        <v>32C00</v>
      </c>
    </row>
    <row r="439" spans="1:31" x14ac:dyDescent="0.15">
      <c r="A439" s="42" t="str">
        <f t="shared" si="59"/>
        <v>0</v>
      </c>
      <c r="B439" s="43">
        <v>437</v>
      </c>
      <c r="C439" s="212" t="s">
        <v>2202</v>
      </c>
      <c r="D439" s="218" t="s">
        <v>1908</v>
      </c>
      <c r="E439" s="219" t="s">
        <v>1909</v>
      </c>
      <c r="F439" s="222" t="s">
        <v>856</v>
      </c>
      <c r="G439" s="220">
        <v>0</v>
      </c>
      <c r="H439" s="221">
        <v>65535</v>
      </c>
      <c r="I439" s="212">
        <v>0</v>
      </c>
      <c r="J439" s="221">
        <v>0</v>
      </c>
      <c r="K439" s="221">
        <v>0</v>
      </c>
      <c r="L439" s="221" t="s">
        <v>859</v>
      </c>
      <c r="M439" s="221">
        <v>1</v>
      </c>
      <c r="N439" s="221" t="s">
        <v>1910</v>
      </c>
      <c r="O439" s="221">
        <v>0</v>
      </c>
      <c r="P439" s="212">
        <v>0</v>
      </c>
      <c r="Q439" s="221">
        <v>1</v>
      </c>
      <c r="R439" s="221">
        <v>5</v>
      </c>
      <c r="S439" s="221">
        <v>0</v>
      </c>
      <c r="T439" s="53"/>
      <c r="V439" s="49" t="str">
        <f t="shared" si="60"/>
        <v>0</v>
      </c>
      <c r="W439" s="49" t="str">
        <f t="shared" si="61"/>
        <v>0</v>
      </c>
      <c r="X439" s="49" t="str">
        <f t="shared" si="62"/>
        <v>0</v>
      </c>
      <c r="Y439" s="49">
        <f t="shared" si="63"/>
        <v>0</v>
      </c>
      <c r="Z439" s="49">
        <f t="shared" si="63"/>
        <v>0</v>
      </c>
      <c r="AA439" s="49">
        <f t="shared" si="64"/>
        <v>1</v>
      </c>
      <c r="AB439" s="49" t="str">
        <f t="shared" si="67"/>
        <v>101</v>
      </c>
      <c r="AC439" s="49">
        <f t="shared" si="65"/>
        <v>0</v>
      </c>
      <c r="AD439" s="49">
        <v>0</v>
      </c>
      <c r="AE439" s="49" t="str">
        <f t="shared" si="66"/>
        <v>32C00</v>
      </c>
    </row>
    <row r="440" spans="1:31" ht="33.75" x14ac:dyDescent="0.15">
      <c r="A440" s="42" t="str">
        <f t="shared" si="59"/>
        <v>0</v>
      </c>
      <c r="B440" s="43">
        <v>438</v>
      </c>
      <c r="C440" s="212" t="s">
        <v>707</v>
      </c>
      <c r="D440" s="218" t="s">
        <v>2203</v>
      </c>
      <c r="E440" s="219" t="s">
        <v>2204</v>
      </c>
      <c r="F440" s="222" t="s">
        <v>2205</v>
      </c>
      <c r="G440" s="220">
        <v>1</v>
      </c>
      <c r="H440" s="221">
        <v>65535</v>
      </c>
      <c r="I440" s="212">
        <v>0</v>
      </c>
      <c r="J440" s="221">
        <v>0</v>
      </c>
      <c r="K440" s="221">
        <v>0</v>
      </c>
      <c r="L440" s="221" t="s">
        <v>859</v>
      </c>
      <c r="M440" s="221">
        <v>1</v>
      </c>
      <c r="N440" s="221" t="s">
        <v>1910</v>
      </c>
      <c r="O440" s="221">
        <v>0</v>
      </c>
      <c r="P440" s="212">
        <v>0</v>
      </c>
      <c r="Q440" s="221">
        <v>1</v>
      </c>
      <c r="R440" s="221">
        <v>5</v>
      </c>
      <c r="S440" s="221">
        <v>0</v>
      </c>
      <c r="T440" s="53"/>
      <c r="V440" s="49" t="str">
        <f t="shared" si="60"/>
        <v>0</v>
      </c>
      <c r="W440" s="49" t="str">
        <f t="shared" si="61"/>
        <v>0</v>
      </c>
      <c r="X440" s="49" t="str">
        <f t="shared" si="62"/>
        <v>0</v>
      </c>
      <c r="Y440" s="49">
        <f t="shared" si="63"/>
        <v>0</v>
      </c>
      <c r="Z440" s="49">
        <f t="shared" si="63"/>
        <v>0</v>
      </c>
      <c r="AA440" s="49">
        <f t="shared" si="64"/>
        <v>1</v>
      </c>
      <c r="AB440" s="49" t="str">
        <f t="shared" si="67"/>
        <v>101</v>
      </c>
      <c r="AC440" s="49">
        <f t="shared" si="65"/>
        <v>0</v>
      </c>
      <c r="AD440" s="49">
        <v>0</v>
      </c>
      <c r="AE440" s="49" t="str">
        <f t="shared" si="66"/>
        <v>32C00</v>
      </c>
    </row>
    <row r="441" spans="1:31" ht="23.25" customHeight="1" x14ac:dyDescent="0.15">
      <c r="A441" s="42" t="str">
        <f t="shared" si="59"/>
        <v>0</v>
      </c>
      <c r="B441" s="43">
        <v>439</v>
      </c>
      <c r="C441" s="212" t="s">
        <v>2206</v>
      </c>
      <c r="D441" s="226" t="s">
        <v>1915</v>
      </c>
      <c r="E441" s="227" t="s">
        <v>1916</v>
      </c>
      <c r="F441" s="230" t="s">
        <v>1917</v>
      </c>
      <c r="G441" s="228">
        <v>0</v>
      </c>
      <c r="H441" s="229">
        <v>1</v>
      </c>
      <c r="I441" s="225">
        <v>0</v>
      </c>
      <c r="J441" s="229">
        <v>0</v>
      </c>
      <c r="K441" s="229">
        <v>0</v>
      </c>
      <c r="L441" s="229" t="s">
        <v>859</v>
      </c>
      <c r="M441" s="229">
        <v>1</v>
      </c>
      <c r="N441" s="229" t="s">
        <v>1910</v>
      </c>
      <c r="O441" s="229">
        <v>0</v>
      </c>
      <c r="P441" s="225">
        <v>0</v>
      </c>
      <c r="Q441" s="229">
        <v>1</v>
      </c>
      <c r="R441" s="229">
        <v>1</v>
      </c>
      <c r="S441" s="229">
        <v>0</v>
      </c>
      <c r="T441" s="53"/>
      <c r="V441" s="49" t="str">
        <f t="shared" si="60"/>
        <v>0</v>
      </c>
      <c r="W441" s="49" t="str">
        <f t="shared" si="61"/>
        <v>0</v>
      </c>
      <c r="X441" s="49" t="str">
        <f t="shared" si="62"/>
        <v>0</v>
      </c>
      <c r="Y441" s="49">
        <f t="shared" si="63"/>
        <v>0</v>
      </c>
      <c r="Z441" s="49">
        <f t="shared" si="63"/>
        <v>0</v>
      </c>
      <c r="AA441" s="49">
        <f t="shared" si="64"/>
        <v>1</v>
      </c>
      <c r="AB441" s="49" t="str">
        <f t="shared" si="67"/>
        <v>1</v>
      </c>
      <c r="AC441" s="49">
        <f t="shared" si="65"/>
        <v>0</v>
      </c>
      <c r="AD441" s="49">
        <v>0</v>
      </c>
      <c r="AE441" s="49" t="str">
        <f t="shared" si="66"/>
        <v>C00</v>
      </c>
    </row>
    <row r="442" spans="1:31" ht="14.45" customHeight="1" x14ac:dyDescent="0.15">
      <c r="A442" s="42" t="str">
        <f t="shared" si="59"/>
        <v>0</v>
      </c>
      <c r="B442" s="43">
        <v>440</v>
      </c>
      <c r="C442" s="212" t="s">
        <v>708</v>
      </c>
      <c r="D442" s="238" t="s">
        <v>2607</v>
      </c>
      <c r="E442" s="234" t="s">
        <v>2608</v>
      </c>
      <c r="F442" s="237" t="s">
        <v>856</v>
      </c>
      <c r="G442" s="235">
        <v>0</v>
      </c>
      <c r="H442" s="236">
        <v>65535</v>
      </c>
      <c r="I442" s="233">
        <v>0</v>
      </c>
      <c r="J442" s="236">
        <v>0</v>
      </c>
      <c r="K442" s="236">
        <v>0</v>
      </c>
      <c r="L442" s="236" t="s">
        <v>859</v>
      </c>
      <c r="M442" s="236">
        <v>1</v>
      </c>
      <c r="N442" s="236" t="s">
        <v>1910</v>
      </c>
      <c r="O442" s="236">
        <v>0</v>
      </c>
      <c r="P442" s="233">
        <v>0</v>
      </c>
      <c r="Q442" s="236">
        <v>1</v>
      </c>
      <c r="R442" s="236">
        <v>2</v>
      </c>
      <c r="S442" s="236">
        <v>0</v>
      </c>
      <c r="T442" s="53"/>
      <c r="V442" s="49" t="str">
        <f t="shared" si="60"/>
        <v>0</v>
      </c>
      <c r="W442" s="49" t="str">
        <f t="shared" si="61"/>
        <v>0</v>
      </c>
      <c r="X442" s="49" t="str">
        <f t="shared" si="62"/>
        <v>0</v>
      </c>
      <c r="Y442" s="49">
        <f t="shared" si="63"/>
        <v>0</v>
      </c>
      <c r="Z442" s="49">
        <f t="shared" si="63"/>
        <v>0</v>
      </c>
      <c r="AA442" s="49">
        <f t="shared" si="64"/>
        <v>1</v>
      </c>
      <c r="AB442" s="49" t="str">
        <f t="shared" si="67"/>
        <v>10</v>
      </c>
      <c r="AC442" s="49">
        <f t="shared" si="65"/>
        <v>0</v>
      </c>
      <c r="AD442" s="49">
        <v>0</v>
      </c>
      <c r="AE442" s="49" t="str">
        <f t="shared" si="66"/>
        <v>5400</v>
      </c>
    </row>
    <row r="443" spans="1:31" ht="14.45" customHeight="1" x14ac:dyDescent="0.15">
      <c r="A443" s="42" t="str">
        <f t="shared" si="59"/>
        <v>0</v>
      </c>
      <c r="B443" s="43">
        <v>441</v>
      </c>
      <c r="C443" s="212" t="s">
        <v>2207</v>
      </c>
      <c r="D443" s="244" t="s">
        <v>2609</v>
      </c>
      <c r="E443" s="240" t="s">
        <v>2610</v>
      </c>
      <c r="F443" s="243" t="s">
        <v>856</v>
      </c>
      <c r="G443" s="241">
        <v>28000</v>
      </c>
      <c r="H443" s="242">
        <v>65535</v>
      </c>
      <c r="I443" s="239">
        <v>0</v>
      </c>
      <c r="J443" s="242">
        <v>0</v>
      </c>
      <c r="K443" s="242">
        <v>0</v>
      </c>
      <c r="L443" s="242" t="s">
        <v>859</v>
      </c>
      <c r="M443" s="242">
        <v>0.01</v>
      </c>
      <c r="N443" s="242" t="s">
        <v>1905</v>
      </c>
      <c r="O443" s="242">
        <v>0</v>
      </c>
      <c r="P443" s="239">
        <v>0</v>
      </c>
      <c r="Q443" s="242">
        <v>1</v>
      </c>
      <c r="R443" s="242">
        <v>5</v>
      </c>
      <c r="S443" s="242">
        <v>0</v>
      </c>
      <c r="T443" s="53"/>
      <c r="V443" s="49" t="str">
        <f t="shared" si="60"/>
        <v>0</v>
      </c>
      <c r="W443" s="49" t="str">
        <f t="shared" si="61"/>
        <v>10</v>
      </c>
      <c r="X443" s="49" t="str">
        <f t="shared" si="62"/>
        <v>0</v>
      </c>
      <c r="Y443" s="49">
        <f t="shared" si="63"/>
        <v>0</v>
      </c>
      <c r="Z443" s="49">
        <f t="shared" si="63"/>
        <v>0</v>
      </c>
      <c r="AA443" s="49">
        <f t="shared" si="64"/>
        <v>1</v>
      </c>
      <c r="AB443" s="49" t="str">
        <f t="shared" si="67"/>
        <v>101</v>
      </c>
      <c r="AC443" s="49">
        <f t="shared" si="65"/>
        <v>0</v>
      </c>
      <c r="AD443" s="49">
        <v>0</v>
      </c>
      <c r="AE443" s="49" t="str">
        <f t="shared" si="66"/>
        <v>32C28</v>
      </c>
    </row>
    <row r="444" spans="1:31" x14ac:dyDescent="0.15">
      <c r="A444" s="42" t="str">
        <f t="shared" si="59"/>
        <v>0</v>
      </c>
      <c r="B444" s="43">
        <v>442</v>
      </c>
      <c r="C444" s="212" t="s">
        <v>709</v>
      </c>
      <c r="D444" s="246" t="s">
        <v>2611</v>
      </c>
      <c r="E444" s="247" t="s">
        <v>2612</v>
      </c>
      <c r="F444" s="250" t="s">
        <v>856</v>
      </c>
      <c r="G444" s="248">
        <v>1</v>
      </c>
      <c r="H444" s="249">
        <v>65535</v>
      </c>
      <c r="I444" s="245">
        <v>0</v>
      </c>
      <c r="J444" s="249">
        <v>0</v>
      </c>
      <c r="K444" s="249">
        <v>0</v>
      </c>
      <c r="L444" s="249" t="s">
        <v>859</v>
      </c>
      <c r="M444" s="249">
        <v>1</v>
      </c>
      <c r="N444" s="249" t="s">
        <v>1910</v>
      </c>
      <c r="O444" s="249">
        <v>0</v>
      </c>
      <c r="P444" s="245">
        <v>0</v>
      </c>
      <c r="Q444" s="249">
        <v>1</v>
      </c>
      <c r="R444" s="249">
        <v>5</v>
      </c>
      <c r="S444" s="249">
        <v>0</v>
      </c>
      <c r="T444" s="53"/>
      <c r="V444" s="49" t="str">
        <f t="shared" si="60"/>
        <v>0</v>
      </c>
      <c r="W444" s="49" t="str">
        <f t="shared" si="61"/>
        <v>0</v>
      </c>
      <c r="X444" s="49" t="str">
        <f t="shared" si="62"/>
        <v>0</v>
      </c>
      <c r="Y444" s="49">
        <f t="shared" si="63"/>
        <v>0</v>
      </c>
      <c r="Z444" s="49">
        <f t="shared" si="63"/>
        <v>0</v>
      </c>
      <c r="AA444" s="49">
        <f t="shared" si="64"/>
        <v>1</v>
      </c>
      <c r="AB444" s="49" t="str">
        <f t="shared" si="67"/>
        <v>101</v>
      </c>
      <c r="AC444" s="49">
        <f t="shared" si="65"/>
        <v>0</v>
      </c>
      <c r="AD444" s="49">
        <v>0</v>
      </c>
      <c r="AE444" s="49" t="str">
        <f t="shared" si="66"/>
        <v>32C00</v>
      </c>
    </row>
    <row r="445" spans="1:31" x14ac:dyDescent="0.15">
      <c r="A445" s="42" t="str">
        <f t="shared" si="59"/>
        <v>0</v>
      </c>
      <c r="B445" s="43">
        <v>443</v>
      </c>
      <c r="C445" s="212" t="s">
        <v>2208</v>
      </c>
      <c r="D445" s="252" t="s">
        <v>2613</v>
      </c>
      <c r="E445" s="253" t="s">
        <v>2614</v>
      </c>
      <c r="F445" s="256" t="s">
        <v>856</v>
      </c>
      <c r="G445" s="254">
        <v>200</v>
      </c>
      <c r="H445" s="255">
        <v>65535</v>
      </c>
      <c r="I445" s="251">
        <v>0</v>
      </c>
      <c r="J445" s="255">
        <v>0</v>
      </c>
      <c r="K445" s="255">
        <v>0</v>
      </c>
      <c r="L445" s="255" t="s">
        <v>859</v>
      </c>
      <c r="M445" s="255">
        <v>0.01</v>
      </c>
      <c r="N445" s="255" t="s">
        <v>1905</v>
      </c>
      <c r="O445" s="255">
        <v>0</v>
      </c>
      <c r="P445" s="251">
        <v>0</v>
      </c>
      <c r="Q445" s="255">
        <v>1</v>
      </c>
      <c r="R445" s="255">
        <v>5</v>
      </c>
      <c r="S445" s="255">
        <v>0</v>
      </c>
      <c r="T445" s="53"/>
      <c r="V445" s="49" t="str">
        <f t="shared" si="60"/>
        <v>0</v>
      </c>
      <c r="W445" s="49" t="str">
        <f t="shared" si="61"/>
        <v>10</v>
      </c>
      <c r="X445" s="49" t="str">
        <f t="shared" si="62"/>
        <v>0</v>
      </c>
      <c r="Y445" s="49">
        <f t="shared" si="63"/>
        <v>0</v>
      </c>
      <c r="Z445" s="49">
        <f t="shared" si="63"/>
        <v>0</v>
      </c>
      <c r="AA445" s="49">
        <f t="shared" si="64"/>
        <v>1</v>
      </c>
      <c r="AB445" s="49" t="str">
        <f t="shared" si="67"/>
        <v>101</v>
      </c>
      <c r="AC445" s="49">
        <f t="shared" si="65"/>
        <v>0</v>
      </c>
      <c r="AD445" s="49">
        <v>0</v>
      </c>
      <c r="AE445" s="49" t="str">
        <f t="shared" si="66"/>
        <v>32C28</v>
      </c>
    </row>
    <row r="446" spans="1:31" x14ac:dyDescent="0.15">
      <c r="A446" s="42" t="str">
        <f t="shared" si="59"/>
        <v>0</v>
      </c>
      <c r="B446" s="43">
        <v>444</v>
      </c>
      <c r="C446" s="212" t="s">
        <v>1095</v>
      </c>
      <c r="D446" s="271" t="s">
        <v>2898</v>
      </c>
      <c r="E446" s="272" t="s">
        <v>2899</v>
      </c>
      <c r="F446" s="273" t="s">
        <v>856</v>
      </c>
      <c r="G446" s="274">
        <v>576</v>
      </c>
      <c r="H446" s="275">
        <v>1000</v>
      </c>
      <c r="I446" s="276">
        <v>0</v>
      </c>
      <c r="J446" s="275">
        <v>0</v>
      </c>
      <c r="K446" s="275">
        <v>0</v>
      </c>
      <c r="L446" s="275" t="s">
        <v>859</v>
      </c>
      <c r="M446" s="275">
        <v>1</v>
      </c>
      <c r="N446" s="275" t="s">
        <v>1923</v>
      </c>
      <c r="O446" s="275">
        <v>0</v>
      </c>
      <c r="P446" s="276">
        <v>0</v>
      </c>
      <c r="Q446" s="275">
        <v>1</v>
      </c>
      <c r="R446" s="275">
        <v>5</v>
      </c>
      <c r="S446" s="275">
        <v>0</v>
      </c>
      <c r="T446" s="53"/>
      <c r="V446" s="49" t="str">
        <f t="shared" si="60"/>
        <v>0</v>
      </c>
      <c r="W446" s="49" t="str">
        <f t="shared" si="61"/>
        <v>0</v>
      </c>
      <c r="X446" s="49" t="str">
        <f t="shared" si="62"/>
        <v>0</v>
      </c>
      <c r="Y446" s="49">
        <f t="shared" si="63"/>
        <v>0</v>
      </c>
      <c r="Z446" s="49">
        <f t="shared" si="63"/>
        <v>0</v>
      </c>
      <c r="AA446" s="49">
        <f t="shared" si="64"/>
        <v>1</v>
      </c>
      <c r="AB446" s="49" t="str">
        <f t="shared" si="67"/>
        <v>101</v>
      </c>
      <c r="AC446" s="49">
        <f t="shared" si="65"/>
        <v>0</v>
      </c>
      <c r="AD446" s="49">
        <v>0</v>
      </c>
      <c r="AE446" s="49" t="str">
        <f t="shared" si="66"/>
        <v>32C00</v>
      </c>
    </row>
    <row r="447" spans="1:31" x14ac:dyDescent="0.15">
      <c r="A447" s="42" t="str">
        <f t="shared" si="59"/>
        <v>0</v>
      </c>
      <c r="B447" s="43">
        <v>445</v>
      </c>
      <c r="C447" s="212" t="s">
        <v>2209</v>
      </c>
      <c r="D447" s="271" t="s">
        <v>2636</v>
      </c>
      <c r="E447" s="272" t="s">
        <v>2637</v>
      </c>
      <c r="F447" s="294" t="s">
        <v>2638</v>
      </c>
      <c r="G447" s="274">
        <v>50</v>
      </c>
      <c r="H447" s="275">
        <v>12000</v>
      </c>
      <c r="I447" s="276">
        <v>0</v>
      </c>
      <c r="J447" s="275">
        <v>0</v>
      </c>
      <c r="K447" s="275">
        <v>0</v>
      </c>
      <c r="L447" s="275" t="s">
        <v>859</v>
      </c>
      <c r="M447" s="275">
        <v>0.01</v>
      </c>
      <c r="N447" s="275" t="s">
        <v>2188</v>
      </c>
      <c r="O447" s="275">
        <v>0</v>
      </c>
      <c r="P447" s="276">
        <v>0</v>
      </c>
      <c r="Q447" s="275">
        <v>1</v>
      </c>
      <c r="R447" s="275">
        <v>5</v>
      </c>
      <c r="S447" s="275">
        <v>0</v>
      </c>
      <c r="T447" s="48"/>
      <c r="V447" s="49" t="str">
        <f t="shared" si="60"/>
        <v>0</v>
      </c>
      <c r="W447" s="49" t="str">
        <f t="shared" si="61"/>
        <v>10</v>
      </c>
      <c r="X447" s="49" t="str">
        <f t="shared" si="62"/>
        <v>0</v>
      </c>
      <c r="Y447" s="49">
        <f t="shared" si="63"/>
        <v>0</v>
      </c>
      <c r="Z447" s="49">
        <f t="shared" si="63"/>
        <v>0</v>
      </c>
      <c r="AA447" s="49">
        <f t="shared" si="64"/>
        <v>1</v>
      </c>
      <c r="AB447" s="49" t="str">
        <f t="shared" si="67"/>
        <v>101</v>
      </c>
      <c r="AC447" s="49">
        <f t="shared" si="65"/>
        <v>0</v>
      </c>
      <c r="AD447" s="49">
        <v>0</v>
      </c>
      <c r="AE447" s="49" t="str">
        <f t="shared" si="66"/>
        <v>32C28</v>
      </c>
    </row>
    <row r="448" spans="1:31" x14ac:dyDescent="0.15">
      <c r="A448" s="42" t="str">
        <f t="shared" si="59"/>
        <v>0</v>
      </c>
      <c r="B448" s="43">
        <v>446</v>
      </c>
      <c r="C448" s="212" t="s">
        <v>2210</v>
      </c>
      <c r="D448" s="271" t="s">
        <v>2639</v>
      </c>
      <c r="E448" s="272" t="s">
        <v>2640</v>
      </c>
      <c r="F448" s="273" t="s">
        <v>856</v>
      </c>
      <c r="G448" s="274">
        <v>164</v>
      </c>
      <c r="H448" s="275">
        <v>32767</v>
      </c>
      <c r="I448" s="276">
        <v>0</v>
      </c>
      <c r="J448" s="275">
        <v>0</v>
      </c>
      <c r="K448" s="275">
        <v>0</v>
      </c>
      <c r="L448" s="275" t="s">
        <v>859</v>
      </c>
      <c r="M448" s="275">
        <v>1</v>
      </c>
      <c r="N448" s="275" t="s">
        <v>1910</v>
      </c>
      <c r="O448" s="275">
        <v>0</v>
      </c>
      <c r="P448" s="276">
        <v>0</v>
      </c>
      <c r="Q448" s="275">
        <v>1</v>
      </c>
      <c r="R448" s="275">
        <v>5</v>
      </c>
      <c r="S448" s="275">
        <v>0</v>
      </c>
      <c r="T448" s="48"/>
      <c r="V448" s="49" t="str">
        <f t="shared" si="60"/>
        <v>0</v>
      </c>
      <c r="W448" s="49" t="str">
        <f t="shared" si="61"/>
        <v>0</v>
      </c>
      <c r="X448" s="49" t="str">
        <f t="shared" si="62"/>
        <v>0</v>
      </c>
      <c r="Y448" s="49">
        <f t="shared" si="63"/>
        <v>0</v>
      </c>
      <c r="Z448" s="49">
        <f t="shared" si="63"/>
        <v>0</v>
      </c>
      <c r="AA448" s="49">
        <f t="shared" si="64"/>
        <v>1</v>
      </c>
      <c r="AB448" s="49" t="str">
        <f t="shared" si="67"/>
        <v>101</v>
      </c>
      <c r="AC448" s="49">
        <f t="shared" si="65"/>
        <v>0</v>
      </c>
      <c r="AD448" s="49">
        <v>0</v>
      </c>
      <c r="AE448" s="49" t="str">
        <f t="shared" si="66"/>
        <v>32C00</v>
      </c>
    </row>
    <row r="449" spans="1:31" x14ac:dyDescent="0.15">
      <c r="A449" s="42" t="str">
        <f t="shared" si="59"/>
        <v>0</v>
      </c>
      <c r="B449" s="43">
        <v>447</v>
      </c>
      <c r="C449" s="212" t="s">
        <v>2211</v>
      </c>
      <c r="D449" s="271" t="s">
        <v>2641</v>
      </c>
      <c r="E449" s="272" t="s">
        <v>2642</v>
      </c>
      <c r="F449" s="294" t="s">
        <v>2638</v>
      </c>
      <c r="G449" s="274">
        <v>50</v>
      </c>
      <c r="H449" s="275">
        <v>12000</v>
      </c>
      <c r="I449" s="276">
        <v>0</v>
      </c>
      <c r="J449" s="275">
        <v>0</v>
      </c>
      <c r="K449" s="275">
        <v>0</v>
      </c>
      <c r="L449" s="275" t="s">
        <v>859</v>
      </c>
      <c r="M449" s="275">
        <v>0.01</v>
      </c>
      <c r="N449" s="275" t="s">
        <v>2188</v>
      </c>
      <c r="O449" s="275">
        <v>0</v>
      </c>
      <c r="P449" s="276">
        <v>0</v>
      </c>
      <c r="Q449" s="275">
        <v>1</v>
      </c>
      <c r="R449" s="275">
        <v>5</v>
      </c>
      <c r="S449" s="275">
        <v>0</v>
      </c>
      <c r="T449" s="48"/>
      <c r="V449" s="49" t="str">
        <f t="shared" si="60"/>
        <v>0</v>
      </c>
      <c r="W449" s="49" t="str">
        <f t="shared" si="61"/>
        <v>10</v>
      </c>
      <c r="X449" s="49" t="str">
        <f t="shared" si="62"/>
        <v>0</v>
      </c>
      <c r="Y449" s="49">
        <f t="shared" si="63"/>
        <v>0</v>
      </c>
      <c r="Z449" s="49">
        <f t="shared" si="63"/>
        <v>0</v>
      </c>
      <c r="AA449" s="49">
        <f t="shared" si="64"/>
        <v>1</v>
      </c>
      <c r="AB449" s="49" t="str">
        <f t="shared" si="67"/>
        <v>101</v>
      </c>
      <c r="AC449" s="49">
        <f t="shared" si="65"/>
        <v>0</v>
      </c>
      <c r="AD449" s="49">
        <v>0</v>
      </c>
      <c r="AE449" s="49" t="str">
        <f t="shared" si="66"/>
        <v>32C28</v>
      </c>
    </row>
    <row r="450" spans="1:31" x14ac:dyDescent="0.15">
      <c r="A450" s="42" t="str">
        <f t="shared" si="59"/>
        <v>0</v>
      </c>
      <c r="B450" s="43">
        <v>448</v>
      </c>
      <c r="C450" s="212" t="s">
        <v>2212</v>
      </c>
      <c r="D450" s="271" t="s">
        <v>2643</v>
      </c>
      <c r="E450" s="272" t="s">
        <v>2644</v>
      </c>
      <c r="F450" s="273" t="s">
        <v>856</v>
      </c>
      <c r="G450" s="274">
        <v>164</v>
      </c>
      <c r="H450" s="275">
        <v>32767</v>
      </c>
      <c r="I450" s="276">
        <v>0</v>
      </c>
      <c r="J450" s="275">
        <v>0</v>
      </c>
      <c r="K450" s="275">
        <v>0</v>
      </c>
      <c r="L450" s="275" t="s">
        <v>859</v>
      </c>
      <c r="M450" s="275">
        <v>1</v>
      </c>
      <c r="N450" s="275" t="s">
        <v>1910</v>
      </c>
      <c r="O450" s="275">
        <v>0</v>
      </c>
      <c r="P450" s="276">
        <v>0</v>
      </c>
      <c r="Q450" s="275">
        <v>1</v>
      </c>
      <c r="R450" s="275">
        <v>5</v>
      </c>
      <c r="S450" s="275">
        <v>0</v>
      </c>
      <c r="T450" s="48"/>
      <c r="V450" s="49" t="str">
        <f t="shared" si="60"/>
        <v>0</v>
      </c>
      <c r="W450" s="49" t="str">
        <f t="shared" si="61"/>
        <v>0</v>
      </c>
      <c r="X450" s="49" t="str">
        <f t="shared" si="62"/>
        <v>0</v>
      </c>
      <c r="Y450" s="49">
        <f t="shared" si="63"/>
        <v>0</v>
      </c>
      <c r="Z450" s="49">
        <f t="shared" si="63"/>
        <v>0</v>
      </c>
      <c r="AA450" s="49">
        <f t="shared" si="64"/>
        <v>1</v>
      </c>
      <c r="AB450" s="49" t="str">
        <f t="shared" si="67"/>
        <v>101</v>
      </c>
      <c r="AC450" s="49">
        <f t="shared" si="65"/>
        <v>0</v>
      </c>
      <c r="AD450" s="49">
        <v>0</v>
      </c>
      <c r="AE450" s="49" t="str">
        <f t="shared" si="66"/>
        <v>32C00</v>
      </c>
    </row>
    <row r="451" spans="1:31" s="380" customFormat="1" x14ac:dyDescent="0.15">
      <c r="A451" s="373" t="str">
        <f t="shared" si="59"/>
        <v>0</v>
      </c>
      <c r="B451" s="373">
        <v>449</v>
      </c>
      <c r="C451" s="374" t="s">
        <v>2213</v>
      </c>
      <c r="D451" s="375" t="s">
        <v>2875</v>
      </c>
      <c r="E451" s="376" t="s">
        <v>2876</v>
      </c>
      <c r="F451" s="377" t="s">
        <v>2877</v>
      </c>
      <c r="G451" s="378">
        <v>0</v>
      </c>
      <c r="H451" s="379">
        <v>1</v>
      </c>
      <c r="I451" s="374">
        <v>0</v>
      </c>
      <c r="J451" s="379">
        <v>0</v>
      </c>
      <c r="K451" s="379">
        <v>0</v>
      </c>
      <c r="L451" s="379" t="s">
        <v>859</v>
      </c>
      <c r="M451" s="379">
        <v>1</v>
      </c>
      <c r="N451" s="379" t="s">
        <v>2855</v>
      </c>
      <c r="O451" s="379">
        <v>0</v>
      </c>
      <c r="P451" s="374">
        <v>0</v>
      </c>
      <c r="Q451" s="379">
        <v>1</v>
      </c>
      <c r="R451" s="379">
        <v>5</v>
      </c>
      <c r="S451" s="379">
        <v>0</v>
      </c>
      <c r="T451" s="373"/>
      <c r="V451" s="380" t="str">
        <f t="shared" si="60"/>
        <v>0</v>
      </c>
      <c r="W451" s="380" t="str">
        <f t="shared" si="61"/>
        <v>0</v>
      </c>
      <c r="X451" s="380" t="str">
        <f t="shared" si="62"/>
        <v>0</v>
      </c>
      <c r="Y451" s="380">
        <f t="shared" si="63"/>
        <v>0</v>
      </c>
      <c r="Z451" s="380">
        <f t="shared" si="63"/>
        <v>0</v>
      </c>
      <c r="AA451" s="380">
        <f t="shared" si="64"/>
        <v>1</v>
      </c>
      <c r="AB451" s="380" t="str">
        <f t="shared" si="67"/>
        <v>101</v>
      </c>
      <c r="AC451" s="380">
        <f t="shared" si="65"/>
        <v>0</v>
      </c>
      <c r="AD451" s="380">
        <v>0</v>
      </c>
      <c r="AE451" s="380" t="str">
        <f t="shared" si="66"/>
        <v>32C00</v>
      </c>
    </row>
    <row r="452" spans="1:31" x14ac:dyDescent="0.15">
      <c r="A452" s="42" t="str">
        <f t="shared" ref="A452:A515" si="68">DEC2HEX(AH452)</f>
        <v>0</v>
      </c>
      <c r="B452" s="43">
        <v>450</v>
      </c>
      <c r="C452" s="212" t="s">
        <v>2214</v>
      </c>
      <c r="D452" s="218" t="s">
        <v>2692</v>
      </c>
      <c r="E452" s="219" t="s">
        <v>2694</v>
      </c>
      <c r="F452" s="223" t="s">
        <v>856</v>
      </c>
      <c r="G452" s="220">
        <v>1000</v>
      </c>
      <c r="H452" s="221">
        <v>65535</v>
      </c>
      <c r="I452" s="212">
        <v>0</v>
      </c>
      <c r="J452" s="221">
        <v>0</v>
      </c>
      <c r="K452" s="221">
        <v>0</v>
      </c>
      <c r="L452" s="221" t="s">
        <v>859</v>
      </c>
      <c r="M452" s="221">
        <v>0.1</v>
      </c>
      <c r="N452" s="221" t="s">
        <v>2668</v>
      </c>
      <c r="O452" s="221">
        <v>0</v>
      </c>
      <c r="P452" s="212">
        <v>0</v>
      </c>
      <c r="Q452" s="221">
        <v>1</v>
      </c>
      <c r="R452" s="221">
        <v>5</v>
      </c>
      <c r="S452" s="221">
        <v>0</v>
      </c>
      <c r="T452" s="48"/>
      <c r="V452" s="49" t="str">
        <f t="shared" si="60"/>
        <v>0</v>
      </c>
      <c r="W452" s="49" t="str">
        <f t="shared" si="61"/>
        <v>1</v>
      </c>
      <c r="X452" s="49" t="e">
        <f t="shared" si="62"/>
        <v>#N/A</v>
      </c>
      <c r="Y452" s="49">
        <f t="shared" si="63"/>
        <v>0</v>
      </c>
      <c r="Z452" s="49">
        <f t="shared" si="63"/>
        <v>0</v>
      </c>
      <c r="AA452" s="49">
        <f t="shared" si="64"/>
        <v>1</v>
      </c>
      <c r="AB452" s="49" t="str">
        <f t="shared" si="67"/>
        <v>101</v>
      </c>
      <c r="AC452" s="49">
        <f t="shared" si="65"/>
        <v>0</v>
      </c>
      <c r="AD452" s="49">
        <v>0</v>
      </c>
      <c r="AE452" s="49" t="e">
        <f t="shared" si="66"/>
        <v>#N/A</v>
      </c>
    </row>
    <row r="453" spans="1:31" x14ac:dyDescent="0.15">
      <c r="A453" s="42" t="str">
        <f t="shared" si="68"/>
        <v>0</v>
      </c>
      <c r="B453" s="43">
        <v>451</v>
      </c>
      <c r="C453" s="212" t="s">
        <v>2215</v>
      </c>
      <c r="D453" s="218" t="s">
        <v>2691</v>
      </c>
      <c r="E453" s="219" t="s">
        <v>2695</v>
      </c>
      <c r="F453" s="223" t="s">
        <v>856</v>
      </c>
      <c r="G453" s="220">
        <v>1000</v>
      </c>
      <c r="H453" s="221">
        <v>65535</v>
      </c>
      <c r="I453" s="212">
        <v>0</v>
      </c>
      <c r="J453" s="221">
        <v>0</v>
      </c>
      <c r="K453" s="221">
        <v>0</v>
      </c>
      <c r="L453" s="221" t="s">
        <v>859</v>
      </c>
      <c r="M453" s="221">
        <v>0.1</v>
      </c>
      <c r="N453" s="221" t="s">
        <v>2668</v>
      </c>
      <c r="O453" s="221">
        <v>0</v>
      </c>
      <c r="P453" s="212">
        <v>0</v>
      </c>
      <c r="Q453" s="221">
        <v>1</v>
      </c>
      <c r="R453" s="221">
        <v>5</v>
      </c>
      <c r="S453" s="221">
        <v>0</v>
      </c>
      <c r="T453" s="48"/>
      <c r="V453" s="49" t="str">
        <f t="shared" si="60"/>
        <v>0</v>
      </c>
      <c r="W453" s="49" t="str">
        <f t="shared" si="61"/>
        <v>1</v>
      </c>
      <c r="X453" s="49" t="e">
        <f t="shared" si="62"/>
        <v>#N/A</v>
      </c>
      <c r="Y453" s="49">
        <f t="shared" si="63"/>
        <v>0</v>
      </c>
      <c r="Z453" s="49">
        <f t="shared" si="63"/>
        <v>0</v>
      </c>
      <c r="AA453" s="49">
        <f t="shared" si="64"/>
        <v>1</v>
      </c>
      <c r="AB453" s="49" t="str">
        <f t="shared" si="67"/>
        <v>101</v>
      </c>
      <c r="AC453" s="49">
        <f t="shared" si="65"/>
        <v>0</v>
      </c>
      <c r="AD453" s="49">
        <v>0</v>
      </c>
      <c r="AE453" s="49" t="e">
        <f t="shared" si="66"/>
        <v>#N/A</v>
      </c>
    </row>
    <row r="454" spans="1:31" x14ac:dyDescent="0.15">
      <c r="A454" s="42" t="str">
        <f t="shared" si="68"/>
        <v>0</v>
      </c>
      <c r="B454" s="43">
        <v>452</v>
      </c>
      <c r="C454" s="212" t="s">
        <v>2216</v>
      </c>
      <c r="D454" s="218" t="s">
        <v>2693</v>
      </c>
      <c r="E454" s="219" t="s">
        <v>2696</v>
      </c>
      <c r="F454" s="223" t="s">
        <v>856</v>
      </c>
      <c r="G454" s="220">
        <v>1000</v>
      </c>
      <c r="H454" s="221">
        <v>65535</v>
      </c>
      <c r="I454" s="212">
        <v>0</v>
      </c>
      <c r="J454" s="221">
        <v>0</v>
      </c>
      <c r="K454" s="221">
        <v>0</v>
      </c>
      <c r="L454" s="221" t="s">
        <v>859</v>
      </c>
      <c r="M454" s="221">
        <v>0.1</v>
      </c>
      <c r="N454" s="221" t="s">
        <v>47</v>
      </c>
      <c r="O454" s="221">
        <v>0</v>
      </c>
      <c r="P454" s="212">
        <v>0</v>
      </c>
      <c r="Q454" s="221">
        <v>1</v>
      </c>
      <c r="R454" s="221">
        <v>5</v>
      </c>
      <c r="S454" s="221">
        <v>0</v>
      </c>
      <c r="T454" s="48"/>
      <c r="V454" s="49" t="str">
        <f t="shared" si="60"/>
        <v>0</v>
      </c>
      <c r="W454" s="49" t="str">
        <f t="shared" si="61"/>
        <v>1</v>
      </c>
      <c r="X454" s="49" t="e">
        <f t="shared" si="62"/>
        <v>#N/A</v>
      </c>
      <c r="Y454" s="49">
        <f t="shared" si="63"/>
        <v>0</v>
      </c>
      <c r="Z454" s="49">
        <f t="shared" si="63"/>
        <v>0</v>
      </c>
      <c r="AA454" s="49">
        <f t="shared" si="64"/>
        <v>1</v>
      </c>
      <c r="AB454" s="49" t="str">
        <f t="shared" si="67"/>
        <v>101</v>
      </c>
      <c r="AC454" s="49">
        <f t="shared" si="65"/>
        <v>0</v>
      </c>
      <c r="AD454" s="49">
        <v>0</v>
      </c>
      <c r="AE454" s="49" t="e">
        <f t="shared" si="66"/>
        <v>#N/A</v>
      </c>
    </row>
    <row r="455" spans="1:31" x14ac:dyDescent="0.15">
      <c r="A455" s="42" t="str">
        <f t="shared" si="68"/>
        <v>0</v>
      </c>
      <c r="B455" s="43">
        <v>453</v>
      </c>
      <c r="C455" s="212" t="s">
        <v>2217</v>
      </c>
      <c r="D455" s="218" t="s">
        <v>2677</v>
      </c>
      <c r="E455" s="219" t="s">
        <v>2676</v>
      </c>
      <c r="F455" s="223" t="s">
        <v>856</v>
      </c>
      <c r="G455" s="220">
        <v>20</v>
      </c>
      <c r="H455" s="221">
        <v>65535</v>
      </c>
      <c r="I455" s="212">
        <v>0</v>
      </c>
      <c r="J455" s="221">
        <v>0</v>
      </c>
      <c r="K455" s="221">
        <v>0</v>
      </c>
      <c r="L455" s="221" t="s">
        <v>859</v>
      </c>
      <c r="M455" s="221">
        <v>1</v>
      </c>
      <c r="N455" s="221" t="s">
        <v>1910</v>
      </c>
      <c r="O455" s="221">
        <v>0</v>
      </c>
      <c r="P455" s="212">
        <v>0</v>
      </c>
      <c r="Q455" s="221">
        <v>1</v>
      </c>
      <c r="R455" s="221">
        <v>5</v>
      </c>
      <c r="S455" s="221">
        <v>0</v>
      </c>
      <c r="T455" s="48"/>
      <c r="V455" s="49" t="str">
        <f t="shared" si="60"/>
        <v>0</v>
      </c>
      <c r="W455" s="49" t="str">
        <f t="shared" si="61"/>
        <v>0</v>
      </c>
      <c r="X455" s="49" t="str">
        <f t="shared" si="62"/>
        <v>0</v>
      </c>
      <c r="Y455" s="49">
        <f t="shared" si="63"/>
        <v>0</v>
      </c>
      <c r="Z455" s="49">
        <f t="shared" si="63"/>
        <v>0</v>
      </c>
      <c r="AA455" s="49">
        <f t="shared" si="64"/>
        <v>1</v>
      </c>
      <c r="AB455" s="49" t="str">
        <f t="shared" si="67"/>
        <v>101</v>
      </c>
      <c r="AC455" s="49">
        <f t="shared" si="65"/>
        <v>0</v>
      </c>
      <c r="AD455" s="49">
        <v>0</v>
      </c>
      <c r="AE455" s="49" t="str">
        <f t="shared" si="66"/>
        <v>32C00</v>
      </c>
    </row>
    <row r="456" spans="1:31" x14ac:dyDescent="0.15">
      <c r="A456" s="42" t="str">
        <f t="shared" si="68"/>
        <v>0</v>
      </c>
      <c r="B456" s="43">
        <v>454</v>
      </c>
      <c r="C456" s="212" t="s">
        <v>2218</v>
      </c>
      <c r="D456" s="218" t="s">
        <v>2878</v>
      </c>
      <c r="E456" s="219" t="s">
        <v>2879</v>
      </c>
      <c r="F456" s="223" t="s">
        <v>856</v>
      </c>
      <c r="G456" s="220">
        <v>1000</v>
      </c>
      <c r="H456" s="221">
        <v>3000</v>
      </c>
      <c r="I456" s="212">
        <v>-3000</v>
      </c>
      <c r="J456" s="221">
        <v>0</v>
      </c>
      <c r="K456" s="221">
        <v>0</v>
      </c>
      <c r="L456" s="221" t="s">
        <v>859</v>
      </c>
      <c r="M456" s="221">
        <v>0.1</v>
      </c>
      <c r="N456" s="221" t="s">
        <v>1907</v>
      </c>
      <c r="O456" s="221">
        <v>0</v>
      </c>
      <c r="P456" s="212">
        <v>0</v>
      </c>
      <c r="Q456" s="221">
        <v>1</v>
      </c>
      <c r="R456" s="221">
        <v>4</v>
      </c>
      <c r="S456" s="221">
        <v>1</v>
      </c>
      <c r="T456" s="48"/>
      <c r="V456" s="49" t="str">
        <f t="shared" si="60"/>
        <v>0</v>
      </c>
      <c r="W456" s="49" t="str">
        <f t="shared" si="61"/>
        <v>1</v>
      </c>
      <c r="X456" s="49" t="e">
        <f t="shared" si="62"/>
        <v>#N/A</v>
      </c>
      <c r="Y456" s="49">
        <f t="shared" si="63"/>
        <v>0</v>
      </c>
      <c r="Z456" s="49">
        <f t="shared" si="63"/>
        <v>0</v>
      </c>
      <c r="AA456" s="49">
        <f t="shared" si="64"/>
        <v>1</v>
      </c>
      <c r="AB456" s="49" t="str">
        <f t="shared" si="67"/>
        <v>100</v>
      </c>
      <c r="AC456" s="49">
        <f t="shared" si="65"/>
        <v>1</v>
      </c>
      <c r="AD456" s="49">
        <v>0</v>
      </c>
      <c r="AE456" s="49" t="e">
        <f t="shared" si="66"/>
        <v>#N/A</v>
      </c>
    </row>
    <row r="457" spans="1:31" ht="33.75" x14ac:dyDescent="0.15">
      <c r="A457" s="42" t="str">
        <f t="shared" si="68"/>
        <v>0</v>
      </c>
      <c r="B457" s="43">
        <v>455</v>
      </c>
      <c r="C457" s="212" t="s">
        <v>2219</v>
      </c>
      <c r="D457" s="218" t="s">
        <v>2917</v>
      </c>
      <c r="E457" s="219" t="s">
        <v>2918</v>
      </c>
      <c r="F457" s="223" t="s">
        <v>2919</v>
      </c>
      <c r="G457" s="220">
        <v>2</v>
      </c>
      <c r="H457" s="221">
        <v>8</v>
      </c>
      <c r="I457" s="212">
        <v>0</v>
      </c>
      <c r="J457" s="221">
        <v>0</v>
      </c>
      <c r="K457" s="221">
        <v>0</v>
      </c>
      <c r="L457" s="221" t="s">
        <v>860</v>
      </c>
      <c r="M457" s="221">
        <v>1</v>
      </c>
      <c r="N457" s="221" t="s">
        <v>1910</v>
      </c>
      <c r="O457" s="221">
        <v>0</v>
      </c>
      <c r="P457" s="212">
        <v>0</v>
      </c>
      <c r="Q457" s="221">
        <v>1</v>
      </c>
      <c r="R457" s="221">
        <v>1</v>
      </c>
      <c r="S457" s="221">
        <v>0</v>
      </c>
      <c r="T457" s="48"/>
      <c r="V457" s="49" t="str">
        <f t="shared" ref="V457:V522" si="69">IF(L457="△",DEC2BIN(0),IF(L457="×",DEC2BIN(1),IF(L457="◎",DEC2BIN(2),DEC2BIN(3))))</f>
        <v>1</v>
      </c>
      <c r="W457" s="49" t="str">
        <f t="shared" ref="W457:W522" si="70">IF(M457=1,DEC2BIN(0),IF(M457=0.1,DEC2BIN(1),IF(M457=0.01,DEC2BIN(2),DEC2BIN(3))))</f>
        <v>0</v>
      </c>
      <c r="X457" s="49" t="str">
        <f t="shared" ref="X457:X522" si="71">LOOKUP(N457,$AG$2:$AG$17,$AH$2:$AH$17)</f>
        <v>0</v>
      </c>
      <c r="Y457" s="49">
        <f t="shared" ref="Y457:Z522" si="72">O457</f>
        <v>0</v>
      </c>
      <c r="Z457" s="49">
        <f t="shared" si="72"/>
        <v>0</v>
      </c>
      <c r="AA457" s="49">
        <f t="shared" ref="AA457:AA522" si="73">Q457</f>
        <v>1</v>
      </c>
      <c r="AB457" s="49" t="str">
        <f t="shared" si="67"/>
        <v>1</v>
      </c>
      <c r="AC457" s="49">
        <f t="shared" ref="AC457:AC522" si="74">S457</f>
        <v>0</v>
      </c>
      <c r="AD457" s="49">
        <v>0</v>
      </c>
      <c r="AE457" s="49" t="str">
        <f t="shared" ref="AE457:AE522" si="75">DEC2HEX(V457+W457*4+X457*16+Y457*256+Z457*512+AA457*1024+AB457*2048+AC457*16384)</f>
        <v>C01</v>
      </c>
    </row>
    <row r="458" spans="1:31" x14ac:dyDescent="0.15">
      <c r="A458" s="42" t="str">
        <f t="shared" si="68"/>
        <v>0</v>
      </c>
      <c r="B458" s="43">
        <v>456</v>
      </c>
      <c r="C458" s="212" t="s">
        <v>2220</v>
      </c>
      <c r="D458" s="218" t="s">
        <v>2863</v>
      </c>
      <c r="E458" s="219" t="s">
        <v>2859</v>
      </c>
      <c r="F458" s="223" t="s">
        <v>2864</v>
      </c>
      <c r="G458" s="220">
        <v>4</v>
      </c>
      <c r="H458" s="221">
        <v>3000</v>
      </c>
      <c r="I458" s="212">
        <v>0</v>
      </c>
      <c r="J458" s="221">
        <v>0</v>
      </c>
      <c r="K458" s="221">
        <v>0</v>
      </c>
      <c r="L458" s="221" t="s">
        <v>859</v>
      </c>
      <c r="M458" s="221">
        <v>1</v>
      </c>
      <c r="N458" s="221" t="s">
        <v>1910</v>
      </c>
      <c r="O458" s="221">
        <v>0</v>
      </c>
      <c r="P458" s="212">
        <v>0</v>
      </c>
      <c r="Q458" s="221">
        <v>1</v>
      </c>
      <c r="R458" s="221">
        <v>5</v>
      </c>
      <c r="S458" s="221">
        <v>0</v>
      </c>
      <c r="T458" s="48"/>
      <c r="V458" s="49" t="str">
        <f t="shared" si="69"/>
        <v>0</v>
      </c>
      <c r="W458" s="49" t="str">
        <f t="shared" si="70"/>
        <v>0</v>
      </c>
      <c r="X458" s="49" t="str">
        <f t="shared" si="71"/>
        <v>0</v>
      </c>
      <c r="Y458" s="49">
        <f t="shared" si="72"/>
        <v>0</v>
      </c>
      <c r="Z458" s="49">
        <f t="shared" si="72"/>
        <v>0</v>
      </c>
      <c r="AA458" s="49">
        <f t="shared" si="73"/>
        <v>1</v>
      </c>
      <c r="AB458" s="49" t="str">
        <f t="shared" ref="AB458:AB523" si="76">DEC2BIN(R458)</f>
        <v>101</v>
      </c>
      <c r="AC458" s="49">
        <f t="shared" si="74"/>
        <v>0</v>
      </c>
      <c r="AD458" s="49">
        <v>0</v>
      </c>
      <c r="AE458" s="49" t="str">
        <f t="shared" si="75"/>
        <v>32C00</v>
      </c>
    </row>
    <row r="459" spans="1:31" x14ac:dyDescent="0.15">
      <c r="A459" s="42" t="str">
        <f t="shared" si="68"/>
        <v>0</v>
      </c>
      <c r="B459" s="43">
        <v>457</v>
      </c>
      <c r="C459" s="212" t="s">
        <v>2221</v>
      </c>
      <c r="D459" s="218" t="s">
        <v>2861</v>
      </c>
      <c r="E459" s="219" t="s">
        <v>2860</v>
      </c>
      <c r="F459" s="223" t="s">
        <v>2865</v>
      </c>
      <c r="G459" s="220">
        <v>100</v>
      </c>
      <c r="H459" s="221">
        <v>1000</v>
      </c>
      <c r="I459" s="212">
        <v>0</v>
      </c>
      <c r="J459" s="221">
        <v>0</v>
      </c>
      <c r="K459" s="221">
        <v>0</v>
      </c>
      <c r="L459" s="221" t="s">
        <v>860</v>
      </c>
      <c r="M459" s="221">
        <v>0.01</v>
      </c>
      <c r="N459" s="221" t="s">
        <v>1905</v>
      </c>
      <c r="O459" s="221">
        <v>0</v>
      </c>
      <c r="P459" s="212">
        <v>0</v>
      </c>
      <c r="Q459" s="221">
        <v>1</v>
      </c>
      <c r="R459" s="221">
        <v>4</v>
      </c>
      <c r="S459" s="221">
        <v>0</v>
      </c>
      <c r="T459" s="48"/>
      <c r="V459" s="49" t="str">
        <f t="shared" si="69"/>
        <v>1</v>
      </c>
      <c r="W459" s="49" t="str">
        <f t="shared" si="70"/>
        <v>10</v>
      </c>
      <c r="X459" s="49" t="str">
        <f t="shared" si="71"/>
        <v>0</v>
      </c>
      <c r="Y459" s="49">
        <f t="shared" si="72"/>
        <v>0</v>
      </c>
      <c r="Z459" s="49">
        <f t="shared" si="72"/>
        <v>0</v>
      </c>
      <c r="AA459" s="49">
        <f t="shared" si="73"/>
        <v>1</v>
      </c>
      <c r="AB459" s="49" t="str">
        <f t="shared" si="76"/>
        <v>100</v>
      </c>
      <c r="AC459" s="49">
        <f t="shared" si="74"/>
        <v>0</v>
      </c>
      <c r="AD459" s="49">
        <v>0</v>
      </c>
      <c r="AE459" s="49" t="str">
        <f t="shared" si="75"/>
        <v>32429</v>
      </c>
    </row>
    <row r="460" spans="1:31" x14ac:dyDescent="0.15">
      <c r="A460" s="42" t="str">
        <f t="shared" si="68"/>
        <v>0</v>
      </c>
      <c r="B460" s="43">
        <v>458</v>
      </c>
      <c r="C460" s="212" t="s">
        <v>2222</v>
      </c>
      <c r="D460" s="218" t="s">
        <v>2862</v>
      </c>
      <c r="E460" s="219" t="s">
        <v>2867</v>
      </c>
      <c r="F460" s="223" t="s">
        <v>2866</v>
      </c>
      <c r="G460" s="220">
        <v>30</v>
      </c>
      <c r="H460" s="221">
        <v>400</v>
      </c>
      <c r="I460" s="212">
        <v>0</v>
      </c>
      <c r="J460" s="221">
        <v>0</v>
      </c>
      <c r="K460" s="221">
        <v>0</v>
      </c>
      <c r="L460" s="221" t="s">
        <v>860</v>
      </c>
      <c r="M460" s="221">
        <v>0.1</v>
      </c>
      <c r="N460" s="221" t="s">
        <v>2188</v>
      </c>
      <c r="O460" s="221">
        <v>0</v>
      </c>
      <c r="P460" s="212">
        <v>0</v>
      </c>
      <c r="Q460" s="221">
        <v>1</v>
      </c>
      <c r="R460" s="221">
        <v>3</v>
      </c>
      <c r="S460" s="221">
        <v>0</v>
      </c>
      <c r="T460" s="48"/>
      <c r="V460" s="49" t="str">
        <f t="shared" si="69"/>
        <v>1</v>
      </c>
      <c r="W460" s="49" t="str">
        <f t="shared" si="70"/>
        <v>1</v>
      </c>
      <c r="X460" s="49" t="str">
        <f t="shared" si="71"/>
        <v>0</v>
      </c>
      <c r="Y460" s="49">
        <f t="shared" si="72"/>
        <v>0</v>
      </c>
      <c r="Z460" s="49">
        <f t="shared" si="72"/>
        <v>0</v>
      </c>
      <c r="AA460" s="49">
        <f t="shared" si="73"/>
        <v>1</v>
      </c>
      <c r="AB460" s="49" t="str">
        <f t="shared" si="76"/>
        <v>11</v>
      </c>
      <c r="AC460" s="49">
        <f t="shared" si="74"/>
        <v>0</v>
      </c>
      <c r="AD460" s="49">
        <v>0</v>
      </c>
      <c r="AE460" s="49" t="str">
        <f t="shared" si="75"/>
        <v>5C05</v>
      </c>
    </row>
    <row r="461" spans="1:31" x14ac:dyDescent="0.15">
      <c r="A461" s="42" t="str">
        <f t="shared" si="68"/>
        <v>0</v>
      </c>
      <c r="B461" s="43">
        <v>459</v>
      </c>
      <c r="C461" s="212" t="s">
        <v>2223</v>
      </c>
      <c r="D461" s="218" t="s">
        <v>2929</v>
      </c>
      <c r="E461" s="219" t="s">
        <v>2928</v>
      </c>
      <c r="F461" s="223" t="s">
        <v>856</v>
      </c>
      <c r="G461" s="220">
        <v>40</v>
      </c>
      <c r="H461" s="221">
        <v>4000</v>
      </c>
      <c r="I461" s="212">
        <v>1</v>
      </c>
      <c r="J461" s="221">
        <v>0</v>
      </c>
      <c r="K461" s="221">
        <v>0</v>
      </c>
      <c r="L461" s="221" t="s">
        <v>859</v>
      </c>
      <c r="M461" s="221">
        <v>0.1</v>
      </c>
      <c r="N461" s="221" t="s">
        <v>2188</v>
      </c>
      <c r="O461" s="221">
        <v>0</v>
      </c>
      <c r="P461" s="212">
        <v>0</v>
      </c>
      <c r="Q461" s="221">
        <v>1</v>
      </c>
      <c r="R461" s="221">
        <v>4</v>
      </c>
      <c r="S461" s="221">
        <v>0</v>
      </c>
      <c r="T461" s="48"/>
      <c r="V461" s="49" t="str">
        <f t="shared" si="69"/>
        <v>0</v>
      </c>
      <c r="W461" s="49" t="str">
        <f t="shared" si="70"/>
        <v>1</v>
      </c>
      <c r="X461" s="49" t="str">
        <f t="shared" si="71"/>
        <v>0</v>
      </c>
      <c r="Y461" s="49">
        <f t="shared" si="72"/>
        <v>0</v>
      </c>
      <c r="Z461" s="49">
        <f t="shared" si="72"/>
        <v>0</v>
      </c>
      <c r="AA461" s="49">
        <f t="shared" si="73"/>
        <v>1</v>
      </c>
      <c r="AB461" s="49" t="str">
        <f t="shared" si="76"/>
        <v>100</v>
      </c>
      <c r="AC461" s="49">
        <f t="shared" si="74"/>
        <v>0</v>
      </c>
      <c r="AD461" s="49">
        <v>0</v>
      </c>
      <c r="AE461" s="49" t="str">
        <f t="shared" si="75"/>
        <v>32404</v>
      </c>
    </row>
    <row r="462" spans="1:31" x14ac:dyDescent="0.15">
      <c r="A462" s="42" t="str">
        <f t="shared" si="68"/>
        <v>0</v>
      </c>
      <c r="B462" s="43">
        <v>460</v>
      </c>
      <c r="C462" s="212" t="s">
        <v>2224</v>
      </c>
      <c r="D462" s="218" t="s">
        <v>1027</v>
      </c>
      <c r="E462" s="219" t="s">
        <v>2937</v>
      </c>
      <c r="F462" s="223" t="s">
        <v>856</v>
      </c>
      <c r="G462" s="220">
        <v>0</v>
      </c>
      <c r="H462" s="221">
        <v>65535</v>
      </c>
      <c r="I462" s="212">
        <v>0</v>
      </c>
      <c r="J462" s="221">
        <v>0</v>
      </c>
      <c r="K462" s="221">
        <v>0</v>
      </c>
      <c r="L462" s="221" t="s">
        <v>859</v>
      </c>
      <c r="M462" s="221">
        <v>1</v>
      </c>
      <c r="N462" s="221" t="s">
        <v>1910</v>
      </c>
      <c r="O462" s="221">
        <v>0</v>
      </c>
      <c r="P462" s="212">
        <v>0</v>
      </c>
      <c r="Q462" s="221">
        <v>1</v>
      </c>
      <c r="R462" s="221">
        <v>5</v>
      </c>
      <c r="S462" s="221">
        <v>0</v>
      </c>
      <c r="T462" s="48"/>
      <c r="V462" s="49" t="str">
        <f t="shared" si="69"/>
        <v>0</v>
      </c>
      <c r="W462" s="49" t="str">
        <f t="shared" si="70"/>
        <v>0</v>
      </c>
      <c r="X462" s="49" t="str">
        <f>DEC2BIN(14)</f>
        <v>1110</v>
      </c>
      <c r="Y462" s="49">
        <f t="shared" si="72"/>
        <v>0</v>
      </c>
      <c r="Z462" s="49">
        <f t="shared" si="72"/>
        <v>0</v>
      </c>
      <c r="AA462" s="49">
        <f t="shared" si="73"/>
        <v>1</v>
      </c>
      <c r="AB462" s="49" t="str">
        <f t="shared" si="76"/>
        <v>101</v>
      </c>
      <c r="AC462" s="49">
        <f t="shared" si="74"/>
        <v>0</v>
      </c>
      <c r="AD462" s="49">
        <v>0</v>
      </c>
      <c r="AE462" s="49" t="str">
        <f t="shared" si="75"/>
        <v>37160</v>
      </c>
    </row>
    <row r="463" spans="1:31" x14ac:dyDescent="0.15">
      <c r="A463" s="42" t="str">
        <f t="shared" si="68"/>
        <v>0</v>
      </c>
      <c r="B463" s="43">
        <v>461</v>
      </c>
      <c r="C463" s="212" t="s">
        <v>2225</v>
      </c>
      <c r="D463" s="218" t="s">
        <v>1027</v>
      </c>
      <c r="E463" s="219" t="s">
        <v>2938</v>
      </c>
      <c r="F463" s="223" t="s">
        <v>856</v>
      </c>
      <c r="G463" s="220">
        <v>0</v>
      </c>
      <c r="H463" s="221">
        <v>65535</v>
      </c>
      <c r="I463" s="212">
        <v>0</v>
      </c>
      <c r="J463" s="221">
        <v>0</v>
      </c>
      <c r="K463" s="221">
        <v>0</v>
      </c>
      <c r="L463" s="221" t="s">
        <v>859</v>
      </c>
      <c r="M463" s="221">
        <v>1</v>
      </c>
      <c r="N463" s="221" t="s">
        <v>1910</v>
      </c>
      <c r="O463" s="221">
        <v>0</v>
      </c>
      <c r="P463" s="212">
        <v>0</v>
      </c>
      <c r="Q463" s="221">
        <v>1</v>
      </c>
      <c r="R463" s="221">
        <v>5</v>
      </c>
      <c r="S463" s="221">
        <v>0</v>
      </c>
      <c r="T463" s="48"/>
      <c r="V463" s="49" t="str">
        <f t="shared" si="69"/>
        <v>0</v>
      </c>
      <c r="W463" s="49" t="str">
        <f t="shared" si="70"/>
        <v>0</v>
      </c>
      <c r="X463" s="49" t="str">
        <f>DEC2BIN(14)</f>
        <v>1110</v>
      </c>
      <c r="Y463" s="49">
        <f t="shared" si="72"/>
        <v>0</v>
      </c>
      <c r="Z463" s="49">
        <f t="shared" si="72"/>
        <v>0</v>
      </c>
      <c r="AA463" s="49">
        <f t="shared" si="73"/>
        <v>1</v>
      </c>
      <c r="AB463" s="49" t="str">
        <f t="shared" si="76"/>
        <v>101</v>
      </c>
      <c r="AC463" s="49">
        <f t="shared" si="74"/>
        <v>0</v>
      </c>
      <c r="AD463" s="49">
        <v>0</v>
      </c>
      <c r="AE463" s="49" t="str">
        <f t="shared" si="75"/>
        <v>37160</v>
      </c>
    </row>
    <row r="464" spans="1:31" x14ac:dyDescent="0.15">
      <c r="A464" s="42" t="str">
        <f t="shared" si="68"/>
        <v>0</v>
      </c>
      <c r="B464" s="43">
        <v>462</v>
      </c>
      <c r="C464" s="212" t="s">
        <v>2226</v>
      </c>
      <c r="D464" s="218" t="s">
        <v>1027</v>
      </c>
      <c r="E464" s="219" t="s">
        <v>2939</v>
      </c>
      <c r="F464" s="223" t="s">
        <v>856</v>
      </c>
      <c r="G464" s="220">
        <v>0</v>
      </c>
      <c r="H464" s="221">
        <v>65535</v>
      </c>
      <c r="I464" s="212">
        <v>0</v>
      </c>
      <c r="J464" s="221">
        <v>0</v>
      </c>
      <c r="K464" s="221">
        <v>0</v>
      </c>
      <c r="L464" s="221" t="s">
        <v>859</v>
      </c>
      <c r="M464" s="221">
        <v>1</v>
      </c>
      <c r="N464" s="221" t="s">
        <v>1910</v>
      </c>
      <c r="O464" s="221">
        <v>0</v>
      </c>
      <c r="P464" s="212">
        <v>0</v>
      </c>
      <c r="Q464" s="221">
        <v>1</v>
      </c>
      <c r="R464" s="221">
        <v>5</v>
      </c>
      <c r="S464" s="221">
        <v>0</v>
      </c>
      <c r="T464" s="48"/>
      <c r="V464" s="49" t="str">
        <f t="shared" si="69"/>
        <v>0</v>
      </c>
      <c r="W464" s="49" t="str">
        <f t="shared" si="70"/>
        <v>0</v>
      </c>
      <c r="X464" s="49" t="str">
        <f t="shared" si="71"/>
        <v>0</v>
      </c>
      <c r="Y464" s="49">
        <f t="shared" si="72"/>
        <v>0</v>
      </c>
      <c r="Z464" s="49">
        <f t="shared" si="72"/>
        <v>0</v>
      </c>
      <c r="AA464" s="49">
        <f t="shared" si="73"/>
        <v>1</v>
      </c>
      <c r="AB464" s="49" t="str">
        <f t="shared" si="76"/>
        <v>101</v>
      </c>
      <c r="AC464" s="49">
        <f t="shared" si="74"/>
        <v>0</v>
      </c>
      <c r="AD464" s="49">
        <v>0</v>
      </c>
      <c r="AE464" s="49" t="str">
        <f t="shared" si="75"/>
        <v>32C00</v>
      </c>
    </row>
    <row r="465" spans="1:31" x14ac:dyDescent="0.15">
      <c r="A465" s="42" t="str">
        <f t="shared" si="68"/>
        <v>0</v>
      </c>
      <c r="B465" s="43">
        <v>463</v>
      </c>
      <c r="C465" s="212" t="s">
        <v>2227</v>
      </c>
      <c r="D465" s="218" t="s">
        <v>1027</v>
      </c>
      <c r="E465" s="219" t="s">
        <v>2228</v>
      </c>
      <c r="F465" s="223" t="s">
        <v>856</v>
      </c>
      <c r="G465" s="220">
        <v>0</v>
      </c>
      <c r="H465" s="221">
        <v>65535</v>
      </c>
      <c r="I465" s="212">
        <v>0</v>
      </c>
      <c r="J465" s="221">
        <v>0</v>
      </c>
      <c r="K465" s="221">
        <v>0</v>
      </c>
      <c r="L465" s="221" t="s">
        <v>859</v>
      </c>
      <c r="M465" s="221">
        <v>1</v>
      </c>
      <c r="N465" s="221" t="s">
        <v>1910</v>
      </c>
      <c r="O465" s="221">
        <v>0</v>
      </c>
      <c r="P465" s="212">
        <v>0</v>
      </c>
      <c r="Q465" s="221">
        <v>1</v>
      </c>
      <c r="R465" s="221">
        <v>5</v>
      </c>
      <c r="S465" s="221">
        <v>0</v>
      </c>
      <c r="T465" s="53"/>
      <c r="V465" s="49" t="str">
        <f t="shared" si="69"/>
        <v>0</v>
      </c>
      <c r="W465" s="49" t="str">
        <f t="shared" si="70"/>
        <v>0</v>
      </c>
      <c r="X465" s="49" t="str">
        <f>DEC2BIN(14)</f>
        <v>1110</v>
      </c>
      <c r="Y465" s="49">
        <f t="shared" si="72"/>
        <v>0</v>
      </c>
      <c r="Z465" s="49">
        <f t="shared" si="72"/>
        <v>0</v>
      </c>
      <c r="AA465" s="49">
        <f t="shared" si="73"/>
        <v>1</v>
      </c>
      <c r="AB465" s="49" t="str">
        <f t="shared" si="76"/>
        <v>101</v>
      </c>
      <c r="AC465" s="49">
        <f t="shared" si="74"/>
        <v>0</v>
      </c>
      <c r="AD465" s="49">
        <v>0</v>
      </c>
      <c r="AE465" s="49" t="str">
        <f t="shared" si="75"/>
        <v>37160</v>
      </c>
    </row>
    <row r="466" spans="1:31" x14ac:dyDescent="0.15">
      <c r="A466" s="42" t="str">
        <f t="shared" si="68"/>
        <v>0</v>
      </c>
      <c r="B466" s="43">
        <v>464</v>
      </c>
      <c r="C466" s="212" t="s">
        <v>2229</v>
      </c>
      <c r="D466" s="218" t="s">
        <v>1027</v>
      </c>
      <c r="E466" s="219" t="s">
        <v>2230</v>
      </c>
      <c r="F466" s="223" t="s">
        <v>856</v>
      </c>
      <c r="G466" s="220">
        <v>0</v>
      </c>
      <c r="H466" s="221">
        <v>65535</v>
      </c>
      <c r="I466" s="212">
        <v>0</v>
      </c>
      <c r="J466" s="221">
        <v>0</v>
      </c>
      <c r="K466" s="221">
        <v>0</v>
      </c>
      <c r="L466" s="221" t="s">
        <v>859</v>
      </c>
      <c r="M466" s="221">
        <v>1</v>
      </c>
      <c r="N466" s="221" t="s">
        <v>1910</v>
      </c>
      <c r="O466" s="221">
        <v>0</v>
      </c>
      <c r="P466" s="212">
        <v>0</v>
      </c>
      <c r="Q466" s="221">
        <v>1</v>
      </c>
      <c r="R466" s="221">
        <v>5</v>
      </c>
      <c r="S466" s="221">
        <v>0</v>
      </c>
      <c r="T466" s="53"/>
      <c r="V466" s="49" t="str">
        <f t="shared" si="69"/>
        <v>0</v>
      </c>
      <c r="W466" s="49" t="str">
        <f t="shared" si="70"/>
        <v>0</v>
      </c>
      <c r="X466" s="49" t="str">
        <f t="shared" si="71"/>
        <v>0</v>
      </c>
      <c r="Y466" s="49">
        <f t="shared" si="72"/>
        <v>0</v>
      </c>
      <c r="Z466" s="49">
        <f t="shared" si="72"/>
        <v>0</v>
      </c>
      <c r="AA466" s="49">
        <f t="shared" si="73"/>
        <v>1</v>
      </c>
      <c r="AB466" s="49" t="str">
        <f t="shared" si="76"/>
        <v>101</v>
      </c>
      <c r="AC466" s="49">
        <f t="shared" si="74"/>
        <v>0</v>
      </c>
      <c r="AD466" s="49">
        <v>0</v>
      </c>
      <c r="AE466" s="49" t="str">
        <f t="shared" si="75"/>
        <v>32C00</v>
      </c>
    </row>
    <row r="467" spans="1:31" x14ac:dyDescent="0.15">
      <c r="A467" s="42" t="str">
        <f t="shared" si="68"/>
        <v>0</v>
      </c>
      <c r="B467" s="43">
        <v>465</v>
      </c>
      <c r="C467" s="212" t="s">
        <v>2231</v>
      </c>
      <c r="D467" s="218" t="s">
        <v>1027</v>
      </c>
      <c r="E467" s="219" t="s">
        <v>2232</v>
      </c>
      <c r="F467" s="223" t="s">
        <v>856</v>
      </c>
      <c r="G467" s="220">
        <v>0</v>
      </c>
      <c r="H467" s="221">
        <v>65535</v>
      </c>
      <c r="I467" s="212">
        <v>0</v>
      </c>
      <c r="J467" s="221">
        <v>0</v>
      </c>
      <c r="K467" s="221">
        <v>0</v>
      </c>
      <c r="L467" s="221" t="s">
        <v>859</v>
      </c>
      <c r="M467" s="221">
        <v>1</v>
      </c>
      <c r="N467" s="221" t="s">
        <v>1910</v>
      </c>
      <c r="O467" s="221">
        <v>0</v>
      </c>
      <c r="P467" s="212">
        <v>0</v>
      </c>
      <c r="Q467" s="221">
        <v>1</v>
      </c>
      <c r="R467" s="221">
        <v>5</v>
      </c>
      <c r="S467" s="221">
        <v>0</v>
      </c>
      <c r="T467" s="53"/>
      <c r="V467" s="49" t="str">
        <f t="shared" si="69"/>
        <v>0</v>
      </c>
      <c r="W467" s="49" t="str">
        <f t="shared" si="70"/>
        <v>0</v>
      </c>
      <c r="X467" s="49" t="str">
        <f t="shared" si="71"/>
        <v>0</v>
      </c>
      <c r="Y467" s="49">
        <f t="shared" si="72"/>
        <v>0</v>
      </c>
      <c r="Z467" s="49">
        <f t="shared" si="72"/>
        <v>0</v>
      </c>
      <c r="AA467" s="49">
        <f t="shared" si="73"/>
        <v>1</v>
      </c>
      <c r="AB467" s="49" t="str">
        <f t="shared" si="76"/>
        <v>101</v>
      </c>
      <c r="AC467" s="49">
        <f t="shared" si="74"/>
        <v>0</v>
      </c>
      <c r="AD467" s="49">
        <v>0</v>
      </c>
      <c r="AE467" s="49" t="str">
        <f t="shared" si="75"/>
        <v>32C00</v>
      </c>
    </row>
    <row r="468" spans="1:31" x14ac:dyDescent="0.15">
      <c r="A468" s="42" t="str">
        <f t="shared" si="68"/>
        <v>0</v>
      </c>
      <c r="B468" s="43">
        <v>466</v>
      </c>
      <c r="C468" s="212" t="s">
        <v>2233</v>
      </c>
      <c r="D468" s="218" t="s">
        <v>1027</v>
      </c>
      <c r="E468" s="219" t="s">
        <v>2234</v>
      </c>
      <c r="F468" s="223" t="s">
        <v>856</v>
      </c>
      <c r="G468" s="220">
        <v>0</v>
      </c>
      <c r="H468" s="221">
        <v>65535</v>
      </c>
      <c r="I468" s="212">
        <v>0</v>
      </c>
      <c r="J468" s="221">
        <v>0</v>
      </c>
      <c r="K468" s="221">
        <v>0</v>
      </c>
      <c r="L468" s="221" t="s">
        <v>859</v>
      </c>
      <c r="M468" s="221">
        <v>1</v>
      </c>
      <c r="N468" s="221" t="s">
        <v>1910</v>
      </c>
      <c r="O468" s="221">
        <v>0</v>
      </c>
      <c r="P468" s="212">
        <v>0</v>
      </c>
      <c r="Q468" s="221">
        <v>1</v>
      </c>
      <c r="R468" s="221">
        <v>5</v>
      </c>
      <c r="S468" s="221">
        <v>0</v>
      </c>
      <c r="T468" s="53"/>
      <c r="V468" s="49" t="str">
        <f t="shared" si="69"/>
        <v>0</v>
      </c>
      <c r="W468" s="49" t="str">
        <f t="shared" si="70"/>
        <v>0</v>
      </c>
      <c r="X468" s="49" t="str">
        <f t="shared" si="71"/>
        <v>0</v>
      </c>
      <c r="Y468" s="49">
        <f t="shared" si="72"/>
        <v>0</v>
      </c>
      <c r="Z468" s="49">
        <f t="shared" si="72"/>
        <v>0</v>
      </c>
      <c r="AA468" s="49">
        <f t="shared" si="73"/>
        <v>1</v>
      </c>
      <c r="AB468" s="49" t="str">
        <f t="shared" si="76"/>
        <v>101</v>
      </c>
      <c r="AC468" s="49">
        <f t="shared" si="74"/>
        <v>0</v>
      </c>
      <c r="AD468" s="49">
        <v>0</v>
      </c>
      <c r="AE468" s="49" t="str">
        <f t="shared" si="75"/>
        <v>32C00</v>
      </c>
    </row>
    <row r="469" spans="1:31" x14ac:dyDescent="0.15">
      <c r="A469" s="42" t="str">
        <f t="shared" si="68"/>
        <v>0</v>
      </c>
      <c r="B469" s="43">
        <v>467</v>
      </c>
      <c r="C469" s="212" t="s">
        <v>2235</v>
      </c>
      <c r="D469" s="218" t="s">
        <v>1027</v>
      </c>
      <c r="E469" s="219" t="s">
        <v>2236</v>
      </c>
      <c r="F469" s="223" t="s">
        <v>856</v>
      </c>
      <c r="G469" s="220">
        <v>0</v>
      </c>
      <c r="H469" s="221">
        <v>65535</v>
      </c>
      <c r="I469" s="212">
        <v>0</v>
      </c>
      <c r="J469" s="221">
        <v>0</v>
      </c>
      <c r="K469" s="221">
        <v>0</v>
      </c>
      <c r="L469" s="221" t="s">
        <v>859</v>
      </c>
      <c r="M469" s="221">
        <v>1</v>
      </c>
      <c r="N469" s="221" t="s">
        <v>1910</v>
      </c>
      <c r="O469" s="221">
        <v>0</v>
      </c>
      <c r="P469" s="212">
        <v>0</v>
      </c>
      <c r="Q469" s="221">
        <v>1</v>
      </c>
      <c r="R469" s="221">
        <v>5</v>
      </c>
      <c r="S469" s="221">
        <v>0</v>
      </c>
      <c r="T469" s="53"/>
      <c r="V469" s="49" t="str">
        <f t="shared" si="69"/>
        <v>0</v>
      </c>
      <c r="W469" s="49" t="str">
        <f t="shared" si="70"/>
        <v>0</v>
      </c>
      <c r="X469" s="49" t="str">
        <f t="shared" si="71"/>
        <v>0</v>
      </c>
      <c r="Y469" s="49">
        <f t="shared" si="72"/>
        <v>0</v>
      </c>
      <c r="Z469" s="49">
        <f t="shared" si="72"/>
        <v>0</v>
      </c>
      <c r="AA469" s="49">
        <f t="shared" si="73"/>
        <v>1</v>
      </c>
      <c r="AB469" s="49" t="str">
        <f t="shared" si="76"/>
        <v>101</v>
      </c>
      <c r="AC469" s="49">
        <f t="shared" si="74"/>
        <v>0</v>
      </c>
      <c r="AD469" s="49">
        <v>0</v>
      </c>
      <c r="AE469" s="49" t="str">
        <f t="shared" si="75"/>
        <v>32C00</v>
      </c>
    </row>
    <row r="470" spans="1:31" x14ac:dyDescent="0.15">
      <c r="A470" s="42" t="str">
        <f t="shared" si="68"/>
        <v>0</v>
      </c>
      <c r="B470" s="43">
        <v>468</v>
      </c>
      <c r="C470" s="213" t="s">
        <v>2237</v>
      </c>
      <c r="D470" s="211" t="s">
        <v>2238</v>
      </c>
      <c r="E470" s="214" t="s">
        <v>2239</v>
      </c>
      <c r="F470" s="215" t="s">
        <v>854</v>
      </c>
      <c r="G470" s="216">
        <v>57000</v>
      </c>
      <c r="H470" s="217">
        <v>60000</v>
      </c>
      <c r="I470" s="213">
        <v>0</v>
      </c>
      <c r="J470" s="217" t="s">
        <v>435</v>
      </c>
      <c r="K470" s="217" t="s">
        <v>436</v>
      </c>
      <c r="L470" s="217" t="s">
        <v>859</v>
      </c>
      <c r="M470" s="217">
        <v>0.01</v>
      </c>
      <c r="N470" s="217" t="s">
        <v>1905</v>
      </c>
      <c r="O470" s="217">
        <v>0</v>
      </c>
      <c r="P470" s="213">
        <v>0</v>
      </c>
      <c r="Q470" s="217">
        <v>1</v>
      </c>
      <c r="R470" s="217">
        <v>5</v>
      </c>
      <c r="S470" s="217">
        <v>0</v>
      </c>
      <c r="T470" s="53"/>
      <c r="V470" s="49" t="str">
        <f t="shared" si="69"/>
        <v>0</v>
      </c>
      <c r="W470" s="49" t="str">
        <f t="shared" si="70"/>
        <v>10</v>
      </c>
      <c r="X470" s="49" t="str">
        <f t="shared" si="71"/>
        <v>0</v>
      </c>
      <c r="Y470" s="49">
        <f t="shared" si="72"/>
        <v>0</v>
      </c>
      <c r="Z470" s="49">
        <f t="shared" si="72"/>
        <v>0</v>
      </c>
      <c r="AA470" s="49">
        <f t="shared" si="73"/>
        <v>1</v>
      </c>
      <c r="AB470" s="49" t="str">
        <f t="shared" si="76"/>
        <v>101</v>
      </c>
      <c r="AC470" s="49">
        <f t="shared" si="74"/>
        <v>0</v>
      </c>
      <c r="AD470" s="49">
        <v>0</v>
      </c>
      <c r="AE470" s="49" t="str">
        <f t="shared" si="75"/>
        <v>32C28</v>
      </c>
    </row>
    <row r="471" spans="1:31" x14ac:dyDescent="0.15">
      <c r="A471" s="42" t="str">
        <f t="shared" si="68"/>
        <v>0</v>
      </c>
      <c r="B471" s="43">
        <v>469</v>
      </c>
      <c r="C471" s="213" t="s">
        <v>2240</v>
      </c>
      <c r="D471" s="211" t="s">
        <v>2241</v>
      </c>
      <c r="E471" s="214" t="s">
        <v>2242</v>
      </c>
      <c r="F471" s="215" t="s">
        <v>854</v>
      </c>
      <c r="G471" s="216">
        <v>56500</v>
      </c>
      <c r="H471" s="217">
        <v>60000</v>
      </c>
      <c r="I471" s="213">
        <v>0</v>
      </c>
      <c r="J471" s="217" t="s">
        <v>435</v>
      </c>
      <c r="K471" s="217" t="s">
        <v>436</v>
      </c>
      <c r="L471" s="217" t="s">
        <v>859</v>
      </c>
      <c r="M471" s="217">
        <v>0.01</v>
      </c>
      <c r="N471" s="217" t="s">
        <v>1905</v>
      </c>
      <c r="O471" s="217">
        <v>0</v>
      </c>
      <c r="P471" s="213">
        <v>0</v>
      </c>
      <c r="Q471" s="217">
        <v>1</v>
      </c>
      <c r="R471" s="217">
        <v>5</v>
      </c>
      <c r="S471" s="217">
        <v>0</v>
      </c>
      <c r="T471" s="53"/>
      <c r="V471" s="49" t="str">
        <f t="shared" si="69"/>
        <v>0</v>
      </c>
      <c r="W471" s="49" t="str">
        <f t="shared" si="70"/>
        <v>10</v>
      </c>
      <c r="X471" s="49" t="str">
        <f t="shared" si="71"/>
        <v>0</v>
      </c>
      <c r="Y471" s="49">
        <f t="shared" si="72"/>
        <v>0</v>
      </c>
      <c r="Z471" s="49">
        <f t="shared" si="72"/>
        <v>0</v>
      </c>
      <c r="AA471" s="49">
        <f t="shared" si="73"/>
        <v>1</v>
      </c>
      <c r="AB471" s="49" t="str">
        <f t="shared" si="76"/>
        <v>101</v>
      </c>
      <c r="AC471" s="49">
        <f t="shared" si="74"/>
        <v>0</v>
      </c>
      <c r="AD471" s="49">
        <v>0</v>
      </c>
      <c r="AE471" s="49" t="str">
        <f t="shared" si="75"/>
        <v>32C28</v>
      </c>
    </row>
    <row r="472" spans="1:31" x14ac:dyDescent="0.15">
      <c r="A472" s="42" t="str">
        <f t="shared" si="68"/>
        <v>0</v>
      </c>
      <c r="B472" s="43">
        <v>470</v>
      </c>
      <c r="C472" s="213" t="s">
        <v>2243</v>
      </c>
      <c r="D472" s="211" t="s">
        <v>2123</v>
      </c>
      <c r="E472" s="214" t="s">
        <v>2124</v>
      </c>
      <c r="F472" s="215" t="s">
        <v>856</v>
      </c>
      <c r="G472" s="216">
        <v>1</v>
      </c>
      <c r="H472" s="217">
        <v>65535</v>
      </c>
      <c r="I472" s="213">
        <v>0</v>
      </c>
      <c r="J472" s="217">
        <v>0</v>
      </c>
      <c r="K472" s="217">
        <v>0</v>
      </c>
      <c r="L472" s="217" t="s">
        <v>859</v>
      </c>
      <c r="M472" s="217">
        <v>1</v>
      </c>
      <c r="N472" s="217" t="s">
        <v>1910</v>
      </c>
      <c r="O472" s="217">
        <v>0</v>
      </c>
      <c r="P472" s="213">
        <v>0</v>
      </c>
      <c r="Q472" s="217">
        <v>1</v>
      </c>
      <c r="R472" s="217">
        <v>5</v>
      </c>
      <c r="S472" s="217">
        <v>0</v>
      </c>
      <c r="T472" s="53"/>
      <c r="V472" s="49" t="str">
        <f t="shared" si="69"/>
        <v>0</v>
      </c>
      <c r="W472" s="49" t="str">
        <f t="shared" si="70"/>
        <v>0</v>
      </c>
      <c r="X472" s="49" t="str">
        <f t="shared" si="71"/>
        <v>0</v>
      </c>
      <c r="Y472" s="49">
        <f t="shared" si="72"/>
        <v>0</v>
      </c>
      <c r="Z472" s="49">
        <f t="shared" si="72"/>
        <v>0</v>
      </c>
      <c r="AA472" s="49">
        <f t="shared" si="73"/>
        <v>1</v>
      </c>
      <c r="AB472" s="49" t="str">
        <f t="shared" si="76"/>
        <v>101</v>
      </c>
      <c r="AC472" s="49">
        <f t="shared" si="74"/>
        <v>0</v>
      </c>
      <c r="AD472" s="49">
        <v>0</v>
      </c>
      <c r="AE472" s="49" t="str">
        <f t="shared" si="75"/>
        <v>32C00</v>
      </c>
    </row>
    <row r="473" spans="1:31" x14ac:dyDescent="0.15">
      <c r="A473" s="42" t="str">
        <f t="shared" si="68"/>
        <v>0</v>
      </c>
      <c r="B473" s="43">
        <v>471</v>
      </c>
      <c r="C473" s="213" t="s">
        <v>2244</v>
      </c>
      <c r="D473" s="211" t="s">
        <v>2245</v>
      </c>
      <c r="E473" s="214" t="s">
        <v>2246</v>
      </c>
      <c r="F473" s="215" t="s">
        <v>1013</v>
      </c>
      <c r="G473" s="216">
        <v>1600</v>
      </c>
      <c r="H473" s="217">
        <v>4000</v>
      </c>
      <c r="I473" s="213">
        <v>0</v>
      </c>
      <c r="J473" s="217">
        <v>0</v>
      </c>
      <c r="K473" s="217">
        <v>0</v>
      </c>
      <c r="L473" s="217" t="s">
        <v>859</v>
      </c>
      <c r="M473" s="217">
        <v>0.1</v>
      </c>
      <c r="N473" s="217" t="s">
        <v>1907</v>
      </c>
      <c r="O473" s="217">
        <v>0</v>
      </c>
      <c r="P473" s="213">
        <v>0</v>
      </c>
      <c r="Q473" s="217">
        <v>1</v>
      </c>
      <c r="R473" s="217">
        <v>4</v>
      </c>
      <c r="S473" s="217">
        <v>0</v>
      </c>
      <c r="T473" s="53"/>
      <c r="V473" s="49" t="str">
        <f t="shared" si="69"/>
        <v>0</v>
      </c>
      <c r="W473" s="49" t="str">
        <f t="shared" si="70"/>
        <v>1</v>
      </c>
      <c r="X473" s="49" t="e">
        <f t="shared" si="71"/>
        <v>#N/A</v>
      </c>
      <c r="Y473" s="49">
        <f t="shared" si="72"/>
        <v>0</v>
      </c>
      <c r="Z473" s="49">
        <f t="shared" si="72"/>
        <v>0</v>
      </c>
      <c r="AA473" s="49">
        <f t="shared" si="73"/>
        <v>1</v>
      </c>
      <c r="AB473" s="49" t="str">
        <f t="shared" si="76"/>
        <v>100</v>
      </c>
      <c r="AC473" s="49">
        <f t="shared" si="74"/>
        <v>0</v>
      </c>
      <c r="AD473" s="49">
        <v>0</v>
      </c>
      <c r="AE473" s="49" t="e">
        <f t="shared" si="75"/>
        <v>#N/A</v>
      </c>
    </row>
    <row r="474" spans="1:31" x14ac:dyDescent="0.15">
      <c r="A474" s="42" t="str">
        <f t="shared" si="68"/>
        <v>0</v>
      </c>
      <c r="B474" s="43">
        <v>472</v>
      </c>
      <c r="C474" s="213" t="s">
        <v>2247</v>
      </c>
      <c r="D474" s="211" t="s">
        <v>2248</v>
      </c>
      <c r="E474" s="214" t="s">
        <v>2249</v>
      </c>
      <c r="F474" s="215" t="s">
        <v>856</v>
      </c>
      <c r="G474" s="216">
        <v>3000</v>
      </c>
      <c r="H474" s="217">
        <v>50000</v>
      </c>
      <c r="I474" s="213">
        <v>1</v>
      </c>
      <c r="J474" s="217">
        <v>0</v>
      </c>
      <c r="K474" s="217">
        <v>0</v>
      </c>
      <c r="L474" s="217" t="s">
        <v>859</v>
      </c>
      <c r="M474" s="217">
        <v>1E-3</v>
      </c>
      <c r="N474" s="217" t="s">
        <v>2188</v>
      </c>
      <c r="O474" s="217">
        <v>0</v>
      </c>
      <c r="P474" s="213">
        <v>0</v>
      </c>
      <c r="Q474" s="217">
        <v>1</v>
      </c>
      <c r="R474" s="217">
        <v>5</v>
      </c>
      <c r="S474" s="217">
        <v>0</v>
      </c>
      <c r="T474" s="53"/>
      <c r="V474" s="49" t="str">
        <f t="shared" si="69"/>
        <v>0</v>
      </c>
      <c r="W474" s="49" t="str">
        <f t="shared" si="70"/>
        <v>11</v>
      </c>
      <c r="X474" s="49" t="str">
        <f t="shared" si="71"/>
        <v>0</v>
      </c>
      <c r="Y474" s="49">
        <f t="shared" si="72"/>
        <v>0</v>
      </c>
      <c r="Z474" s="49">
        <f t="shared" si="72"/>
        <v>0</v>
      </c>
      <c r="AA474" s="49">
        <f t="shared" si="73"/>
        <v>1</v>
      </c>
      <c r="AB474" s="49" t="str">
        <f t="shared" si="76"/>
        <v>101</v>
      </c>
      <c r="AC474" s="49">
        <f t="shared" si="74"/>
        <v>0</v>
      </c>
      <c r="AD474" s="49">
        <v>0</v>
      </c>
      <c r="AE474" s="49" t="str">
        <f t="shared" si="75"/>
        <v>32C2C</v>
      </c>
    </row>
    <row r="475" spans="1:31" x14ac:dyDescent="0.15">
      <c r="A475" s="42" t="str">
        <f t="shared" si="68"/>
        <v>0</v>
      </c>
      <c r="B475" s="43">
        <v>473</v>
      </c>
      <c r="C475" s="213" t="s">
        <v>2250</v>
      </c>
      <c r="D475" s="211" t="s">
        <v>2251</v>
      </c>
      <c r="E475" s="214" t="s">
        <v>2252</v>
      </c>
      <c r="F475" s="215" t="s">
        <v>1013</v>
      </c>
      <c r="G475" s="216">
        <v>1500</v>
      </c>
      <c r="H475" s="217">
        <v>4000</v>
      </c>
      <c r="I475" s="213">
        <v>0</v>
      </c>
      <c r="J475" s="217">
        <v>0</v>
      </c>
      <c r="K475" s="217">
        <v>0</v>
      </c>
      <c r="L475" s="217" t="s">
        <v>859</v>
      </c>
      <c r="M475" s="217">
        <v>0.1</v>
      </c>
      <c r="N475" s="217" t="s">
        <v>1907</v>
      </c>
      <c r="O475" s="217">
        <v>0</v>
      </c>
      <c r="P475" s="213">
        <v>0</v>
      </c>
      <c r="Q475" s="217">
        <v>1</v>
      </c>
      <c r="R475" s="217">
        <v>4</v>
      </c>
      <c r="S475" s="217">
        <v>0</v>
      </c>
      <c r="T475" s="53"/>
      <c r="V475" s="49" t="str">
        <f t="shared" si="69"/>
        <v>0</v>
      </c>
      <c r="W475" s="49" t="str">
        <f t="shared" si="70"/>
        <v>1</v>
      </c>
      <c r="X475" s="49" t="e">
        <f t="shared" si="71"/>
        <v>#N/A</v>
      </c>
      <c r="Y475" s="49">
        <f t="shared" si="72"/>
        <v>0</v>
      </c>
      <c r="Z475" s="49">
        <f t="shared" si="72"/>
        <v>0</v>
      </c>
      <c r="AA475" s="49">
        <f t="shared" si="73"/>
        <v>1</v>
      </c>
      <c r="AB475" s="49" t="str">
        <f t="shared" si="76"/>
        <v>100</v>
      </c>
      <c r="AC475" s="49">
        <f t="shared" si="74"/>
        <v>0</v>
      </c>
      <c r="AD475" s="49">
        <v>0</v>
      </c>
      <c r="AE475" s="49" t="e">
        <f t="shared" si="75"/>
        <v>#N/A</v>
      </c>
    </row>
    <row r="476" spans="1:31" x14ac:dyDescent="0.15">
      <c r="A476" s="42" t="str">
        <f t="shared" si="68"/>
        <v>0</v>
      </c>
      <c r="B476" s="43">
        <v>474</v>
      </c>
      <c r="C476" s="213" t="s">
        <v>2253</v>
      </c>
      <c r="D476" s="211" t="s">
        <v>2254</v>
      </c>
      <c r="E476" s="214" t="s">
        <v>2255</v>
      </c>
      <c r="F476" s="215" t="s">
        <v>2256</v>
      </c>
      <c r="G476" s="216">
        <v>1000</v>
      </c>
      <c r="H476" s="217">
        <v>65535</v>
      </c>
      <c r="I476" s="213">
        <v>0</v>
      </c>
      <c r="J476" s="217">
        <v>0</v>
      </c>
      <c r="K476" s="217">
        <v>0</v>
      </c>
      <c r="L476" s="217" t="s">
        <v>859</v>
      </c>
      <c r="M476" s="217">
        <v>0.01</v>
      </c>
      <c r="N476" s="217" t="s">
        <v>1905</v>
      </c>
      <c r="O476" s="217">
        <v>0</v>
      </c>
      <c r="P476" s="213">
        <v>0</v>
      </c>
      <c r="Q476" s="217">
        <v>1</v>
      </c>
      <c r="R476" s="217">
        <v>5</v>
      </c>
      <c r="S476" s="217">
        <v>0</v>
      </c>
      <c r="T476" s="53"/>
      <c r="V476" s="49" t="str">
        <f t="shared" si="69"/>
        <v>0</v>
      </c>
      <c r="W476" s="49" t="str">
        <f t="shared" si="70"/>
        <v>10</v>
      </c>
      <c r="X476" s="49" t="str">
        <f t="shared" si="71"/>
        <v>0</v>
      </c>
      <c r="Y476" s="49">
        <f t="shared" si="72"/>
        <v>0</v>
      </c>
      <c r="Z476" s="49">
        <f t="shared" si="72"/>
        <v>0</v>
      </c>
      <c r="AA476" s="49">
        <f t="shared" si="73"/>
        <v>1</v>
      </c>
      <c r="AB476" s="49" t="str">
        <f t="shared" si="76"/>
        <v>101</v>
      </c>
      <c r="AC476" s="49">
        <f t="shared" si="74"/>
        <v>0</v>
      </c>
      <c r="AD476" s="49">
        <v>0</v>
      </c>
      <c r="AE476" s="49" t="str">
        <f t="shared" si="75"/>
        <v>32C28</v>
      </c>
    </row>
    <row r="477" spans="1:31" x14ac:dyDescent="0.15">
      <c r="A477" s="42" t="str">
        <f t="shared" si="68"/>
        <v>0</v>
      </c>
      <c r="B477" s="43">
        <v>475</v>
      </c>
      <c r="C477" s="213" t="s">
        <v>2257</v>
      </c>
      <c r="D477" s="211" t="s">
        <v>1902</v>
      </c>
      <c r="E477" s="214" t="s">
        <v>1903</v>
      </c>
      <c r="F477" s="215" t="s">
        <v>1904</v>
      </c>
      <c r="G477" s="216">
        <v>100</v>
      </c>
      <c r="H477" s="217">
        <v>60000</v>
      </c>
      <c r="I477" s="213">
        <v>0</v>
      </c>
      <c r="J477" s="217">
        <v>0</v>
      </c>
      <c r="K477" s="217">
        <v>0</v>
      </c>
      <c r="L477" s="217" t="s">
        <v>859</v>
      </c>
      <c r="M477" s="217">
        <v>0.01</v>
      </c>
      <c r="N477" s="217" t="s">
        <v>1905</v>
      </c>
      <c r="O477" s="217">
        <v>0</v>
      </c>
      <c r="P477" s="213">
        <v>0</v>
      </c>
      <c r="Q477" s="217">
        <v>1</v>
      </c>
      <c r="R477" s="217">
        <v>5</v>
      </c>
      <c r="S477" s="217">
        <v>0</v>
      </c>
      <c r="T477" s="53"/>
      <c r="V477" s="49" t="str">
        <f t="shared" si="69"/>
        <v>0</v>
      </c>
      <c r="W477" s="49" t="str">
        <f t="shared" si="70"/>
        <v>10</v>
      </c>
      <c r="X477" s="49" t="str">
        <f t="shared" si="71"/>
        <v>0</v>
      </c>
      <c r="Y477" s="49">
        <f t="shared" si="72"/>
        <v>0</v>
      </c>
      <c r="Z477" s="49">
        <f t="shared" si="72"/>
        <v>0</v>
      </c>
      <c r="AA477" s="49">
        <f t="shared" si="73"/>
        <v>1</v>
      </c>
      <c r="AB477" s="49" t="str">
        <f t="shared" si="76"/>
        <v>101</v>
      </c>
      <c r="AC477" s="49">
        <f t="shared" si="74"/>
        <v>0</v>
      </c>
      <c r="AD477" s="49">
        <v>0</v>
      </c>
      <c r="AE477" s="49" t="str">
        <f t="shared" si="75"/>
        <v>32C28</v>
      </c>
    </row>
    <row r="478" spans="1:31" x14ac:dyDescent="0.15">
      <c r="A478" s="42" t="str">
        <f t="shared" si="68"/>
        <v>0</v>
      </c>
      <c r="B478" s="43">
        <v>476</v>
      </c>
      <c r="C478" s="213" t="s">
        <v>2258</v>
      </c>
      <c r="D478" s="211" t="s">
        <v>1906</v>
      </c>
      <c r="E478" s="214" t="s">
        <v>2259</v>
      </c>
      <c r="F478" s="215" t="s">
        <v>1013</v>
      </c>
      <c r="G478" s="216">
        <v>1500</v>
      </c>
      <c r="H478" s="217">
        <v>4000</v>
      </c>
      <c r="I478" s="213">
        <v>0</v>
      </c>
      <c r="J478" s="217">
        <v>0</v>
      </c>
      <c r="K478" s="217">
        <v>0</v>
      </c>
      <c r="L478" s="217" t="s">
        <v>859</v>
      </c>
      <c r="M478" s="217">
        <v>0.1</v>
      </c>
      <c r="N478" s="217" t="s">
        <v>1907</v>
      </c>
      <c r="O478" s="217">
        <v>0</v>
      </c>
      <c r="P478" s="213">
        <v>0</v>
      </c>
      <c r="Q478" s="217">
        <v>1</v>
      </c>
      <c r="R478" s="217">
        <v>4</v>
      </c>
      <c r="S478" s="217">
        <v>0</v>
      </c>
      <c r="T478" s="53"/>
      <c r="V478" s="49" t="str">
        <f t="shared" si="69"/>
        <v>0</v>
      </c>
      <c r="W478" s="49" t="str">
        <f t="shared" si="70"/>
        <v>1</v>
      </c>
      <c r="X478" s="49" t="e">
        <f t="shared" si="71"/>
        <v>#N/A</v>
      </c>
      <c r="Y478" s="49">
        <f t="shared" si="72"/>
        <v>0</v>
      </c>
      <c r="Z478" s="49">
        <f t="shared" si="72"/>
        <v>0</v>
      </c>
      <c r="AA478" s="49">
        <f t="shared" si="73"/>
        <v>1</v>
      </c>
      <c r="AB478" s="49" t="str">
        <f t="shared" si="76"/>
        <v>100</v>
      </c>
      <c r="AC478" s="49">
        <f t="shared" si="74"/>
        <v>0</v>
      </c>
      <c r="AD478" s="49">
        <v>0</v>
      </c>
      <c r="AE478" s="49" t="e">
        <f t="shared" si="75"/>
        <v>#N/A</v>
      </c>
    </row>
    <row r="479" spans="1:31" x14ac:dyDescent="0.15">
      <c r="A479" s="42" t="str">
        <f t="shared" si="68"/>
        <v>0</v>
      </c>
      <c r="B479" s="43">
        <v>477</v>
      </c>
      <c r="C479" s="213" t="s">
        <v>2260</v>
      </c>
      <c r="D479" s="211" t="s">
        <v>1484</v>
      </c>
      <c r="E479" s="214" t="s">
        <v>2261</v>
      </c>
      <c r="F479" s="215" t="s">
        <v>2262</v>
      </c>
      <c r="G479" s="216">
        <v>500</v>
      </c>
      <c r="H479" s="217">
        <v>60000</v>
      </c>
      <c r="I479" s="213">
        <v>0</v>
      </c>
      <c r="J479" s="217">
        <v>0</v>
      </c>
      <c r="K479" s="217">
        <v>0</v>
      </c>
      <c r="L479" s="217" t="s">
        <v>859</v>
      </c>
      <c r="M479" s="217">
        <v>0.01</v>
      </c>
      <c r="N479" s="217" t="s">
        <v>1905</v>
      </c>
      <c r="O479" s="217">
        <v>0</v>
      </c>
      <c r="P479" s="213">
        <v>0</v>
      </c>
      <c r="Q479" s="217">
        <v>1</v>
      </c>
      <c r="R479" s="217">
        <v>5</v>
      </c>
      <c r="S479" s="217">
        <v>0</v>
      </c>
      <c r="T479" s="53"/>
      <c r="V479" s="49" t="str">
        <f t="shared" si="69"/>
        <v>0</v>
      </c>
      <c r="W479" s="49" t="str">
        <f t="shared" si="70"/>
        <v>10</v>
      </c>
      <c r="X479" s="49" t="str">
        <f t="shared" si="71"/>
        <v>0</v>
      </c>
      <c r="Y479" s="49">
        <f t="shared" si="72"/>
        <v>0</v>
      </c>
      <c r="Z479" s="49">
        <f t="shared" si="72"/>
        <v>0</v>
      </c>
      <c r="AA479" s="49">
        <f t="shared" si="73"/>
        <v>1</v>
      </c>
      <c r="AB479" s="49" t="str">
        <f t="shared" si="76"/>
        <v>101</v>
      </c>
      <c r="AC479" s="49">
        <f t="shared" si="74"/>
        <v>0</v>
      </c>
      <c r="AD479" s="49">
        <v>0</v>
      </c>
      <c r="AE479" s="49" t="str">
        <f t="shared" si="75"/>
        <v>32C28</v>
      </c>
    </row>
    <row r="480" spans="1:31" x14ac:dyDescent="0.15">
      <c r="A480" s="42" t="str">
        <f t="shared" si="68"/>
        <v>0</v>
      </c>
      <c r="B480" s="43">
        <v>478</v>
      </c>
      <c r="C480" s="213" t="s">
        <v>2263</v>
      </c>
      <c r="D480" s="211" t="s">
        <v>1485</v>
      </c>
      <c r="E480" s="214" t="s">
        <v>2264</v>
      </c>
      <c r="F480" s="215" t="s">
        <v>2265</v>
      </c>
      <c r="G480" s="216">
        <v>1000</v>
      </c>
      <c r="H480" s="217">
        <v>60000</v>
      </c>
      <c r="I480" s="213">
        <v>0</v>
      </c>
      <c r="J480" s="217">
        <v>0</v>
      </c>
      <c r="K480" s="217">
        <v>0</v>
      </c>
      <c r="L480" s="217" t="s">
        <v>859</v>
      </c>
      <c r="M480" s="217">
        <v>0.01</v>
      </c>
      <c r="N480" s="217" t="s">
        <v>1905</v>
      </c>
      <c r="O480" s="217">
        <v>0</v>
      </c>
      <c r="P480" s="213">
        <v>0</v>
      </c>
      <c r="Q480" s="217">
        <v>1</v>
      </c>
      <c r="R480" s="217">
        <v>5</v>
      </c>
      <c r="S480" s="217">
        <v>0</v>
      </c>
      <c r="T480" s="53"/>
      <c r="V480" s="49" t="str">
        <f t="shared" si="69"/>
        <v>0</v>
      </c>
      <c r="W480" s="49" t="str">
        <f t="shared" si="70"/>
        <v>10</v>
      </c>
      <c r="X480" s="49" t="str">
        <f t="shared" si="71"/>
        <v>0</v>
      </c>
      <c r="Y480" s="49">
        <f t="shared" si="72"/>
        <v>0</v>
      </c>
      <c r="Z480" s="49">
        <f t="shared" si="72"/>
        <v>0</v>
      </c>
      <c r="AA480" s="49">
        <f t="shared" si="73"/>
        <v>1</v>
      </c>
      <c r="AB480" s="49" t="str">
        <f t="shared" si="76"/>
        <v>101</v>
      </c>
      <c r="AC480" s="49">
        <f t="shared" si="74"/>
        <v>0</v>
      </c>
      <c r="AD480" s="49">
        <v>0</v>
      </c>
      <c r="AE480" s="49" t="str">
        <f t="shared" si="75"/>
        <v>32C28</v>
      </c>
    </row>
    <row r="481" spans="1:31" x14ac:dyDescent="0.15">
      <c r="A481" s="42" t="str">
        <f t="shared" si="68"/>
        <v>0</v>
      </c>
      <c r="B481" s="43">
        <v>479</v>
      </c>
      <c r="C481" s="213" t="s">
        <v>2266</v>
      </c>
      <c r="D481" s="211" t="s">
        <v>2267</v>
      </c>
      <c r="E481" s="214" t="s">
        <v>2268</v>
      </c>
      <c r="F481" s="215" t="s">
        <v>1013</v>
      </c>
      <c r="G481" s="216">
        <v>1500</v>
      </c>
      <c r="H481" s="217">
        <v>4000</v>
      </c>
      <c r="I481" s="213">
        <v>0</v>
      </c>
      <c r="J481" s="217">
        <v>0</v>
      </c>
      <c r="K481" s="217">
        <v>0</v>
      </c>
      <c r="L481" s="217" t="s">
        <v>859</v>
      </c>
      <c r="M481" s="217">
        <v>0.1</v>
      </c>
      <c r="N481" s="217" t="s">
        <v>1907</v>
      </c>
      <c r="O481" s="217">
        <v>0</v>
      </c>
      <c r="P481" s="213">
        <v>0</v>
      </c>
      <c r="Q481" s="217">
        <v>1</v>
      </c>
      <c r="R481" s="217">
        <v>4</v>
      </c>
      <c r="S481" s="217">
        <v>0</v>
      </c>
      <c r="T481" s="53"/>
      <c r="V481" s="49" t="str">
        <f t="shared" si="69"/>
        <v>0</v>
      </c>
      <c r="W481" s="49" t="str">
        <f t="shared" si="70"/>
        <v>1</v>
      </c>
      <c r="X481" s="49" t="e">
        <f t="shared" si="71"/>
        <v>#N/A</v>
      </c>
      <c r="Y481" s="49">
        <f t="shared" si="72"/>
        <v>0</v>
      </c>
      <c r="Z481" s="49">
        <f t="shared" si="72"/>
        <v>0</v>
      </c>
      <c r="AA481" s="49">
        <f t="shared" si="73"/>
        <v>1</v>
      </c>
      <c r="AB481" s="49" t="str">
        <f t="shared" si="76"/>
        <v>100</v>
      </c>
      <c r="AC481" s="49">
        <f t="shared" si="74"/>
        <v>0</v>
      </c>
      <c r="AD481" s="49">
        <v>0</v>
      </c>
      <c r="AE481" s="49" t="e">
        <f t="shared" si="75"/>
        <v>#N/A</v>
      </c>
    </row>
    <row r="482" spans="1:31" x14ac:dyDescent="0.15">
      <c r="A482" s="42" t="str">
        <f t="shared" si="68"/>
        <v>0</v>
      </c>
      <c r="B482" s="43">
        <v>480</v>
      </c>
      <c r="C482" s="213" t="s">
        <v>2269</v>
      </c>
      <c r="D482" s="211" t="s">
        <v>2270</v>
      </c>
      <c r="E482" s="214" t="s">
        <v>2271</v>
      </c>
      <c r="F482" s="215" t="s">
        <v>856</v>
      </c>
      <c r="G482" s="270">
        <v>10000</v>
      </c>
      <c r="H482" s="217">
        <v>65535</v>
      </c>
      <c r="I482" s="213">
        <v>0</v>
      </c>
      <c r="J482" s="217">
        <v>0</v>
      </c>
      <c r="K482" s="217">
        <v>0</v>
      </c>
      <c r="L482" s="217" t="s">
        <v>859</v>
      </c>
      <c r="M482" s="217">
        <v>1</v>
      </c>
      <c r="N482" s="217" t="s">
        <v>1910</v>
      </c>
      <c r="O482" s="217">
        <v>0</v>
      </c>
      <c r="P482" s="213">
        <v>0</v>
      </c>
      <c r="Q482" s="217">
        <v>1</v>
      </c>
      <c r="R482" s="217">
        <v>5</v>
      </c>
      <c r="S482" s="217">
        <v>0</v>
      </c>
      <c r="T482" s="53"/>
      <c r="V482" s="49" t="str">
        <f t="shared" si="69"/>
        <v>0</v>
      </c>
      <c r="W482" s="49" t="str">
        <f t="shared" si="70"/>
        <v>0</v>
      </c>
      <c r="X482" s="49" t="str">
        <f t="shared" si="71"/>
        <v>0</v>
      </c>
      <c r="Y482" s="49">
        <f t="shared" si="72"/>
        <v>0</v>
      </c>
      <c r="Z482" s="49">
        <f t="shared" si="72"/>
        <v>0</v>
      </c>
      <c r="AA482" s="49">
        <f t="shared" si="73"/>
        <v>1</v>
      </c>
      <c r="AB482" s="49" t="str">
        <f t="shared" si="76"/>
        <v>101</v>
      </c>
      <c r="AC482" s="49">
        <f t="shared" si="74"/>
        <v>0</v>
      </c>
      <c r="AD482" s="49">
        <v>0</v>
      </c>
      <c r="AE482" s="49" t="str">
        <f t="shared" si="75"/>
        <v>32C00</v>
      </c>
    </row>
    <row r="483" spans="1:31" x14ac:dyDescent="0.15">
      <c r="A483" s="42" t="str">
        <f t="shared" si="68"/>
        <v>0</v>
      </c>
      <c r="B483" s="43">
        <v>481</v>
      </c>
      <c r="C483" s="213" t="s">
        <v>2272</v>
      </c>
      <c r="D483" s="211" t="s">
        <v>2273</v>
      </c>
      <c r="E483" s="214" t="s">
        <v>2274</v>
      </c>
      <c r="F483" s="215" t="s">
        <v>856</v>
      </c>
      <c r="G483" s="216">
        <v>1050</v>
      </c>
      <c r="H483" s="217">
        <v>65535</v>
      </c>
      <c r="I483" s="213">
        <v>0</v>
      </c>
      <c r="J483" s="217">
        <v>0</v>
      </c>
      <c r="K483" s="217">
        <v>0</v>
      </c>
      <c r="L483" s="217" t="s">
        <v>859</v>
      </c>
      <c r="M483" s="217">
        <v>0.1</v>
      </c>
      <c r="N483" s="217" t="s">
        <v>1910</v>
      </c>
      <c r="O483" s="217">
        <v>0</v>
      </c>
      <c r="P483" s="213">
        <v>0</v>
      </c>
      <c r="Q483" s="217">
        <v>1</v>
      </c>
      <c r="R483" s="217">
        <v>5</v>
      </c>
      <c r="S483" s="217">
        <v>0</v>
      </c>
      <c r="T483" s="53"/>
      <c r="V483" s="49" t="str">
        <f t="shared" si="69"/>
        <v>0</v>
      </c>
      <c r="W483" s="49" t="str">
        <f t="shared" si="70"/>
        <v>1</v>
      </c>
      <c r="X483" s="49" t="str">
        <f t="shared" si="71"/>
        <v>0</v>
      </c>
      <c r="Y483" s="49">
        <f t="shared" si="72"/>
        <v>0</v>
      </c>
      <c r="Z483" s="49">
        <f t="shared" si="72"/>
        <v>0</v>
      </c>
      <c r="AA483" s="49">
        <f t="shared" si="73"/>
        <v>1</v>
      </c>
      <c r="AB483" s="49" t="str">
        <f t="shared" si="76"/>
        <v>101</v>
      </c>
      <c r="AC483" s="49">
        <f t="shared" si="74"/>
        <v>0</v>
      </c>
      <c r="AD483" s="49">
        <v>0</v>
      </c>
      <c r="AE483" s="49" t="str">
        <f t="shared" si="75"/>
        <v>32C04</v>
      </c>
    </row>
    <row r="484" spans="1:31" x14ac:dyDescent="0.15">
      <c r="A484" s="42" t="str">
        <f t="shared" si="68"/>
        <v>0</v>
      </c>
      <c r="B484" s="43">
        <v>482</v>
      </c>
      <c r="C484" s="213" t="s">
        <v>2275</v>
      </c>
      <c r="D484" s="211" t="s">
        <v>2276</v>
      </c>
      <c r="E484" s="214" t="s">
        <v>2277</v>
      </c>
      <c r="F484" s="215" t="s">
        <v>856</v>
      </c>
      <c r="G484" s="216">
        <v>10</v>
      </c>
      <c r="H484" s="217">
        <v>65535</v>
      </c>
      <c r="I484" s="213">
        <v>0</v>
      </c>
      <c r="J484" s="217">
        <v>0</v>
      </c>
      <c r="K484" s="217">
        <v>0</v>
      </c>
      <c r="L484" s="217" t="s">
        <v>859</v>
      </c>
      <c r="M484" s="217">
        <v>1</v>
      </c>
      <c r="N484" s="217" t="s">
        <v>1910</v>
      </c>
      <c r="O484" s="217">
        <v>0</v>
      </c>
      <c r="P484" s="213">
        <v>0</v>
      </c>
      <c r="Q484" s="217">
        <v>1</v>
      </c>
      <c r="R484" s="217">
        <v>5</v>
      </c>
      <c r="S484" s="217">
        <v>0</v>
      </c>
      <c r="T484" s="53"/>
      <c r="V484" s="49" t="str">
        <f t="shared" si="69"/>
        <v>0</v>
      </c>
      <c r="W484" s="49" t="str">
        <f t="shared" si="70"/>
        <v>0</v>
      </c>
      <c r="X484" s="49" t="str">
        <f t="shared" si="71"/>
        <v>0</v>
      </c>
      <c r="Y484" s="49">
        <f t="shared" si="72"/>
        <v>0</v>
      </c>
      <c r="Z484" s="49">
        <f t="shared" si="72"/>
        <v>0</v>
      </c>
      <c r="AA484" s="49">
        <f t="shared" si="73"/>
        <v>1</v>
      </c>
      <c r="AB484" s="49" t="str">
        <f t="shared" si="76"/>
        <v>101</v>
      </c>
      <c r="AC484" s="49">
        <f t="shared" si="74"/>
        <v>0</v>
      </c>
      <c r="AD484" s="49">
        <v>0</v>
      </c>
      <c r="AE484" s="49" t="str">
        <f t="shared" si="75"/>
        <v>32C00</v>
      </c>
    </row>
    <row r="485" spans="1:31" x14ac:dyDescent="0.15">
      <c r="A485" s="42" t="str">
        <f t="shared" si="68"/>
        <v>0</v>
      </c>
      <c r="B485" s="43">
        <v>483</v>
      </c>
      <c r="C485" s="213" t="s">
        <v>2278</v>
      </c>
      <c r="D485" s="211" t="s">
        <v>2279</v>
      </c>
      <c r="E485" s="214" t="s">
        <v>2280</v>
      </c>
      <c r="F485" s="215" t="s">
        <v>856</v>
      </c>
      <c r="G485" s="216">
        <v>300</v>
      </c>
      <c r="H485" s="217">
        <v>65535</v>
      </c>
      <c r="I485" s="213">
        <v>0</v>
      </c>
      <c r="J485" s="217">
        <v>0</v>
      </c>
      <c r="K485" s="217">
        <v>0</v>
      </c>
      <c r="L485" s="217" t="s">
        <v>859</v>
      </c>
      <c r="M485" s="217">
        <v>1</v>
      </c>
      <c r="N485" s="217" t="s">
        <v>1910</v>
      </c>
      <c r="O485" s="217">
        <v>0</v>
      </c>
      <c r="P485" s="213">
        <v>0</v>
      </c>
      <c r="Q485" s="217">
        <v>1</v>
      </c>
      <c r="R485" s="217">
        <v>5</v>
      </c>
      <c r="S485" s="217">
        <v>0</v>
      </c>
      <c r="T485" s="53"/>
      <c r="V485" s="49" t="str">
        <f t="shared" si="69"/>
        <v>0</v>
      </c>
      <c r="W485" s="49" t="str">
        <f t="shared" si="70"/>
        <v>0</v>
      </c>
      <c r="X485" s="49" t="str">
        <f t="shared" si="71"/>
        <v>0</v>
      </c>
      <c r="Y485" s="49">
        <f t="shared" si="72"/>
        <v>0</v>
      </c>
      <c r="Z485" s="49">
        <f t="shared" si="72"/>
        <v>0</v>
      </c>
      <c r="AA485" s="49">
        <f t="shared" si="73"/>
        <v>1</v>
      </c>
      <c r="AB485" s="49" t="str">
        <f t="shared" si="76"/>
        <v>101</v>
      </c>
      <c r="AC485" s="49">
        <f t="shared" si="74"/>
        <v>0</v>
      </c>
      <c r="AD485" s="49">
        <v>0</v>
      </c>
      <c r="AE485" s="49" t="str">
        <f t="shared" si="75"/>
        <v>32C00</v>
      </c>
    </row>
    <row r="486" spans="1:31" x14ac:dyDescent="0.15">
      <c r="A486" s="42" t="str">
        <f t="shared" si="68"/>
        <v>0</v>
      </c>
      <c r="B486" s="43">
        <v>484</v>
      </c>
      <c r="C486" s="213" t="s">
        <v>2281</v>
      </c>
      <c r="D486" s="211" t="s">
        <v>2282</v>
      </c>
      <c r="E486" s="214" t="s">
        <v>2283</v>
      </c>
      <c r="F486" s="215" t="s">
        <v>856</v>
      </c>
      <c r="G486" s="216">
        <v>600</v>
      </c>
      <c r="H486" s="217">
        <v>65535</v>
      </c>
      <c r="I486" s="213">
        <v>0</v>
      </c>
      <c r="J486" s="217">
        <v>0</v>
      </c>
      <c r="K486" s="217">
        <v>0</v>
      </c>
      <c r="L486" s="217" t="s">
        <v>859</v>
      </c>
      <c r="M486" s="217">
        <v>1</v>
      </c>
      <c r="N486" s="217" t="s">
        <v>1910</v>
      </c>
      <c r="O486" s="217">
        <v>0</v>
      </c>
      <c r="P486" s="213">
        <v>0</v>
      </c>
      <c r="Q486" s="217">
        <v>1</v>
      </c>
      <c r="R486" s="217">
        <v>5</v>
      </c>
      <c r="S486" s="217">
        <v>0</v>
      </c>
      <c r="T486" s="53"/>
      <c r="V486" s="49" t="str">
        <f t="shared" si="69"/>
        <v>0</v>
      </c>
      <c r="W486" s="49" t="str">
        <f t="shared" si="70"/>
        <v>0</v>
      </c>
      <c r="X486" s="49" t="str">
        <f t="shared" si="71"/>
        <v>0</v>
      </c>
      <c r="Y486" s="49">
        <f t="shared" si="72"/>
        <v>0</v>
      </c>
      <c r="Z486" s="49">
        <f t="shared" si="72"/>
        <v>0</v>
      </c>
      <c r="AA486" s="49">
        <f t="shared" si="73"/>
        <v>1</v>
      </c>
      <c r="AB486" s="49" t="str">
        <f t="shared" si="76"/>
        <v>101</v>
      </c>
      <c r="AC486" s="49">
        <f t="shared" si="74"/>
        <v>0</v>
      </c>
      <c r="AD486" s="49">
        <v>0</v>
      </c>
      <c r="AE486" s="49" t="str">
        <f t="shared" si="75"/>
        <v>32C00</v>
      </c>
    </row>
    <row r="487" spans="1:31" x14ac:dyDescent="0.15">
      <c r="A487" s="42" t="str">
        <f t="shared" si="68"/>
        <v>0</v>
      </c>
      <c r="B487" s="43">
        <v>485</v>
      </c>
      <c r="C487" s="213" t="s">
        <v>2284</v>
      </c>
      <c r="D487" s="211" t="s">
        <v>2285</v>
      </c>
      <c r="E487" s="214" t="s">
        <v>2286</v>
      </c>
      <c r="F487" s="215" t="s">
        <v>856</v>
      </c>
      <c r="G487" s="216">
        <v>1</v>
      </c>
      <c r="H487" s="217">
        <v>65535</v>
      </c>
      <c r="I487" s="213">
        <v>0</v>
      </c>
      <c r="J487" s="217">
        <v>0</v>
      </c>
      <c r="K487" s="217">
        <v>0</v>
      </c>
      <c r="L487" s="217" t="s">
        <v>859</v>
      </c>
      <c r="M487" s="217">
        <v>1</v>
      </c>
      <c r="N487" s="217" t="s">
        <v>1910</v>
      </c>
      <c r="O487" s="217">
        <v>0</v>
      </c>
      <c r="P487" s="213">
        <v>0</v>
      </c>
      <c r="Q487" s="217">
        <v>1</v>
      </c>
      <c r="R487" s="217">
        <v>5</v>
      </c>
      <c r="S487" s="217">
        <v>0</v>
      </c>
      <c r="T487" s="53"/>
      <c r="V487" s="49" t="str">
        <f t="shared" si="69"/>
        <v>0</v>
      </c>
      <c r="W487" s="49" t="str">
        <f t="shared" si="70"/>
        <v>0</v>
      </c>
      <c r="X487" s="49" t="str">
        <f t="shared" si="71"/>
        <v>0</v>
      </c>
      <c r="Y487" s="49">
        <f t="shared" si="72"/>
        <v>0</v>
      </c>
      <c r="Z487" s="49">
        <f t="shared" si="72"/>
        <v>0</v>
      </c>
      <c r="AA487" s="49">
        <f t="shared" si="73"/>
        <v>1</v>
      </c>
      <c r="AB487" s="49" t="str">
        <f t="shared" si="76"/>
        <v>101</v>
      </c>
      <c r="AC487" s="49">
        <f t="shared" si="74"/>
        <v>0</v>
      </c>
      <c r="AD487" s="49">
        <v>0</v>
      </c>
      <c r="AE487" s="49" t="str">
        <f t="shared" si="75"/>
        <v>32C00</v>
      </c>
    </row>
    <row r="488" spans="1:31" x14ac:dyDescent="0.15">
      <c r="A488" s="42" t="str">
        <f t="shared" si="68"/>
        <v>0</v>
      </c>
      <c r="B488" s="43">
        <v>486</v>
      </c>
      <c r="C488" s="213" t="s">
        <v>2287</v>
      </c>
      <c r="D488" s="211" t="s">
        <v>2288</v>
      </c>
      <c r="E488" s="214" t="s">
        <v>2289</v>
      </c>
      <c r="F488" s="215" t="s">
        <v>856</v>
      </c>
      <c r="G488" s="216">
        <v>0</v>
      </c>
      <c r="H488" s="217">
        <v>65535</v>
      </c>
      <c r="I488" s="213">
        <v>0</v>
      </c>
      <c r="J488" s="217">
        <v>0</v>
      </c>
      <c r="K488" s="217">
        <v>0</v>
      </c>
      <c r="L488" s="217" t="s">
        <v>859</v>
      </c>
      <c r="M488" s="217">
        <v>1</v>
      </c>
      <c r="N488" s="217" t="s">
        <v>1910</v>
      </c>
      <c r="O488" s="217">
        <v>0</v>
      </c>
      <c r="P488" s="213">
        <v>0</v>
      </c>
      <c r="Q488" s="217">
        <v>1</v>
      </c>
      <c r="R488" s="217">
        <v>5</v>
      </c>
      <c r="S488" s="217">
        <v>0</v>
      </c>
      <c r="T488" s="53"/>
      <c r="V488" s="49" t="str">
        <f t="shared" si="69"/>
        <v>0</v>
      </c>
      <c r="W488" s="49" t="str">
        <f t="shared" si="70"/>
        <v>0</v>
      </c>
      <c r="X488" s="49" t="str">
        <f t="shared" si="71"/>
        <v>0</v>
      </c>
      <c r="Y488" s="49">
        <f t="shared" si="72"/>
        <v>0</v>
      </c>
      <c r="Z488" s="49">
        <f t="shared" si="72"/>
        <v>0</v>
      </c>
      <c r="AA488" s="49">
        <f t="shared" si="73"/>
        <v>1</v>
      </c>
      <c r="AB488" s="49" t="str">
        <f t="shared" si="76"/>
        <v>101</v>
      </c>
      <c r="AC488" s="49">
        <f t="shared" si="74"/>
        <v>0</v>
      </c>
      <c r="AD488" s="49">
        <v>0</v>
      </c>
      <c r="AE488" s="49" t="str">
        <f t="shared" si="75"/>
        <v>32C00</v>
      </c>
    </row>
    <row r="489" spans="1:31" x14ac:dyDescent="0.15">
      <c r="A489" s="42" t="str">
        <f t="shared" si="68"/>
        <v>0</v>
      </c>
      <c r="B489" s="43">
        <v>487</v>
      </c>
      <c r="C489" s="213" t="s">
        <v>2290</v>
      </c>
      <c r="D489" s="211" t="s">
        <v>2900</v>
      </c>
      <c r="E489" s="214" t="s">
        <v>2901</v>
      </c>
      <c r="F489" s="215" t="s">
        <v>856</v>
      </c>
      <c r="G489" s="216">
        <v>10</v>
      </c>
      <c r="H489" s="217">
        <v>65535</v>
      </c>
      <c r="I489" s="213">
        <v>0</v>
      </c>
      <c r="J489" s="217">
        <v>0</v>
      </c>
      <c r="K489" s="217">
        <v>0</v>
      </c>
      <c r="L489" s="217" t="s">
        <v>859</v>
      </c>
      <c r="M489" s="217">
        <v>1</v>
      </c>
      <c r="N489" s="217" t="s">
        <v>1910</v>
      </c>
      <c r="O489" s="217">
        <v>0</v>
      </c>
      <c r="P489" s="213">
        <v>0</v>
      </c>
      <c r="Q489" s="217">
        <v>1</v>
      </c>
      <c r="R489" s="217">
        <v>5</v>
      </c>
      <c r="S489" s="217">
        <v>0</v>
      </c>
      <c r="T489" s="53"/>
      <c r="V489" s="49" t="str">
        <f t="shared" si="69"/>
        <v>0</v>
      </c>
      <c r="W489" s="49" t="str">
        <f t="shared" si="70"/>
        <v>0</v>
      </c>
      <c r="X489" s="49" t="str">
        <f t="shared" si="71"/>
        <v>0</v>
      </c>
      <c r="Y489" s="49">
        <f t="shared" si="72"/>
        <v>0</v>
      </c>
      <c r="Z489" s="49">
        <f t="shared" si="72"/>
        <v>0</v>
      </c>
      <c r="AA489" s="49">
        <f t="shared" si="73"/>
        <v>1</v>
      </c>
      <c r="AB489" s="49" t="str">
        <f t="shared" si="76"/>
        <v>101</v>
      </c>
      <c r="AC489" s="49">
        <f t="shared" si="74"/>
        <v>0</v>
      </c>
      <c r="AD489" s="49">
        <v>0</v>
      </c>
      <c r="AE489" s="49" t="str">
        <f t="shared" si="75"/>
        <v>32C00</v>
      </c>
    </row>
    <row r="490" spans="1:31" x14ac:dyDescent="0.15">
      <c r="A490" s="42" t="str">
        <f t="shared" si="68"/>
        <v>0</v>
      </c>
      <c r="B490" s="43">
        <v>488</v>
      </c>
      <c r="C490" s="213" t="s">
        <v>2291</v>
      </c>
      <c r="D490" s="211" t="s">
        <v>2292</v>
      </c>
      <c r="E490" s="214" t="s">
        <v>2293</v>
      </c>
      <c r="F490" s="215" t="s">
        <v>856</v>
      </c>
      <c r="G490" s="216">
        <v>500</v>
      </c>
      <c r="H490" s="217">
        <v>65535</v>
      </c>
      <c r="I490" s="213">
        <v>0</v>
      </c>
      <c r="J490" s="217">
        <v>0</v>
      </c>
      <c r="K490" s="217">
        <v>0</v>
      </c>
      <c r="L490" s="217" t="s">
        <v>859</v>
      </c>
      <c r="M490" s="217">
        <v>1</v>
      </c>
      <c r="N490" s="217" t="s">
        <v>1910</v>
      </c>
      <c r="O490" s="217">
        <v>0</v>
      </c>
      <c r="P490" s="213">
        <v>0</v>
      </c>
      <c r="Q490" s="217">
        <v>1</v>
      </c>
      <c r="R490" s="217">
        <v>5</v>
      </c>
      <c r="S490" s="217">
        <v>0</v>
      </c>
      <c r="T490" s="53"/>
      <c r="V490" s="49" t="str">
        <f t="shared" si="69"/>
        <v>0</v>
      </c>
      <c r="W490" s="49" t="str">
        <f t="shared" si="70"/>
        <v>0</v>
      </c>
      <c r="X490" s="49" t="str">
        <f t="shared" si="71"/>
        <v>0</v>
      </c>
      <c r="Y490" s="49">
        <f t="shared" si="72"/>
        <v>0</v>
      </c>
      <c r="Z490" s="49">
        <f t="shared" si="72"/>
        <v>0</v>
      </c>
      <c r="AA490" s="49">
        <f t="shared" si="73"/>
        <v>1</v>
      </c>
      <c r="AB490" s="49" t="str">
        <f t="shared" si="76"/>
        <v>101</v>
      </c>
      <c r="AC490" s="49">
        <f t="shared" si="74"/>
        <v>0</v>
      </c>
      <c r="AD490" s="49">
        <v>0</v>
      </c>
      <c r="AE490" s="49" t="str">
        <f t="shared" si="75"/>
        <v>32C00</v>
      </c>
    </row>
    <row r="491" spans="1:31" x14ac:dyDescent="0.15">
      <c r="A491" s="42" t="str">
        <f t="shared" si="68"/>
        <v>0</v>
      </c>
      <c r="B491" s="43">
        <v>489</v>
      </c>
      <c r="C491" s="213" t="s">
        <v>2294</v>
      </c>
      <c r="D491" s="211" t="s">
        <v>2295</v>
      </c>
      <c r="E491" s="214" t="s">
        <v>2296</v>
      </c>
      <c r="F491" s="215" t="s">
        <v>856</v>
      </c>
      <c r="G491" s="216">
        <v>500</v>
      </c>
      <c r="H491" s="217">
        <v>65535</v>
      </c>
      <c r="I491" s="213">
        <v>0</v>
      </c>
      <c r="J491" s="217">
        <v>0</v>
      </c>
      <c r="K491" s="217">
        <v>0</v>
      </c>
      <c r="L491" s="217" t="s">
        <v>859</v>
      </c>
      <c r="M491" s="217">
        <v>1</v>
      </c>
      <c r="N491" s="217" t="s">
        <v>1910</v>
      </c>
      <c r="O491" s="217">
        <v>0</v>
      </c>
      <c r="P491" s="213">
        <v>0</v>
      </c>
      <c r="Q491" s="217">
        <v>1</v>
      </c>
      <c r="R491" s="217">
        <v>5</v>
      </c>
      <c r="S491" s="217">
        <v>0</v>
      </c>
      <c r="T491" s="53"/>
      <c r="V491" s="49" t="str">
        <f t="shared" si="69"/>
        <v>0</v>
      </c>
      <c r="W491" s="49" t="str">
        <f t="shared" si="70"/>
        <v>0</v>
      </c>
      <c r="X491" s="49" t="str">
        <f t="shared" si="71"/>
        <v>0</v>
      </c>
      <c r="Y491" s="49">
        <f t="shared" si="72"/>
        <v>0</v>
      </c>
      <c r="Z491" s="49">
        <f t="shared" si="72"/>
        <v>0</v>
      </c>
      <c r="AA491" s="49">
        <f t="shared" si="73"/>
        <v>1</v>
      </c>
      <c r="AB491" s="49" t="str">
        <f t="shared" si="76"/>
        <v>101</v>
      </c>
      <c r="AC491" s="49">
        <f t="shared" si="74"/>
        <v>0</v>
      </c>
      <c r="AD491" s="49">
        <v>0</v>
      </c>
      <c r="AE491" s="49" t="str">
        <f t="shared" si="75"/>
        <v>32C00</v>
      </c>
    </row>
    <row r="492" spans="1:31" x14ac:dyDescent="0.15">
      <c r="A492" s="42" t="str">
        <f t="shared" si="68"/>
        <v>0</v>
      </c>
      <c r="B492" s="43">
        <v>490</v>
      </c>
      <c r="C492" s="213" t="s">
        <v>2297</v>
      </c>
      <c r="D492" s="211" t="s">
        <v>2298</v>
      </c>
      <c r="E492" s="214" t="s">
        <v>2299</v>
      </c>
      <c r="F492" s="215" t="s">
        <v>856</v>
      </c>
      <c r="G492" s="216">
        <v>2000</v>
      </c>
      <c r="H492" s="217">
        <v>65535</v>
      </c>
      <c r="I492" s="213">
        <v>0</v>
      </c>
      <c r="J492" s="217">
        <v>0</v>
      </c>
      <c r="K492" s="217">
        <v>0</v>
      </c>
      <c r="L492" s="217" t="s">
        <v>859</v>
      </c>
      <c r="M492" s="217">
        <v>0.1</v>
      </c>
      <c r="N492" s="217" t="s">
        <v>1907</v>
      </c>
      <c r="O492" s="217">
        <v>0</v>
      </c>
      <c r="P492" s="213">
        <v>0</v>
      </c>
      <c r="Q492" s="217">
        <v>1</v>
      </c>
      <c r="R492" s="217">
        <v>5</v>
      </c>
      <c r="S492" s="217">
        <v>0</v>
      </c>
      <c r="T492" s="53"/>
      <c r="V492" s="49" t="str">
        <f t="shared" si="69"/>
        <v>0</v>
      </c>
      <c r="W492" s="49" t="str">
        <f t="shared" si="70"/>
        <v>1</v>
      </c>
      <c r="X492" s="49" t="e">
        <f t="shared" si="71"/>
        <v>#N/A</v>
      </c>
      <c r="Y492" s="49">
        <f t="shared" si="72"/>
        <v>0</v>
      </c>
      <c r="Z492" s="49">
        <f t="shared" si="72"/>
        <v>0</v>
      </c>
      <c r="AA492" s="49">
        <f t="shared" si="73"/>
        <v>1</v>
      </c>
      <c r="AB492" s="49" t="str">
        <f t="shared" si="76"/>
        <v>101</v>
      </c>
      <c r="AC492" s="49">
        <f t="shared" si="74"/>
        <v>0</v>
      </c>
      <c r="AD492" s="49">
        <v>0</v>
      </c>
      <c r="AE492" s="49" t="e">
        <f t="shared" si="75"/>
        <v>#N/A</v>
      </c>
    </row>
    <row r="493" spans="1:31" x14ac:dyDescent="0.15">
      <c r="A493" s="42" t="str">
        <f t="shared" si="68"/>
        <v>0</v>
      </c>
      <c r="B493" s="43">
        <v>491</v>
      </c>
      <c r="C493" s="213" t="s">
        <v>2300</v>
      </c>
      <c r="D493" s="211" t="s">
        <v>2301</v>
      </c>
      <c r="E493" s="214" t="s">
        <v>2302</v>
      </c>
      <c r="F493" s="215" t="s">
        <v>856</v>
      </c>
      <c r="G493" s="216">
        <v>1000</v>
      </c>
      <c r="H493" s="217">
        <v>65535</v>
      </c>
      <c r="I493" s="213">
        <v>0</v>
      </c>
      <c r="J493" s="217">
        <v>0</v>
      </c>
      <c r="K493" s="217">
        <v>0</v>
      </c>
      <c r="L493" s="217" t="s">
        <v>859</v>
      </c>
      <c r="M493" s="217">
        <v>0.1</v>
      </c>
      <c r="N493" s="217" t="s">
        <v>1907</v>
      </c>
      <c r="O493" s="217">
        <v>0</v>
      </c>
      <c r="P493" s="213">
        <v>0</v>
      </c>
      <c r="Q493" s="217">
        <v>1</v>
      </c>
      <c r="R493" s="217">
        <v>5</v>
      </c>
      <c r="S493" s="217">
        <v>0</v>
      </c>
      <c r="T493" s="53"/>
      <c r="V493" s="49" t="str">
        <f t="shared" si="69"/>
        <v>0</v>
      </c>
      <c r="W493" s="49" t="str">
        <f t="shared" si="70"/>
        <v>1</v>
      </c>
      <c r="X493" s="49" t="e">
        <f t="shared" si="71"/>
        <v>#N/A</v>
      </c>
      <c r="Y493" s="49">
        <f t="shared" si="72"/>
        <v>0</v>
      </c>
      <c r="Z493" s="49">
        <f t="shared" si="72"/>
        <v>0</v>
      </c>
      <c r="AA493" s="49">
        <f t="shared" si="73"/>
        <v>1</v>
      </c>
      <c r="AB493" s="49" t="str">
        <f t="shared" si="76"/>
        <v>101</v>
      </c>
      <c r="AC493" s="49">
        <f t="shared" si="74"/>
        <v>0</v>
      </c>
      <c r="AD493" s="49">
        <v>0</v>
      </c>
      <c r="AE493" s="49" t="e">
        <f t="shared" si="75"/>
        <v>#N/A</v>
      </c>
    </row>
    <row r="494" spans="1:31" x14ac:dyDescent="0.15">
      <c r="A494" s="42" t="str">
        <f t="shared" si="68"/>
        <v>0</v>
      </c>
      <c r="B494" s="43">
        <v>492</v>
      </c>
      <c r="C494" s="213" t="s">
        <v>2303</v>
      </c>
      <c r="D494" s="211" t="s">
        <v>2304</v>
      </c>
      <c r="E494" s="214" t="s">
        <v>2305</v>
      </c>
      <c r="F494" s="215" t="s">
        <v>856</v>
      </c>
      <c r="G494" s="216">
        <v>1000</v>
      </c>
      <c r="H494" s="217">
        <v>65535</v>
      </c>
      <c r="I494" s="213">
        <v>0</v>
      </c>
      <c r="J494" s="217">
        <v>0</v>
      </c>
      <c r="K494" s="217">
        <v>0</v>
      </c>
      <c r="L494" s="217" t="s">
        <v>859</v>
      </c>
      <c r="M494" s="217">
        <v>0.01</v>
      </c>
      <c r="N494" s="217" t="s">
        <v>1905</v>
      </c>
      <c r="O494" s="217">
        <v>0</v>
      </c>
      <c r="P494" s="213">
        <v>0</v>
      </c>
      <c r="Q494" s="217">
        <v>1</v>
      </c>
      <c r="R494" s="217">
        <v>5</v>
      </c>
      <c r="S494" s="217">
        <v>0</v>
      </c>
      <c r="T494" s="53"/>
      <c r="V494" s="49" t="str">
        <f t="shared" si="69"/>
        <v>0</v>
      </c>
      <c r="W494" s="49" t="str">
        <f t="shared" si="70"/>
        <v>10</v>
      </c>
      <c r="X494" s="49" t="str">
        <f t="shared" si="71"/>
        <v>0</v>
      </c>
      <c r="Y494" s="49">
        <f t="shared" si="72"/>
        <v>0</v>
      </c>
      <c r="Z494" s="49">
        <f t="shared" si="72"/>
        <v>0</v>
      </c>
      <c r="AA494" s="49">
        <f t="shared" si="73"/>
        <v>1</v>
      </c>
      <c r="AB494" s="49" t="str">
        <f t="shared" si="76"/>
        <v>101</v>
      </c>
      <c r="AC494" s="49">
        <f t="shared" si="74"/>
        <v>0</v>
      </c>
      <c r="AD494" s="49">
        <v>0</v>
      </c>
      <c r="AE494" s="49" t="str">
        <f t="shared" si="75"/>
        <v>32C28</v>
      </c>
    </row>
    <row r="495" spans="1:31" x14ac:dyDescent="0.15">
      <c r="A495" s="42" t="str">
        <f t="shared" si="68"/>
        <v>0</v>
      </c>
      <c r="B495" s="43">
        <v>493</v>
      </c>
      <c r="C495" s="213" t="s">
        <v>2306</v>
      </c>
      <c r="D495" s="264" t="s">
        <v>2617</v>
      </c>
      <c r="E495" s="266" t="s">
        <v>2618</v>
      </c>
      <c r="F495" s="267" t="s">
        <v>2173</v>
      </c>
      <c r="G495" s="268">
        <v>0</v>
      </c>
      <c r="H495" s="269">
        <v>1</v>
      </c>
      <c r="I495" s="265">
        <v>0</v>
      </c>
      <c r="J495" s="269">
        <v>0</v>
      </c>
      <c r="K495" s="269">
        <v>0</v>
      </c>
      <c r="L495" s="269" t="s">
        <v>859</v>
      </c>
      <c r="M495" s="269">
        <v>1</v>
      </c>
      <c r="N495" s="269" t="s">
        <v>1910</v>
      </c>
      <c r="O495" s="269">
        <v>0</v>
      </c>
      <c r="P495" s="265">
        <v>0</v>
      </c>
      <c r="Q495" s="269">
        <v>1</v>
      </c>
      <c r="R495" s="269">
        <v>1</v>
      </c>
      <c r="S495" s="269">
        <v>0</v>
      </c>
      <c r="T495" s="53"/>
      <c r="V495" s="49" t="str">
        <f t="shared" si="69"/>
        <v>0</v>
      </c>
      <c r="W495" s="49" t="str">
        <f t="shared" si="70"/>
        <v>0</v>
      </c>
      <c r="X495" s="49" t="str">
        <f t="shared" si="71"/>
        <v>0</v>
      </c>
      <c r="Y495" s="49">
        <f t="shared" si="72"/>
        <v>0</v>
      </c>
      <c r="Z495" s="49">
        <f t="shared" si="72"/>
        <v>0</v>
      </c>
      <c r="AA495" s="49">
        <f t="shared" si="73"/>
        <v>1</v>
      </c>
      <c r="AB495" s="49" t="str">
        <f t="shared" si="76"/>
        <v>1</v>
      </c>
      <c r="AC495" s="49">
        <f t="shared" si="74"/>
        <v>0</v>
      </c>
      <c r="AD495" s="49">
        <v>0</v>
      </c>
      <c r="AE495" s="49" t="str">
        <f t="shared" si="75"/>
        <v>C00</v>
      </c>
    </row>
    <row r="496" spans="1:31" ht="24" x14ac:dyDescent="0.15">
      <c r="A496" s="42" t="str">
        <f t="shared" si="68"/>
        <v>0</v>
      </c>
      <c r="B496" s="43">
        <v>494</v>
      </c>
      <c r="C496" s="213" t="s">
        <v>2307</v>
      </c>
      <c r="D496" s="281" t="s">
        <v>2623</v>
      </c>
      <c r="E496" s="283" t="s">
        <v>2671</v>
      </c>
      <c r="F496" s="284" t="s">
        <v>1013</v>
      </c>
      <c r="G496" s="280">
        <v>0</v>
      </c>
      <c r="H496" s="286">
        <v>4000</v>
      </c>
      <c r="I496" s="282">
        <v>0</v>
      </c>
      <c r="J496" s="285">
        <v>0</v>
      </c>
      <c r="K496" s="285">
        <v>0</v>
      </c>
      <c r="L496" s="285" t="s">
        <v>859</v>
      </c>
      <c r="M496" s="285">
        <v>0.1</v>
      </c>
      <c r="N496" s="285" t="s">
        <v>1907</v>
      </c>
      <c r="O496" s="285">
        <v>0</v>
      </c>
      <c r="P496" s="282">
        <v>0</v>
      </c>
      <c r="Q496" s="285">
        <v>1</v>
      </c>
      <c r="R496" s="285">
        <v>4</v>
      </c>
      <c r="S496" s="285">
        <v>0</v>
      </c>
      <c r="T496" s="53"/>
      <c r="V496" s="49" t="str">
        <f t="shared" si="69"/>
        <v>0</v>
      </c>
      <c r="W496" s="49" t="str">
        <f t="shared" si="70"/>
        <v>1</v>
      </c>
      <c r="X496" s="49" t="e">
        <f t="shared" si="71"/>
        <v>#N/A</v>
      </c>
      <c r="Y496" s="49">
        <f t="shared" si="72"/>
        <v>0</v>
      </c>
      <c r="Z496" s="49">
        <f t="shared" si="72"/>
        <v>0</v>
      </c>
      <c r="AA496" s="49">
        <f t="shared" si="73"/>
        <v>1</v>
      </c>
      <c r="AB496" s="49" t="str">
        <f t="shared" si="76"/>
        <v>100</v>
      </c>
      <c r="AC496" s="49">
        <f t="shared" si="74"/>
        <v>0</v>
      </c>
      <c r="AD496" s="49">
        <v>0</v>
      </c>
      <c r="AE496" s="49" t="e">
        <f t="shared" si="75"/>
        <v>#N/A</v>
      </c>
    </row>
    <row r="497" spans="1:31" x14ac:dyDescent="0.15">
      <c r="A497" s="42" t="str">
        <f t="shared" si="68"/>
        <v>0</v>
      </c>
      <c r="B497" s="43">
        <v>495</v>
      </c>
      <c r="C497" s="213" t="s">
        <v>2308</v>
      </c>
      <c r="D497" s="288" t="s">
        <v>2624</v>
      </c>
      <c r="E497" s="289" t="s">
        <v>2625</v>
      </c>
      <c r="F497" s="293" t="s">
        <v>34</v>
      </c>
      <c r="G497" s="290">
        <v>50</v>
      </c>
      <c r="H497" s="291">
        <v>12000</v>
      </c>
      <c r="I497" s="287">
        <v>0</v>
      </c>
      <c r="J497" s="291">
        <v>0</v>
      </c>
      <c r="K497" s="291">
        <v>0</v>
      </c>
      <c r="L497" s="291" t="s">
        <v>859</v>
      </c>
      <c r="M497" s="291">
        <v>0.01</v>
      </c>
      <c r="N497" s="291" t="s">
        <v>2188</v>
      </c>
      <c r="O497" s="291">
        <v>0</v>
      </c>
      <c r="P497" s="287">
        <v>0</v>
      </c>
      <c r="Q497" s="291">
        <v>1</v>
      </c>
      <c r="R497" s="291">
        <v>5</v>
      </c>
      <c r="S497" s="291">
        <v>0</v>
      </c>
      <c r="T497" s="53"/>
      <c r="V497" s="49" t="str">
        <f t="shared" si="69"/>
        <v>0</v>
      </c>
      <c r="W497" s="49" t="str">
        <f t="shared" si="70"/>
        <v>10</v>
      </c>
      <c r="X497" s="49" t="str">
        <f t="shared" si="71"/>
        <v>0</v>
      </c>
      <c r="Y497" s="49">
        <f t="shared" si="72"/>
        <v>0</v>
      </c>
      <c r="Z497" s="49">
        <f t="shared" si="72"/>
        <v>0</v>
      </c>
      <c r="AA497" s="49">
        <f t="shared" si="73"/>
        <v>1</v>
      </c>
      <c r="AB497" s="49" t="str">
        <f t="shared" si="76"/>
        <v>101</v>
      </c>
      <c r="AC497" s="49">
        <f t="shared" si="74"/>
        <v>0</v>
      </c>
      <c r="AD497" s="49">
        <v>0</v>
      </c>
      <c r="AE497" s="49" t="str">
        <f t="shared" si="75"/>
        <v>32C28</v>
      </c>
    </row>
    <row r="498" spans="1:31" x14ac:dyDescent="0.15">
      <c r="A498" s="42" t="str">
        <f t="shared" si="68"/>
        <v>0</v>
      </c>
      <c r="B498" s="43">
        <v>496</v>
      </c>
      <c r="C498" s="213" t="s">
        <v>2309</v>
      </c>
      <c r="D498" s="288" t="s">
        <v>2626</v>
      </c>
      <c r="E498" s="289" t="s">
        <v>2627</v>
      </c>
      <c r="F498" s="292" t="s">
        <v>856</v>
      </c>
      <c r="G498" s="290">
        <v>0</v>
      </c>
      <c r="H498" s="291">
        <v>65535</v>
      </c>
      <c r="I498" s="287">
        <v>0</v>
      </c>
      <c r="J498" s="291">
        <v>0</v>
      </c>
      <c r="K498" s="291">
        <v>0</v>
      </c>
      <c r="L498" s="291" t="s">
        <v>859</v>
      </c>
      <c r="M498" s="291">
        <v>1</v>
      </c>
      <c r="N498" s="291" t="s">
        <v>1910</v>
      </c>
      <c r="O498" s="291">
        <v>0</v>
      </c>
      <c r="P498" s="287">
        <v>0</v>
      </c>
      <c r="Q498" s="291">
        <v>1</v>
      </c>
      <c r="R498" s="291">
        <v>5</v>
      </c>
      <c r="S498" s="291">
        <v>0</v>
      </c>
      <c r="T498" s="48"/>
      <c r="V498" s="49" t="str">
        <f t="shared" si="69"/>
        <v>0</v>
      </c>
      <c r="W498" s="49" t="str">
        <f t="shared" si="70"/>
        <v>0</v>
      </c>
      <c r="X498" s="49" t="str">
        <f t="shared" si="71"/>
        <v>0</v>
      </c>
      <c r="Y498" s="49">
        <f t="shared" si="72"/>
        <v>0</v>
      </c>
      <c r="Z498" s="49">
        <f t="shared" si="72"/>
        <v>0</v>
      </c>
      <c r="AA498" s="49">
        <f t="shared" si="73"/>
        <v>1</v>
      </c>
      <c r="AB498" s="49" t="str">
        <f t="shared" si="76"/>
        <v>101</v>
      </c>
      <c r="AC498" s="49">
        <f t="shared" si="74"/>
        <v>0</v>
      </c>
      <c r="AD498" s="49">
        <v>0</v>
      </c>
      <c r="AE498" s="49" t="str">
        <f t="shared" si="75"/>
        <v>32C00</v>
      </c>
    </row>
    <row r="499" spans="1:31" x14ac:dyDescent="0.15">
      <c r="A499" s="42" t="str">
        <f t="shared" si="68"/>
        <v>0</v>
      </c>
      <c r="B499" s="43">
        <v>497</v>
      </c>
      <c r="C499" s="213" t="s">
        <v>2310</v>
      </c>
      <c r="D499" s="211" t="s">
        <v>2675</v>
      </c>
      <c r="E499" s="214" t="s">
        <v>2672</v>
      </c>
      <c r="F499" s="215" t="s">
        <v>856</v>
      </c>
      <c r="G499" s="216">
        <v>0</v>
      </c>
      <c r="H499" s="217">
        <v>65535</v>
      </c>
      <c r="I499" s="213">
        <v>0</v>
      </c>
      <c r="J499" s="217">
        <v>0</v>
      </c>
      <c r="K499" s="217">
        <v>0</v>
      </c>
      <c r="L499" s="217" t="s">
        <v>859</v>
      </c>
      <c r="M499" s="217">
        <v>1</v>
      </c>
      <c r="N499" s="217" t="s">
        <v>1910</v>
      </c>
      <c r="O499" s="217">
        <v>0</v>
      </c>
      <c r="P499" s="213">
        <v>0</v>
      </c>
      <c r="Q499" s="217">
        <v>1</v>
      </c>
      <c r="R499" s="217">
        <v>5</v>
      </c>
      <c r="S499" s="217">
        <v>0</v>
      </c>
      <c r="T499" s="48"/>
      <c r="V499" s="49" t="str">
        <f t="shared" si="69"/>
        <v>0</v>
      </c>
      <c r="W499" s="49" t="str">
        <f t="shared" si="70"/>
        <v>0</v>
      </c>
      <c r="X499" s="49" t="str">
        <f t="shared" si="71"/>
        <v>0</v>
      </c>
      <c r="Y499" s="49">
        <f t="shared" si="72"/>
        <v>0</v>
      </c>
      <c r="Z499" s="49">
        <f t="shared" si="72"/>
        <v>0</v>
      </c>
      <c r="AA499" s="49">
        <f t="shared" si="73"/>
        <v>1</v>
      </c>
      <c r="AB499" s="49" t="str">
        <f t="shared" si="76"/>
        <v>101</v>
      </c>
      <c r="AC499" s="49">
        <f t="shared" si="74"/>
        <v>0</v>
      </c>
      <c r="AD499" s="49">
        <v>0</v>
      </c>
      <c r="AE499" s="49" t="str">
        <f t="shared" si="75"/>
        <v>32C00</v>
      </c>
    </row>
    <row r="500" spans="1:31" x14ac:dyDescent="0.15">
      <c r="A500" s="42" t="str">
        <f t="shared" si="68"/>
        <v>0</v>
      </c>
      <c r="B500" s="43">
        <v>498</v>
      </c>
      <c r="C500" s="213" t="s">
        <v>2311</v>
      </c>
      <c r="D500" s="211" t="s">
        <v>2674</v>
      </c>
      <c r="E500" s="214" t="s">
        <v>2673</v>
      </c>
      <c r="F500" s="215" t="s">
        <v>856</v>
      </c>
      <c r="G500" s="216">
        <v>0</v>
      </c>
      <c r="H500" s="217">
        <v>65535</v>
      </c>
      <c r="I500" s="213">
        <v>0</v>
      </c>
      <c r="J500" s="217">
        <v>0</v>
      </c>
      <c r="K500" s="217">
        <v>0</v>
      </c>
      <c r="L500" s="217" t="s">
        <v>859</v>
      </c>
      <c r="M500" s="217">
        <v>1</v>
      </c>
      <c r="N500" s="217" t="s">
        <v>1910</v>
      </c>
      <c r="O500" s="217">
        <v>0</v>
      </c>
      <c r="P500" s="213">
        <v>0</v>
      </c>
      <c r="Q500" s="217">
        <v>1</v>
      </c>
      <c r="R500" s="217">
        <v>5</v>
      </c>
      <c r="S500" s="217">
        <v>0</v>
      </c>
      <c r="T500" s="48"/>
      <c r="V500" s="49" t="str">
        <f t="shared" si="69"/>
        <v>0</v>
      </c>
      <c r="W500" s="49" t="str">
        <f t="shared" si="70"/>
        <v>0</v>
      </c>
      <c r="X500" s="49" t="str">
        <f t="shared" si="71"/>
        <v>0</v>
      </c>
      <c r="Y500" s="49">
        <f t="shared" si="72"/>
        <v>0</v>
      </c>
      <c r="Z500" s="49">
        <f t="shared" si="72"/>
        <v>0</v>
      </c>
      <c r="AA500" s="49">
        <f t="shared" si="73"/>
        <v>1</v>
      </c>
      <c r="AB500" s="49" t="str">
        <f t="shared" si="76"/>
        <v>101</v>
      </c>
      <c r="AC500" s="49">
        <f t="shared" si="74"/>
        <v>0</v>
      </c>
      <c r="AD500" s="49">
        <v>0</v>
      </c>
      <c r="AE500" s="49" t="str">
        <f t="shared" si="75"/>
        <v>32C00</v>
      </c>
    </row>
    <row r="501" spans="1:31" x14ac:dyDescent="0.15">
      <c r="A501" s="42" t="str">
        <f t="shared" si="68"/>
        <v>0</v>
      </c>
      <c r="B501" s="43">
        <v>499</v>
      </c>
      <c r="C501" s="213" t="s">
        <v>2312</v>
      </c>
      <c r="D501" s="211" t="s">
        <v>2905</v>
      </c>
      <c r="E501" s="214" t="s">
        <v>2906</v>
      </c>
      <c r="F501" s="215" t="s">
        <v>856</v>
      </c>
      <c r="G501" s="216">
        <v>60</v>
      </c>
      <c r="H501" s="217">
        <v>4000</v>
      </c>
      <c r="I501" s="213">
        <v>1</v>
      </c>
      <c r="J501" s="217">
        <v>0</v>
      </c>
      <c r="K501" s="217">
        <v>0</v>
      </c>
      <c r="L501" s="217" t="s">
        <v>859</v>
      </c>
      <c r="M501" s="217">
        <v>0.1</v>
      </c>
      <c r="N501" s="217" t="s">
        <v>2188</v>
      </c>
      <c r="O501" s="217">
        <v>0</v>
      </c>
      <c r="P501" s="213">
        <v>0</v>
      </c>
      <c r="Q501" s="217">
        <v>1</v>
      </c>
      <c r="R501" s="217">
        <v>4</v>
      </c>
      <c r="S501" s="217">
        <v>0</v>
      </c>
      <c r="T501" s="48"/>
      <c r="V501" s="49" t="str">
        <f t="shared" si="69"/>
        <v>0</v>
      </c>
      <c r="W501" s="49" t="str">
        <f t="shared" si="70"/>
        <v>1</v>
      </c>
      <c r="X501" s="49" t="str">
        <f t="shared" si="71"/>
        <v>0</v>
      </c>
      <c r="Y501" s="49">
        <f t="shared" si="72"/>
        <v>0</v>
      </c>
      <c r="Z501" s="49">
        <f t="shared" si="72"/>
        <v>0</v>
      </c>
      <c r="AA501" s="49">
        <f t="shared" si="73"/>
        <v>1</v>
      </c>
      <c r="AB501" s="49" t="str">
        <f t="shared" si="76"/>
        <v>100</v>
      </c>
      <c r="AC501" s="49">
        <f t="shared" si="74"/>
        <v>0</v>
      </c>
      <c r="AD501" s="49">
        <v>0</v>
      </c>
      <c r="AE501" s="49" t="str">
        <f t="shared" si="75"/>
        <v>32404</v>
      </c>
    </row>
    <row r="502" spans="1:31" x14ac:dyDescent="0.15">
      <c r="A502" s="42" t="str">
        <f t="shared" si="68"/>
        <v>0</v>
      </c>
      <c r="B502" s="43">
        <v>500</v>
      </c>
      <c r="C502" s="213" t="s">
        <v>2313</v>
      </c>
      <c r="D502" s="211" t="s">
        <v>2907</v>
      </c>
      <c r="E502" s="214" t="s">
        <v>2908</v>
      </c>
      <c r="F502" s="215" t="s">
        <v>2909</v>
      </c>
      <c r="G502" s="216">
        <v>1000</v>
      </c>
      <c r="H502" s="217">
        <v>2000</v>
      </c>
      <c r="I502" s="213">
        <v>0</v>
      </c>
      <c r="J502" s="217">
        <v>0</v>
      </c>
      <c r="K502" s="217">
        <v>0</v>
      </c>
      <c r="L502" s="217" t="s">
        <v>859</v>
      </c>
      <c r="M502" s="217">
        <v>0.1</v>
      </c>
      <c r="N502" s="217" t="s">
        <v>1907</v>
      </c>
      <c r="O502" s="217">
        <v>0</v>
      </c>
      <c r="P502" s="213">
        <v>0</v>
      </c>
      <c r="Q502" s="217">
        <v>1</v>
      </c>
      <c r="R502" s="217">
        <v>4</v>
      </c>
      <c r="S502" s="217">
        <v>0</v>
      </c>
      <c r="T502" s="48"/>
      <c r="V502" s="49" t="str">
        <f t="shared" si="69"/>
        <v>0</v>
      </c>
      <c r="W502" s="49" t="str">
        <f t="shared" si="70"/>
        <v>1</v>
      </c>
      <c r="X502" s="49" t="e">
        <f t="shared" si="71"/>
        <v>#N/A</v>
      </c>
      <c r="Y502" s="49">
        <f t="shared" si="72"/>
        <v>0</v>
      </c>
      <c r="Z502" s="49">
        <f t="shared" si="72"/>
        <v>0</v>
      </c>
      <c r="AA502" s="49">
        <f t="shared" si="73"/>
        <v>1</v>
      </c>
      <c r="AB502" s="49" t="str">
        <f t="shared" si="76"/>
        <v>100</v>
      </c>
      <c r="AC502" s="49">
        <f t="shared" si="74"/>
        <v>0</v>
      </c>
      <c r="AD502" s="49">
        <v>0</v>
      </c>
      <c r="AE502" s="49" t="e">
        <f t="shared" si="75"/>
        <v>#N/A</v>
      </c>
    </row>
    <row r="503" spans="1:31" x14ac:dyDescent="0.15">
      <c r="A503" s="42" t="str">
        <f t="shared" si="68"/>
        <v>0</v>
      </c>
      <c r="B503" s="43">
        <v>501</v>
      </c>
      <c r="C503" s="213" t="s">
        <v>2314</v>
      </c>
      <c r="D503" s="211" t="s">
        <v>2910</v>
      </c>
      <c r="E503" s="214" t="s">
        <v>2911</v>
      </c>
      <c r="F503" s="215" t="s">
        <v>856</v>
      </c>
      <c r="G503" s="216">
        <v>50</v>
      </c>
      <c r="H503" s="217">
        <v>65535</v>
      </c>
      <c r="I503" s="213">
        <v>0</v>
      </c>
      <c r="J503" s="217">
        <v>0</v>
      </c>
      <c r="K503" s="217">
        <v>0</v>
      </c>
      <c r="L503" s="217" t="s">
        <v>859</v>
      </c>
      <c r="M503" s="217">
        <v>1</v>
      </c>
      <c r="N503" s="217" t="s">
        <v>1910</v>
      </c>
      <c r="O503" s="217">
        <v>0</v>
      </c>
      <c r="P503" s="213">
        <v>0</v>
      </c>
      <c r="Q503" s="217">
        <v>1</v>
      </c>
      <c r="R503" s="217">
        <v>5</v>
      </c>
      <c r="S503" s="217">
        <v>0</v>
      </c>
      <c r="T503" s="48"/>
      <c r="V503" s="49" t="str">
        <f t="shared" si="69"/>
        <v>0</v>
      </c>
      <c r="W503" s="49" t="str">
        <f t="shared" si="70"/>
        <v>0</v>
      </c>
      <c r="X503" s="49" t="str">
        <f t="shared" si="71"/>
        <v>0</v>
      </c>
      <c r="Y503" s="49">
        <f t="shared" si="72"/>
        <v>0</v>
      </c>
      <c r="Z503" s="49">
        <f t="shared" si="72"/>
        <v>0</v>
      </c>
      <c r="AA503" s="49">
        <f t="shared" si="73"/>
        <v>1</v>
      </c>
      <c r="AB503" s="49" t="str">
        <f t="shared" si="76"/>
        <v>101</v>
      </c>
      <c r="AC503" s="49">
        <f t="shared" si="74"/>
        <v>0</v>
      </c>
      <c r="AD503" s="49">
        <v>0</v>
      </c>
      <c r="AE503" s="49" t="str">
        <f t="shared" si="75"/>
        <v>32C00</v>
      </c>
    </row>
    <row r="504" spans="1:31" x14ac:dyDescent="0.15">
      <c r="A504" s="42" t="str">
        <f t="shared" si="68"/>
        <v>0</v>
      </c>
      <c r="B504" s="43">
        <v>502</v>
      </c>
      <c r="C504" s="213" t="s">
        <v>2315</v>
      </c>
      <c r="D504" s="211" t="s">
        <v>2912</v>
      </c>
      <c r="E504" s="214" t="s">
        <v>2913</v>
      </c>
      <c r="F504" s="215" t="s">
        <v>856</v>
      </c>
      <c r="G504" s="216">
        <v>10</v>
      </c>
      <c r="H504" s="217">
        <v>65535</v>
      </c>
      <c r="I504" s="213">
        <v>0</v>
      </c>
      <c r="J504" s="217">
        <v>0</v>
      </c>
      <c r="K504" s="217">
        <v>0</v>
      </c>
      <c r="L504" s="217" t="s">
        <v>859</v>
      </c>
      <c r="M504" s="217">
        <v>1</v>
      </c>
      <c r="N504" s="217" t="s">
        <v>1910</v>
      </c>
      <c r="O504" s="217">
        <v>0</v>
      </c>
      <c r="P504" s="213">
        <v>0</v>
      </c>
      <c r="Q504" s="217">
        <v>1</v>
      </c>
      <c r="R504" s="217">
        <v>5</v>
      </c>
      <c r="S504" s="217">
        <v>0</v>
      </c>
      <c r="T504" s="48"/>
      <c r="W504" s="49" t="str">
        <f t="shared" si="70"/>
        <v>0</v>
      </c>
      <c r="X504" s="49" t="str">
        <f t="shared" si="71"/>
        <v>0</v>
      </c>
      <c r="Y504" s="49">
        <f t="shared" si="72"/>
        <v>0</v>
      </c>
      <c r="Z504" s="49">
        <f t="shared" si="72"/>
        <v>0</v>
      </c>
      <c r="AA504" s="49">
        <f t="shared" si="73"/>
        <v>1</v>
      </c>
      <c r="AB504" s="49" t="str">
        <f t="shared" si="76"/>
        <v>101</v>
      </c>
      <c r="AC504" s="49">
        <f t="shared" si="74"/>
        <v>0</v>
      </c>
    </row>
    <row r="505" spans="1:31" x14ac:dyDescent="0.15">
      <c r="A505" s="42" t="str">
        <f t="shared" si="68"/>
        <v>0</v>
      </c>
      <c r="B505" s="43">
        <v>503</v>
      </c>
      <c r="C505" s="213" t="s">
        <v>2316</v>
      </c>
      <c r="D505" s="211" t="s">
        <v>2930</v>
      </c>
      <c r="E505" s="214" t="s">
        <v>2931</v>
      </c>
      <c r="F505" s="215" t="s">
        <v>856</v>
      </c>
      <c r="G505" s="216">
        <v>150</v>
      </c>
      <c r="H505" s="217">
        <v>3000</v>
      </c>
      <c r="I505" s="213">
        <v>-800</v>
      </c>
      <c r="J505" s="217">
        <v>0</v>
      </c>
      <c r="K505" s="217">
        <v>0</v>
      </c>
      <c r="L505" s="217" t="s">
        <v>859</v>
      </c>
      <c r="M505" s="217">
        <v>0.1</v>
      </c>
      <c r="N505" s="217" t="s">
        <v>863</v>
      </c>
      <c r="O505" s="217">
        <v>0</v>
      </c>
      <c r="P505" s="213">
        <v>1</v>
      </c>
      <c r="Q505" s="217">
        <v>0</v>
      </c>
      <c r="R505" s="217">
        <v>4</v>
      </c>
      <c r="S505" s="217">
        <v>1</v>
      </c>
      <c r="T505" s="48"/>
      <c r="V505" s="49" t="str">
        <f t="shared" si="69"/>
        <v>0</v>
      </c>
      <c r="W505" s="49" t="str">
        <f t="shared" si="70"/>
        <v>1</v>
      </c>
      <c r="X505" s="49" t="str">
        <f t="shared" si="71"/>
        <v>0</v>
      </c>
      <c r="Y505" s="49">
        <f t="shared" si="72"/>
        <v>0</v>
      </c>
      <c r="Z505" s="49">
        <f t="shared" si="72"/>
        <v>1</v>
      </c>
      <c r="AA505" s="49">
        <f t="shared" si="73"/>
        <v>0</v>
      </c>
      <c r="AB505" s="49" t="str">
        <f t="shared" si="76"/>
        <v>100</v>
      </c>
      <c r="AC505" s="49">
        <f t="shared" si="74"/>
        <v>1</v>
      </c>
      <c r="AD505" s="49">
        <v>0</v>
      </c>
      <c r="AE505" s="49" t="str">
        <f t="shared" si="75"/>
        <v>36204</v>
      </c>
    </row>
    <row r="506" spans="1:31" x14ac:dyDescent="0.15">
      <c r="A506" s="42" t="str">
        <f t="shared" si="68"/>
        <v>0</v>
      </c>
      <c r="B506" s="43">
        <v>504</v>
      </c>
      <c r="C506" s="213" t="s">
        <v>2317</v>
      </c>
      <c r="D506" s="211" t="s">
        <v>2932</v>
      </c>
      <c r="E506" s="214" t="s">
        <v>2933</v>
      </c>
      <c r="F506" s="215" t="s">
        <v>856</v>
      </c>
      <c r="G506" s="216">
        <v>59</v>
      </c>
      <c r="H506" s="217">
        <v>10000</v>
      </c>
      <c r="I506" s="213">
        <v>0</v>
      </c>
      <c r="J506" s="217">
        <v>0</v>
      </c>
      <c r="K506" s="217">
        <v>0</v>
      </c>
      <c r="L506" s="217" t="s">
        <v>859</v>
      </c>
      <c r="M506" s="217">
        <v>0.1</v>
      </c>
      <c r="N506" s="217" t="s">
        <v>1910</v>
      </c>
      <c r="O506" s="217">
        <v>0</v>
      </c>
      <c r="P506" s="213">
        <v>0</v>
      </c>
      <c r="Q506" s="217">
        <v>1</v>
      </c>
      <c r="R506" s="217">
        <v>5</v>
      </c>
      <c r="S506" s="217">
        <v>0</v>
      </c>
      <c r="T506" s="48"/>
      <c r="V506" s="49" t="str">
        <f t="shared" si="69"/>
        <v>0</v>
      </c>
      <c r="W506" s="49" t="str">
        <f t="shared" si="70"/>
        <v>1</v>
      </c>
      <c r="X506" s="49" t="str">
        <f t="shared" si="71"/>
        <v>0</v>
      </c>
      <c r="Y506" s="49">
        <f t="shared" si="72"/>
        <v>0</v>
      </c>
      <c r="Z506" s="49">
        <f t="shared" si="72"/>
        <v>0</v>
      </c>
      <c r="AA506" s="49">
        <f t="shared" si="73"/>
        <v>1</v>
      </c>
      <c r="AB506" s="49" t="str">
        <f t="shared" si="76"/>
        <v>101</v>
      </c>
      <c r="AC506" s="49">
        <f t="shared" si="74"/>
        <v>0</v>
      </c>
      <c r="AD506" s="49">
        <v>0</v>
      </c>
      <c r="AE506" s="49" t="str">
        <f t="shared" si="75"/>
        <v>32C04</v>
      </c>
    </row>
    <row r="507" spans="1:31" x14ac:dyDescent="0.15">
      <c r="A507" s="42" t="str">
        <f t="shared" si="68"/>
        <v>0</v>
      </c>
      <c r="B507" s="43">
        <v>505</v>
      </c>
      <c r="C507" s="213" t="s">
        <v>2318</v>
      </c>
      <c r="D507" s="211" t="s">
        <v>2934</v>
      </c>
      <c r="E507" s="214" t="s">
        <v>2935</v>
      </c>
      <c r="F507" s="215" t="s">
        <v>856</v>
      </c>
      <c r="G507" s="216">
        <v>1000</v>
      </c>
      <c r="H507" s="217">
        <v>10000</v>
      </c>
      <c r="I507" s="213">
        <v>0</v>
      </c>
      <c r="J507" s="217">
        <v>0</v>
      </c>
      <c r="K507" s="217">
        <v>0</v>
      </c>
      <c r="L507" s="217" t="s">
        <v>859</v>
      </c>
      <c r="M507" s="217">
        <v>0.1</v>
      </c>
      <c r="N507" s="217" t="s">
        <v>1910</v>
      </c>
      <c r="O507" s="217">
        <v>0</v>
      </c>
      <c r="P507" s="213">
        <v>0</v>
      </c>
      <c r="Q507" s="217">
        <v>1</v>
      </c>
      <c r="R507" s="217">
        <v>5</v>
      </c>
      <c r="S507" s="217">
        <v>0</v>
      </c>
      <c r="T507" s="48"/>
      <c r="W507" s="49" t="str">
        <f t="shared" si="70"/>
        <v>1</v>
      </c>
    </row>
    <row r="508" spans="1:31" x14ac:dyDescent="0.15">
      <c r="A508" s="42" t="str">
        <f t="shared" si="68"/>
        <v>0</v>
      </c>
      <c r="B508" s="43">
        <v>506</v>
      </c>
      <c r="C508" s="213" t="s">
        <v>2319</v>
      </c>
      <c r="D508" s="211" t="s">
        <v>1027</v>
      </c>
      <c r="E508" s="214" t="s">
        <v>2320</v>
      </c>
      <c r="F508" s="215" t="s">
        <v>856</v>
      </c>
      <c r="G508" s="216">
        <v>0</v>
      </c>
      <c r="H508" s="217">
        <v>65535</v>
      </c>
      <c r="I508" s="213">
        <v>0</v>
      </c>
      <c r="J508" s="217">
        <v>0</v>
      </c>
      <c r="K508" s="217">
        <v>0</v>
      </c>
      <c r="L508" s="217" t="s">
        <v>859</v>
      </c>
      <c r="M508" s="217">
        <v>1</v>
      </c>
      <c r="N508" s="217" t="s">
        <v>1910</v>
      </c>
      <c r="O508" s="217">
        <v>0</v>
      </c>
      <c r="P508" s="213">
        <v>0</v>
      </c>
      <c r="Q508" s="217">
        <v>1</v>
      </c>
      <c r="R508" s="217">
        <v>5</v>
      </c>
      <c r="S508" s="217">
        <v>0</v>
      </c>
      <c r="T508" s="48"/>
      <c r="V508" s="49" t="str">
        <f t="shared" si="69"/>
        <v>0</v>
      </c>
      <c r="W508" s="49" t="str">
        <f t="shared" si="70"/>
        <v>0</v>
      </c>
      <c r="X508" s="49" t="str">
        <f t="shared" si="71"/>
        <v>0</v>
      </c>
      <c r="Y508" s="49">
        <f t="shared" si="72"/>
        <v>0</v>
      </c>
      <c r="Z508" s="49">
        <f t="shared" si="72"/>
        <v>0</v>
      </c>
      <c r="AA508" s="49">
        <f t="shared" si="73"/>
        <v>1</v>
      </c>
      <c r="AB508" s="49" t="str">
        <f t="shared" si="76"/>
        <v>101</v>
      </c>
      <c r="AC508" s="49">
        <f t="shared" si="74"/>
        <v>0</v>
      </c>
      <c r="AD508" s="49">
        <v>0</v>
      </c>
      <c r="AE508" s="49" t="str">
        <f t="shared" si="75"/>
        <v>32C00</v>
      </c>
    </row>
    <row r="509" spans="1:31" x14ac:dyDescent="0.15">
      <c r="A509" s="42" t="str">
        <f t="shared" si="68"/>
        <v>0</v>
      </c>
      <c r="B509" s="43">
        <v>507</v>
      </c>
      <c r="C509" s="213" t="s">
        <v>2321</v>
      </c>
      <c r="D509" s="211" t="s">
        <v>1027</v>
      </c>
      <c r="E509" s="214" t="s">
        <v>2322</v>
      </c>
      <c r="F509" s="215" t="s">
        <v>856</v>
      </c>
      <c r="G509" s="216">
        <v>0</v>
      </c>
      <c r="H509" s="217">
        <v>65535</v>
      </c>
      <c r="I509" s="213">
        <v>0</v>
      </c>
      <c r="J509" s="217">
        <v>0</v>
      </c>
      <c r="K509" s="217">
        <v>0</v>
      </c>
      <c r="L509" s="217" t="s">
        <v>859</v>
      </c>
      <c r="M509" s="217">
        <v>1</v>
      </c>
      <c r="N509" s="217" t="s">
        <v>1910</v>
      </c>
      <c r="O509" s="217">
        <v>0</v>
      </c>
      <c r="P509" s="213">
        <v>0</v>
      </c>
      <c r="Q509" s="217">
        <v>1</v>
      </c>
      <c r="R509" s="217">
        <v>5</v>
      </c>
      <c r="S509" s="217">
        <v>0</v>
      </c>
      <c r="T509" s="48"/>
      <c r="V509" s="49" t="str">
        <f t="shared" si="69"/>
        <v>0</v>
      </c>
      <c r="W509" s="49" t="str">
        <f t="shared" si="70"/>
        <v>0</v>
      </c>
      <c r="X509" s="49" t="str">
        <f t="shared" si="71"/>
        <v>0</v>
      </c>
      <c r="Y509" s="49">
        <f t="shared" si="72"/>
        <v>0</v>
      </c>
      <c r="Z509" s="49">
        <f t="shared" si="72"/>
        <v>0</v>
      </c>
      <c r="AA509" s="49">
        <f t="shared" si="73"/>
        <v>1</v>
      </c>
      <c r="AB509" s="49" t="str">
        <f t="shared" si="76"/>
        <v>101</v>
      </c>
      <c r="AC509" s="49">
        <f t="shared" si="74"/>
        <v>0</v>
      </c>
      <c r="AD509" s="49">
        <v>0</v>
      </c>
      <c r="AE509" s="49" t="str">
        <f t="shared" si="75"/>
        <v>32C00</v>
      </c>
    </row>
    <row r="510" spans="1:31" x14ac:dyDescent="0.15">
      <c r="A510" s="42" t="str">
        <f t="shared" si="68"/>
        <v>0</v>
      </c>
      <c r="B510" s="43">
        <v>508</v>
      </c>
      <c r="C510" s="212" t="s">
        <v>2323</v>
      </c>
      <c r="D510" s="218" t="s">
        <v>2324</v>
      </c>
      <c r="E510" s="219" t="s">
        <v>2325</v>
      </c>
      <c r="F510" s="222" t="s">
        <v>856</v>
      </c>
      <c r="G510" s="220">
        <v>1</v>
      </c>
      <c r="H510" s="221">
        <v>3</v>
      </c>
      <c r="I510" s="212">
        <v>0</v>
      </c>
      <c r="J510" s="221">
        <v>0</v>
      </c>
      <c r="K510" s="221">
        <v>0</v>
      </c>
      <c r="L510" s="221" t="s">
        <v>859</v>
      </c>
      <c r="M510" s="221">
        <v>1</v>
      </c>
      <c r="N510" s="221" t="s">
        <v>1910</v>
      </c>
      <c r="O510" s="221">
        <v>0</v>
      </c>
      <c r="P510" s="212">
        <v>0</v>
      </c>
      <c r="Q510" s="221">
        <v>1</v>
      </c>
      <c r="R510" s="221">
        <v>1</v>
      </c>
      <c r="S510" s="221">
        <v>0</v>
      </c>
      <c r="T510" s="48"/>
      <c r="V510" s="49" t="str">
        <f t="shared" si="69"/>
        <v>0</v>
      </c>
      <c r="W510" s="49" t="str">
        <f t="shared" si="70"/>
        <v>0</v>
      </c>
      <c r="X510" s="49" t="str">
        <f t="shared" si="71"/>
        <v>0</v>
      </c>
      <c r="Y510" s="49">
        <f t="shared" si="72"/>
        <v>0</v>
      </c>
      <c r="Z510" s="49">
        <f t="shared" si="72"/>
        <v>0</v>
      </c>
      <c r="AA510" s="49">
        <f t="shared" si="73"/>
        <v>1</v>
      </c>
      <c r="AB510" s="49" t="str">
        <f t="shared" si="76"/>
        <v>1</v>
      </c>
      <c r="AC510" s="49">
        <f t="shared" si="74"/>
        <v>0</v>
      </c>
      <c r="AD510" s="49">
        <v>0</v>
      </c>
      <c r="AE510" s="49" t="str">
        <f t="shared" si="75"/>
        <v>C00</v>
      </c>
    </row>
    <row r="511" spans="1:31" x14ac:dyDescent="0.15">
      <c r="A511" s="42" t="str">
        <f t="shared" si="68"/>
        <v>0</v>
      </c>
      <c r="B511" s="43">
        <v>509</v>
      </c>
      <c r="C511" s="212" t="s">
        <v>2326</v>
      </c>
      <c r="D511" s="218" t="s">
        <v>2327</v>
      </c>
      <c r="E511" s="219" t="s">
        <v>2616</v>
      </c>
      <c r="F511" s="222" t="s">
        <v>856</v>
      </c>
      <c r="G511" s="274">
        <v>296</v>
      </c>
      <c r="H511" s="221">
        <v>32767</v>
      </c>
      <c r="I511" s="212">
        <v>0</v>
      </c>
      <c r="J511" s="221">
        <v>0</v>
      </c>
      <c r="K511" s="221">
        <v>0</v>
      </c>
      <c r="L511" s="221" t="s">
        <v>859</v>
      </c>
      <c r="M511" s="221">
        <v>1</v>
      </c>
      <c r="N511" s="221" t="s">
        <v>1910</v>
      </c>
      <c r="O511" s="221">
        <v>0</v>
      </c>
      <c r="P511" s="212">
        <v>0</v>
      </c>
      <c r="Q511" s="221">
        <v>1</v>
      </c>
      <c r="R511" s="221">
        <v>5</v>
      </c>
      <c r="S511" s="221">
        <v>0</v>
      </c>
      <c r="T511" s="48"/>
      <c r="V511" s="49" t="str">
        <f t="shared" si="69"/>
        <v>0</v>
      </c>
      <c r="W511" s="49" t="str">
        <f t="shared" si="70"/>
        <v>0</v>
      </c>
      <c r="X511" s="49" t="str">
        <f t="shared" si="71"/>
        <v>0</v>
      </c>
      <c r="Y511" s="49">
        <f t="shared" si="72"/>
        <v>0</v>
      </c>
      <c r="Z511" s="49">
        <f t="shared" si="72"/>
        <v>0</v>
      </c>
      <c r="AA511" s="49">
        <f t="shared" si="73"/>
        <v>1</v>
      </c>
      <c r="AB511" s="49" t="str">
        <f t="shared" si="76"/>
        <v>101</v>
      </c>
      <c r="AC511" s="49">
        <f t="shared" si="74"/>
        <v>0</v>
      </c>
      <c r="AD511" s="49">
        <v>0</v>
      </c>
      <c r="AE511" s="49" t="str">
        <f t="shared" si="75"/>
        <v>32C00</v>
      </c>
    </row>
    <row r="512" spans="1:31" x14ac:dyDescent="0.15">
      <c r="A512" s="42" t="str">
        <f t="shared" si="68"/>
        <v>0</v>
      </c>
      <c r="B512" s="43">
        <v>510</v>
      </c>
      <c r="C512" s="212" t="s">
        <v>2328</v>
      </c>
      <c r="D512" s="218" t="s">
        <v>2687</v>
      </c>
      <c r="E512" s="219" t="s">
        <v>2621</v>
      </c>
      <c r="F512" s="223" t="s">
        <v>2329</v>
      </c>
      <c r="G512" s="220">
        <v>4000</v>
      </c>
      <c r="H512" s="221">
        <v>8000</v>
      </c>
      <c r="I512" s="212">
        <v>0</v>
      </c>
      <c r="J512" s="221">
        <v>0</v>
      </c>
      <c r="K512" s="221">
        <v>0</v>
      </c>
      <c r="L512" s="221" t="s">
        <v>859</v>
      </c>
      <c r="M512" s="221">
        <v>1E-3</v>
      </c>
      <c r="N512" s="221" t="s">
        <v>1910</v>
      </c>
      <c r="O512" s="221">
        <v>0</v>
      </c>
      <c r="P512" s="212">
        <v>0</v>
      </c>
      <c r="Q512" s="221">
        <v>1</v>
      </c>
      <c r="R512" s="221">
        <v>5</v>
      </c>
      <c r="S512" s="221">
        <v>0</v>
      </c>
      <c r="T512" s="53"/>
      <c r="V512" s="49" t="str">
        <f t="shared" si="69"/>
        <v>0</v>
      </c>
      <c r="W512" s="49" t="str">
        <f t="shared" si="70"/>
        <v>11</v>
      </c>
      <c r="X512" s="49" t="str">
        <f t="shared" si="71"/>
        <v>0</v>
      </c>
      <c r="Y512" s="49">
        <f t="shared" si="72"/>
        <v>0</v>
      </c>
      <c r="Z512" s="49">
        <f t="shared" si="72"/>
        <v>0</v>
      </c>
      <c r="AA512" s="49">
        <f t="shared" si="73"/>
        <v>1</v>
      </c>
      <c r="AB512" s="49" t="str">
        <f t="shared" si="76"/>
        <v>101</v>
      </c>
      <c r="AC512" s="49">
        <f t="shared" si="74"/>
        <v>0</v>
      </c>
      <c r="AD512" s="49">
        <v>0</v>
      </c>
      <c r="AE512" s="49" t="str">
        <f t="shared" si="75"/>
        <v>32C2C</v>
      </c>
    </row>
    <row r="513" spans="1:31" x14ac:dyDescent="0.15">
      <c r="A513" s="42" t="str">
        <f t="shared" si="68"/>
        <v>0</v>
      </c>
      <c r="B513" s="43">
        <v>511</v>
      </c>
      <c r="C513" s="212" t="s">
        <v>2330</v>
      </c>
      <c r="D513" s="218" t="s">
        <v>2687</v>
      </c>
      <c r="E513" s="219" t="s">
        <v>2622</v>
      </c>
      <c r="F513" s="223" t="s">
        <v>2329</v>
      </c>
      <c r="G513" s="220">
        <v>2000</v>
      </c>
      <c r="H513" s="221">
        <v>4000</v>
      </c>
      <c r="I513" s="212">
        <v>0</v>
      </c>
      <c r="J513" s="221">
        <v>0</v>
      </c>
      <c r="K513" s="221">
        <v>0</v>
      </c>
      <c r="L513" s="221" t="s">
        <v>859</v>
      </c>
      <c r="M513" s="221">
        <v>1E-3</v>
      </c>
      <c r="N513" s="221" t="s">
        <v>1910</v>
      </c>
      <c r="O513" s="221">
        <v>0</v>
      </c>
      <c r="P513" s="212">
        <v>0</v>
      </c>
      <c r="Q513" s="221">
        <v>1</v>
      </c>
      <c r="R513" s="221">
        <v>5</v>
      </c>
      <c r="S513" s="221">
        <v>0</v>
      </c>
      <c r="T513" s="53"/>
      <c r="V513" s="49" t="str">
        <f t="shared" si="69"/>
        <v>0</v>
      </c>
      <c r="W513" s="49" t="str">
        <f t="shared" si="70"/>
        <v>11</v>
      </c>
      <c r="X513" s="49" t="str">
        <f t="shared" si="71"/>
        <v>0</v>
      </c>
      <c r="Y513" s="49">
        <f t="shared" si="72"/>
        <v>0</v>
      </c>
      <c r="Z513" s="49">
        <f t="shared" si="72"/>
        <v>0</v>
      </c>
      <c r="AA513" s="49">
        <f t="shared" si="73"/>
        <v>1</v>
      </c>
      <c r="AB513" s="49" t="str">
        <f t="shared" si="76"/>
        <v>101</v>
      </c>
      <c r="AC513" s="49">
        <f t="shared" si="74"/>
        <v>0</v>
      </c>
      <c r="AD513" s="49">
        <v>0</v>
      </c>
      <c r="AE513" s="49" t="str">
        <f t="shared" si="75"/>
        <v>32C2C</v>
      </c>
    </row>
    <row r="514" spans="1:31" x14ac:dyDescent="0.15">
      <c r="A514" s="42" t="str">
        <f t="shared" si="68"/>
        <v>0</v>
      </c>
      <c r="B514" s="43">
        <v>512</v>
      </c>
      <c r="C514" s="212" t="s">
        <v>2331</v>
      </c>
      <c r="D514" s="218" t="s">
        <v>2332</v>
      </c>
      <c r="E514" s="219" t="s">
        <v>2333</v>
      </c>
      <c r="F514" s="223" t="s">
        <v>856</v>
      </c>
      <c r="G514" s="220">
        <v>1</v>
      </c>
      <c r="H514" s="221">
        <v>65535</v>
      </c>
      <c r="I514" s="212">
        <v>0</v>
      </c>
      <c r="J514" s="221">
        <v>0</v>
      </c>
      <c r="K514" s="221">
        <v>0</v>
      </c>
      <c r="L514" s="221" t="s">
        <v>859</v>
      </c>
      <c r="M514" s="221">
        <v>1</v>
      </c>
      <c r="N514" s="221" t="s">
        <v>1910</v>
      </c>
      <c r="O514" s="221">
        <v>0</v>
      </c>
      <c r="P514" s="212">
        <v>0</v>
      </c>
      <c r="Q514" s="221">
        <v>1</v>
      </c>
      <c r="R514" s="221">
        <v>5</v>
      </c>
      <c r="S514" s="221">
        <v>0</v>
      </c>
      <c r="T514" s="53"/>
      <c r="V514" s="49" t="str">
        <f t="shared" si="69"/>
        <v>0</v>
      </c>
      <c r="W514" s="49" t="str">
        <f t="shared" si="70"/>
        <v>0</v>
      </c>
      <c r="X514" s="49" t="str">
        <f t="shared" si="71"/>
        <v>0</v>
      </c>
      <c r="Y514" s="49">
        <f t="shared" si="72"/>
        <v>0</v>
      </c>
      <c r="Z514" s="49">
        <f t="shared" si="72"/>
        <v>0</v>
      </c>
      <c r="AA514" s="49">
        <f t="shared" si="73"/>
        <v>1</v>
      </c>
      <c r="AB514" s="49" t="str">
        <f t="shared" si="76"/>
        <v>101</v>
      </c>
      <c r="AC514" s="49">
        <f t="shared" si="74"/>
        <v>0</v>
      </c>
      <c r="AD514" s="49">
        <v>0</v>
      </c>
      <c r="AE514" s="49" t="str">
        <f t="shared" si="75"/>
        <v>32C00</v>
      </c>
    </row>
    <row r="515" spans="1:31" ht="14.45" customHeight="1" x14ac:dyDescent="0.15">
      <c r="A515" s="42" t="str">
        <f t="shared" si="68"/>
        <v>0</v>
      </c>
      <c r="B515" s="43">
        <v>513</v>
      </c>
      <c r="C515" s="212" t="s">
        <v>2334</v>
      </c>
      <c r="D515" s="218" t="s">
        <v>2335</v>
      </c>
      <c r="E515" s="219" t="s">
        <v>2336</v>
      </c>
      <c r="F515" s="223" t="s">
        <v>856</v>
      </c>
      <c r="G515" s="220">
        <v>0</v>
      </c>
      <c r="H515" s="221">
        <v>65535</v>
      </c>
      <c r="I515" s="212">
        <v>0</v>
      </c>
      <c r="J515" s="221">
        <v>0</v>
      </c>
      <c r="K515" s="221">
        <v>0</v>
      </c>
      <c r="L515" s="221" t="s">
        <v>859</v>
      </c>
      <c r="M515" s="221">
        <v>1</v>
      </c>
      <c r="N515" s="221" t="s">
        <v>1910</v>
      </c>
      <c r="O515" s="221">
        <v>0</v>
      </c>
      <c r="P515" s="212">
        <v>0</v>
      </c>
      <c r="Q515" s="221">
        <v>1</v>
      </c>
      <c r="R515" s="221">
        <v>5</v>
      </c>
      <c r="S515" s="221">
        <v>0</v>
      </c>
      <c r="T515" s="53"/>
      <c r="V515" s="49" t="str">
        <f t="shared" si="69"/>
        <v>0</v>
      </c>
      <c r="W515" s="49" t="str">
        <f t="shared" si="70"/>
        <v>0</v>
      </c>
      <c r="X515" s="49" t="str">
        <f t="shared" si="71"/>
        <v>0</v>
      </c>
      <c r="Y515" s="49">
        <f t="shared" si="72"/>
        <v>0</v>
      </c>
      <c r="Z515" s="49">
        <f t="shared" si="72"/>
        <v>0</v>
      </c>
      <c r="AA515" s="49">
        <f t="shared" si="73"/>
        <v>1</v>
      </c>
      <c r="AB515" s="49" t="str">
        <f t="shared" si="76"/>
        <v>101</v>
      </c>
      <c r="AC515" s="49">
        <f t="shared" si="74"/>
        <v>0</v>
      </c>
      <c r="AD515" s="49">
        <v>0</v>
      </c>
      <c r="AE515" s="49" t="str">
        <f t="shared" si="75"/>
        <v>32C00</v>
      </c>
    </row>
    <row r="516" spans="1:31" ht="14.45" customHeight="1" x14ac:dyDescent="0.15">
      <c r="A516" s="42" t="str">
        <f t="shared" ref="A516:A579" si="77">DEC2HEX(AH516)</f>
        <v>0</v>
      </c>
      <c r="B516" s="43">
        <v>514</v>
      </c>
      <c r="C516" s="212" t="s">
        <v>2337</v>
      </c>
      <c r="D516" s="218" t="s">
        <v>2338</v>
      </c>
      <c r="E516" s="219" t="s">
        <v>2339</v>
      </c>
      <c r="F516" s="223" t="s">
        <v>856</v>
      </c>
      <c r="G516" s="220">
        <v>1000</v>
      </c>
      <c r="H516" s="221">
        <v>65535</v>
      </c>
      <c r="I516" s="212">
        <v>0</v>
      </c>
      <c r="J516" s="221">
        <v>0</v>
      </c>
      <c r="K516" s="221">
        <v>0</v>
      </c>
      <c r="L516" s="221" t="s">
        <v>859</v>
      </c>
      <c r="M516" s="221">
        <v>1</v>
      </c>
      <c r="N516" s="221" t="s">
        <v>1910</v>
      </c>
      <c r="O516" s="221">
        <v>0</v>
      </c>
      <c r="P516" s="212">
        <v>0</v>
      </c>
      <c r="Q516" s="221">
        <v>1</v>
      </c>
      <c r="R516" s="221">
        <v>5</v>
      </c>
      <c r="S516" s="221">
        <v>0</v>
      </c>
      <c r="T516" s="53"/>
      <c r="V516" s="49" t="str">
        <f t="shared" si="69"/>
        <v>0</v>
      </c>
      <c r="W516" s="49" t="str">
        <f t="shared" si="70"/>
        <v>0</v>
      </c>
      <c r="X516" s="49" t="str">
        <f t="shared" si="71"/>
        <v>0</v>
      </c>
      <c r="Y516" s="49">
        <f t="shared" si="72"/>
        <v>0</v>
      </c>
      <c r="Z516" s="49">
        <f t="shared" si="72"/>
        <v>0</v>
      </c>
      <c r="AA516" s="49">
        <f t="shared" si="73"/>
        <v>1</v>
      </c>
      <c r="AB516" s="49" t="str">
        <f t="shared" si="76"/>
        <v>101</v>
      </c>
      <c r="AC516" s="49">
        <f t="shared" si="74"/>
        <v>0</v>
      </c>
      <c r="AD516" s="49">
        <v>0</v>
      </c>
      <c r="AE516" s="49" t="str">
        <f t="shared" si="75"/>
        <v>32C00</v>
      </c>
    </row>
    <row r="517" spans="1:31" ht="14.45" customHeight="1" x14ac:dyDescent="0.15">
      <c r="A517" s="42" t="str">
        <f t="shared" si="77"/>
        <v>0</v>
      </c>
      <c r="B517" s="43">
        <v>515</v>
      </c>
      <c r="C517" s="212" t="s">
        <v>2340</v>
      </c>
      <c r="D517" s="218" t="s">
        <v>2341</v>
      </c>
      <c r="E517" s="219" t="s">
        <v>2342</v>
      </c>
      <c r="F517" s="223" t="s">
        <v>856</v>
      </c>
      <c r="G517" s="220">
        <v>500</v>
      </c>
      <c r="H517" s="221">
        <v>65535</v>
      </c>
      <c r="I517" s="212">
        <v>0</v>
      </c>
      <c r="J517" s="221">
        <v>0</v>
      </c>
      <c r="K517" s="221">
        <v>0</v>
      </c>
      <c r="L517" s="221" t="s">
        <v>859</v>
      </c>
      <c r="M517" s="221">
        <v>1</v>
      </c>
      <c r="N517" s="221" t="s">
        <v>1910</v>
      </c>
      <c r="O517" s="221">
        <v>0</v>
      </c>
      <c r="P517" s="212">
        <v>0</v>
      </c>
      <c r="Q517" s="221">
        <v>1</v>
      </c>
      <c r="R517" s="221">
        <v>5</v>
      </c>
      <c r="S517" s="221">
        <v>0</v>
      </c>
      <c r="T517" s="53"/>
      <c r="V517" s="49" t="str">
        <f t="shared" si="69"/>
        <v>0</v>
      </c>
      <c r="W517" s="49" t="str">
        <f t="shared" si="70"/>
        <v>0</v>
      </c>
      <c r="X517" s="49" t="str">
        <f t="shared" si="71"/>
        <v>0</v>
      </c>
      <c r="Y517" s="49">
        <f t="shared" si="72"/>
        <v>0</v>
      </c>
      <c r="Z517" s="49">
        <f t="shared" si="72"/>
        <v>0</v>
      </c>
      <c r="AA517" s="49">
        <f t="shared" si="73"/>
        <v>1</v>
      </c>
      <c r="AB517" s="49" t="str">
        <f t="shared" si="76"/>
        <v>101</v>
      </c>
      <c r="AC517" s="49">
        <f t="shared" si="74"/>
        <v>0</v>
      </c>
      <c r="AD517" s="49">
        <v>0</v>
      </c>
      <c r="AE517" s="49" t="str">
        <f t="shared" si="75"/>
        <v>32C00</v>
      </c>
    </row>
    <row r="518" spans="1:31" ht="14.45" customHeight="1" x14ac:dyDescent="0.15">
      <c r="A518" s="42" t="str">
        <f t="shared" si="77"/>
        <v>0</v>
      </c>
      <c r="B518" s="43">
        <v>516</v>
      </c>
      <c r="C518" s="212" t="s">
        <v>2343</v>
      </c>
      <c r="D518" s="218" t="s">
        <v>2634</v>
      </c>
      <c r="E518" s="219" t="s">
        <v>2633</v>
      </c>
      <c r="F518" s="223" t="s">
        <v>856</v>
      </c>
      <c r="G518" s="220">
        <v>0</v>
      </c>
      <c r="H518" s="221">
        <v>1</v>
      </c>
      <c r="I518" s="212">
        <v>0</v>
      </c>
      <c r="J518" s="221">
        <v>0</v>
      </c>
      <c r="K518" s="221">
        <v>0</v>
      </c>
      <c r="L518" s="221" t="s">
        <v>859</v>
      </c>
      <c r="M518" s="221">
        <v>1</v>
      </c>
      <c r="N518" s="221" t="s">
        <v>1910</v>
      </c>
      <c r="O518" s="221">
        <v>0</v>
      </c>
      <c r="P518" s="212">
        <v>0</v>
      </c>
      <c r="Q518" s="221">
        <v>1</v>
      </c>
      <c r="R518" s="221">
        <v>1</v>
      </c>
      <c r="S518" s="221">
        <v>0</v>
      </c>
      <c r="T518" s="53"/>
      <c r="V518" s="49" t="str">
        <f t="shared" si="69"/>
        <v>0</v>
      </c>
      <c r="W518" s="49" t="str">
        <f t="shared" si="70"/>
        <v>0</v>
      </c>
      <c r="X518" s="49" t="str">
        <f t="shared" si="71"/>
        <v>0</v>
      </c>
      <c r="Y518" s="49">
        <f t="shared" si="72"/>
        <v>0</v>
      </c>
      <c r="Z518" s="49">
        <f t="shared" si="72"/>
        <v>0</v>
      </c>
      <c r="AA518" s="49">
        <f t="shared" si="73"/>
        <v>1</v>
      </c>
      <c r="AB518" s="49" t="str">
        <f t="shared" si="76"/>
        <v>1</v>
      </c>
      <c r="AC518" s="49">
        <f t="shared" si="74"/>
        <v>0</v>
      </c>
      <c r="AD518" s="49">
        <v>0</v>
      </c>
      <c r="AE518" s="49" t="str">
        <f t="shared" si="75"/>
        <v>C00</v>
      </c>
    </row>
    <row r="519" spans="1:31" x14ac:dyDescent="0.15">
      <c r="A519" s="42" t="str">
        <f t="shared" si="77"/>
        <v>0</v>
      </c>
      <c r="B519" s="43">
        <v>517</v>
      </c>
      <c r="C519" s="212" t="s">
        <v>2344</v>
      </c>
      <c r="D519" s="218" t="s">
        <v>2345</v>
      </c>
      <c r="E519" s="219" t="s">
        <v>2346</v>
      </c>
      <c r="F519" s="223" t="s">
        <v>856</v>
      </c>
      <c r="G519" s="220">
        <v>-600</v>
      </c>
      <c r="H519" s="221">
        <v>9000</v>
      </c>
      <c r="I519" s="212">
        <v>-9000</v>
      </c>
      <c r="J519" s="221">
        <v>0</v>
      </c>
      <c r="K519" s="221">
        <v>0</v>
      </c>
      <c r="L519" s="221" t="s">
        <v>859</v>
      </c>
      <c r="M519" s="221">
        <v>1</v>
      </c>
      <c r="N519" s="221" t="s">
        <v>1910</v>
      </c>
      <c r="O519" s="221">
        <v>0</v>
      </c>
      <c r="P519" s="212">
        <v>0</v>
      </c>
      <c r="Q519" s="221">
        <v>1</v>
      </c>
      <c r="R519" s="221">
        <v>4</v>
      </c>
      <c r="S519" s="221">
        <v>1</v>
      </c>
      <c r="T519" s="53"/>
      <c r="V519" s="49" t="str">
        <f t="shared" si="69"/>
        <v>0</v>
      </c>
      <c r="W519" s="49" t="str">
        <f t="shared" si="70"/>
        <v>0</v>
      </c>
      <c r="X519" s="49" t="str">
        <f t="shared" si="71"/>
        <v>0</v>
      </c>
      <c r="Y519" s="49">
        <f t="shared" si="72"/>
        <v>0</v>
      </c>
      <c r="Z519" s="49">
        <f t="shared" si="72"/>
        <v>0</v>
      </c>
      <c r="AA519" s="49">
        <f t="shared" si="73"/>
        <v>1</v>
      </c>
      <c r="AB519" s="49" t="str">
        <f t="shared" si="76"/>
        <v>100</v>
      </c>
      <c r="AC519" s="49">
        <f t="shared" si="74"/>
        <v>1</v>
      </c>
      <c r="AD519" s="49">
        <v>0</v>
      </c>
      <c r="AE519" s="49" t="str">
        <f t="shared" si="75"/>
        <v>36400</v>
      </c>
    </row>
    <row r="520" spans="1:31" x14ac:dyDescent="0.15">
      <c r="A520" s="42" t="str">
        <f t="shared" si="77"/>
        <v>0</v>
      </c>
      <c r="B520" s="43">
        <v>518</v>
      </c>
      <c r="C520" s="212" t="s">
        <v>2347</v>
      </c>
      <c r="D520" s="218" t="s">
        <v>2348</v>
      </c>
      <c r="E520" s="219" t="s">
        <v>1920</v>
      </c>
      <c r="F520" s="223" t="s">
        <v>856</v>
      </c>
      <c r="G520" s="220">
        <v>1000</v>
      </c>
      <c r="H520" s="221">
        <v>65535</v>
      </c>
      <c r="I520" s="212">
        <v>0</v>
      </c>
      <c r="J520" s="221">
        <v>0</v>
      </c>
      <c r="K520" s="221">
        <v>0</v>
      </c>
      <c r="L520" s="221" t="s">
        <v>859</v>
      </c>
      <c r="M520" s="221">
        <v>1</v>
      </c>
      <c r="N520" s="221" t="s">
        <v>1910</v>
      </c>
      <c r="O520" s="221">
        <v>0</v>
      </c>
      <c r="P520" s="212">
        <v>0</v>
      </c>
      <c r="Q520" s="221">
        <v>1</v>
      </c>
      <c r="R520" s="221">
        <v>5</v>
      </c>
      <c r="S520" s="221">
        <v>0</v>
      </c>
      <c r="T520" s="53"/>
      <c r="V520" s="49" t="str">
        <f t="shared" si="69"/>
        <v>0</v>
      </c>
      <c r="W520" s="49" t="str">
        <f t="shared" si="70"/>
        <v>0</v>
      </c>
      <c r="X520" s="49" t="str">
        <f t="shared" si="71"/>
        <v>0</v>
      </c>
      <c r="Y520" s="49">
        <f t="shared" si="72"/>
        <v>0</v>
      </c>
      <c r="Z520" s="49">
        <f t="shared" si="72"/>
        <v>0</v>
      </c>
      <c r="AA520" s="49">
        <f t="shared" si="73"/>
        <v>1</v>
      </c>
      <c r="AB520" s="49" t="str">
        <f t="shared" si="76"/>
        <v>101</v>
      </c>
      <c r="AC520" s="49">
        <f t="shared" si="74"/>
        <v>0</v>
      </c>
      <c r="AD520" s="49">
        <v>0</v>
      </c>
      <c r="AE520" s="49" t="str">
        <f t="shared" si="75"/>
        <v>32C00</v>
      </c>
    </row>
    <row r="521" spans="1:31" x14ac:dyDescent="0.15">
      <c r="A521" s="42" t="str">
        <f t="shared" si="77"/>
        <v>0</v>
      </c>
      <c r="B521" s="43">
        <v>519</v>
      </c>
      <c r="C521" s="212" t="s">
        <v>2349</v>
      </c>
      <c r="D521" s="218" t="s">
        <v>2350</v>
      </c>
      <c r="E521" s="219" t="s">
        <v>2351</v>
      </c>
      <c r="F521" s="223" t="s">
        <v>856</v>
      </c>
      <c r="G521" s="220">
        <v>20</v>
      </c>
      <c r="H521" s="221">
        <v>65535</v>
      </c>
      <c r="I521" s="212">
        <v>0</v>
      </c>
      <c r="J521" s="221">
        <v>0</v>
      </c>
      <c r="K521" s="221">
        <v>0</v>
      </c>
      <c r="L521" s="221" t="s">
        <v>859</v>
      </c>
      <c r="M521" s="221">
        <v>1</v>
      </c>
      <c r="N521" s="221" t="s">
        <v>1910</v>
      </c>
      <c r="O521" s="221">
        <v>0</v>
      </c>
      <c r="P521" s="212">
        <v>0</v>
      </c>
      <c r="Q521" s="221">
        <v>1</v>
      </c>
      <c r="R521" s="221">
        <v>5</v>
      </c>
      <c r="S521" s="221">
        <v>0</v>
      </c>
      <c r="T521" s="53"/>
      <c r="V521" s="49" t="str">
        <f t="shared" si="69"/>
        <v>0</v>
      </c>
      <c r="W521" s="49" t="str">
        <f t="shared" si="70"/>
        <v>0</v>
      </c>
      <c r="X521" s="49" t="str">
        <f t="shared" si="71"/>
        <v>0</v>
      </c>
      <c r="Y521" s="49">
        <f t="shared" si="72"/>
        <v>0</v>
      </c>
      <c r="Z521" s="49">
        <f t="shared" si="72"/>
        <v>0</v>
      </c>
      <c r="AA521" s="49">
        <f t="shared" si="73"/>
        <v>1</v>
      </c>
      <c r="AB521" s="49" t="str">
        <f t="shared" si="76"/>
        <v>101</v>
      </c>
      <c r="AC521" s="49">
        <f t="shared" si="74"/>
        <v>0</v>
      </c>
      <c r="AD521" s="49">
        <v>0</v>
      </c>
      <c r="AE521" s="49" t="str">
        <f t="shared" si="75"/>
        <v>32C00</v>
      </c>
    </row>
    <row r="522" spans="1:31" x14ac:dyDescent="0.15">
      <c r="A522" s="42" t="str">
        <f t="shared" si="77"/>
        <v>0</v>
      </c>
      <c r="B522" s="43">
        <v>520</v>
      </c>
      <c r="C522" s="212" t="s">
        <v>2352</v>
      </c>
      <c r="D522" s="218" t="s">
        <v>2353</v>
      </c>
      <c r="E522" s="219" t="s">
        <v>2354</v>
      </c>
      <c r="F522" s="223" t="s">
        <v>856</v>
      </c>
      <c r="G522" s="274">
        <v>200</v>
      </c>
      <c r="H522" s="221">
        <v>32000</v>
      </c>
      <c r="I522" s="212">
        <v>0</v>
      </c>
      <c r="J522" s="221">
        <v>0</v>
      </c>
      <c r="K522" s="221">
        <v>0</v>
      </c>
      <c r="L522" s="221" t="s">
        <v>859</v>
      </c>
      <c r="M522" s="221">
        <v>1</v>
      </c>
      <c r="N522" s="221" t="s">
        <v>1910</v>
      </c>
      <c r="O522" s="221">
        <v>0</v>
      </c>
      <c r="P522" s="212">
        <v>0</v>
      </c>
      <c r="Q522" s="221">
        <v>1</v>
      </c>
      <c r="R522" s="221">
        <v>5</v>
      </c>
      <c r="S522" s="221">
        <v>0</v>
      </c>
      <c r="T522" s="53"/>
      <c r="V522" s="49" t="str">
        <f t="shared" si="69"/>
        <v>0</v>
      </c>
      <c r="W522" s="49" t="str">
        <f t="shared" si="70"/>
        <v>0</v>
      </c>
      <c r="X522" s="49" t="str">
        <f t="shared" si="71"/>
        <v>0</v>
      </c>
      <c r="Y522" s="49">
        <f t="shared" si="72"/>
        <v>0</v>
      </c>
      <c r="Z522" s="49">
        <f t="shared" si="72"/>
        <v>0</v>
      </c>
      <c r="AA522" s="49">
        <f t="shared" si="73"/>
        <v>1</v>
      </c>
      <c r="AB522" s="49" t="str">
        <f t="shared" si="76"/>
        <v>101</v>
      </c>
      <c r="AC522" s="49">
        <f t="shared" si="74"/>
        <v>0</v>
      </c>
      <c r="AD522" s="49">
        <v>0</v>
      </c>
      <c r="AE522" s="49" t="str">
        <f t="shared" si="75"/>
        <v>32C00</v>
      </c>
    </row>
    <row r="523" spans="1:31" ht="23.25" customHeight="1" x14ac:dyDescent="0.15">
      <c r="A523" s="42" t="str">
        <f t="shared" si="77"/>
        <v>0</v>
      </c>
      <c r="B523" s="43">
        <v>521</v>
      </c>
      <c r="C523" s="212" t="s">
        <v>2355</v>
      </c>
      <c r="D523" s="218" t="s">
        <v>2356</v>
      </c>
      <c r="E523" s="219" t="s">
        <v>2357</v>
      </c>
      <c r="F523" s="223" t="s">
        <v>856</v>
      </c>
      <c r="G523" s="274">
        <v>200</v>
      </c>
      <c r="H523" s="221">
        <v>32000</v>
      </c>
      <c r="I523" s="212">
        <v>0</v>
      </c>
      <c r="J523" s="221">
        <v>0</v>
      </c>
      <c r="K523" s="221">
        <v>0</v>
      </c>
      <c r="L523" s="221" t="s">
        <v>859</v>
      </c>
      <c r="M523" s="221">
        <v>1</v>
      </c>
      <c r="N523" s="221" t="s">
        <v>1910</v>
      </c>
      <c r="O523" s="221">
        <v>0</v>
      </c>
      <c r="P523" s="212">
        <v>0</v>
      </c>
      <c r="Q523" s="221">
        <v>1</v>
      </c>
      <c r="R523" s="221">
        <v>5</v>
      </c>
      <c r="S523" s="221">
        <v>0</v>
      </c>
      <c r="T523" s="53"/>
      <c r="V523" s="49" t="str">
        <f t="shared" ref="V523:V586" si="78">IF(L523="△",DEC2BIN(0),IF(L523="×",DEC2BIN(1),IF(L523="◎",DEC2BIN(2),DEC2BIN(3))))</f>
        <v>0</v>
      </c>
      <c r="W523" s="49" t="str">
        <f t="shared" ref="W523:W586" si="79">IF(M523=1,DEC2BIN(0),IF(M523=0.1,DEC2BIN(1),IF(M523=0.01,DEC2BIN(2),DEC2BIN(3))))</f>
        <v>0</v>
      </c>
      <c r="X523" s="49" t="str">
        <f t="shared" ref="X523:X586" si="80">LOOKUP(N523,$AG$2:$AG$17,$AH$2:$AH$17)</f>
        <v>0</v>
      </c>
      <c r="Y523" s="49">
        <f t="shared" ref="Y523:Y586" si="81">O523</f>
        <v>0</v>
      </c>
      <c r="Z523" s="49">
        <f t="shared" ref="Z523:Z586" si="82">P523</f>
        <v>0</v>
      </c>
      <c r="AA523" s="49">
        <f t="shared" ref="AA523:AA586" si="83">Q523</f>
        <v>1</v>
      </c>
      <c r="AB523" s="49" t="str">
        <f t="shared" si="76"/>
        <v>101</v>
      </c>
      <c r="AC523" s="49">
        <f t="shared" ref="AC523:AC586" si="84">S523</f>
        <v>0</v>
      </c>
      <c r="AD523" s="49">
        <v>0</v>
      </c>
      <c r="AE523" s="49" t="str">
        <f t="shared" ref="AE523:AE586" si="85">DEC2HEX(V523+W523*4+X523*16+Y523*256+Z523*512+AA523*1024+AB523*2048+AC523*16384)</f>
        <v>32C00</v>
      </c>
    </row>
    <row r="524" spans="1:31" ht="23.25" customHeight="1" x14ac:dyDescent="0.15">
      <c r="A524" s="42" t="str">
        <f t="shared" si="77"/>
        <v>0</v>
      </c>
      <c r="B524" s="43">
        <v>522</v>
      </c>
      <c r="C524" s="212" t="s">
        <v>2358</v>
      </c>
      <c r="D524" s="218" t="s">
        <v>2359</v>
      </c>
      <c r="E524" s="219" t="s">
        <v>2360</v>
      </c>
      <c r="F524" s="223" t="s">
        <v>856</v>
      </c>
      <c r="G524" s="274">
        <v>456</v>
      </c>
      <c r="H524" s="221">
        <v>32000</v>
      </c>
      <c r="I524" s="212">
        <v>0</v>
      </c>
      <c r="J524" s="221">
        <v>0</v>
      </c>
      <c r="K524" s="221">
        <v>0</v>
      </c>
      <c r="L524" s="221" t="s">
        <v>859</v>
      </c>
      <c r="M524" s="221">
        <v>1</v>
      </c>
      <c r="N524" s="221" t="s">
        <v>1910</v>
      </c>
      <c r="O524" s="221">
        <v>0</v>
      </c>
      <c r="P524" s="212">
        <v>0</v>
      </c>
      <c r="Q524" s="221">
        <v>1</v>
      </c>
      <c r="R524" s="221">
        <v>5</v>
      </c>
      <c r="S524" s="221">
        <v>0</v>
      </c>
      <c r="T524" s="53"/>
      <c r="V524" s="49" t="str">
        <f t="shared" si="78"/>
        <v>0</v>
      </c>
      <c r="W524" s="49" t="str">
        <f t="shared" si="79"/>
        <v>0</v>
      </c>
      <c r="X524" s="49" t="str">
        <f t="shared" si="80"/>
        <v>0</v>
      </c>
      <c r="Y524" s="49">
        <f t="shared" si="81"/>
        <v>0</v>
      </c>
      <c r="Z524" s="49">
        <f t="shared" si="82"/>
        <v>0</v>
      </c>
      <c r="AA524" s="49">
        <f t="shared" si="83"/>
        <v>1</v>
      </c>
      <c r="AB524" s="49" t="str">
        <f t="shared" ref="AB524:AB587" si="86">DEC2BIN(R524)</f>
        <v>101</v>
      </c>
      <c r="AC524" s="49">
        <f t="shared" si="84"/>
        <v>0</v>
      </c>
      <c r="AD524" s="49">
        <v>0</v>
      </c>
      <c r="AE524" s="49" t="str">
        <f t="shared" si="85"/>
        <v>32C00</v>
      </c>
    </row>
    <row r="525" spans="1:31" x14ac:dyDescent="0.15">
      <c r="A525" s="42" t="str">
        <f t="shared" si="77"/>
        <v>0</v>
      </c>
      <c r="B525" s="43">
        <v>523</v>
      </c>
      <c r="C525" s="212" t="s">
        <v>2361</v>
      </c>
      <c r="D525" s="218" t="s">
        <v>2914</v>
      </c>
      <c r="E525" s="219" t="s">
        <v>2915</v>
      </c>
      <c r="F525" s="223" t="s">
        <v>2916</v>
      </c>
      <c r="G525" s="220">
        <v>0</v>
      </c>
      <c r="H525" s="221">
        <v>32000</v>
      </c>
      <c r="I525" s="212">
        <v>0</v>
      </c>
      <c r="J525" s="221">
        <v>0</v>
      </c>
      <c r="K525" s="221">
        <v>0</v>
      </c>
      <c r="L525" s="221" t="s">
        <v>859</v>
      </c>
      <c r="M525" s="221">
        <v>1</v>
      </c>
      <c r="N525" s="221" t="s">
        <v>1910</v>
      </c>
      <c r="O525" s="221">
        <v>0</v>
      </c>
      <c r="P525" s="212">
        <v>0</v>
      </c>
      <c r="Q525" s="221">
        <v>1</v>
      </c>
      <c r="R525" s="221">
        <v>5</v>
      </c>
      <c r="S525" s="221">
        <v>0</v>
      </c>
      <c r="T525" s="53"/>
      <c r="V525" s="49" t="str">
        <f t="shared" si="78"/>
        <v>0</v>
      </c>
      <c r="W525" s="49" t="str">
        <f t="shared" si="79"/>
        <v>0</v>
      </c>
      <c r="X525" s="49" t="str">
        <f t="shared" si="80"/>
        <v>0</v>
      </c>
      <c r="Y525" s="49">
        <f t="shared" si="81"/>
        <v>0</v>
      </c>
      <c r="Z525" s="49">
        <f t="shared" si="82"/>
        <v>0</v>
      </c>
      <c r="AA525" s="49">
        <f t="shared" si="83"/>
        <v>1</v>
      </c>
      <c r="AB525" s="49" t="str">
        <f t="shared" si="86"/>
        <v>101</v>
      </c>
      <c r="AC525" s="49">
        <f t="shared" si="84"/>
        <v>0</v>
      </c>
      <c r="AD525" s="49">
        <v>0</v>
      </c>
      <c r="AE525" s="49" t="str">
        <f t="shared" si="85"/>
        <v>32C00</v>
      </c>
    </row>
    <row r="526" spans="1:31" ht="112.5" x14ac:dyDescent="0.15">
      <c r="A526" s="42" t="str">
        <f t="shared" si="77"/>
        <v>0</v>
      </c>
      <c r="B526" s="43">
        <v>524</v>
      </c>
      <c r="C526" s="212" t="s">
        <v>2362</v>
      </c>
      <c r="D526" s="218" t="s">
        <v>2363</v>
      </c>
      <c r="E526" s="219" t="s">
        <v>2364</v>
      </c>
      <c r="F526" s="223" t="s">
        <v>2365</v>
      </c>
      <c r="G526" s="220">
        <v>0</v>
      </c>
      <c r="H526" s="221">
        <v>111</v>
      </c>
      <c r="I526" s="212">
        <v>0</v>
      </c>
      <c r="J526" s="221">
        <v>0</v>
      </c>
      <c r="K526" s="221">
        <v>0</v>
      </c>
      <c r="L526" s="221" t="s">
        <v>859</v>
      </c>
      <c r="M526" s="221">
        <v>1</v>
      </c>
      <c r="N526" s="221" t="s">
        <v>1910</v>
      </c>
      <c r="O526" s="221">
        <v>1</v>
      </c>
      <c r="P526" s="212">
        <v>0</v>
      </c>
      <c r="Q526" s="221">
        <v>1</v>
      </c>
      <c r="R526" s="221">
        <v>3</v>
      </c>
      <c r="S526" s="221">
        <v>0</v>
      </c>
      <c r="T526" s="53"/>
      <c r="V526" s="49" t="str">
        <f t="shared" si="78"/>
        <v>0</v>
      </c>
      <c r="W526" s="49" t="str">
        <f t="shared" si="79"/>
        <v>0</v>
      </c>
      <c r="X526" s="49" t="str">
        <f t="shared" si="80"/>
        <v>0</v>
      </c>
      <c r="Y526" s="49">
        <f t="shared" si="81"/>
        <v>1</v>
      </c>
      <c r="Z526" s="49">
        <f t="shared" si="82"/>
        <v>0</v>
      </c>
      <c r="AA526" s="49">
        <f t="shared" si="83"/>
        <v>1</v>
      </c>
      <c r="AB526" s="49" t="str">
        <f t="shared" si="86"/>
        <v>11</v>
      </c>
      <c r="AC526" s="49">
        <f t="shared" si="84"/>
        <v>0</v>
      </c>
      <c r="AD526" s="49">
        <v>0</v>
      </c>
      <c r="AE526" s="49" t="str">
        <f t="shared" si="85"/>
        <v>5D00</v>
      </c>
    </row>
    <row r="527" spans="1:31" x14ac:dyDescent="0.15">
      <c r="A527" s="42" t="str">
        <f t="shared" si="77"/>
        <v>0</v>
      </c>
      <c r="B527" s="43">
        <v>525</v>
      </c>
      <c r="C527" s="212" t="s">
        <v>2366</v>
      </c>
      <c r="D527" s="218" t="s">
        <v>2367</v>
      </c>
      <c r="E527" s="219" t="s">
        <v>2632</v>
      </c>
      <c r="F527" s="223" t="s">
        <v>856</v>
      </c>
      <c r="G527" s="220">
        <v>2048</v>
      </c>
      <c r="H527" s="221">
        <v>8192</v>
      </c>
      <c r="I527" s="212">
        <v>0</v>
      </c>
      <c r="J527" s="221">
        <v>0</v>
      </c>
      <c r="K527" s="221">
        <v>0</v>
      </c>
      <c r="L527" s="221" t="s">
        <v>859</v>
      </c>
      <c r="M527" s="221">
        <v>1</v>
      </c>
      <c r="N527" s="221" t="s">
        <v>1910</v>
      </c>
      <c r="O527" s="221">
        <v>0</v>
      </c>
      <c r="P527" s="212">
        <v>0</v>
      </c>
      <c r="Q527" s="221">
        <v>1</v>
      </c>
      <c r="R527" s="221">
        <v>5</v>
      </c>
      <c r="S527" s="221">
        <v>0</v>
      </c>
      <c r="T527" s="53"/>
      <c r="V527" s="49" t="str">
        <f t="shared" si="78"/>
        <v>0</v>
      </c>
      <c r="W527" s="49" t="str">
        <f t="shared" si="79"/>
        <v>0</v>
      </c>
      <c r="X527" s="49" t="str">
        <f t="shared" si="80"/>
        <v>0</v>
      </c>
      <c r="Y527" s="49">
        <f t="shared" si="81"/>
        <v>0</v>
      </c>
      <c r="Z527" s="49">
        <f t="shared" si="82"/>
        <v>0</v>
      </c>
      <c r="AA527" s="49">
        <f t="shared" si="83"/>
        <v>1</v>
      </c>
      <c r="AB527" s="49" t="str">
        <f t="shared" si="86"/>
        <v>101</v>
      </c>
      <c r="AC527" s="49">
        <f t="shared" si="84"/>
        <v>0</v>
      </c>
      <c r="AD527" s="49">
        <v>0</v>
      </c>
      <c r="AE527" s="49" t="str">
        <f t="shared" si="85"/>
        <v>32C00</v>
      </c>
    </row>
    <row r="528" spans="1:31" x14ac:dyDescent="0.15">
      <c r="A528" s="42" t="str">
        <f t="shared" si="77"/>
        <v>0</v>
      </c>
      <c r="B528" s="43">
        <v>526</v>
      </c>
      <c r="C528" s="212" t="s">
        <v>2368</v>
      </c>
      <c r="D528" s="218" t="s">
        <v>2369</v>
      </c>
      <c r="E528" s="219" t="s">
        <v>2370</v>
      </c>
      <c r="F528" s="223" t="s">
        <v>2329</v>
      </c>
      <c r="G528" s="220">
        <v>1000</v>
      </c>
      <c r="H528" s="221">
        <v>8000</v>
      </c>
      <c r="I528" s="212">
        <v>0</v>
      </c>
      <c r="J528" s="221">
        <v>0</v>
      </c>
      <c r="K528" s="221">
        <v>0</v>
      </c>
      <c r="L528" s="221" t="s">
        <v>859</v>
      </c>
      <c r="M528" s="221">
        <v>1E-3</v>
      </c>
      <c r="N528" s="221" t="s">
        <v>1910</v>
      </c>
      <c r="O528" s="221">
        <v>0</v>
      </c>
      <c r="P528" s="212">
        <v>0</v>
      </c>
      <c r="Q528" s="221">
        <v>1</v>
      </c>
      <c r="R528" s="221">
        <v>4</v>
      </c>
      <c r="S528" s="221">
        <v>0</v>
      </c>
      <c r="T528" s="53"/>
      <c r="V528" s="49" t="str">
        <f t="shared" si="78"/>
        <v>0</v>
      </c>
      <c r="W528" s="49" t="str">
        <f t="shared" si="79"/>
        <v>11</v>
      </c>
      <c r="X528" s="49" t="str">
        <f t="shared" si="80"/>
        <v>0</v>
      </c>
      <c r="Y528" s="49">
        <f t="shared" si="81"/>
        <v>0</v>
      </c>
      <c r="Z528" s="49">
        <f t="shared" si="82"/>
        <v>0</v>
      </c>
      <c r="AA528" s="49">
        <f t="shared" si="83"/>
        <v>1</v>
      </c>
      <c r="AB528" s="49" t="str">
        <f t="shared" si="86"/>
        <v>100</v>
      </c>
      <c r="AC528" s="49">
        <f t="shared" si="84"/>
        <v>0</v>
      </c>
      <c r="AD528" s="49">
        <v>0</v>
      </c>
      <c r="AE528" s="49" t="str">
        <f t="shared" si="85"/>
        <v>3242C</v>
      </c>
    </row>
    <row r="529" spans="1:31" x14ac:dyDescent="0.15">
      <c r="A529" s="42" t="str">
        <f t="shared" si="77"/>
        <v>0</v>
      </c>
      <c r="B529" s="43">
        <v>527</v>
      </c>
      <c r="C529" s="212" t="s">
        <v>2371</v>
      </c>
      <c r="D529" s="218" t="s">
        <v>2372</v>
      </c>
      <c r="E529" s="219" t="s">
        <v>2373</v>
      </c>
      <c r="F529" s="223" t="s">
        <v>2329</v>
      </c>
      <c r="G529" s="220">
        <v>1000</v>
      </c>
      <c r="H529" s="221">
        <v>4000</v>
      </c>
      <c r="I529" s="212">
        <v>0</v>
      </c>
      <c r="J529" s="221">
        <v>0</v>
      </c>
      <c r="K529" s="221">
        <v>0</v>
      </c>
      <c r="L529" s="221" t="s">
        <v>859</v>
      </c>
      <c r="M529" s="221">
        <v>1E-3</v>
      </c>
      <c r="N529" s="221" t="s">
        <v>1910</v>
      </c>
      <c r="O529" s="221">
        <v>0</v>
      </c>
      <c r="P529" s="212">
        <v>0</v>
      </c>
      <c r="Q529" s="221">
        <v>1</v>
      </c>
      <c r="R529" s="221">
        <v>4</v>
      </c>
      <c r="S529" s="221">
        <v>0</v>
      </c>
      <c r="T529" s="53"/>
      <c r="V529" s="49" t="str">
        <f t="shared" si="78"/>
        <v>0</v>
      </c>
      <c r="W529" s="49" t="str">
        <f t="shared" si="79"/>
        <v>11</v>
      </c>
      <c r="X529" s="49" t="str">
        <f t="shared" si="80"/>
        <v>0</v>
      </c>
      <c r="Y529" s="49">
        <f t="shared" si="81"/>
        <v>0</v>
      </c>
      <c r="Z529" s="49">
        <f t="shared" si="82"/>
        <v>0</v>
      </c>
      <c r="AA529" s="49">
        <f t="shared" si="83"/>
        <v>1</v>
      </c>
      <c r="AB529" s="49" t="str">
        <f t="shared" si="86"/>
        <v>100</v>
      </c>
      <c r="AC529" s="49">
        <f t="shared" si="84"/>
        <v>0</v>
      </c>
      <c r="AD529" s="49">
        <v>0</v>
      </c>
      <c r="AE529" s="49" t="str">
        <f t="shared" si="85"/>
        <v>3242C</v>
      </c>
    </row>
    <row r="530" spans="1:31" x14ac:dyDescent="0.15">
      <c r="A530" s="42" t="str">
        <f t="shared" si="77"/>
        <v>0</v>
      </c>
      <c r="B530" s="43">
        <v>528</v>
      </c>
      <c r="C530" s="212" t="s">
        <v>2374</v>
      </c>
      <c r="D530" s="218" t="s">
        <v>2369</v>
      </c>
      <c r="E530" s="219" t="s">
        <v>2375</v>
      </c>
      <c r="F530" s="223" t="s">
        <v>2329</v>
      </c>
      <c r="G530" s="220">
        <v>1000</v>
      </c>
      <c r="H530" s="221">
        <v>8000</v>
      </c>
      <c r="I530" s="212">
        <v>0</v>
      </c>
      <c r="J530" s="221">
        <v>0</v>
      </c>
      <c r="K530" s="221">
        <v>0</v>
      </c>
      <c r="L530" s="221" t="s">
        <v>859</v>
      </c>
      <c r="M530" s="221">
        <v>1E-3</v>
      </c>
      <c r="N530" s="221" t="s">
        <v>1910</v>
      </c>
      <c r="O530" s="221">
        <v>0</v>
      </c>
      <c r="P530" s="212">
        <v>0</v>
      </c>
      <c r="Q530" s="221">
        <v>1</v>
      </c>
      <c r="R530" s="221">
        <v>4</v>
      </c>
      <c r="S530" s="221">
        <v>0</v>
      </c>
      <c r="T530" s="53"/>
      <c r="V530" s="49" t="str">
        <f t="shared" si="78"/>
        <v>0</v>
      </c>
      <c r="W530" s="49" t="str">
        <f t="shared" si="79"/>
        <v>11</v>
      </c>
      <c r="X530" s="49" t="str">
        <f t="shared" si="80"/>
        <v>0</v>
      </c>
      <c r="Y530" s="49">
        <f t="shared" si="81"/>
        <v>0</v>
      </c>
      <c r="Z530" s="49">
        <f t="shared" si="82"/>
        <v>0</v>
      </c>
      <c r="AA530" s="49">
        <f t="shared" si="83"/>
        <v>1</v>
      </c>
      <c r="AB530" s="49" t="str">
        <f t="shared" si="86"/>
        <v>100</v>
      </c>
      <c r="AC530" s="49">
        <f t="shared" si="84"/>
        <v>0</v>
      </c>
      <c r="AD530" s="49">
        <v>0</v>
      </c>
      <c r="AE530" s="49" t="str">
        <f t="shared" si="85"/>
        <v>3242C</v>
      </c>
    </row>
    <row r="531" spans="1:31" x14ac:dyDescent="0.15">
      <c r="A531" s="42" t="str">
        <f t="shared" si="77"/>
        <v>0</v>
      </c>
      <c r="B531" s="43">
        <v>529</v>
      </c>
      <c r="C531" s="212" t="s">
        <v>2376</v>
      </c>
      <c r="D531" s="218" t="s">
        <v>2372</v>
      </c>
      <c r="E531" s="219" t="s">
        <v>2377</v>
      </c>
      <c r="F531" s="223" t="s">
        <v>2329</v>
      </c>
      <c r="G531" s="220">
        <v>1000</v>
      </c>
      <c r="H531" s="221">
        <v>4000</v>
      </c>
      <c r="I531" s="212">
        <v>0</v>
      </c>
      <c r="J531" s="221">
        <v>0</v>
      </c>
      <c r="K531" s="221">
        <v>0</v>
      </c>
      <c r="L531" s="221" t="s">
        <v>859</v>
      </c>
      <c r="M531" s="221">
        <v>1E-3</v>
      </c>
      <c r="N531" s="221" t="s">
        <v>1910</v>
      </c>
      <c r="O531" s="221">
        <v>0</v>
      </c>
      <c r="P531" s="212">
        <v>0</v>
      </c>
      <c r="Q531" s="221">
        <v>1</v>
      </c>
      <c r="R531" s="221">
        <v>4</v>
      </c>
      <c r="S531" s="221">
        <v>0</v>
      </c>
      <c r="T531" s="53"/>
      <c r="V531" s="49" t="str">
        <f t="shared" si="78"/>
        <v>0</v>
      </c>
      <c r="W531" s="49" t="str">
        <f t="shared" si="79"/>
        <v>11</v>
      </c>
      <c r="X531" s="49" t="str">
        <f t="shared" si="80"/>
        <v>0</v>
      </c>
      <c r="Y531" s="49">
        <f t="shared" si="81"/>
        <v>0</v>
      </c>
      <c r="Z531" s="49">
        <f t="shared" si="82"/>
        <v>0</v>
      </c>
      <c r="AA531" s="49">
        <f t="shared" si="83"/>
        <v>1</v>
      </c>
      <c r="AB531" s="49" t="str">
        <f t="shared" si="86"/>
        <v>100</v>
      </c>
      <c r="AC531" s="49">
        <f t="shared" si="84"/>
        <v>0</v>
      </c>
      <c r="AD531" s="49">
        <v>0</v>
      </c>
      <c r="AE531" s="49" t="str">
        <f t="shared" si="85"/>
        <v>3242C</v>
      </c>
    </row>
    <row r="532" spans="1:31" x14ac:dyDescent="0.15">
      <c r="A532" s="42" t="str">
        <f t="shared" si="77"/>
        <v>0</v>
      </c>
      <c r="B532" s="43">
        <v>530</v>
      </c>
      <c r="C532" s="212" t="s">
        <v>2378</v>
      </c>
      <c r="D532" s="218" t="s">
        <v>2379</v>
      </c>
      <c r="E532" s="219" t="s">
        <v>2380</v>
      </c>
      <c r="F532" s="223" t="s">
        <v>856</v>
      </c>
      <c r="G532" s="220">
        <v>30</v>
      </c>
      <c r="H532" s="221">
        <v>65535</v>
      </c>
      <c r="I532" s="212">
        <v>0</v>
      </c>
      <c r="J532" s="221">
        <v>0</v>
      </c>
      <c r="K532" s="221">
        <v>0</v>
      </c>
      <c r="L532" s="221" t="s">
        <v>859</v>
      </c>
      <c r="M532" s="221">
        <v>1</v>
      </c>
      <c r="N532" s="263" t="s">
        <v>1923</v>
      </c>
      <c r="O532" s="221">
        <v>0</v>
      </c>
      <c r="P532" s="212">
        <v>0</v>
      </c>
      <c r="Q532" s="221">
        <v>1</v>
      </c>
      <c r="R532" s="221">
        <v>5</v>
      </c>
      <c r="S532" s="221">
        <v>0</v>
      </c>
      <c r="T532" s="53"/>
      <c r="V532" s="49" t="str">
        <f t="shared" si="78"/>
        <v>0</v>
      </c>
      <c r="W532" s="49" t="str">
        <f t="shared" si="79"/>
        <v>0</v>
      </c>
      <c r="X532" s="49" t="str">
        <f>DEC2BIN(14)</f>
        <v>1110</v>
      </c>
      <c r="Y532" s="49">
        <f t="shared" si="81"/>
        <v>0</v>
      </c>
      <c r="Z532" s="49">
        <f t="shared" si="82"/>
        <v>0</v>
      </c>
      <c r="AA532" s="49">
        <f t="shared" si="83"/>
        <v>1</v>
      </c>
      <c r="AB532" s="49" t="str">
        <f t="shared" si="86"/>
        <v>101</v>
      </c>
      <c r="AC532" s="49">
        <f t="shared" si="84"/>
        <v>0</v>
      </c>
      <c r="AD532" s="49">
        <v>0</v>
      </c>
      <c r="AE532" s="49" t="str">
        <f t="shared" si="85"/>
        <v>37160</v>
      </c>
    </row>
    <row r="533" spans="1:31" x14ac:dyDescent="0.15">
      <c r="A533" s="42" t="str">
        <f t="shared" si="77"/>
        <v>0</v>
      </c>
      <c r="B533" s="43">
        <v>531</v>
      </c>
      <c r="C533" s="212" t="s">
        <v>2381</v>
      </c>
      <c r="D533" s="218" t="s">
        <v>2382</v>
      </c>
      <c r="E533" s="219" t="s">
        <v>2383</v>
      </c>
      <c r="F533" s="223" t="s">
        <v>856</v>
      </c>
      <c r="G533" s="220">
        <v>0</v>
      </c>
      <c r="H533" s="221">
        <v>65535</v>
      </c>
      <c r="I533" s="212">
        <v>0</v>
      </c>
      <c r="J533" s="221">
        <v>0</v>
      </c>
      <c r="K533" s="221">
        <v>0</v>
      </c>
      <c r="L533" s="221" t="s">
        <v>859</v>
      </c>
      <c r="M533" s="221">
        <v>0.1</v>
      </c>
      <c r="N533" s="263" t="s">
        <v>1907</v>
      </c>
      <c r="O533" s="221">
        <v>0</v>
      </c>
      <c r="P533" s="212">
        <v>0</v>
      </c>
      <c r="Q533" s="221">
        <v>1</v>
      </c>
      <c r="R533" s="221">
        <v>5</v>
      </c>
      <c r="S533" s="221">
        <v>0</v>
      </c>
      <c r="T533" s="53"/>
      <c r="V533" s="49" t="str">
        <f t="shared" si="78"/>
        <v>0</v>
      </c>
      <c r="W533" s="49" t="str">
        <f t="shared" si="79"/>
        <v>1</v>
      </c>
      <c r="X533" s="49" t="e">
        <f t="shared" si="80"/>
        <v>#N/A</v>
      </c>
      <c r="Y533" s="49">
        <f t="shared" si="81"/>
        <v>0</v>
      </c>
      <c r="Z533" s="49">
        <f t="shared" si="82"/>
        <v>0</v>
      </c>
      <c r="AA533" s="49">
        <f t="shared" si="83"/>
        <v>1</v>
      </c>
      <c r="AB533" s="49" t="str">
        <f t="shared" si="86"/>
        <v>101</v>
      </c>
      <c r="AC533" s="49">
        <f t="shared" si="84"/>
        <v>0</v>
      </c>
      <c r="AD533" s="49">
        <v>0</v>
      </c>
      <c r="AE533" s="49" t="e">
        <f t="shared" si="85"/>
        <v>#N/A</v>
      </c>
    </row>
    <row r="534" spans="1:31" x14ac:dyDescent="0.15">
      <c r="A534" s="42" t="str">
        <f t="shared" si="77"/>
        <v>0</v>
      </c>
      <c r="B534" s="43">
        <v>532</v>
      </c>
      <c r="C534" s="212" t="s">
        <v>2384</v>
      </c>
      <c r="D534" s="218" t="s">
        <v>2385</v>
      </c>
      <c r="E534" s="219" t="s">
        <v>2386</v>
      </c>
      <c r="F534" s="223" t="s">
        <v>856</v>
      </c>
      <c r="G534" s="220">
        <v>2000</v>
      </c>
      <c r="H534" s="221">
        <v>65535</v>
      </c>
      <c r="I534" s="212">
        <v>0</v>
      </c>
      <c r="J534" s="221">
        <v>0</v>
      </c>
      <c r="K534" s="221">
        <v>0</v>
      </c>
      <c r="L534" s="221" t="s">
        <v>859</v>
      </c>
      <c r="M534" s="221">
        <v>0.01</v>
      </c>
      <c r="N534" s="263" t="s">
        <v>1905</v>
      </c>
      <c r="O534" s="221">
        <v>0</v>
      </c>
      <c r="P534" s="212">
        <v>0</v>
      </c>
      <c r="Q534" s="221">
        <v>1</v>
      </c>
      <c r="R534" s="221">
        <v>5</v>
      </c>
      <c r="S534" s="221">
        <v>0</v>
      </c>
      <c r="T534" s="53"/>
      <c r="V534" s="49" t="str">
        <f t="shared" si="78"/>
        <v>0</v>
      </c>
      <c r="W534" s="49" t="str">
        <f t="shared" si="79"/>
        <v>10</v>
      </c>
      <c r="X534" s="49" t="str">
        <f t="shared" si="80"/>
        <v>0</v>
      </c>
      <c r="Y534" s="49">
        <f t="shared" si="81"/>
        <v>0</v>
      </c>
      <c r="Z534" s="49">
        <f t="shared" si="82"/>
        <v>0</v>
      </c>
      <c r="AA534" s="49">
        <f t="shared" si="83"/>
        <v>1</v>
      </c>
      <c r="AB534" s="49" t="str">
        <f t="shared" si="86"/>
        <v>101</v>
      </c>
      <c r="AC534" s="49">
        <f t="shared" si="84"/>
        <v>0</v>
      </c>
      <c r="AD534" s="49">
        <v>0</v>
      </c>
      <c r="AE534" s="49" t="str">
        <f t="shared" si="85"/>
        <v>32C28</v>
      </c>
    </row>
    <row r="535" spans="1:31" x14ac:dyDescent="0.15">
      <c r="A535" s="42" t="str">
        <f t="shared" si="77"/>
        <v>0</v>
      </c>
      <c r="B535" s="43">
        <v>533</v>
      </c>
      <c r="C535" s="212" t="s">
        <v>2387</v>
      </c>
      <c r="D535" s="218" t="s">
        <v>2388</v>
      </c>
      <c r="E535" s="219" t="s">
        <v>2631</v>
      </c>
      <c r="F535" s="223" t="s">
        <v>856</v>
      </c>
      <c r="G535" s="279">
        <v>500</v>
      </c>
      <c r="H535" s="221">
        <v>65535</v>
      </c>
      <c r="I535" s="212">
        <v>0</v>
      </c>
      <c r="J535" s="221">
        <v>0</v>
      </c>
      <c r="K535" s="221">
        <v>0</v>
      </c>
      <c r="L535" s="221" t="s">
        <v>859</v>
      </c>
      <c r="M535" s="221">
        <v>1</v>
      </c>
      <c r="N535" s="221" t="s">
        <v>1910</v>
      </c>
      <c r="O535" s="221">
        <v>0</v>
      </c>
      <c r="P535" s="212">
        <v>0</v>
      </c>
      <c r="Q535" s="221">
        <v>1</v>
      </c>
      <c r="R535" s="221">
        <v>5</v>
      </c>
      <c r="S535" s="221">
        <v>0</v>
      </c>
      <c r="T535" s="53"/>
      <c r="V535" s="49" t="str">
        <f t="shared" si="78"/>
        <v>0</v>
      </c>
      <c r="W535" s="49" t="str">
        <f t="shared" si="79"/>
        <v>0</v>
      </c>
      <c r="X535" s="49" t="str">
        <f t="shared" si="80"/>
        <v>0</v>
      </c>
      <c r="Y535" s="49">
        <f t="shared" si="81"/>
        <v>0</v>
      </c>
      <c r="Z535" s="49">
        <f t="shared" si="82"/>
        <v>0</v>
      </c>
      <c r="AA535" s="49">
        <f t="shared" si="83"/>
        <v>1</v>
      </c>
      <c r="AB535" s="49" t="str">
        <f t="shared" si="86"/>
        <v>101</v>
      </c>
      <c r="AC535" s="49">
        <f t="shared" si="84"/>
        <v>0</v>
      </c>
      <c r="AD535" s="49">
        <v>0</v>
      </c>
      <c r="AE535" s="49" t="str">
        <f t="shared" si="85"/>
        <v>32C00</v>
      </c>
    </row>
    <row r="536" spans="1:31" x14ac:dyDescent="0.15">
      <c r="A536" s="42" t="str">
        <f t="shared" si="77"/>
        <v>0</v>
      </c>
      <c r="B536" s="43">
        <v>534</v>
      </c>
      <c r="C536" s="212" t="s">
        <v>2389</v>
      </c>
      <c r="D536" s="218" t="s">
        <v>35</v>
      </c>
      <c r="E536" s="219" t="s">
        <v>53</v>
      </c>
      <c r="F536" s="223" t="s">
        <v>856</v>
      </c>
      <c r="G536" s="220">
        <v>1</v>
      </c>
      <c r="H536" s="221">
        <v>65535</v>
      </c>
      <c r="I536" s="212">
        <v>0</v>
      </c>
      <c r="J536" s="221">
        <v>0</v>
      </c>
      <c r="K536" s="221">
        <v>0</v>
      </c>
      <c r="L536" s="221" t="s">
        <v>859</v>
      </c>
      <c r="M536" s="221">
        <v>1</v>
      </c>
      <c r="N536" s="221" t="s">
        <v>1910</v>
      </c>
      <c r="O536" s="221">
        <v>0</v>
      </c>
      <c r="P536" s="212">
        <v>0</v>
      </c>
      <c r="Q536" s="221">
        <v>1</v>
      </c>
      <c r="R536" s="221">
        <v>5</v>
      </c>
      <c r="S536" s="221">
        <v>0</v>
      </c>
      <c r="T536" s="53"/>
      <c r="V536" s="49" t="str">
        <f t="shared" si="78"/>
        <v>0</v>
      </c>
      <c r="W536" s="49" t="str">
        <f t="shared" si="79"/>
        <v>0</v>
      </c>
      <c r="X536" s="49" t="str">
        <f t="shared" si="80"/>
        <v>0</v>
      </c>
      <c r="Y536" s="49">
        <f t="shared" si="81"/>
        <v>0</v>
      </c>
      <c r="Z536" s="49">
        <f t="shared" si="82"/>
        <v>0</v>
      </c>
      <c r="AA536" s="49">
        <f t="shared" si="83"/>
        <v>1</v>
      </c>
      <c r="AB536" s="49" t="str">
        <f t="shared" si="86"/>
        <v>101</v>
      </c>
      <c r="AC536" s="49">
        <f t="shared" si="84"/>
        <v>0</v>
      </c>
      <c r="AD536" s="49">
        <v>0</v>
      </c>
      <c r="AE536" s="49" t="str">
        <f t="shared" si="85"/>
        <v>32C00</v>
      </c>
    </row>
    <row r="537" spans="1:31" ht="22.5" x14ac:dyDescent="0.15">
      <c r="A537" s="42" t="str">
        <f t="shared" si="77"/>
        <v>0</v>
      </c>
      <c r="B537" s="43">
        <v>535</v>
      </c>
      <c r="C537" s="212" t="s">
        <v>2390</v>
      </c>
      <c r="D537" s="218" t="s">
        <v>2388</v>
      </c>
      <c r="E537" s="219" t="s">
        <v>2630</v>
      </c>
      <c r="F537" s="223" t="s">
        <v>2391</v>
      </c>
      <c r="G537" s="220">
        <v>1</v>
      </c>
      <c r="H537" s="221">
        <v>65535</v>
      </c>
      <c r="I537" s="212">
        <v>0</v>
      </c>
      <c r="J537" s="221">
        <v>0</v>
      </c>
      <c r="K537" s="221">
        <v>0</v>
      </c>
      <c r="L537" s="221" t="s">
        <v>859</v>
      </c>
      <c r="M537" s="221">
        <v>1</v>
      </c>
      <c r="N537" s="221" t="s">
        <v>1910</v>
      </c>
      <c r="O537" s="221">
        <v>0</v>
      </c>
      <c r="P537" s="212">
        <v>0</v>
      </c>
      <c r="Q537" s="221">
        <v>1</v>
      </c>
      <c r="R537" s="221">
        <v>5</v>
      </c>
      <c r="S537" s="221">
        <v>0</v>
      </c>
      <c r="T537" s="53"/>
      <c r="V537" s="49" t="str">
        <f t="shared" si="78"/>
        <v>0</v>
      </c>
      <c r="W537" s="49" t="str">
        <f t="shared" si="79"/>
        <v>0</v>
      </c>
      <c r="X537" s="49" t="str">
        <f t="shared" si="80"/>
        <v>0</v>
      </c>
      <c r="Y537" s="49">
        <f t="shared" si="81"/>
        <v>0</v>
      </c>
      <c r="Z537" s="49">
        <f t="shared" si="82"/>
        <v>0</v>
      </c>
      <c r="AA537" s="49">
        <f t="shared" si="83"/>
        <v>1</v>
      </c>
      <c r="AB537" s="49" t="str">
        <f t="shared" si="86"/>
        <v>101</v>
      </c>
      <c r="AC537" s="49">
        <f t="shared" si="84"/>
        <v>0</v>
      </c>
      <c r="AD537" s="49">
        <v>0</v>
      </c>
      <c r="AE537" s="49" t="str">
        <f t="shared" si="85"/>
        <v>32C00</v>
      </c>
    </row>
    <row r="538" spans="1:31" x14ac:dyDescent="0.15">
      <c r="A538" s="42" t="str">
        <f t="shared" si="77"/>
        <v>0</v>
      </c>
      <c r="B538" s="43">
        <v>536</v>
      </c>
      <c r="C538" s="212" t="s">
        <v>2392</v>
      </c>
      <c r="D538" s="218" t="s">
        <v>35</v>
      </c>
      <c r="E538" s="219" t="s">
        <v>2629</v>
      </c>
      <c r="F538" s="223" t="s">
        <v>2393</v>
      </c>
      <c r="G538" s="220">
        <v>900</v>
      </c>
      <c r="H538" s="221">
        <v>65535</v>
      </c>
      <c r="I538" s="212">
        <v>0</v>
      </c>
      <c r="J538" s="221">
        <v>0</v>
      </c>
      <c r="K538" s="221">
        <v>0</v>
      </c>
      <c r="L538" s="221" t="s">
        <v>859</v>
      </c>
      <c r="M538" s="221">
        <v>1</v>
      </c>
      <c r="N538" s="221" t="s">
        <v>1910</v>
      </c>
      <c r="O538" s="221">
        <v>0</v>
      </c>
      <c r="P538" s="212">
        <v>0</v>
      </c>
      <c r="Q538" s="221">
        <v>1</v>
      </c>
      <c r="R538" s="221">
        <v>5</v>
      </c>
      <c r="S538" s="221">
        <v>0</v>
      </c>
      <c r="T538" s="53"/>
      <c r="V538" s="49" t="str">
        <f t="shared" si="78"/>
        <v>0</v>
      </c>
      <c r="W538" s="49" t="str">
        <f t="shared" si="79"/>
        <v>0</v>
      </c>
      <c r="X538" s="49" t="str">
        <f t="shared" si="80"/>
        <v>0</v>
      </c>
      <c r="Y538" s="49">
        <f t="shared" si="81"/>
        <v>0</v>
      </c>
      <c r="Z538" s="49">
        <f t="shared" si="82"/>
        <v>0</v>
      </c>
      <c r="AA538" s="49">
        <f t="shared" si="83"/>
        <v>1</v>
      </c>
      <c r="AB538" s="49" t="str">
        <f t="shared" si="86"/>
        <v>101</v>
      </c>
      <c r="AC538" s="49">
        <f t="shared" si="84"/>
        <v>0</v>
      </c>
      <c r="AD538" s="49">
        <v>0</v>
      </c>
      <c r="AE538" s="49" t="str">
        <f t="shared" si="85"/>
        <v>32C00</v>
      </c>
    </row>
    <row r="539" spans="1:31" x14ac:dyDescent="0.15">
      <c r="A539" s="42" t="str">
        <f t="shared" si="77"/>
        <v>0</v>
      </c>
      <c r="B539" s="43">
        <v>537</v>
      </c>
      <c r="C539" s="212" t="s">
        <v>2394</v>
      </c>
      <c r="D539" s="218" t="s">
        <v>52</v>
      </c>
      <c r="E539" s="219" t="s">
        <v>2628</v>
      </c>
      <c r="F539" s="223" t="s">
        <v>856</v>
      </c>
      <c r="G539" s="220">
        <v>900</v>
      </c>
      <c r="H539" s="221">
        <v>65535</v>
      </c>
      <c r="I539" s="212">
        <v>0</v>
      </c>
      <c r="J539" s="221">
        <v>0</v>
      </c>
      <c r="K539" s="221">
        <v>0</v>
      </c>
      <c r="L539" s="221" t="s">
        <v>859</v>
      </c>
      <c r="M539" s="221">
        <v>1</v>
      </c>
      <c r="N539" s="221" t="s">
        <v>1910</v>
      </c>
      <c r="O539" s="221">
        <v>0</v>
      </c>
      <c r="P539" s="212">
        <v>0</v>
      </c>
      <c r="Q539" s="221">
        <v>1</v>
      </c>
      <c r="R539" s="221">
        <v>5</v>
      </c>
      <c r="S539" s="221">
        <v>0</v>
      </c>
      <c r="T539" s="53"/>
      <c r="V539" s="49" t="str">
        <f t="shared" si="78"/>
        <v>0</v>
      </c>
      <c r="W539" s="49" t="str">
        <f t="shared" si="79"/>
        <v>0</v>
      </c>
      <c r="X539" s="49" t="str">
        <f t="shared" si="80"/>
        <v>0</v>
      </c>
      <c r="Y539" s="49">
        <f t="shared" si="81"/>
        <v>0</v>
      </c>
      <c r="Z539" s="49">
        <f t="shared" si="82"/>
        <v>0</v>
      </c>
      <c r="AA539" s="49">
        <f t="shared" si="83"/>
        <v>1</v>
      </c>
      <c r="AB539" s="49" t="str">
        <f t="shared" si="86"/>
        <v>101</v>
      </c>
      <c r="AC539" s="49">
        <f t="shared" si="84"/>
        <v>0</v>
      </c>
      <c r="AD539" s="49">
        <v>0</v>
      </c>
      <c r="AE539" s="49" t="str">
        <f t="shared" si="85"/>
        <v>32C00</v>
      </c>
    </row>
    <row r="540" spans="1:31" ht="22.5" x14ac:dyDescent="0.15">
      <c r="A540" s="42" t="str">
        <f t="shared" si="77"/>
        <v>0</v>
      </c>
      <c r="B540" s="43">
        <v>538</v>
      </c>
      <c r="C540" s="212" t="s">
        <v>2395</v>
      </c>
      <c r="D540" s="218" t="s">
        <v>36</v>
      </c>
      <c r="E540" s="219" t="s">
        <v>2396</v>
      </c>
      <c r="F540" s="223" t="s">
        <v>2397</v>
      </c>
      <c r="G540" s="274">
        <v>900</v>
      </c>
      <c r="H540" s="221">
        <v>9000</v>
      </c>
      <c r="I540" s="212">
        <v>-9000</v>
      </c>
      <c r="J540" s="221">
        <v>0</v>
      </c>
      <c r="K540" s="221">
        <v>0</v>
      </c>
      <c r="L540" s="221" t="s">
        <v>859</v>
      </c>
      <c r="M540" s="221">
        <v>1E-3</v>
      </c>
      <c r="N540" s="221" t="s">
        <v>1910</v>
      </c>
      <c r="O540" s="221">
        <v>0</v>
      </c>
      <c r="P540" s="212">
        <v>0</v>
      </c>
      <c r="Q540" s="221">
        <v>1</v>
      </c>
      <c r="R540" s="221">
        <v>4</v>
      </c>
      <c r="S540" s="221">
        <v>1</v>
      </c>
      <c r="T540" s="53"/>
      <c r="V540" s="49" t="str">
        <f t="shared" si="78"/>
        <v>0</v>
      </c>
      <c r="W540" s="49" t="str">
        <f t="shared" si="79"/>
        <v>11</v>
      </c>
      <c r="X540" s="49" t="str">
        <f t="shared" si="80"/>
        <v>0</v>
      </c>
      <c r="Y540" s="49">
        <f t="shared" si="81"/>
        <v>0</v>
      </c>
      <c r="Z540" s="49">
        <f t="shared" si="82"/>
        <v>0</v>
      </c>
      <c r="AA540" s="49">
        <f t="shared" si="83"/>
        <v>1</v>
      </c>
      <c r="AB540" s="49" t="str">
        <f t="shared" si="86"/>
        <v>100</v>
      </c>
      <c r="AC540" s="49">
        <f t="shared" si="84"/>
        <v>1</v>
      </c>
      <c r="AD540" s="49">
        <v>0</v>
      </c>
      <c r="AE540" s="49" t="str">
        <f t="shared" si="85"/>
        <v>3642C</v>
      </c>
    </row>
    <row r="541" spans="1:31" x14ac:dyDescent="0.15">
      <c r="A541" s="42" t="str">
        <f t="shared" si="77"/>
        <v>0</v>
      </c>
      <c r="B541" s="43">
        <v>539</v>
      </c>
      <c r="C541" s="212" t="s">
        <v>2398</v>
      </c>
      <c r="D541" s="218" t="s">
        <v>2399</v>
      </c>
      <c r="E541" s="219" t="s">
        <v>2400</v>
      </c>
      <c r="F541" s="223" t="s">
        <v>856</v>
      </c>
      <c r="G541" s="220">
        <v>96</v>
      </c>
      <c r="H541" s="221">
        <v>65535</v>
      </c>
      <c r="I541" s="212">
        <v>0</v>
      </c>
      <c r="J541" s="221">
        <v>0</v>
      </c>
      <c r="K541" s="221">
        <v>0</v>
      </c>
      <c r="L541" s="221" t="s">
        <v>859</v>
      </c>
      <c r="M541" s="221">
        <v>1</v>
      </c>
      <c r="N541" s="221" t="s">
        <v>1910</v>
      </c>
      <c r="O541" s="221">
        <v>0</v>
      </c>
      <c r="P541" s="212">
        <v>0</v>
      </c>
      <c r="Q541" s="221">
        <v>1</v>
      </c>
      <c r="R541" s="221">
        <v>5</v>
      </c>
      <c r="S541" s="221">
        <v>0</v>
      </c>
      <c r="T541" s="53"/>
      <c r="V541" s="49" t="str">
        <f t="shared" si="78"/>
        <v>0</v>
      </c>
      <c r="W541" s="49" t="str">
        <f t="shared" si="79"/>
        <v>0</v>
      </c>
      <c r="X541" s="49" t="str">
        <f t="shared" si="80"/>
        <v>0</v>
      </c>
      <c r="Y541" s="49">
        <f t="shared" si="81"/>
        <v>0</v>
      </c>
      <c r="Z541" s="49">
        <f t="shared" si="82"/>
        <v>0</v>
      </c>
      <c r="AA541" s="49">
        <f t="shared" si="83"/>
        <v>1</v>
      </c>
      <c r="AB541" s="49" t="str">
        <f t="shared" si="86"/>
        <v>101</v>
      </c>
      <c r="AC541" s="49">
        <f t="shared" si="84"/>
        <v>0</v>
      </c>
      <c r="AD541" s="49">
        <v>0</v>
      </c>
      <c r="AE541" s="49" t="str">
        <f t="shared" si="85"/>
        <v>32C00</v>
      </c>
    </row>
    <row r="542" spans="1:31" x14ac:dyDescent="0.15">
      <c r="A542" s="42" t="str">
        <f t="shared" si="77"/>
        <v>0</v>
      </c>
      <c r="B542" s="43">
        <v>540</v>
      </c>
      <c r="C542" s="212" t="s">
        <v>2401</v>
      </c>
      <c r="D542" s="218" t="s">
        <v>2894</v>
      </c>
      <c r="E542" s="219" t="s">
        <v>2895</v>
      </c>
      <c r="F542" s="223" t="s">
        <v>856</v>
      </c>
      <c r="G542" s="279">
        <v>0</v>
      </c>
      <c r="H542" s="221">
        <v>1000</v>
      </c>
      <c r="I542" s="212">
        <v>-1000</v>
      </c>
      <c r="J542" s="221">
        <v>0</v>
      </c>
      <c r="K542" s="221">
        <v>0</v>
      </c>
      <c r="L542" s="221" t="s">
        <v>859</v>
      </c>
      <c r="M542" s="221">
        <v>1</v>
      </c>
      <c r="N542" s="221" t="s">
        <v>1910</v>
      </c>
      <c r="O542" s="221">
        <v>0</v>
      </c>
      <c r="P542" s="212">
        <v>0</v>
      </c>
      <c r="Q542" s="221">
        <v>1</v>
      </c>
      <c r="R542" s="221">
        <v>4</v>
      </c>
      <c r="S542" s="221">
        <v>1</v>
      </c>
      <c r="T542" s="53"/>
      <c r="V542" s="49" t="str">
        <f t="shared" si="78"/>
        <v>0</v>
      </c>
      <c r="W542" s="49" t="str">
        <f t="shared" si="79"/>
        <v>0</v>
      </c>
      <c r="X542" s="49" t="str">
        <f t="shared" si="80"/>
        <v>0</v>
      </c>
      <c r="Y542" s="49">
        <f t="shared" si="81"/>
        <v>0</v>
      </c>
      <c r="Z542" s="49">
        <f t="shared" si="82"/>
        <v>0</v>
      </c>
      <c r="AA542" s="49">
        <f t="shared" si="83"/>
        <v>1</v>
      </c>
      <c r="AB542" s="49" t="str">
        <f t="shared" si="86"/>
        <v>100</v>
      </c>
      <c r="AC542" s="49">
        <f t="shared" si="84"/>
        <v>1</v>
      </c>
      <c r="AD542" s="49">
        <v>0</v>
      </c>
      <c r="AE542" s="49" t="str">
        <f t="shared" si="85"/>
        <v>36400</v>
      </c>
    </row>
    <row r="543" spans="1:31" x14ac:dyDescent="0.15">
      <c r="A543" s="42" t="str">
        <f t="shared" si="77"/>
        <v>0</v>
      </c>
      <c r="B543" s="43">
        <v>541</v>
      </c>
      <c r="C543" s="212" t="s">
        <v>2402</v>
      </c>
      <c r="D543" s="218" t="s">
        <v>2403</v>
      </c>
      <c r="E543" s="219" t="s">
        <v>2404</v>
      </c>
      <c r="F543" s="223" t="s">
        <v>856</v>
      </c>
      <c r="G543" s="220">
        <v>32767</v>
      </c>
      <c r="H543" s="221">
        <v>65535</v>
      </c>
      <c r="I543" s="212">
        <v>0</v>
      </c>
      <c r="J543" s="221">
        <v>0</v>
      </c>
      <c r="K543" s="221">
        <v>0</v>
      </c>
      <c r="L543" s="221" t="s">
        <v>859</v>
      </c>
      <c r="M543" s="221">
        <v>1</v>
      </c>
      <c r="N543" s="221" t="s">
        <v>1910</v>
      </c>
      <c r="O543" s="221">
        <v>0</v>
      </c>
      <c r="P543" s="212">
        <v>0</v>
      </c>
      <c r="Q543" s="221">
        <v>1</v>
      </c>
      <c r="R543" s="221">
        <v>5</v>
      </c>
      <c r="S543" s="221">
        <v>0</v>
      </c>
      <c r="T543" s="53"/>
      <c r="V543" s="49" t="str">
        <f t="shared" si="78"/>
        <v>0</v>
      </c>
      <c r="W543" s="49" t="str">
        <f t="shared" si="79"/>
        <v>0</v>
      </c>
      <c r="X543" s="49" t="str">
        <f t="shared" si="80"/>
        <v>0</v>
      </c>
      <c r="Y543" s="49">
        <f t="shared" si="81"/>
        <v>0</v>
      </c>
      <c r="Z543" s="49">
        <f t="shared" si="82"/>
        <v>0</v>
      </c>
      <c r="AA543" s="49">
        <f t="shared" si="83"/>
        <v>1</v>
      </c>
      <c r="AB543" s="49" t="str">
        <f t="shared" si="86"/>
        <v>101</v>
      </c>
      <c r="AC543" s="49">
        <f t="shared" si="84"/>
        <v>0</v>
      </c>
      <c r="AD543" s="49">
        <v>0</v>
      </c>
      <c r="AE543" s="49" t="str">
        <f t="shared" si="85"/>
        <v>32C00</v>
      </c>
    </row>
    <row r="544" spans="1:31" x14ac:dyDescent="0.15">
      <c r="A544" s="42" t="str">
        <f t="shared" si="77"/>
        <v>0</v>
      </c>
      <c r="B544" s="43">
        <v>542</v>
      </c>
      <c r="C544" s="212" t="s">
        <v>2405</v>
      </c>
      <c r="D544" s="218" t="s">
        <v>2406</v>
      </c>
      <c r="E544" s="219" t="s">
        <v>2407</v>
      </c>
      <c r="F544" s="223" t="s">
        <v>856</v>
      </c>
      <c r="G544" s="220">
        <v>36000</v>
      </c>
      <c r="H544" s="221">
        <v>65535</v>
      </c>
      <c r="I544" s="212">
        <v>0</v>
      </c>
      <c r="J544" s="221">
        <v>0</v>
      </c>
      <c r="K544" s="221">
        <v>0</v>
      </c>
      <c r="L544" s="221" t="s">
        <v>859</v>
      </c>
      <c r="M544" s="221">
        <v>1</v>
      </c>
      <c r="N544" s="221" t="s">
        <v>1910</v>
      </c>
      <c r="O544" s="221">
        <v>0</v>
      </c>
      <c r="P544" s="212">
        <v>0</v>
      </c>
      <c r="Q544" s="221">
        <v>1</v>
      </c>
      <c r="R544" s="221">
        <v>5</v>
      </c>
      <c r="S544" s="221">
        <v>0</v>
      </c>
      <c r="T544" s="53"/>
      <c r="V544" s="49" t="str">
        <f t="shared" si="78"/>
        <v>0</v>
      </c>
      <c r="W544" s="49" t="str">
        <f t="shared" si="79"/>
        <v>0</v>
      </c>
      <c r="X544" s="49" t="str">
        <f t="shared" si="80"/>
        <v>0</v>
      </c>
      <c r="Y544" s="49">
        <f t="shared" si="81"/>
        <v>0</v>
      </c>
      <c r="Z544" s="49">
        <f t="shared" si="82"/>
        <v>0</v>
      </c>
      <c r="AA544" s="49">
        <f t="shared" si="83"/>
        <v>1</v>
      </c>
      <c r="AB544" s="49" t="str">
        <f t="shared" si="86"/>
        <v>101</v>
      </c>
      <c r="AC544" s="49">
        <f t="shared" si="84"/>
        <v>0</v>
      </c>
      <c r="AD544" s="49">
        <v>0</v>
      </c>
      <c r="AE544" s="49" t="str">
        <f t="shared" si="85"/>
        <v>32C00</v>
      </c>
    </row>
    <row r="545" spans="1:31" x14ac:dyDescent="0.15">
      <c r="A545" s="42" t="str">
        <f t="shared" si="77"/>
        <v>0</v>
      </c>
      <c r="B545" s="43">
        <v>543</v>
      </c>
      <c r="C545" s="212" t="s">
        <v>2408</v>
      </c>
      <c r="D545" s="218" t="s">
        <v>2409</v>
      </c>
      <c r="E545" s="219" t="s">
        <v>2410</v>
      </c>
      <c r="F545" s="223" t="s">
        <v>856</v>
      </c>
      <c r="G545" s="220">
        <v>-6000</v>
      </c>
      <c r="H545" s="221">
        <v>8000</v>
      </c>
      <c r="I545" s="212">
        <v>-8000</v>
      </c>
      <c r="J545" s="221">
        <v>0</v>
      </c>
      <c r="K545" s="221">
        <v>0</v>
      </c>
      <c r="L545" s="221" t="s">
        <v>859</v>
      </c>
      <c r="M545" s="221">
        <v>1</v>
      </c>
      <c r="N545" s="221" t="s">
        <v>1910</v>
      </c>
      <c r="O545" s="221">
        <v>0</v>
      </c>
      <c r="P545" s="212">
        <v>0</v>
      </c>
      <c r="Q545" s="221">
        <v>1</v>
      </c>
      <c r="R545" s="221">
        <v>4</v>
      </c>
      <c r="S545" s="221">
        <v>1</v>
      </c>
      <c r="T545" s="53"/>
      <c r="V545" s="49" t="str">
        <f t="shared" si="78"/>
        <v>0</v>
      </c>
      <c r="W545" s="49" t="str">
        <f t="shared" si="79"/>
        <v>0</v>
      </c>
      <c r="X545" s="49" t="str">
        <f t="shared" si="80"/>
        <v>0</v>
      </c>
      <c r="Y545" s="49">
        <f t="shared" si="81"/>
        <v>0</v>
      </c>
      <c r="Z545" s="49">
        <f t="shared" si="82"/>
        <v>0</v>
      </c>
      <c r="AA545" s="49">
        <f t="shared" si="83"/>
        <v>1</v>
      </c>
      <c r="AB545" s="49" t="str">
        <f t="shared" si="86"/>
        <v>100</v>
      </c>
      <c r="AC545" s="49">
        <f t="shared" si="84"/>
        <v>1</v>
      </c>
      <c r="AD545" s="49">
        <v>0</v>
      </c>
      <c r="AE545" s="49" t="str">
        <f t="shared" si="85"/>
        <v>36400</v>
      </c>
    </row>
    <row r="546" spans="1:31" x14ac:dyDescent="0.15">
      <c r="A546" s="42" t="str">
        <f t="shared" si="77"/>
        <v>0</v>
      </c>
      <c r="B546" s="43">
        <v>544</v>
      </c>
      <c r="C546" s="212" t="s">
        <v>2411</v>
      </c>
      <c r="D546" s="218" t="s">
        <v>2869</v>
      </c>
      <c r="E546" s="219" t="s">
        <v>2870</v>
      </c>
      <c r="F546" s="223" t="s">
        <v>856</v>
      </c>
      <c r="G546" s="220">
        <v>200</v>
      </c>
      <c r="H546" s="221">
        <v>65535</v>
      </c>
      <c r="I546" s="212">
        <v>0</v>
      </c>
      <c r="J546" s="221">
        <v>0</v>
      </c>
      <c r="K546" s="221">
        <v>0</v>
      </c>
      <c r="L546" s="221" t="s">
        <v>859</v>
      </c>
      <c r="M546" s="221">
        <v>1</v>
      </c>
      <c r="N546" s="221" t="s">
        <v>1910</v>
      </c>
      <c r="O546" s="221">
        <v>0</v>
      </c>
      <c r="P546" s="212">
        <v>0</v>
      </c>
      <c r="Q546" s="221">
        <v>1</v>
      </c>
      <c r="R546" s="221">
        <v>5</v>
      </c>
      <c r="S546" s="221">
        <v>0</v>
      </c>
      <c r="T546" s="53"/>
      <c r="V546" s="49" t="str">
        <f t="shared" si="78"/>
        <v>0</v>
      </c>
      <c r="W546" s="49" t="str">
        <f t="shared" si="79"/>
        <v>0</v>
      </c>
      <c r="X546" s="49" t="str">
        <f t="shared" si="80"/>
        <v>0</v>
      </c>
      <c r="Y546" s="49">
        <f t="shared" si="81"/>
        <v>0</v>
      </c>
      <c r="Z546" s="49">
        <f t="shared" si="82"/>
        <v>0</v>
      </c>
      <c r="AA546" s="49">
        <f t="shared" si="83"/>
        <v>1</v>
      </c>
      <c r="AB546" s="49" t="str">
        <f t="shared" si="86"/>
        <v>101</v>
      </c>
      <c r="AC546" s="49">
        <f t="shared" si="84"/>
        <v>0</v>
      </c>
      <c r="AD546" s="49">
        <v>0</v>
      </c>
      <c r="AE546" s="49" t="str">
        <f t="shared" si="85"/>
        <v>32C00</v>
      </c>
    </row>
    <row r="547" spans="1:31" x14ac:dyDescent="0.15">
      <c r="A547" s="42" t="str">
        <f t="shared" si="77"/>
        <v>0</v>
      </c>
      <c r="B547" s="43">
        <v>545</v>
      </c>
      <c r="C547" s="212" t="s">
        <v>2412</v>
      </c>
      <c r="D547" s="218" t="s">
        <v>2871</v>
      </c>
      <c r="E547" s="219" t="s">
        <v>2872</v>
      </c>
      <c r="F547" s="223" t="s">
        <v>856</v>
      </c>
      <c r="G547" s="220">
        <v>60</v>
      </c>
      <c r="H547" s="221">
        <v>65535</v>
      </c>
      <c r="I547" s="212">
        <v>0</v>
      </c>
      <c r="J547" s="221">
        <v>0</v>
      </c>
      <c r="K547" s="221">
        <v>0</v>
      </c>
      <c r="L547" s="221" t="s">
        <v>859</v>
      </c>
      <c r="M547" s="221">
        <v>1</v>
      </c>
      <c r="N547" s="221" t="s">
        <v>1910</v>
      </c>
      <c r="O547" s="221">
        <v>0</v>
      </c>
      <c r="P547" s="212">
        <v>0</v>
      </c>
      <c r="Q547" s="221">
        <v>1</v>
      </c>
      <c r="R547" s="221">
        <v>5</v>
      </c>
      <c r="S547" s="221">
        <v>0</v>
      </c>
      <c r="T547" s="53"/>
      <c r="V547" s="49" t="str">
        <f t="shared" si="78"/>
        <v>0</v>
      </c>
      <c r="W547" s="49" t="str">
        <f t="shared" si="79"/>
        <v>0</v>
      </c>
      <c r="X547" s="49" t="str">
        <f t="shared" si="80"/>
        <v>0</v>
      </c>
      <c r="Y547" s="49">
        <f t="shared" si="81"/>
        <v>0</v>
      </c>
      <c r="Z547" s="49">
        <f t="shared" si="82"/>
        <v>0</v>
      </c>
      <c r="AA547" s="49">
        <f t="shared" si="83"/>
        <v>1</v>
      </c>
      <c r="AB547" s="49" t="str">
        <f t="shared" si="86"/>
        <v>101</v>
      </c>
      <c r="AC547" s="49">
        <f t="shared" si="84"/>
        <v>0</v>
      </c>
      <c r="AD547" s="49">
        <v>0</v>
      </c>
      <c r="AE547" s="49" t="str">
        <f t="shared" si="85"/>
        <v>32C00</v>
      </c>
    </row>
    <row r="548" spans="1:31" ht="14.45" customHeight="1" x14ac:dyDescent="0.15">
      <c r="A548" s="42" t="str">
        <f t="shared" si="77"/>
        <v>0</v>
      </c>
      <c r="B548" s="43">
        <v>546</v>
      </c>
      <c r="C548" s="212" t="s">
        <v>2413</v>
      </c>
      <c r="D548" s="218" t="s">
        <v>2896</v>
      </c>
      <c r="E548" s="219" t="s">
        <v>2897</v>
      </c>
      <c r="F548" s="223" t="s">
        <v>856</v>
      </c>
      <c r="G548" s="220">
        <v>0</v>
      </c>
      <c r="H548" s="221">
        <v>1000</v>
      </c>
      <c r="I548" s="212">
        <v>-1000</v>
      </c>
      <c r="J548" s="221">
        <v>0</v>
      </c>
      <c r="K548" s="221">
        <v>0</v>
      </c>
      <c r="L548" s="221" t="s">
        <v>859</v>
      </c>
      <c r="M548" s="221">
        <v>1</v>
      </c>
      <c r="N548" s="221" t="s">
        <v>1910</v>
      </c>
      <c r="O548" s="221">
        <v>0</v>
      </c>
      <c r="P548" s="212">
        <v>0</v>
      </c>
      <c r="Q548" s="221">
        <v>1</v>
      </c>
      <c r="R548" s="221">
        <v>4</v>
      </c>
      <c r="S548" s="221">
        <v>1</v>
      </c>
      <c r="T548" s="53"/>
      <c r="V548" s="49" t="str">
        <f t="shared" si="78"/>
        <v>0</v>
      </c>
      <c r="W548" s="49" t="str">
        <f t="shared" si="79"/>
        <v>0</v>
      </c>
      <c r="X548" s="49" t="str">
        <f t="shared" si="80"/>
        <v>0</v>
      </c>
      <c r="Y548" s="49">
        <f t="shared" si="81"/>
        <v>0</v>
      </c>
      <c r="Z548" s="49">
        <f t="shared" si="82"/>
        <v>0</v>
      </c>
      <c r="AA548" s="49">
        <f t="shared" si="83"/>
        <v>1</v>
      </c>
      <c r="AB548" s="49" t="str">
        <f t="shared" si="86"/>
        <v>100</v>
      </c>
      <c r="AC548" s="49">
        <f t="shared" si="84"/>
        <v>1</v>
      </c>
      <c r="AD548" s="49">
        <v>0</v>
      </c>
      <c r="AE548" s="49" t="str">
        <f t="shared" si="85"/>
        <v>36400</v>
      </c>
    </row>
    <row r="549" spans="1:31" x14ac:dyDescent="0.15">
      <c r="A549" s="42" t="str">
        <f t="shared" si="77"/>
        <v>0</v>
      </c>
      <c r="B549" s="43">
        <v>547</v>
      </c>
      <c r="C549" s="212" t="s">
        <v>2414</v>
      </c>
      <c r="D549" s="218" t="s">
        <v>1027</v>
      </c>
      <c r="E549" s="219" t="s">
        <v>2415</v>
      </c>
      <c r="F549" s="223" t="s">
        <v>856</v>
      </c>
      <c r="G549" s="220">
        <v>0</v>
      </c>
      <c r="H549" s="221">
        <v>65535</v>
      </c>
      <c r="I549" s="212">
        <v>0</v>
      </c>
      <c r="J549" s="221">
        <v>0</v>
      </c>
      <c r="K549" s="221">
        <v>0</v>
      </c>
      <c r="L549" s="221" t="s">
        <v>859</v>
      </c>
      <c r="M549" s="221">
        <v>1</v>
      </c>
      <c r="N549" s="221" t="s">
        <v>1910</v>
      </c>
      <c r="O549" s="221">
        <v>0</v>
      </c>
      <c r="P549" s="212">
        <v>0</v>
      </c>
      <c r="Q549" s="221">
        <v>1</v>
      </c>
      <c r="R549" s="221">
        <v>5</v>
      </c>
      <c r="S549" s="221">
        <v>0</v>
      </c>
      <c r="T549" s="53"/>
      <c r="V549" s="49" t="str">
        <f t="shared" si="78"/>
        <v>0</v>
      </c>
      <c r="W549" s="49" t="str">
        <f t="shared" si="79"/>
        <v>0</v>
      </c>
      <c r="X549" s="49" t="str">
        <f t="shared" si="80"/>
        <v>0</v>
      </c>
      <c r="Y549" s="49">
        <f t="shared" si="81"/>
        <v>0</v>
      </c>
      <c r="Z549" s="49">
        <f t="shared" si="82"/>
        <v>0</v>
      </c>
      <c r="AA549" s="49">
        <f t="shared" si="83"/>
        <v>1</v>
      </c>
      <c r="AB549" s="49" t="str">
        <f t="shared" si="86"/>
        <v>101</v>
      </c>
      <c r="AC549" s="49">
        <f t="shared" si="84"/>
        <v>0</v>
      </c>
      <c r="AD549" s="49">
        <v>0</v>
      </c>
      <c r="AE549" s="49" t="str">
        <f t="shared" si="85"/>
        <v>32C00</v>
      </c>
    </row>
    <row r="550" spans="1:31" x14ac:dyDescent="0.15">
      <c r="A550" s="42" t="str">
        <f t="shared" si="77"/>
        <v>0</v>
      </c>
      <c r="B550" s="43">
        <v>548</v>
      </c>
      <c r="C550" s="212" t="s">
        <v>2416</v>
      </c>
      <c r="D550" s="218" t="s">
        <v>1027</v>
      </c>
      <c r="E550" s="219" t="s">
        <v>2417</v>
      </c>
      <c r="F550" s="223" t="s">
        <v>856</v>
      </c>
      <c r="G550" s="220">
        <v>0</v>
      </c>
      <c r="H550" s="221">
        <v>65535</v>
      </c>
      <c r="I550" s="212">
        <v>0</v>
      </c>
      <c r="J550" s="221">
        <v>0</v>
      </c>
      <c r="K550" s="221">
        <v>0</v>
      </c>
      <c r="L550" s="221" t="s">
        <v>859</v>
      </c>
      <c r="M550" s="221">
        <v>1</v>
      </c>
      <c r="N550" s="221" t="s">
        <v>1910</v>
      </c>
      <c r="O550" s="221">
        <v>0</v>
      </c>
      <c r="P550" s="212">
        <v>0</v>
      </c>
      <c r="Q550" s="221">
        <v>1</v>
      </c>
      <c r="R550" s="221">
        <v>5</v>
      </c>
      <c r="S550" s="221">
        <v>0</v>
      </c>
      <c r="T550" s="53"/>
      <c r="V550" s="49" t="str">
        <f t="shared" si="78"/>
        <v>0</v>
      </c>
      <c r="W550" s="49" t="str">
        <f t="shared" si="79"/>
        <v>0</v>
      </c>
      <c r="X550" s="49" t="str">
        <f t="shared" si="80"/>
        <v>0</v>
      </c>
      <c r="Y550" s="49">
        <f t="shared" si="81"/>
        <v>0</v>
      </c>
      <c r="Z550" s="49">
        <f t="shared" si="82"/>
        <v>0</v>
      </c>
      <c r="AA550" s="49">
        <f t="shared" si="83"/>
        <v>1</v>
      </c>
      <c r="AB550" s="49" t="str">
        <f t="shared" si="86"/>
        <v>101</v>
      </c>
      <c r="AC550" s="49">
        <f t="shared" si="84"/>
        <v>0</v>
      </c>
      <c r="AD550" s="49">
        <v>0</v>
      </c>
      <c r="AE550" s="49" t="str">
        <f t="shared" si="85"/>
        <v>32C00</v>
      </c>
    </row>
    <row r="551" spans="1:31" s="38" customFormat="1" ht="12" x14ac:dyDescent="0.15">
      <c r="A551" s="42" t="str">
        <f t="shared" si="77"/>
        <v>0</v>
      </c>
      <c r="B551" s="43">
        <v>549</v>
      </c>
      <c r="C551" s="212" t="s">
        <v>2418</v>
      </c>
      <c r="D551" s="218" t="s">
        <v>1027</v>
      </c>
      <c r="E551" s="219" t="s">
        <v>2419</v>
      </c>
      <c r="F551" s="223" t="s">
        <v>856</v>
      </c>
      <c r="G551" s="220">
        <v>0</v>
      </c>
      <c r="H551" s="221">
        <v>65535</v>
      </c>
      <c r="I551" s="212">
        <v>0</v>
      </c>
      <c r="J551" s="221">
        <v>0</v>
      </c>
      <c r="K551" s="221">
        <v>0</v>
      </c>
      <c r="L551" s="221" t="s">
        <v>859</v>
      </c>
      <c r="M551" s="221">
        <v>1</v>
      </c>
      <c r="N551" s="221" t="s">
        <v>1910</v>
      </c>
      <c r="O551" s="221">
        <v>0</v>
      </c>
      <c r="P551" s="212">
        <v>0</v>
      </c>
      <c r="Q551" s="221">
        <v>1</v>
      </c>
      <c r="R551" s="221">
        <v>5</v>
      </c>
      <c r="S551" s="221">
        <v>0</v>
      </c>
      <c r="V551" s="38" t="str">
        <f t="shared" si="78"/>
        <v>0</v>
      </c>
      <c r="W551" s="38" t="str">
        <f t="shared" si="79"/>
        <v>0</v>
      </c>
      <c r="X551" s="38" t="str">
        <f t="shared" si="80"/>
        <v>0</v>
      </c>
      <c r="Y551" s="38">
        <f t="shared" si="81"/>
        <v>0</v>
      </c>
      <c r="Z551" s="38">
        <f t="shared" si="82"/>
        <v>0</v>
      </c>
      <c r="AA551" s="38">
        <f t="shared" si="83"/>
        <v>1</v>
      </c>
      <c r="AB551" s="38" t="str">
        <f t="shared" si="86"/>
        <v>101</v>
      </c>
      <c r="AC551" s="38">
        <f t="shared" si="84"/>
        <v>0</v>
      </c>
      <c r="AD551" s="38">
        <v>0</v>
      </c>
      <c r="AE551" s="38" t="str">
        <f t="shared" si="85"/>
        <v>32C00</v>
      </c>
    </row>
    <row r="552" spans="1:31" x14ac:dyDescent="0.15">
      <c r="A552" s="42" t="str">
        <f t="shared" si="77"/>
        <v>0</v>
      </c>
      <c r="B552" s="43">
        <v>550</v>
      </c>
      <c r="C552" s="212" t="s">
        <v>2420</v>
      </c>
      <c r="D552" s="218" t="s">
        <v>1027</v>
      </c>
      <c r="E552" s="219" t="s">
        <v>2421</v>
      </c>
      <c r="F552" s="223" t="s">
        <v>856</v>
      </c>
      <c r="G552" s="220">
        <v>0</v>
      </c>
      <c r="H552" s="221">
        <v>65535</v>
      </c>
      <c r="I552" s="212">
        <v>0</v>
      </c>
      <c r="J552" s="221">
        <v>0</v>
      </c>
      <c r="K552" s="221">
        <v>0</v>
      </c>
      <c r="L552" s="221" t="s">
        <v>859</v>
      </c>
      <c r="M552" s="221">
        <v>1</v>
      </c>
      <c r="N552" s="221" t="s">
        <v>1910</v>
      </c>
      <c r="O552" s="221">
        <v>0</v>
      </c>
      <c r="P552" s="212">
        <v>0</v>
      </c>
      <c r="Q552" s="221">
        <v>1</v>
      </c>
      <c r="R552" s="221">
        <v>5</v>
      </c>
      <c r="S552" s="221">
        <v>0</v>
      </c>
      <c r="T552" s="77"/>
      <c r="V552" s="49" t="str">
        <f t="shared" si="78"/>
        <v>0</v>
      </c>
      <c r="W552" s="49" t="str">
        <f t="shared" si="79"/>
        <v>0</v>
      </c>
      <c r="X552" s="49" t="str">
        <f t="shared" si="80"/>
        <v>0</v>
      </c>
      <c r="Y552" s="49">
        <f t="shared" si="81"/>
        <v>0</v>
      </c>
      <c r="Z552" s="49">
        <f t="shared" si="82"/>
        <v>0</v>
      </c>
      <c r="AA552" s="49">
        <f t="shared" si="83"/>
        <v>1</v>
      </c>
      <c r="AB552" s="49" t="str">
        <f t="shared" si="86"/>
        <v>101</v>
      </c>
      <c r="AC552" s="49">
        <f t="shared" si="84"/>
        <v>0</v>
      </c>
      <c r="AD552" s="49">
        <v>0</v>
      </c>
      <c r="AE552" s="49" t="str">
        <f t="shared" si="85"/>
        <v>32C00</v>
      </c>
    </row>
    <row r="553" spans="1:31" s="133" customFormat="1" x14ac:dyDescent="0.15">
      <c r="A553" s="130" t="str">
        <f t="shared" si="77"/>
        <v>0</v>
      </c>
      <c r="B553" s="131">
        <v>551</v>
      </c>
      <c r="C553" s="212" t="s">
        <v>2422</v>
      </c>
      <c r="D553" s="218" t="s">
        <v>1027</v>
      </c>
      <c r="E553" s="219" t="s">
        <v>2423</v>
      </c>
      <c r="F553" s="223" t="s">
        <v>856</v>
      </c>
      <c r="G553" s="220">
        <v>0</v>
      </c>
      <c r="H553" s="221">
        <v>65535</v>
      </c>
      <c r="I553" s="212">
        <v>0</v>
      </c>
      <c r="J553" s="221">
        <v>0</v>
      </c>
      <c r="K553" s="221">
        <v>0</v>
      </c>
      <c r="L553" s="221" t="s">
        <v>859</v>
      </c>
      <c r="M553" s="221">
        <v>1</v>
      </c>
      <c r="N553" s="221" t="s">
        <v>1910</v>
      </c>
      <c r="O553" s="221">
        <v>0</v>
      </c>
      <c r="P553" s="212">
        <v>0</v>
      </c>
      <c r="Q553" s="221">
        <v>1</v>
      </c>
      <c r="R553" s="221">
        <v>5</v>
      </c>
      <c r="S553" s="221">
        <v>0</v>
      </c>
      <c r="T553" s="132"/>
      <c r="V553" s="133" t="str">
        <f t="shared" si="78"/>
        <v>0</v>
      </c>
      <c r="W553" s="133" t="str">
        <f t="shared" si="79"/>
        <v>0</v>
      </c>
      <c r="X553" s="133" t="str">
        <f t="shared" si="80"/>
        <v>0</v>
      </c>
      <c r="Y553" s="133">
        <f t="shared" si="81"/>
        <v>0</v>
      </c>
      <c r="Z553" s="133">
        <f t="shared" si="82"/>
        <v>0</v>
      </c>
      <c r="AA553" s="133">
        <f t="shared" si="83"/>
        <v>1</v>
      </c>
      <c r="AB553" s="133" t="str">
        <f t="shared" si="86"/>
        <v>101</v>
      </c>
      <c r="AC553" s="133">
        <f t="shared" si="84"/>
        <v>0</v>
      </c>
      <c r="AD553" s="133">
        <v>0</v>
      </c>
      <c r="AE553" s="133" t="str">
        <f t="shared" si="85"/>
        <v>32C00</v>
      </c>
    </row>
    <row r="554" spans="1:31" s="133" customFormat="1" x14ac:dyDescent="0.15">
      <c r="A554" s="130" t="str">
        <f t="shared" si="77"/>
        <v>0</v>
      </c>
      <c r="B554" s="131">
        <v>552</v>
      </c>
      <c r="C554" s="212" t="s">
        <v>2424</v>
      </c>
      <c r="D554" s="218" t="s">
        <v>1027</v>
      </c>
      <c r="E554" s="219" t="s">
        <v>2425</v>
      </c>
      <c r="F554" s="223" t="s">
        <v>856</v>
      </c>
      <c r="G554" s="220">
        <v>0</v>
      </c>
      <c r="H554" s="221">
        <v>65535</v>
      </c>
      <c r="I554" s="212">
        <v>0</v>
      </c>
      <c r="J554" s="221">
        <v>0</v>
      </c>
      <c r="K554" s="221">
        <v>0</v>
      </c>
      <c r="L554" s="221" t="s">
        <v>859</v>
      </c>
      <c r="M554" s="221">
        <v>1</v>
      </c>
      <c r="N554" s="221" t="s">
        <v>1910</v>
      </c>
      <c r="O554" s="221">
        <v>0</v>
      </c>
      <c r="P554" s="212">
        <v>0</v>
      </c>
      <c r="Q554" s="221">
        <v>1</v>
      </c>
      <c r="R554" s="221">
        <v>5</v>
      </c>
      <c r="S554" s="221">
        <v>0</v>
      </c>
      <c r="T554" s="132"/>
      <c r="V554" s="133" t="str">
        <f t="shared" si="78"/>
        <v>0</v>
      </c>
      <c r="W554" s="133" t="str">
        <f t="shared" si="79"/>
        <v>0</v>
      </c>
      <c r="X554" s="133" t="str">
        <f t="shared" si="80"/>
        <v>0</v>
      </c>
      <c r="Y554" s="133">
        <f t="shared" si="81"/>
        <v>0</v>
      </c>
      <c r="Z554" s="133">
        <f t="shared" si="82"/>
        <v>0</v>
      </c>
      <c r="AA554" s="133">
        <f t="shared" si="83"/>
        <v>1</v>
      </c>
      <c r="AB554" s="133" t="str">
        <f t="shared" si="86"/>
        <v>101</v>
      </c>
      <c r="AC554" s="133">
        <f t="shared" si="84"/>
        <v>0</v>
      </c>
      <c r="AD554" s="133">
        <v>0</v>
      </c>
      <c r="AE554" s="133" t="str">
        <f t="shared" si="85"/>
        <v>32C00</v>
      </c>
    </row>
    <row r="555" spans="1:31" s="133" customFormat="1" x14ac:dyDescent="0.15">
      <c r="A555" s="130" t="str">
        <f t="shared" si="77"/>
        <v>0</v>
      </c>
      <c r="B555" s="131">
        <v>553</v>
      </c>
      <c r="C555" s="212" t="s">
        <v>2426</v>
      </c>
      <c r="D555" s="218" t="s">
        <v>1027</v>
      </c>
      <c r="E555" s="219" t="s">
        <v>2427</v>
      </c>
      <c r="F555" s="223" t="s">
        <v>856</v>
      </c>
      <c r="G555" s="220">
        <v>0</v>
      </c>
      <c r="H555" s="221">
        <v>65535</v>
      </c>
      <c r="I555" s="212">
        <v>0</v>
      </c>
      <c r="J555" s="221">
        <v>0</v>
      </c>
      <c r="K555" s="221">
        <v>0</v>
      </c>
      <c r="L555" s="221" t="s">
        <v>859</v>
      </c>
      <c r="M555" s="221">
        <v>1</v>
      </c>
      <c r="N555" s="221" t="s">
        <v>1910</v>
      </c>
      <c r="O555" s="221">
        <v>0</v>
      </c>
      <c r="P555" s="212">
        <v>0</v>
      </c>
      <c r="Q555" s="221">
        <v>1</v>
      </c>
      <c r="R555" s="221">
        <v>5</v>
      </c>
      <c r="S555" s="221">
        <v>0</v>
      </c>
      <c r="T555" s="132"/>
      <c r="V555" s="133" t="str">
        <f t="shared" si="78"/>
        <v>0</v>
      </c>
      <c r="W555" s="133" t="str">
        <f t="shared" si="79"/>
        <v>0</v>
      </c>
      <c r="X555" s="133" t="str">
        <f t="shared" si="80"/>
        <v>0</v>
      </c>
      <c r="Y555" s="133">
        <f t="shared" si="81"/>
        <v>0</v>
      </c>
      <c r="Z555" s="133">
        <f t="shared" si="82"/>
        <v>0</v>
      </c>
      <c r="AA555" s="133">
        <f t="shared" si="83"/>
        <v>1</v>
      </c>
      <c r="AB555" s="133" t="str">
        <f t="shared" si="86"/>
        <v>101</v>
      </c>
      <c r="AC555" s="133">
        <f t="shared" si="84"/>
        <v>0</v>
      </c>
      <c r="AD555" s="133">
        <v>0</v>
      </c>
      <c r="AE555" s="133" t="str">
        <f t="shared" si="85"/>
        <v>32C00</v>
      </c>
    </row>
    <row r="556" spans="1:31" x14ac:dyDescent="0.15">
      <c r="A556" s="103" t="str">
        <f t="shared" si="77"/>
        <v>0</v>
      </c>
      <c r="B556" s="104">
        <v>554</v>
      </c>
      <c r="C556" s="212" t="s">
        <v>2428</v>
      </c>
      <c r="D556" s="218" t="s">
        <v>1027</v>
      </c>
      <c r="E556" s="219" t="s">
        <v>2429</v>
      </c>
      <c r="F556" s="223" t="s">
        <v>856</v>
      </c>
      <c r="G556" s="220">
        <v>0</v>
      </c>
      <c r="H556" s="221">
        <v>65535</v>
      </c>
      <c r="I556" s="212">
        <v>0</v>
      </c>
      <c r="J556" s="221">
        <v>0</v>
      </c>
      <c r="K556" s="221">
        <v>0</v>
      </c>
      <c r="L556" s="221" t="s">
        <v>859</v>
      </c>
      <c r="M556" s="221">
        <v>1</v>
      </c>
      <c r="N556" s="221" t="s">
        <v>1910</v>
      </c>
      <c r="O556" s="221">
        <v>0</v>
      </c>
      <c r="P556" s="212">
        <v>0</v>
      </c>
      <c r="Q556" s="221">
        <v>1</v>
      </c>
      <c r="R556" s="221">
        <v>5</v>
      </c>
      <c r="S556" s="221">
        <v>0</v>
      </c>
      <c r="T556" s="77"/>
      <c r="V556" s="49" t="str">
        <f t="shared" si="78"/>
        <v>0</v>
      </c>
      <c r="W556" s="49" t="str">
        <f t="shared" si="79"/>
        <v>0</v>
      </c>
      <c r="X556" s="49" t="str">
        <f t="shared" si="80"/>
        <v>0</v>
      </c>
      <c r="Y556" s="49">
        <f t="shared" si="81"/>
        <v>0</v>
      </c>
      <c r="Z556" s="49">
        <f t="shared" si="82"/>
        <v>0</v>
      </c>
      <c r="AA556" s="49">
        <f t="shared" si="83"/>
        <v>1</v>
      </c>
      <c r="AB556" s="49" t="str">
        <f t="shared" si="86"/>
        <v>101</v>
      </c>
      <c r="AC556" s="49">
        <f t="shared" si="84"/>
        <v>0</v>
      </c>
      <c r="AD556" s="49">
        <v>0</v>
      </c>
      <c r="AE556" s="49" t="str">
        <f t="shared" si="85"/>
        <v>32C00</v>
      </c>
    </row>
    <row r="557" spans="1:31" x14ac:dyDescent="0.15">
      <c r="A557" s="103" t="str">
        <f t="shared" si="77"/>
        <v>0</v>
      </c>
      <c r="B557" s="104">
        <v>555</v>
      </c>
      <c r="C557" s="212" t="s">
        <v>2430</v>
      </c>
      <c r="D557" s="218" t="s">
        <v>1027</v>
      </c>
      <c r="E557" s="219" t="s">
        <v>2431</v>
      </c>
      <c r="F557" s="223" t="s">
        <v>856</v>
      </c>
      <c r="G557" s="220">
        <v>0</v>
      </c>
      <c r="H557" s="221">
        <v>65535</v>
      </c>
      <c r="I557" s="212">
        <v>0</v>
      </c>
      <c r="J557" s="221">
        <v>0</v>
      </c>
      <c r="K557" s="221">
        <v>0</v>
      </c>
      <c r="L557" s="221" t="s">
        <v>859</v>
      </c>
      <c r="M557" s="221">
        <v>1</v>
      </c>
      <c r="N557" s="221" t="s">
        <v>1910</v>
      </c>
      <c r="O557" s="221">
        <v>0</v>
      </c>
      <c r="P557" s="212">
        <v>0</v>
      </c>
      <c r="Q557" s="221">
        <v>1</v>
      </c>
      <c r="R557" s="221">
        <v>5</v>
      </c>
      <c r="S557" s="221">
        <v>0</v>
      </c>
      <c r="T557" s="77"/>
      <c r="V557" s="49" t="str">
        <f t="shared" si="78"/>
        <v>0</v>
      </c>
      <c r="W557" s="49" t="str">
        <f t="shared" si="79"/>
        <v>0</v>
      </c>
      <c r="X557" s="49" t="str">
        <f t="shared" si="80"/>
        <v>0</v>
      </c>
      <c r="Y557" s="49">
        <f t="shared" si="81"/>
        <v>0</v>
      </c>
      <c r="Z557" s="49">
        <f t="shared" si="82"/>
        <v>0</v>
      </c>
      <c r="AA557" s="49">
        <f t="shared" si="83"/>
        <v>1</v>
      </c>
      <c r="AB557" s="49" t="str">
        <f t="shared" si="86"/>
        <v>101</v>
      </c>
      <c r="AC557" s="49">
        <f t="shared" si="84"/>
        <v>0</v>
      </c>
      <c r="AD557" s="49">
        <v>0</v>
      </c>
      <c r="AE557" s="49" t="str">
        <f t="shared" si="85"/>
        <v>32C00</v>
      </c>
    </row>
    <row r="558" spans="1:31" x14ac:dyDescent="0.15">
      <c r="A558" s="103" t="str">
        <f t="shared" si="77"/>
        <v>0</v>
      </c>
      <c r="B558" s="104">
        <v>556</v>
      </c>
      <c r="C558" s="212" t="s">
        <v>2432</v>
      </c>
      <c r="D558" s="218" t="s">
        <v>1027</v>
      </c>
      <c r="E558" s="219" t="s">
        <v>2433</v>
      </c>
      <c r="F558" s="223" t="s">
        <v>856</v>
      </c>
      <c r="G558" s="220">
        <v>0</v>
      </c>
      <c r="H558" s="221">
        <v>65535</v>
      </c>
      <c r="I558" s="212">
        <v>0</v>
      </c>
      <c r="J558" s="221">
        <v>0</v>
      </c>
      <c r="K558" s="221">
        <v>0</v>
      </c>
      <c r="L558" s="221" t="s">
        <v>859</v>
      </c>
      <c r="M558" s="221">
        <v>1</v>
      </c>
      <c r="N558" s="221" t="s">
        <v>1910</v>
      </c>
      <c r="O558" s="221">
        <v>0</v>
      </c>
      <c r="P558" s="212">
        <v>0</v>
      </c>
      <c r="Q558" s="221">
        <v>1</v>
      </c>
      <c r="R558" s="221">
        <v>5</v>
      </c>
      <c r="S558" s="221">
        <v>0</v>
      </c>
      <c r="T558" s="77"/>
      <c r="V558" s="49" t="str">
        <f t="shared" si="78"/>
        <v>0</v>
      </c>
      <c r="W558" s="49" t="str">
        <f t="shared" si="79"/>
        <v>0</v>
      </c>
      <c r="X558" s="49" t="str">
        <f t="shared" si="80"/>
        <v>0</v>
      </c>
      <c r="Y558" s="49">
        <f t="shared" si="81"/>
        <v>0</v>
      </c>
      <c r="Z558" s="49">
        <f t="shared" si="82"/>
        <v>0</v>
      </c>
      <c r="AA558" s="49">
        <f t="shared" si="83"/>
        <v>1</v>
      </c>
      <c r="AB558" s="49" t="str">
        <f t="shared" si="86"/>
        <v>101</v>
      </c>
      <c r="AC558" s="49">
        <f t="shared" si="84"/>
        <v>0</v>
      </c>
      <c r="AD558" s="49">
        <v>0</v>
      </c>
      <c r="AE558" s="49" t="str">
        <f t="shared" si="85"/>
        <v>32C00</v>
      </c>
    </row>
    <row r="559" spans="1:31" x14ac:dyDescent="0.15">
      <c r="A559" s="103" t="str">
        <f t="shared" si="77"/>
        <v>0</v>
      </c>
      <c r="B559" s="104">
        <v>557</v>
      </c>
      <c r="C559" s="212" t="s">
        <v>2434</v>
      </c>
      <c r="D559" s="218" t="s">
        <v>1027</v>
      </c>
      <c r="E559" s="219" t="s">
        <v>2435</v>
      </c>
      <c r="F559" s="223" t="s">
        <v>856</v>
      </c>
      <c r="G559" s="220">
        <v>0</v>
      </c>
      <c r="H559" s="221">
        <v>65535</v>
      </c>
      <c r="I559" s="212">
        <v>0</v>
      </c>
      <c r="J559" s="221">
        <v>0</v>
      </c>
      <c r="K559" s="221">
        <v>0</v>
      </c>
      <c r="L559" s="221" t="s">
        <v>859</v>
      </c>
      <c r="M559" s="221">
        <v>1</v>
      </c>
      <c r="N559" s="221" t="s">
        <v>1910</v>
      </c>
      <c r="O559" s="221">
        <v>0</v>
      </c>
      <c r="P559" s="212">
        <v>0</v>
      </c>
      <c r="Q559" s="221">
        <v>1</v>
      </c>
      <c r="R559" s="221">
        <v>5</v>
      </c>
      <c r="S559" s="221">
        <v>0</v>
      </c>
      <c r="T559" s="77"/>
      <c r="V559" s="49" t="str">
        <f t="shared" si="78"/>
        <v>0</v>
      </c>
      <c r="W559" s="49" t="str">
        <f t="shared" si="79"/>
        <v>0</v>
      </c>
      <c r="X559" s="49" t="str">
        <f t="shared" si="80"/>
        <v>0</v>
      </c>
      <c r="Y559" s="49">
        <f t="shared" si="81"/>
        <v>0</v>
      </c>
      <c r="Z559" s="49">
        <f t="shared" si="82"/>
        <v>0</v>
      </c>
      <c r="AA559" s="49">
        <f t="shared" si="83"/>
        <v>1</v>
      </c>
      <c r="AB559" s="49" t="str">
        <f t="shared" si="86"/>
        <v>101</v>
      </c>
      <c r="AC559" s="49">
        <f t="shared" si="84"/>
        <v>0</v>
      </c>
      <c r="AD559" s="49">
        <v>0</v>
      </c>
      <c r="AE559" s="49" t="str">
        <f t="shared" si="85"/>
        <v>32C00</v>
      </c>
    </row>
    <row r="560" spans="1:31" x14ac:dyDescent="0.15">
      <c r="A560" s="103" t="str">
        <f t="shared" si="77"/>
        <v>0</v>
      </c>
      <c r="B560" s="104">
        <v>558</v>
      </c>
      <c r="C560" s="212" t="s">
        <v>2436</v>
      </c>
      <c r="D560" s="218" t="s">
        <v>1027</v>
      </c>
      <c r="E560" s="219" t="s">
        <v>2437</v>
      </c>
      <c r="F560" s="223" t="s">
        <v>856</v>
      </c>
      <c r="G560" s="220">
        <v>0</v>
      </c>
      <c r="H560" s="221">
        <v>65535</v>
      </c>
      <c r="I560" s="212">
        <v>0</v>
      </c>
      <c r="J560" s="221">
        <v>0</v>
      </c>
      <c r="K560" s="221">
        <v>0</v>
      </c>
      <c r="L560" s="221" t="s">
        <v>859</v>
      </c>
      <c r="M560" s="221">
        <v>1</v>
      </c>
      <c r="N560" s="221" t="s">
        <v>1910</v>
      </c>
      <c r="O560" s="221">
        <v>0</v>
      </c>
      <c r="P560" s="212">
        <v>0</v>
      </c>
      <c r="Q560" s="221">
        <v>1</v>
      </c>
      <c r="R560" s="221">
        <v>5</v>
      </c>
      <c r="S560" s="221">
        <v>0</v>
      </c>
      <c r="T560" s="77"/>
      <c r="V560" s="49" t="str">
        <f t="shared" si="78"/>
        <v>0</v>
      </c>
      <c r="W560" s="49" t="str">
        <f t="shared" si="79"/>
        <v>0</v>
      </c>
      <c r="X560" s="49" t="str">
        <f t="shared" si="80"/>
        <v>0</v>
      </c>
      <c r="Y560" s="49">
        <f t="shared" si="81"/>
        <v>0</v>
      </c>
      <c r="Z560" s="49">
        <f t="shared" si="82"/>
        <v>0</v>
      </c>
      <c r="AA560" s="49">
        <f t="shared" si="83"/>
        <v>1</v>
      </c>
      <c r="AB560" s="49" t="str">
        <f t="shared" si="86"/>
        <v>101</v>
      </c>
      <c r="AC560" s="49">
        <f t="shared" si="84"/>
        <v>0</v>
      </c>
      <c r="AD560" s="49">
        <v>0</v>
      </c>
      <c r="AE560" s="49" t="str">
        <f t="shared" si="85"/>
        <v>32C00</v>
      </c>
    </row>
    <row r="561" spans="1:31" x14ac:dyDescent="0.15">
      <c r="A561" s="103" t="str">
        <f t="shared" si="77"/>
        <v>0</v>
      </c>
      <c r="B561" s="104">
        <v>559</v>
      </c>
      <c r="C561" s="212" t="s">
        <v>2438</v>
      </c>
      <c r="D561" s="218" t="s">
        <v>1027</v>
      </c>
      <c r="E561" s="219" t="s">
        <v>2439</v>
      </c>
      <c r="F561" s="223" t="s">
        <v>856</v>
      </c>
      <c r="G561" s="220">
        <v>0</v>
      </c>
      <c r="H561" s="221">
        <v>65535</v>
      </c>
      <c r="I561" s="212">
        <v>0</v>
      </c>
      <c r="J561" s="221">
        <v>0</v>
      </c>
      <c r="K561" s="221">
        <v>0</v>
      </c>
      <c r="L561" s="221" t="s">
        <v>859</v>
      </c>
      <c r="M561" s="221">
        <v>1</v>
      </c>
      <c r="N561" s="221" t="s">
        <v>1910</v>
      </c>
      <c r="O561" s="221">
        <v>0</v>
      </c>
      <c r="P561" s="212">
        <v>0</v>
      </c>
      <c r="Q561" s="221">
        <v>1</v>
      </c>
      <c r="R561" s="221">
        <v>5</v>
      </c>
      <c r="S561" s="221">
        <v>0</v>
      </c>
      <c r="T561" s="77"/>
      <c r="V561" s="49" t="str">
        <f t="shared" si="78"/>
        <v>0</v>
      </c>
      <c r="W561" s="49" t="str">
        <f t="shared" si="79"/>
        <v>0</v>
      </c>
      <c r="X561" s="49" t="str">
        <f t="shared" si="80"/>
        <v>0</v>
      </c>
      <c r="Y561" s="49">
        <f t="shared" si="81"/>
        <v>0</v>
      </c>
      <c r="Z561" s="49">
        <f t="shared" si="82"/>
        <v>0</v>
      </c>
      <c r="AA561" s="49">
        <f t="shared" si="83"/>
        <v>1</v>
      </c>
      <c r="AB561" s="49" t="str">
        <f t="shared" si="86"/>
        <v>101</v>
      </c>
      <c r="AC561" s="49">
        <f t="shared" si="84"/>
        <v>0</v>
      </c>
      <c r="AD561" s="49">
        <v>0</v>
      </c>
      <c r="AE561" s="49" t="str">
        <f t="shared" si="85"/>
        <v>32C00</v>
      </c>
    </row>
    <row r="562" spans="1:31" x14ac:dyDescent="0.15">
      <c r="A562" s="103" t="str">
        <f t="shared" si="77"/>
        <v>0</v>
      </c>
      <c r="B562" s="104">
        <v>560</v>
      </c>
      <c r="C562" s="212" t="s">
        <v>2440</v>
      </c>
      <c r="D562" s="218" t="s">
        <v>1027</v>
      </c>
      <c r="E562" s="219" t="s">
        <v>2441</v>
      </c>
      <c r="F562" s="223" t="s">
        <v>856</v>
      </c>
      <c r="G562" s="220">
        <v>0</v>
      </c>
      <c r="H562" s="221">
        <v>65535</v>
      </c>
      <c r="I562" s="212">
        <v>0</v>
      </c>
      <c r="J562" s="221">
        <v>0</v>
      </c>
      <c r="K562" s="221">
        <v>0</v>
      </c>
      <c r="L562" s="221" t="s">
        <v>859</v>
      </c>
      <c r="M562" s="221">
        <v>1</v>
      </c>
      <c r="N562" s="221" t="s">
        <v>1910</v>
      </c>
      <c r="O562" s="221">
        <v>0</v>
      </c>
      <c r="P562" s="212">
        <v>0</v>
      </c>
      <c r="Q562" s="221">
        <v>1</v>
      </c>
      <c r="R562" s="221">
        <v>5</v>
      </c>
      <c r="S562" s="221">
        <v>0</v>
      </c>
      <c r="T562" s="77"/>
      <c r="V562" s="49" t="str">
        <f t="shared" si="78"/>
        <v>0</v>
      </c>
      <c r="W562" s="49" t="str">
        <f t="shared" si="79"/>
        <v>0</v>
      </c>
      <c r="X562" s="49" t="str">
        <f t="shared" si="80"/>
        <v>0</v>
      </c>
      <c r="Y562" s="49">
        <f t="shared" si="81"/>
        <v>0</v>
      </c>
      <c r="Z562" s="49">
        <f t="shared" si="82"/>
        <v>0</v>
      </c>
      <c r="AA562" s="49">
        <f t="shared" si="83"/>
        <v>1</v>
      </c>
      <c r="AB562" s="49" t="str">
        <f t="shared" si="86"/>
        <v>101</v>
      </c>
      <c r="AC562" s="49">
        <f t="shared" si="84"/>
        <v>0</v>
      </c>
      <c r="AD562" s="49">
        <v>0</v>
      </c>
      <c r="AE562" s="49" t="str">
        <f t="shared" si="85"/>
        <v>32C00</v>
      </c>
    </row>
    <row r="563" spans="1:31" x14ac:dyDescent="0.15">
      <c r="A563" s="103" t="str">
        <f t="shared" si="77"/>
        <v>0</v>
      </c>
      <c r="B563" s="104">
        <v>561</v>
      </c>
      <c r="C563" s="212" t="s">
        <v>2442</v>
      </c>
      <c r="D563" s="218" t="s">
        <v>1027</v>
      </c>
      <c r="E563" s="219" t="s">
        <v>2443</v>
      </c>
      <c r="F563" s="223" t="s">
        <v>856</v>
      </c>
      <c r="G563" s="220">
        <v>0</v>
      </c>
      <c r="H563" s="221">
        <v>65535</v>
      </c>
      <c r="I563" s="212">
        <v>0</v>
      </c>
      <c r="J563" s="221">
        <v>0</v>
      </c>
      <c r="K563" s="221">
        <v>0</v>
      </c>
      <c r="L563" s="221" t="s">
        <v>859</v>
      </c>
      <c r="M563" s="221">
        <v>1</v>
      </c>
      <c r="N563" s="221" t="s">
        <v>1910</v>
      </c>
      <c r="O563" s="221">
        <v>0</v>
      </c>
      <c r="P563" s="212">
        <v>0</v>
      </c>
      <c r="Q563" s="221">
        <v>1</v>
      </c>
      <c r="R563" s="221">
        <v>5</v>
      </c>
      <c r="S563" s="221">
        <v>0</v>
      </c>
      <c r="T563" s="77"/>
      <c r="V563" s="49" t="str">
        <f t="shared" si="78"/>
        <v>0</v>
      </c>
      <c r="W563" s="49" t="str">
        <f t="shared" si="79"/>
        <v>0</v>
      </c>
      <c r="X563" s="49" t="str">
        <f t="shared" si="80"/>
        <v>0</v>
      </c>
      <c r="Y563" s="49">
        <f t="shared" si="81"/>
        <v>0</v>
      </c>
      <c r="Z563" s="49">
        <f t="shared" si="82"/>
        <v>0</v>
      </c>
      <c r="AA563" s="49">
        <f t="shared" si="83"/>
        <v>1</v>
      </c>
      <c r="AB563" s="49" t="str">
        <f t="shared" si="86"/>
        <v>101</v>
      </c>
      <c r="AC563" s="49">
        <f t="shared" si="84"/>
        <v>0</v>
      </c>
      <c r="AD563" s="49">
        <v>0</v>
      </c>
      <c r="AE563" s="49" t="str">
        <f t="shared" si="85"/>
        <v>32C00</v>
      </c>
    </row>
    <row r="564" spans="1:31" ht="15.75" customHeight="1" x14ac:dyDescent="0.15">
      <c r="A564" s="103" t="str">
        <f t="shared" si="77"/>
        <v>0</v>
      </c>
      <c r="B564" s="104">
        <v>562</v>
      </c>
      <c r="C564" s="212" t="s">
        <v>2444</v>
      </c>
      <c r="D564" s="218" t="s">
        <v>1027</v>
      </c>
      <c r="E564" s="219" t="s">
        <v>2445</v>
      </c>
      <c r="F564" s="223" t="s">
        <v>856</v>
      </c>
      <c r="G564" s="220">
        <v>0</v>
      </c>
      <c r="H564" s="221">
        <v>65535</v>
      </c>
      <c r="I564" s="212">
        <v>0</v>
      </c>
      <c r="J564" s="221">
        <v>0</v>
      </c>
      <c r="K564" s="221">
        <v>0</v>
      </c>
      <c r="L564" s="221" t="s">
        <v>859</v>
      </c>
      <c r="M564" s="221">
        <v>1</v>
      </c>
      <c r="N564" s="221" t="s">
        <v>1910</v>
      </c>
      <c r="O564" s="221">
        <v>0</v>
      </c>
      <c r="P564" s="212">
        <v>0</v>
      </c>
      <c r="Q564" s="221">
        <v>1</v>
      </c>
      <c r="R564" s="221">
        <v>5</v>
      </c>
      <c r="S564" s="221">
        <v>0</v>
      </c>
      <c r="T564" s="77"/>
      <c r="V564" s="49" t="str">
        <f t="shared" si="78"/>
        <v>0</v>
      </c>
      <c r="W564" s="49" t="str">
        <f t="shared" si="79"/>
        <v>0</v>
      </c>
      <c r="X564" s="49" t="str">
        <f t="shared" si="80"/>
        <v>0</v>
      </c>
      <c r="Y564" s="49">
        <f t="shared" si="81"/>
        <v>0</v>
      </c>
      <c r="Z564" s="49">
        <f t="shared" si="82"/>
        <v>0</v>
      </c>
      <c r="AA564" s="49">
        <f t="shared" si="83"/>
        <v>1</v>
      </c>
      <c r="AB564" s="49" t="str">
        <f t="shared" si="86"/>
        <v>101</v>
      </c>
      <c r="AC564" s="49">
        <f t="shared" si="84"/>
        <v>0</v>
      </c>
      <c r="AD564" s="49">
        <v>0</v>
      </c>
      <c r="AE564" s="49" t="str">
        <f t="shared" si="85"/>
        <v>32C00</v>
      </c>
    </row>
    <row r="565" spans="1:31" x14ac:dyDescent="0.15">
      <c r="A565" s="103" t="str">
        <f t="shared" si="77"/>
        <v>0</v>
      </c>
      <c r="B565" s="104">
        <v>563</v>
      </c>
      <c r="C565" s="212" t="s">
        <v>2446</v>
      </c>
      <c r="D565" s="218" t="s">
        <v>1027</v>
      </c>
      <c r="E565" s="219" t="s">
        <v>2447</v>
      </c>
      <c r="F565" s="223" t="s">
        <v>856</v>
      </c>
      <c r="G565" s="220">
        <v>0</v>
      </c>
      <c r="H565" s="221">
        <v>65535</v>
      </c>
      <c r="I565" s="212">
        <v>0</v>
      </c>
      <c r="J565" s="221">
        <v>0</v>
      </c>
      <c r="K565" s="221">
        <v>0</v>
      </c>
      <c r="L565" s="221" t="s">
        <v>859</v>
      </c>
      <c r="M565" s="221">
        <v>1</v>
      </c>
      <c r="N565" s="221" t="s">
        <v>1910</v>
      </c>
      <c r="O565" s="221">
        <v>0</v>
      </c>
      <c r="P565" s="212">
        <v>0</v>
      </c>
      <c r="Q565" s="221">
        <v>1</v>
      </c>
      <c r="R565" s="221">
        <v>5</v>
      </c>
      <c r="S565" s="221">
        <v>0</v>
      </c>
      <c r="T565" s="77"/>
      <c r="V565" s="49" t="str">
        <f t="shared" si="78"/>
        <v>0</v>
      </c>
      <c r="W565" s="49" t="str">
        <f t="shared" si="79"/>
        <v>0</v>
      </c>
      <c r="X565" s="49" t="str">
        <f t="shared" si="80"/>
        <v>0</v>
      </c>
      <c r="Y565" s="49">
        <f t="shared" si="81"/>
        <v>0</v>
      </c>
      <c r="Z565" s="49">
        <f t="shared" si="82"/>
        <v>0</v>
      </c>
      <c r="AA565" s="49">
        <f t="shared" si="83"/>
        <v>1</v>
      </c>
      <c r="AB565" s="49" t="str">
        <f t="shared" si="86"/>
        <v>101</v>
      </c>
      <c r="AC565" s="49">
        <f t="shared" si="84"/>
        <v>0</v>
      </c>
      <c r="AD565" s="49">
        <v>0</v>
      </c>
      <c r="AE565" s="49" t="str">
        <f t="shared" si="85"/>
        <v>32C00</v>
      </c>
    </row>
    <row r="566" spans="1:31" x14ac:dyDescent="0.15">
      <c r="A566" s="103" t="str">
        <f t="shared" si="77"/>
        <v>0</v>
      </c>
      <c r="B566" s="104">
        <v>564</v>
      </c>
      <c r="C566" s="212" t="s">
        <v>2448</v>
      </c>
      <c r="D566" s="218" t="s">
        <v>1027</v>
      </c>
      <c r="E566" s="219" t="s">
        <v>2449</v>
      </c>
      <c r="F566" s="223" t="s">
        <v>856</v>
      </c>
      <c r="G566" s="220">
        <v>0</v>
      </c>
      <c r="H566" s="221">
        <v>65535</v>
      </c>
      <c r="I566" s="212">
        <v>0</v>
      </c>
      <c r="J566" s="221">
        <v>0</v>
      </c>
      <c r="K566" s="221">
        <v>0</v>
      </c>
      <c r="L566" s="221" t="s">
        <v>859</v>
      </c>
      <c r="M566" s="221">
        <v>1</v>
      </c>
      <c r="N566" s="221" t="s">
        <v>1910</v>
      </c>
      <c r="O566" s="221">
        <v>0</v>
      </c>
      <c r="P566" s="212">
        <v>0</v>
      </c>
      <c r="Q566" s="221">
        <v>1</v>
      </c>
      <c r="R566" s="221">
        <v>5</v>
      </c>
      <c r="S566" s="221">
        <v>0</v>
      </c>
      <c r="T566" s="77"/>
      <c r="V566" s="49" t="str">
        <f t="shared" si="78"/>
        <v>0</v>
      </c>
      <c r="W566" s="49" t="str">
        <f t="shared" si="79"/>
        <v>0</v>
      </c>
      <c r="X566" s="49" t="str">
        <f t="shared" si="80"/>
        <v>0</v>
      </c>
      <c r="Y566" s="49">
        <f t="shared" si="81"/>
        <v>0</v>
      </c>
      <c r="Z566" s="49">
        <f t="shared" si="82"/>
        <v>0</v>
      </c>
      <c r="AA566" s="49">
        <f t="shared" si="83"/>
        <v>1</v>
      </c>
      <c r="AB566" s="49" t="str">
        <f t="shared" si="86"/>
        <v>101</v>
      </c>
      <c r="AC566" s="49">
        <f t="shared" si="84"/>
        <v>0</v>
      </c>
      <c r="AD566" s="49">
        <v>0</v>
      </c>
      <c r="AE566" s="49" t="str">
        <f t="shared" si="85"/>
        <v>32C00</v>
      </c>
    </row>
    <row r="567" spans="1:31" x14ac:dyDescent="0.15">
      <c r="A567" s="103" t="str">
        <f t="shared" si="77"/>
        <v>0</v>
      </c>
      <c r="B567" s="104">
        <v>565</v>
      </c>
      <c r="C567" s="212" t="s">
        <v>2450</v>
      </c>
      <c r="D567" s="218" t="s">
        <v>1027</v>
      </c>
      <c r="E567" s="219" t="s">
        <v>2451</v>
      </c>
      <c r="F567" s="223" t="s">
        <v>856</v>
      </c>
      <c r="G567" s="220">
        <v>0</v>
      </c>
      <c r="H567" s="221">
        <v>65535</v>
      </c>
      <c r="I567" s="212">
        <v>0</v>
      </c>
      <c r="J567" s="221">
        <v>0</v>
      </c>
      <c r="K567" s="221">
        <v>0</v>
      </c>
      <c r="L567" s="221" t="s">
        <v>859</v>
      </c>
      <c r="M567" s="221">
        <v>1</v>
      </c>
      <c r="N567" s="221" t="s">
        <v>1910</v>
      </c>
      <c r="O567" s="221">
        <v>0</v>
      </c>
      <c r="P567" s="212">
        <v>0</v>
      </c>
      <c r="Q567" s="221">
        <v>1</v>
      </c>
      <c r="R567" s="221">
        <v>5</v>
      </c>
      <c r="S567" s="221">
        <v>0</v>
      </c>
      <c r="T567" s="77"/>
      <c r="V567" s="49" t="str">
        <f t="shared" si="78"/>
        <v>0</v>
      </c>
      <c r="W567" s="49" t="str">
        <f t="shared" si="79"/>
        <v>0</v>
      </c>
      <c r="X567" s="49" t="str">
        <f t="shared" si="80"/>
        <v>0</v>
      </c>
      <c r="Y567" s="49">
        <f t="shared" si="81"/>
        <v>0</v>
      </c>
      <c r="Z567" s="49">
        <f t="shared" si="82"/>
        <v>0</v>
      </c>
      <c r="AA567" s="49">
        <f t="shared" si="83"/>
        <v>1</v>
      </c>
      <c r="AB567" s="49" t="str">
        <f t="shared" si="86"/>
        <v>101</v>
      </c>
      <c r="AC567" s="49">
        <f t="shared" si="84"/>
        <v>0</v>
      </c>
      <c r="AD567" s="49">
        <v>0</v>
      </c>
      <c r="AE567" s="49" t="str">
        <f t="shared" si="85"/>
        <v>32C00</v>
      </c>
    </row>
    <row r="568" spans="1:31" x14ac:dyDescent="0.15">
      <c r="A568" s="103" t="str">
        <f t="shared" si="77"/>
        <v>0</v>
      </c>
      <c r="B568" s="104">
        <v>566</v>
      </c>
      <c r="C568" s="212" t="s">
        <v>2452</v>
      </c>
      <c r="D568" s="218" t="s">
        <v>1027</v>
      </c>
      <c r="E568" s="219" t="s">
        <v>2453</v>
      </c>
      <c r="F568" s="223" t="s">
        <v>856</v>
      </c>
      <c r="G568" s="220">
        <v>0</v>
      </c>
      <c r="H568" s="221">
        <v>65535</v>
      </c>
      <c r="I568" s="212">
        <v>0</v>
      </c>
      <c r="J568" s="221">
        <v>0</v>
      </c>
      <c r="K568" s="221">
        <v>0</v>
      </c>
      <c r="L568" s="221" t="s">
        <v>859</v>
      </c>
      <c r="M568" s="221">
        <v>1</v>
      </c>
      <c r="N568" s="221" t="s">
        <v>1910</v>
      </c>
      <c r="O568" s="221">
        <v>0</v>
      </c>
      <c r="P568" s="212">
        <v>0</v>
      </c>
      <c r="Q568" s="221">
        <v>1</v>
      </c>
      <c r="R568" s="221">
        <v>5</v>
      </c>
      <c r="S568" s="221">
        <v>0</v>
      </c>
      <c r="T568" s="77"/>
      <c r="V568" s="49" t="str">
        <f t="shared" si="78"/>
        <v>0</v>
      </c>
      <c r="W568" s="49" t="str">
        <f t="shared" si="79"/>
        <v>0</v>
      </c>
      <c r="X568" s="49" t="str">
        <f t="shared" si="80"/>
        <v>0</v>
      </c>
      <c r="Y568" s="49">
        <f t="shared" si="81"/>
        <v>0</v>
      </c>
      <c r="Z568" s="49">
        <f t="shared" si="82"/>
        <v>0</v>
      </c>
      <c r="AA568" s="49">
        <f t="shared" si="83"/>
        <v>1</v>
      </c>
      <c r="AB568" s="49" t="str">
        <f t="shared" si="86"/>
        <v>101</v>
      </c>
      <c r="AC568" s="49">
        <f t="shared" si="84"/>
        <v>0</v>
      </c>
      <c r="AD568" s="49">
        <v>0</v>
      </c>
      <c r="AE568" s="49" t="str">
        <f t="shared" si="85"/>
        <v>32C00</v>
      </c>
    </row>
    <row r="569" spans="1:31" x14ac:dyDescent="0.15">
      <c r="A569" s="103" t="str">
        <f t="shared" si="77"/>
        <v>0</v>
      </c>
      <c r="B569" s="104">
        <v>567</v>
      </c>
      <c r="C569" s="212" t="s">
        <v>2454</v>
      </c>
      <c r="D569" s="218" t="s">
        <v>1027</v>
      </c>
      <c r="E569" s="219" t="s">
        <v>2455</v>
      </c>
      <c r="F569" s="223" t="s">
        <v>856</v>
      </c>
      <c r="G569" s="220">
        <v>0</v>
      </c>
      <c r="H569" s="221">
        <v>65535</v>
      </c>
      <c r="I569" s="212">
        <v>0</v>
      </c>
      <c r="J569" s="221">
        <v>0</v>
      </c>
      <c r="K569" s="221">
        <v>0</v>
      </c>
      <c r="L569" s="221" t="s">
        <v>859</v>
      </c>
      <c r="M569" s="221">
        <v>1</v>
      </c>
      <c r="N569" s="221" t="s">
        <v>1910</v>
      </c>
      <c r="O569" s="221">
        <v>0</v>
      </c>
      <c r="P569" s="212">
        <v>0</v>
      </c>
      <c r="Q569" s="221">
        <v>1</v>
      </c>
      <c r="R569" s="221">
        <v>5</v>
      </c>
      <c r="S569" s="221">
        <v>0</v>
      </c>
      <c r="T569" s="77"/>
      <c r="V569" s="49" t="str">
        <f t="shared" si="78"/>
        <v>0</v>
      </c>
      <c r="W569" s="49" t="str">
        <f t="shared" si="79"/>
        <v>0</v>
      </c>
      <c r="X569" s="49" t="str">
        <f t="shared" si="80"/>
        <v>0</v>
      </c>
      <c r="Y569" s="49">
        <f t="shared" si="81"/>
        <v>0</v>
      </c>
      <c r="Z569" s="49">
        <f t="shared" si="82"/>
        <v>0</v>
      </c>
      <c r="AA569" s="49">
        <f t="shared" si="83"/>
        <v>1</v>
      </c>
      <c r="AB569" s="49" t="str">
        <f t="shared" si="86"/>
        <v>101</v>
      </c>
      <c r="AC569" s="49">
        <f t="shared" si="84"/>
        <v>0</v>
      </c>
      <c r="AD569" s="49">
        <v>0</v>
      </c>
      <c r="AE569" s="49" t="str">
        <f t="shared" si="85"/>
        <v>32C00</v>
      </c>
    </row>
    <row r="570" spans="1:31" x14ac:dyDescent="0.15">
      <c r="A570" s="103" t="str">
        <f t="shared" si="77"/>
        <v>0</v>
      </c>
      <c r="B570" s="104">
        <v>568</v>
      </c>
      <c r="C570" s="212" t="s">
        <v>2456</v>
      </c>
      <c r="D570" s="218" t="s">
        <v>1027</v>
      </c>
      <c r="E570" s="219" t="s">
        <v>2457</v>
      </c>
      <c r="F570" s="223" t="s">
        <v>856</v>
      </c>
      <c r="G570" s="220">
        <v>0</v>
      </c>
      <c r="H570" s="221">
        <v>65535</v>
      </c>
      <c r="I570" s="212">
        <v>0</v>
      </c>
      <c r="J570" s="221">
        <v>0</v>
      </c>
      <c r="K570" s="221">
        <v>0</v>
      </c>
      <c r="L570" s="221" t="s">
        <v>859</v>
      </c>
      <c r="M570" s="221">
        <v>1</v>
      </c>
      <c r="N570" s="221" t="s">
        <v>1910</v>
      </c>
      <c r="O570" s="221">
        <v>0</v>
      </c>
      <c r="P570" s="212">
        <v>0</v>
      </c>
      <c r="Q570" s="221">
        <v>1</v>
      </c>
      <c r="R570" s="221">
        <v>5</v>
      </c>
      <c r="S570" s="221">
        <v>0</v>
      </c>
      <c r="T570" s="77"/>
      <c r="V570" s="49" t="str">
        <f t="shared" si="78"/>
        <v>0</v>
      </c>
      <c r="W570" s="49" t="str">
        <f t="shared" si="79"/>
        <v>0</v>
      </c>
      <c r="X570" s="49" t="str">
        <f t="shared" si="80"/>
        <v>0</v>
      </c>
      <c r="Y570" s="49">
        <f t="shared" si="81"/>
        <v>0</v>
      </c>
      <c r="Z570" s="49">
        <f t="shared" si="82"/>
        <v>0</v>
      </c>
      <c r="AA570" s="49">
        <f t="shared" si="83"/>
        <v>1</v>
      </c>
      <c r="AB570" s="49" t="str">
        <f t="shared" si="86"/>
        <v>101</v>
      </c>
      <c r="AC570" s="49">
        <f t="shared" si="84"/>
        <v>0</v>
      </c>
      <c r="AD570" s="49">
        <v>0</v>
      </c>
      <c r="AE570" s="49" t="str">
        <f t="shared" si="85"/>
        <v>32C00</v>
      </c>
    </row>
    <row r="571" spans="1:31" x14ac:dyDescent="0.15">
      <c r="A571" s="103" t="str">
        <f t="shared" si="77"/>
        <v>0</v>
      </c>
      <c r="B571" s="104">
        <v>569</v>
      </c>
      <c r="C571" s="213" t="s">
        <v>2458</v>
      </c>
      <c r="D571" s="257" t="s">
        <v>2687</v>
      </c>
      <c r="E571" s="258" t="s">
        <v>2615</v>
      </c>
      <c r="F571" s="259" t="s">
        <v>856</v>
      </c>
      <c r="G571" s="260">
        <v>202</v>
      </c>
      <c r="H571" s="261">
        <v>65535</v>
      </c>
      <c r="I571" s="261">
        <v>0</v>
      </c>
      <c r="J571" s="261">
        <v>0</v>
      </c>
      <c r="K571" s="261">
        <v>0</v>
      </c>
      <c r="L571" s="261" t="s">
        <v>859</v>
      </c>
      <c r="M571" s="261">
        <v>1</v>
      </c>
      <c r="N571" s="261" t="s">
        <v>1910</v>
      </c>
      <c r="O571" s="261">
        <v>0</v>
      </c>
      <c r="P571" s="261">
        <v>0</v>
      </c>
      <c r="Q571" s="261">
        <v>1</v>
      </c>
      <c r="R571" s="261">
        <v>5</v>
      </c>
      <c r="S571" s="261">
        <v>0</v>
      </c>
      <c r="T571" s="77"/>
      <c r="V571" s="49" t="str">
        <f t="shared" si="78"/>
        <v>0</v>
      </c>
      <c r="W571" s="49" t="str">
        <f t="shared" si="79"/>
        <v>0</v>
      </c>
      <c r="X571" s="49" t="str">
        <f t="shared" si="80"/>
        <v>0</v>
      </c>
      <c r="Y571" s="49">
        <f t="shared" si="81"/>
        <v>0</v>
      </c>
      <c r="Z571" s="49">
        <f t="shared" si="82"/>
        <v>0</v>
      </c>
      <c r="AA571" s="49">
        <f t="shared" si="83"/>
        <v>1</v>
      </c>
      <c r="AB571" s="49" t="str">
        <f t="shared" si="86"/>
        <v>101</v>
      </c>
      <c r="AC571" s="49">
        <f t="shared" si="84"/>
        <v>0</v>
      </c>
      <c r="AD571" s="49">
        <v>0</v>
      </c>
      <c r="AE571" s="49" t="str">
        <f t="shared" si="85"/>
        <v>32C00</v>
      </c>
    </row>
    <row r="572" spans="1:31" x14ac:dyDescent="0.15">
      <c r="A572" s="103" t="str">
        <f t="shared" si="77"/>
        <v>0</v>
      </c>
      <c r="B572" s="104">
        <v>570</v>
      </c>
      <c r="C572" s="213" t="s">
        <v>2459</v>
      </c>
      <c r="D572" s="211" t="s">
        <v>1027</v>
      </c>
      <c r="E572" s="214" t="s">
        <v>2460</v>
      </c>
      <c r="F572" s="215" t="s">
        <v>856</v>
      </c>
      <c r="G572" s="216">
        <v>0</v>
      </c>
      <c r="H572" s="217">
        <v>65535</v>
      </c>
      <c r="I572" s="213">
        <v>0</v>
      </c>
      <c r="J572" s="217">
        <v>0</v>
      </c>
      <c r="K572" s="217">
        <v>0</v>
      </c>
      <c r="L572" s="217" t="s">
        <v>859</v>
      </c>
      <c r="M572" s="217">
        <v>1</v>
      </c>
      <c r="N572" s="217" t="s">
        <v>1910</v>
      </c>
      <c r="O572" s="217">
        <v>0</v>
      </c>
      <c r="P572" s="213">
        <v>0</v>
      </c>
      <c r="Q572" s="217">
        <v>1</v>
      </c>
      <c r="R572" s="217">
        <v>5</v>
      </c>
      <c r="S572" s="217">
        <v>0</v>
      </c>
      <c r="T572" s="77"/>
      <c r="V572" s="49" t="str">
        <f t="shared" si="78"/>
        <v>0</v>
      </c>
      <c r="W572" s="49" t="str">
        <f t="shared" si="79"/>
        <v>0</v>
      </c>
      <c r="X572" s="49" t="str">
        <f t="shared" si="80"/>
        <v>0</v>
      </c>
      <c r="Y572" s="49">
        <f t="shared" si="81"/>
        <v>0</v>
      </c>
      <c r="Z572" s="49">
        <f t="shared" si="82"/>
        <v>0</v>
      </c>
      <c r="AA572" s="49">
        <f t="shared" si="83"/>
        <v>1</v>
      </c>
      <c r="AB572" s="49" t="str">
        <f t="shared" si="86"/>
        <v>101</v>
      </c>
      <c r="AC572" s="49">
        <f t="shared" si="84"/>
        <v>0</v>
      </c>
      <c r="AD572" s="49">
        <v>0</v>
      </c>
      <c r="AE572" s="49" t="str">
        <f t="shared" si="85"/>
        <v>32C00</v>
      </c>
    </row>
    <row r="573" spans="1:31" x14ac:dyDescent="0.15">
      <c r="A573" s="103" t="str">
        <f t="shared" si="77"/>
        <v>0</v>
      </c>
      <c r="B573" s="104">
        <v>571</v>
      </c>
      <c r="C573" s="213" t="s">
        <v>2461</v>
      </c>
      <c r="D573" s="211" t="s">
        <v>1027</v>
      </c>
      <c r="E573" s="214" t="s">
        <v>2462</v>
      </c>
      <c r="F573" s="215" t="s">
        <v>856</v>
      </c>
      <c r="G573" s="216">
        <v>0</v>
      </c>
      <c r="H573" s="217">
        <v>65535</v>
      </c>
      <c r="I573" s="213">
        <v>0</v>
      </c>
      <c r="J573" s="217">
        <v>0</v>
      </c>
      <c r="K573" s="217">
        <v>0</v>
      </c>
      <c r="L573" s="217" t="s">
        <v>859</v>
      </c>
      <c r="M573" s="217">
        <v>1</v>
      </c>
      <c r="N573" s="217" t="s">
        <v>1910</v>
      </c>
      <c r="O573" s="217">
        <v>0</v>
      </c>
      <c r="P573" s="213">
        <v>0</v>
      </c>
      <c r="Q573" s="217">
        <v>1</v>
      </c>
      <c r="R573" s="217">
        <v>5</v>
      </c>
      <c r="S573" s="217">
        <v>0</v>
      </c>
      <c r="T573" s="77"/>
      <c r="V573" s="49" t="str">
        <f t="shared" si="78"/>
        <v>0</v>
      </c>
      <c r="W573" s="49" t="str">
        <f t="shared" si="79"/>
        <v>0</v>
      </c>
      <c r="X573" s="49" t="str">
        <f t="shared" si="80"/>
        <v>0</v>
      </c>
      <c r="Y573" s="49">
        <f t="shared" si="81"/>
        <v>0</v>
      </c>
      <c r="Z573" s="49">
        <f t="shared" si="82"/>
        <v>0</v>
      </c>
      <c r="AA573" s="49">
        <f t="shared" si="83"/>
        <v>1</v>
      </c>
      <c r="AB573" s="49" t="str">
        <f t="shared" si="86"/>
        <v>101</v>
      </c>
      <c r="AC573" s="49">
        <f t="shared" si="84"/>
        <v>0</v>
      </c>
      <c r="AD573" s="49">
        <v>0</v>
      </c>
      <c r="AE573" s="49" t="str">
        <f t="shared" si="85"/>
        <v>32C00</v>
      </c>
    </row>
    <row r="574" spans="1:31" x14ac:dyDescent="0.15">
      <c r="A574" s="103" t="str">
        <f t="shared" si="77"/>
        <v>0</v>
      </c>
      <c r="B574" s="104">
        <v>572</v>
      </c>
      <c r="C574" s="213" t="s">
        <v>2463</v>
      </c>
      <c r="D574" s="211" t="s">
        <v>1027</v>
      </c>
      <c r="E574" s="214" t="s">
        <v>2464</v>
      </c>
      <c r="F574" s="215" t="s">
        <v>856</v>
      </c>
      <c r="G574" s="216">
        <v>0</v>
      </c>
      <c r="H574" s="217">
        <v>65535</v>
      </c>
      <c r="I574" s="213">
        <v>0</v>
      </c>
      <c r="J574" s="217">
        <v>0</v>
      </c>
      <c r="K574" s="217">
        <v>0</v>
      </c>
      <c r="L574" s="217" t="s">
        <v>859</v>
      </c>
      <c r="M574" s="217">
        <v>1</v>
      </c>
      <c r="N574" s="217" t="s">
        <v>1910</v>
      </c>
      <c r="O574" s="217">
        <v>0</v>
      </c>
      <c r="P574" s="213">
        <v>0</v>
      </c>
      <c r="Q574" s="217">
        <v>1</v>
      </c>
      <c r="R574" s="217">
        <v>5</v>
      </c>
      <c r="S574" s="217">
        <v>0</v>
      </c>
      <c r="T574" s="77"/>
      <c r="V574" s="49" t="str">
        <f t="shared" si="78"/>
        <v>0</v>
      </c>
      <c r="W574" s="49" t="str">
        <f t="shared" si="79"/>
        <v>0</v>
      </c>
      <c r="X574" s="49" t="str">
        <f t="shared" si="80"/>
        <v>0</v>
      </c>
      <c r="Y574" s="49">
        <f t="shared" si="81"/>
        <v>0</v>
      </c>
      <c r="Z574" s="49">
        <f t="shared" si="82"/>
        <v>0</v>
      </c>
      <c r="AA574" s="49">
        <f t="shared" si="83"/>
        <v>1</v>
      </c>
      <c r="AB574" s="49" t="str">
        <f t="shared" si="86"/>
        <v>101</v>
      </c>
      <c r="AC574" s="49">
        <f t="shared" si="84"/>
        <v>0</v>
      </c>
      <c r="AD574" s="49">
        <v>0</v>
      </c>
      <c r="AE574" s="49" t="str">
        <f t="shared" si="85"/>
        <v>32C00</v>
      </c>
    </row>
    <row r="575" spans="1:31" x14ac:dyDescent="0.15">
      <c r="A575" s="103" t="str">
        <f t="shared" si="77"/>
        <v>0</v>
      </c>
      <c r="B575" s="104">
        <v>573</v>
      </c>
      <c r="C575" s="213" t="s">
        <v>2465</v>
      </c>
      <c r="D575" s="211" t="s">
        <v>1027</v>
      </c>
      <c r="E575" s="214" t="s">
        <v>2466</v>
      </c>
      <c r="F575" s="215" t="s">
        <v>856</v>
      </c>
      <c r="G575" s="216">
        <v>0</v>
      </c>
      <c r="H575" s="217">
        <v>65535</v>
      </c>
      <c r="I575" s="213">
        <v>0</v>
      </c>
      <c r="J575" s="217">
        <v>0</v>
      </c>
      <c r="K575" s="217">
        <v>0</v>
      </c>
      <c r="L575" s="217" t="s">
        <v>859</v>
      </c>
      <c r="M575" s="217">
        <v>1</v>
      </c>
      <c r="N575" s="217" t="s">
        <v>1910</v>
      </c>
      <c r="O575" s="217">
        <v>0</v>
      </c>
      <c r="P575" s="213">
        <v>0</v>
      </c>
      <c r="Q575" s="217">
        <v>1</v>
      </c>
      <c r="R575" s="217">
        <v>5</v>
      </c>
      <c r="S575" s="217">
        <v>0</v>
      </c>
      <c r="T575" s="77"/>
      <c r="V575" s="49" t="str">
        <f t="shared" si="78"/>
        <v>0</v>
      </c>
      <c r="W575" s="49" t="str">
        <f t="shared" si="79"/>
        <v>0</v>
      </c>
      <c r="X575" s="49" t="str">
        <f t="shared" si="80"/>
        <v>0</v>
      </c>
      <c r="Y575" s="49">
        <f t="shared" si="81"/>
        <v>0</v>
      </c>
      <c r="Z575" s="49">
        <f t="shared" si="82"/>
        <v>0</v>
      </c>
      <c r="AA575" s="49">
        <f t="shared" si="83"/>
        <v>1</v>
      </c>
      <c r="AB575" s="49" t="str">
        <f t="shared" si="86"/>
        <v>101</v>
      </c>
      <c r="AC575" s="49">
        <f t="shared" si="84"/>
        <v>0</v>
      </c>
      <c r="AD575" s="49">
        <v>0</v>
      </c>
      <c r="AE575" s="49" t="str">
        <f t="shared" si="85"/>
        <v>32C00</v>
      </c>
    </row>
    <row r="576" spans="1:31" x14ac:dyDescent="0.15">
      <c r="A576" s="103" t="str">
        <f t="shared" si="77"/>
        <v>0</v>
      </c>
      <c r="B576" s="104">
        <v>574</v>
      </c>
      <c r="C576" s="213" t="s">
        <v>2467</v>
      </c>
      <c r="D576" s="211" t="s">
        <v>1027</v>
      </c>
      <c r="E576" s="214" t="s">
        <v>2468</v>
      </c>
      <c r="F576" s="215" t="s">
        <v>856</v>
      </c>
      <c r="G576" s="216">
        <v>0</v>
      </c>
      <c r="H576" s="217">
        <v>65535</v>
      </c>
      <c r="I576" s="213">
        <v>0</v>
      </c>
      <c r="J576" s="217">
        <v>0</v>
      </c>
      <c r="K576" s="217">
        <v>0</v>
      </c>
      <c r="L576" s="217" t="s">
        <v>859</v>
      </c>
      <c r="M576" s="217">
        <v>1</v>
      </c>
      <c r="N576" s="217" t="s">
        <v>1910</v>
      </c>
      <c r="O576" s="217">
        <v>0</v>
      </c>
      <c r="P576" s="213">
        <v>0</v>
      </c>
      <c r="Q576" s="217">
        <v>1</v>
      </c>
      <c r="R576" s="217">
        <v>5</v>
      </c>
      <c r="S576" s="217">
        <v>0</v>
      </c>
      <c r="T576" s="77"/>
      <c r="V576" s="49" t="str">
        <f t="shared" si="78"/>
        <v>0</v>
      </c>
      <c r="W576" s="49" t="str">
        <f t="shared" si="79"/>
        <v>0</v>
      </c>
      <c r="X576" s="49" t="str">
        <f t="shared" si="80"/>
        <v>0</v>
      </c>
      <c r="Y576" s="49">
        <f t="shared" si="81"/>
        <v>0</v>
      </c>
      <c r="Z576" s="49">
        <f t="shared" si="82"/>
        <v>0</v>
      </c>
      <c r="AA576" s="49">
        <f t="shared" si="83"/>
        <v>1</v>
      </c>
      <c r="AB576" s="49" t="str">
        <f t="shared" si="86"/>
        <v>101</v>
      </c>
      <c r="AC576" s="49">
        <f t="shared" si="84"/>
        <v>0</v>
      </c>
      <c r="AD576" s="49">
        <v>0</v>
      </c>
      <c r="AE576" s="49" t="str">
        <f t="shared" si="85"/>
        <v>32C00</v>
      </c>
    </row>
    <row r="577" spans="1:31" x14ac:dyDescent="0.15">
      <c r="A577" s="103" t="str">
        <f t="shared" si="77"/>
        <v>0</v>
      </c>
      <c r="B577" s="104">
        <v>575</v>
      </c>
      <c r="C577" s="213" t="s">
        <v>2469</v>
      </c>
      <c r="D577" s="211" t="s">
        <v>1027</v>
      </c>
      <c r="E577" s="214" t="s">
        <v>2470</v>
      </c>
      <c r="F577" s="215" t="s">
        <v>856</v>
      </c>
      <c r="G577" s="216">
        <v>0</v>
      </c>
      <c r="H577" s="217">
        <v>65535</v>
      </c>
      <c r="I577" s="213">
        <v>0</v>
      </c>
      <c r="J577" s="217">
        <v>0</v>
      </c>
      <c r="K577" s="217">
        <v>0</v>
      </c>
      <c r="L577" s="217" t="s">
        <v>859</v>
      </c>
      <c r="M577" s="217">
        <v>1</v>
      </c>
      <c r="N577" s="217" t="s">
        <v>1910</v>
      </c>
      <c r="O577" s="217">
        <v>0</v>
      </c>
      <c r="P577" s="213">
        <v>0</v>
      </c>
      <c r="Q577" s="217">
        <v>1</v>
      </c>
      <c r="R577" s="217">
        <v>5</v>
      </c>
      <c r="S577" s="217">
        <v>0</v>
      </c>
      <c r="T577" s="77"/>
      <c r="V577" s="49" t="str">
        <f t="shared" si="78"/>
        <v>0</v>
      </c>
      <c r="W577" s="49" t="str">
        <f t="shared" si="79"/>
        <v>0</v>
      </c>
      <c r="X577" s="49" t="str">
        <f t="shared" si="80"/>
        <v>0</v>
      </c>
      <c r="Y577" s="49">
        <f t="shared" si="81"/>
        <v>0</v>
      </c>
      <c r="Z577" s="49">
        <f t="shared" si="82"/>
        <v>0</v>
      </c>
      <c r="AA577" s="49">
        <f t="shared" si="83"/>
        <v>1</v>
      </c>
      <c r="AB577" s="49" t="str">
        <f t="shared" si="86"/>
        <v>101</v>
      </c>
      <c r="AC577" s="49">
        <f t="shared" si="84"/>
        <v>0</v>
      </c>
      <c r="AD577" s="49">
        <v>0</v>
      </c>
      <c r="AE577" s="49" t="str">
        <f t="shared" si="85"/>
        <v>32C00</v>
      </c>
    </row>
    <row r="578" spans="1:31" x14ac:dyDescent="0.15">
      <c r="A578" s="103" t="str">
        <f t="shared" si="77"/>
        <v>0</v>
      </c>
      <c r="B578" s="104">
        <v>576</v>
      </c>
      <c r="C578" s="213" t="s">
        <v>2471</v>
      </c>
      <c r="D578" s="211" t="s">
        <v>1027</v>
      </c>
      <c r="E578" s="214" t="s">
        <v>2472</v>
      </c>
      <c r="F578" s="215" t="s">
        <v>856</v>
      </c>
      <c r="G578" s="216">
        <v>0</v>
      </c>
      <c r="H578" s="217">
        <v>65535</v>
      </c>
      <c r="I578" s="213">
        <v>0</v>
      </c>
      <c r="J578" s="217">
        <v>0</v>
      </c>
      <c r="K578" s="217">
        <v>0</v>
      </c>
      <c r="L578" s="217" t="s">
        <v>859</v>
      </c>
      <c r="M578" s="217">
        <v>1</v>
      </c>
      <c r="N578" s="217" t="s">
        <v>1910</v>
      </c>
      <c r="O578" s="217">
        <v>0</v>
      </c>
      <c r="P578" s="213">
        <v>0</v>
      </c>
      <c r="Q578" s="217">
        <v>1</v>
      </c>
      <c r="R578" s="217">
        <v>5</v>
      </c>
      <c r="S578" s="217">
        <v>0</v>
      </c>
      <c r="T578" s="77"/>
      <c r="V578" s="49" t="str">
        <f t="shared" si="78"/>
        <v>0</v>
      </c>
      <c r="W578" s="49" t="str">
        <f t="shared" si="79"/>
        <v>0</v>
      </c>
      <c r="X578" s="49" t="str">
        <f t="shared" si="80"/>
        <v>0</v>
      </c>
      <c r="Y578" s="49">
        <f t="shared" si="81"/>
        <v>0</v>
      </c>
      <c r="Z578" s="49">
        <f t="shared" si="82"/>
        <v>0</v>
      </c>
      <c r="AA578" s="49">
        <f t="shared" si="83"/>
        <v>1</v>
      </c>
      <c r="AB578" s="49" t="str">
        <f t="shared" si="86"/>
        <v>101</v>
      </c>
      <c r="AC578" s="49">
        <f t="shared" si="84"/>
        <v>0</v>
      </c>
      <c r="AD578" s="49">
        <v>0</v>
      </c>
      <c r="AE578" s="49" t="str">
        <f t="shared" si="85"/>
        <v>32C00</v>
      </c>
    </row>
    <row r="579" spans="1:31" x14ac:dyDescent="0.15">
      <c r="A579" s="42" t="str">
        <f t="shared" si="77"/>
        <v>0</v>
      </c>
      <c r="B579" s="43">
        <v>577</v>
      </c>
      <c r="C579" s="213" t="s">
        <v>2473</v>
      </c>
      <c r="D579" s="211" t="s">
        <v>1027</v>
      </c>
      <c r="E579" s="214" t="s">
        <v>2474</v>
      </c>
      <c r="F579" s="215" t="s">
        <v>856</v>
      </c>
      <c r="G579" s="216">
        <v>0</v>
      </c>
      <c r="H579" s="217">
        <v>65535</v>
      </c>
      <c r="I579" s="213">
        <v>0</v>
      </c>
      <c r="J579" s="217">
        <v>0</v>
      </c>
      <c r="K579" s="217">
        <v>0</v>
      </c>
      <c r="L579" s="217" t="s">
        <v>859</v>
      </c>
      <c r="M579" s="217">
        <v>1</v>
      </c>
      <c r="N579" s="217" t="s">
        <v>1910</v>
      </c>
      <c r="O579" s="217">
        <v>0</v>
      </c>
      <c r="P579" s="213">
        <v>0</v>
      </c>
      <c r="Q579" s="217">
        <v>1</v>
      </c>
      <c r="R579" s="217">
        <v>5</v>
      </c>
      <c r="S579" s="217">
        <v>0</v>
      </c>
      <c r="T579" s="77"/>
      <c r="V579" s="49" t="str">
        <f t="shared" si="78"/>
        <v>0</v>
      </c>
      <c r="W579" s="49" t="str">
        <f t="shared" si="79"/>
        <v>0</v>
      </c>
      <c r="X579" s="49" t="str">
        <f t="shared" si="80"/>
        <v>0</v>
      </c>
      <c r="Y579" s="49">
        <f t="shared" si="81"/>
        <v>0</v>
      </c>
      <c r="Z579" s="49">
        <f t="shared" si="82"/>
        <v>0</v>
      </c>
      <c r="AA579" s="49">
        <f t="shared" si="83"/>
        <v>1</v>
      </c>
      <c r="AB579" s="49" t="str">
        <f t="shared" si="86"/>
        <v>101</v>
      </c>
      <c r="AC579" s="49">
        <f t="shared" si="84"/>
        <v>0</v>
      </c>
      <c r="AD579" s="49">
        <v>0</v>
      </c>
      <c r="AE579" s="49" t="str">
        <f t="shared" si="85"/>
        <v>32C00</v>
      </c>
    </row>
    <row r="580" spans="1:31" x14ac:dyDescent="0.15">
      <c r="A580" s="42" t="str">
        <f t="shared" ref="A580:A643" si="87">DEC2HEX(AH580)</f>
        <v>0</v>
      </c>
      <c r="B580" s="43">
        <v>578</v>
      </c>
      <c r="C580" s="213" t="s">
        <v>2475</v>
      </c>
      <c r="D580" s="211" t="s">
        <v>1027</v>
      </c>
      <c r="E580" s="214" t="s">
        <v>2476</v>
      </c>
      <c r="F580" s="215" t="s">
        <v>856</v>
      </c>
      <c r="G580" s="216">
        <v>0</v>
      </c>
      <c r="H580" s="217">
        <v>65535</v>
      </c>
      <c r="I580" s="213">
        <v>0</v>
      </c>
      <c r="J580" s="217">
        <v>0</v>
      </c>
      <c r="K580" s="217">
        <v>0</v>
      </c>
      <c r="L580" s="217" t="s">
        <v>859</v>
      </c>
      <c r="M580" s="217">
        <v>1</v>
      </c>
      <c r="N580" s="217" t="s">
        <v>1910</v>
      </c>
      <c r="O580" s="217">
        <v>0</v>
      </c>
      <c r="P580" s="213">
        <v>0</v>
      </c>
      <c r="Q580" s="217">
        <v>1</v>
      </c>
      <c r="R580" s="217">
        <v>5</v>
      </c>
      <c r="S580" s="217">
        <v>0</v>
      </c>
      <c r="T580" s="77"/>
      <c r="V580" s="49" t="str">
        <f t="shared" si="78"/>
        <v>0</v>
      </c>
      <c r="W580" s="49" t="str">
        <f t="shared" si="79"/>
        <v>0</v>
      </c>
      <c r="X580" s="49" t="str">
        <f t="shared" si="80"/>
        <v>0</v>
      </c>
      <c r="Y580" s="49">
        <f t="shared" si="81"/>
        <v>0</v>
      </c>
      <c r="Z580" s="49">
        <f t="shared" si="82"/>
        <v>0</v>
      </c>
      <c r="AA580" s="49">
        <f t="shared" si="83"/>
        <v>1</v>
      </c>
      <c r="AB580" s="49" t="str">
        <f t="shared" si="86"/>
        <v>101</v>
      </c>
      <c r="AC580" s="49">
        <f t="shared" si="84"/>
        <v>0</v>
      </c>
      <c r="AD580" s="49">
        <v>0</v>
      </c>
      <c r="AE580" s="49" t="str">
        <f t="shared" si="85"/>
        <v>32C00</v>
      </c>
    </row>
    <row r="581" spans="1:31" x14ac:dyDescent="0.15">
      <c r="A581" s="42" t="str">
        <f t="shared" si="87"/>
        <v>0</v>
      </c>
      <c r="B581" s="43">
        <v>579</v>
      </c>
      <c r="C581" s="213" t="s">
        <v>2477</v>
      </c>
      <c r="D581" s="211" t="s">
        <v>1027</v>
      </c>
      <c r="E581" s="214" t="s">
        <v>2478</v>
      </c>
      <c r="F581" s="215" t="s">
        <v>856</v>
      </c>
      <c r="G581" s="216">
        <v>0</v>
      </c>
      <c r="H581" s="217">
        <v>65535</v>
      </c>
      <c r="I581" s="213">
        <v>0</v>
      </c>
      <c r="J581" s="217">
        <v>0</v>
      </c>
      <c r="K581" s="217">
        <v>0</v>
      </c>
      <c r="L581" s="217" t="s">
        <v>859</v>
      </c>
      <c r="M581" s="217">
        <v>1</v>
      </c>
      <c r="N581" s="217" t="s">
        <v>1910</v>
      </c>
      <c r="O581" s="217">
        <v>0</v>
      </c>
      <c r="P581" s="213">
        <v>0</v>
      </c>
      <c r="Q581" s="217">
        <v>1</v>
      </c>
      <c r="R581" s="217">
        <v>5</v>
      </c>
      <c r="S581" s="217">
        <v>0</v>
      </c>
      <c r="T581" s="77"/>
      <c r="V581" s="49" t="str">
        <f t="shared" si="78"/>
        <v>0</v>
      </c>
      <c r="W581" s="49" t="str">
        <f t="shared" si="79"/>
        <v>0</v>
      </c>
      <c r="X581" s="49" t="str">
        <f t="shared" si="80"/>
        <v>0</v>
      </c>
      <c r="Y581" s="49">
        <f t="shared" si="81"/>
        <v>0</v>
      </c>
      <c r="Z581" s="49">
        <f t="shared" si="82"/>
        <v>0</v>
      </c>
      <c r="AA581" s="49">
        <f t="shared" si="83"/>
        <v>1</v>
      </c>
      <c r="AB581" s="49" t="str">
        <f t="shared" si="86"/>
        <v>101</v>
      </c>
      <c r="AC581" s="49">
        <f t="shared" si="84"/>
        <v>0</v>
      </c>
      <c r="AD581" s="49">
        <v>0</v>
      </c>
      <c r="AE581" s="49" t="str">
        <f t="shared" si="85"/>
        <v>32C00</v>
      </c>
    </row>
    <row r="582" spans="1:31" x14ac:dyDescent="0.15">
      <c r="A582" s="42" t="str">
        <f t="shared" si="87"/>
        <v>0</v>
      </c>
      <c r="B582" s="43">
        <v>580</v>
      </c>
      <c r="C582" s="213" t="s">
        <v>2479</v>
      </c>
      <c r="D582" s="211" t="s">
        <v>1027</v>
      </c>
      <c r="E582" s="214" t="s">
        <v>2480</v>
      </c>
      <c r="F582" s="215" t="s">
        <v>856</v>
      </c>
      <c r="G582" s="216">
        <v>0</v>
      </c>
      <c r="H582" s="217">
        <v>65535</v>
      </c>
      <c r="I582" s="213">
        <v>0</v>
      </c>
      <c r="J582" s="217">
        <v>0</v>
      </c>
      <c r="K582" s="217">
        <v>0</v>
      </c>
      <c r="L582" s="217" t="s">
        <v>859</v>
      </c>
      <c r="M582" s="217">
        <v>1</v>
      </c>
      <c r="N582" s="217" t="s">
        <v>1910</v>
      </c>
      <c r="O582" s="217">
        <v>0</v>
      </c>
      <c r="P582" s="213">
        <v>0</v>
      </c>
      <c r="Q582" s="217">
        <v>1</v>
      </c>
      <c r="R582" s="217">
        <v>5</v>
      </c>
      <c r="S582" s="217">
        <v>0</v>
      </c>
      <c r="T582" s="77"/>
      <c r="V582" s="49" t="str">
        <f t="shared" si="78"/>
        <v>0</v>
      </c>
      <c r="W582" s="49" t="str">
        <f t="shared" si="79"/>
        <v>0</v>
      </c>
      <c r="X582" s="49" t="str">
        <f t="shared" si="80"/>
        <v>0</v>
      </c>
      <c r="Y582" s="49">
        <f t="shared" si="81"/>
        <v>0</v>
      </c>
      <c r="Z582" s="49">
        <f t="shared" si="82"/>
        <v>0</v>
      </c>
      <c r="AA582" s="49">
        <f t="shared" si="83"/>
        <v>1</v>
      </c>
      <c r="AB582" s="49" t="str">
        <f t="shared" si="86"/>
        <v>101</v>
      </c>
      <c r="AC582" s="49">
        <f t="shared" si="84"/>
        <v>0</v>
      </c>
      <c r="AD582" s="49">
        <v>0</v>
      </c>
      <c r="AE582" s="49" t="str">
        <f t="shared" si="85"/>
        <v>32C00</v>
      </c>
    </row>
    <row r="583" spans="1:31" s="164" customFormat="1" x14ac:dyDescent="0.15">
      <c r="A583" s="162" t="str">
        <f t="shared" si="87"/>
        <v>0</v>
      </c>
      <c r="B583" s="163">
        <v>581</v>
      </c>
      <c r="C583" s="213" t="s">
        <v>2481</v>
      </c>
      <c r="D583" s="211" t="s">
        <v>1027</v>
      </c>
      <c r="E583" s="214" t="s">
        <v>2482</v>
      </c>
      <c r="F583" s="215" t="s">
        <v>856</v>
      </c>
      <c r="G583" s="216">
        <v>0</v>
      </c>
      <c r="H583" s="217">
        <v>65535</v>
      </c>
      <c r="I583" s="213">
        <v>0</v>
      </c>
      <c r="J583" s="217">
        <v>0</v>
      </c>
      <c r="K583" s="217">
        <v>0</v>
      </c>
      <c r="L583" s="217" t="s">
        <v>859</v>
      </c>
      <c r="M583" s="217">
        <v>1</v>
      </c>
      <c r="N583" s="217" t="s">
        <v>1910</v>
      </c>
      <c r="O583" s="217">
        <v>0</v>
      </c>
      <c r="P583" s="213">
        <v>0</v>
      </c>
      <c r="Q583" s="217">
        <v>1</v>
      </c>
      <c r="R583" s="217">
        <v>5</v>
      </c>
      <c r="S583" s="217">
        <v>0</v>
      </c>
      <c r="T583" s="161"/>
      <c r="V583" s="164" t="str">
        <f t="shared" si="78"/>
        <v>0</v>
      </c>
      <c r="W583" s="164" t="str">
        <f t="shared" si="79"/>
        <v>0</v>
      </c>
      <c r="X583" s="164" t="str">
        <f t="shared" si="80"/>
        <v>0</v>
      </c>
      <c r="Y583" s="164">
        <f t="shared" si="81"/>
        <v>0</v>
      </c>
      <c r="Z583" s="164">
        <f t="shared" si="82"/>
        <v>0</v>
      </c>
      <c r="AA583" s="164">
        <f t="shared" si="83"/>
        <v>1</v>
      </c>
      <c r="AB583" s="164" t="str">
        <f t="shared" si="86"/>
        <v>101</v>
      </c>
      <c r="AC583" s="164">
        <f t="shared" si="84"/>
        <v>0</v>
      </c>
      <c r="AD583" s="164">
        <v>0</v>
      </c>
      <c r="AE583" s="164" t="str">
        <f t="shared" si="85"/>
        <v>32C00</v>
      </c>
    </row>
    <row r="584" spans="1:31" x14ac:dyDescent="0.15">
      <c r="A584" s="42" t="str">
        <f t="shared" si="87"/>
        <v>0</v>
      </c>
      <c r="B584" s="43">
        <v>582</v>
      </c>
      <c r="C584" s="213" t="s">
        <v>2483</v>
      </c>
      <c r="D584" s="211" t="s">
        <v>1027</v>
      </c>
      <c r="E584" s="214" t="s">
        <v>2484</v>
      </c>
      <c r="F584" s="215" t="s">
        <v>856</v>
      </c>
      <c r="G584" s="216">
        <v>0</v>
      </c>
      <c r="H584" s="217">
        <v>65535</v>
      </c>
      <c r="I584" s="213">
        <v>0</v>
      </c>
      <c r="J584" s="217">
        <v>0</v>
      </c>
      <c r="K584" s="217">
        <v>0</v>
      </c>
      <c r="L584" s="217" t="s">
        <v>859</v>
      </c>
      <c r="M584" s="217">
        <v>1</v>
      </c>
      <c r="N584" s="217" t="s">
        <v>1910</v>
      </c>
      <c r="O584" s="217">
        <v>0</v>
      </c>
      <c r="P584" s="213">
        <v>0</v>
      </c>
      <c r="Q584" s="217">
        <v>1</v>
      </c>
      <c r="R584" s="217">
        <v>5</v>
      </c>
      <c r="S584" s="217">
        <v>0</v>
      </c>
      <c r="T584" s="77"/>
      <c r="V584" s="49" t="str">
        <f t="shared" si="78"/>
        <v>0</v>
      </c>
      <c r="W584" s="49" t="str">
        <f t="shared" si="79"/>
        <v>0</v>
      </c>
      <c r="X584" s="49" t="str">
        <f t="shared" si="80"/>
        <v>0</v>
      </c>
      <c r="Y584" s="49">
        <f t="shared" si="81"/>
        <v>0</v>
      </c>
      <c r="Z584" s="49">
        <f t="shared" si="82"/>
        <v>0</v>
      </c>
      <c r="AA584" s="49">
        <f t="shared" si="83"/>
        <v>1</v>
      </c>
      <c r="AB584" s="49" t="str">
        <f t="shared" si="86"/>
        <v>101</v>
      </c>
      <c r="AC584" s="49">
        <f t="shared" si="84"/>
        <v>0</v>
      </c>
      <c r="AD584" s="49">
        <v>0</v>
      </c>
      <c r="AE584" s="49" t="str">
        <f t="shared" si="85"/>
        <v>32C00</v>
      </c>
    </row>
    <row r="585" spans="1:31" x14ac:dyDescent="0.15">
      <c r="A585" s="42" t="str">
        <f t="shared" si="87"/>
        <v>0</v>
      </c>
      <c r="B585" s="43">
        <v>583</v>
      </c>
      <c r="C585" s="213" t="s">
        <v>2485</v>
      </c>
      <c r="D585" s="211" t="s">
        <v>1027</v>
      </c>
      <c r="E585" s="214" t="s">
        <v>2486</v>
      </c>
      <c r="F585" s="215" t="s">
        <v>856</v>
      </c>
      <c r="G585" s="216">
        <v>0</v>
      </c>
      <c r="H585" s="217">
        <v>65535</v>
      </c>
      <c r="I585" s="213">
        <v>0</v>
      </c>
      <c r="J585" s="217">
        <v>0</v>
      </c>
      <c r="K585" s="217">
        <v>0</v>
      </c>
      <c r="L585" s="217" t="s">
        <v>859</v>
      </c>
      <c r="M585" s="217">
        <v>1</v>
      </c>
      <c r="N585" s="217" t="s">
        <v>1910</v>
      </c>
      <c r="O585" s="217">
        <v>0</v>
      </c>
      <c r="P585" s="213">
        <v>0</v>
      </c>
      <c r="Q585" s="217">
        <v>1</v>
      </c>
      <c r="R585" s="217">
        <v>5</v>
      </c>
      <c r="S585" s="217">
        <v>0</v>
      </c>
      <c r="T585" s="77"/>
      <c r="V585" s="49" t="str">
        <f t="shared" si="78"/>
        <v>0</v>
      </c>
      <c r="W585" s="49" t="str">
        <f t="shared" si="79"/>
        <v>0</v>
      </c>
      <c r="X585" s="49" t="str">
        <f t="shared" si="80"/>
        <v>0</v>
      </c>
      <c r="Y585" s="49">
        <f t="shared" si="81"/>
        <v>0</v>
      </c>
      <c r="Z585" s="49">
        <f t="shared" si="82"/>
        <v>0</v>
      </c>
      <c r="AA585" s="49">
        <f t="shared" si="83"/>
        <v>1</v>
      </c>
      <c r="AB585" s="49" t="str">
        <f t="shared" si="86"/>
        <v>101</v>
      </c>
      <c r="AC585" s="49">
        <f t="shared" si="84"/>
        <v>0</v>
      </c>
      <c r="AD585" s="49">
        <v>0</v>
      </c>
      <c r="AE585" s="49" t="str">
        <f t="shared" si="85"/>
        <v>32C00</v>
      </c>
    </row>
    <row r="586" spans="1:31" x14ac:dyDescent="0.15">
      <c r="A586" s="42" t="str">
        <f t="shared" si="87"/>
        <v>0</v>
      </c>
      <c r="B586" s="43">
        <v>584</v>
      </c>
      <c r="C586" s="213" t="s">
        <v>2487</v>
      </c>
      <c r="D586" s="211" t="s">
        <v>1027</v>
      </c>
      <c r="E586" s="214" t="s">
        <v>2488</v>
      </c>
      <c r="F586" s="215" t="s">
        <v>856</v>
      </c>
      <c r="G586" s="216">
        <v>0</v>
      </c>
      <c r="H586" s="217">
        <v>65535</v>
      </c>
      <c r="I586" s="213">
        <v>0</v>
      </c>
      <c r="J586" s="217">
        <v>0</v>
      </c>
      <c r="K586" s="217">
        <v>0</v>
      </c>
      <c r="L586" s="217" t="s">
        <v>859</v>
      </c>
      <c r="M586" s="217">
        <v>1</v>
      </c>
      <c r="N586" s="217" t="s">
        <v>1910</v>
      </c>
      <c r="O586" s="217">
        <v>0</v>
      </c>
      <c r="P586" s="213">
        <v>0</v>
      </c>
      <c r="Q586" s="217">
        <v>1</v>
      </c>
      <c r="R586" s="217">
        <v>5</v>
      </c>
      <c r="S586" s="217">
        <v>0</v>
      </c>
      <c r="T586" s="77"/>
      <c r="V586" s="49" t="str">
        <f t="shared" si="78"/>
        <v>0</v>
      </c>
      <c r="W586" s="49" t="str">
        <f t="shared" si="79"/>
        <v>0</v>
      </c>
      <c r="X586" s="49" t="str">
        <f t="shared" si="80"/>
        <v>0</v>
      </c>
      <c r="Y586" s="49">
        <f t="shared" si="81"/>
        <v>0</v>
      </c>
      <c r="Z586" s="49">
        <f t="shared" si="82"/>
        <v>0</v>
      </c>
      <c r="AA586" s="49">
        <f t="shared" si="83"/>
        <v>1</v>
      </c>
      <c r="AB586" s="49" t="str">
        <f t="shared" si="86"/>
        <v>101</v>
      </c>
      <c r="AC586" s="49">
        <f t="shared" si="84"/>
        <v>0</v>
      </c>
      <c r="AD586" s="49">
        <v>0</v>
      </c>
      <c r="AE586" s="49" t="str">
        <f t="shared" si="85"/>
        <v>32C00</v>
      </c>
    </row>
    <row r="587" spans="1:31" x14ac:dyDescent="0.15">
      <c r="A587" s="42" t="str">
        <f t="shared" si="87"/>
        <v>0</v>
      </c>
      <c r="B587" s="43">
        <v>585</v>
      </c>
      <c r="C587" s="213" t="s">
        <v>2489</v>
      </c>
      <c r="D587" s="211" t="s">
        <v>1027</v>
      </c>
      <c r="E587" s="214" t="s">
        <v>2490</v>
      </c>
      <c r="F587" s="215" t="s">
        <v>856</v>
      </c>
      <c r="G587" s="216">
        <v>0</v>
      </c>
      <c r="H587" s="217">
        <v>65535</v>
      </c>
      <c r="I587" s="213">
        <v>0</v>
      </c>
      <c r="J587" s="217">
        <v>0</v>
      </c>
      <c r="K587" s="217">
        <v>0</v>
      </c>
      <c r="L587" s="217" t="s">
        <v>859</v>
      </c>
      <c r="M587" s="217">
        <v>1</v>
      </c>
      <c r="N587" s="217" t="s">
        <v>1910</v>
      </c>
      <c r="O587" s="217">
        <v>0</v>
      </c>
      <c r="P587" s="213">
        <v>0</v>
      </c>
      <c r="Q587" s="217">
        <v>1</v>
      </c>
      <c r="R587" s="217">
        <v>5</v>
      </c>
      <c r="S587" s="217">
        <v>0</v>
      </c>
      <c r="T587" s="77"/>
      <c r="V587" s="49" t="str">
        <f t="shared" ref="V587:V650" si="88">IF(L587="△",DEC2BIN(0),IF(L587="×",DEC2BIN(1),IF(L587="◎",DEC2BIN(2),DEC2BIN(3))))</f>
        <v>0</v>
      </c>
      <c r="W587" s="49" t="str">
        <f t="shared" ref="W587:W650" si="89">IF(M587=1,DEC2BIN(0),IF(M587=0.1,DEC2BIN(1),IF(M587=0.01,DEC2BIN(2),DEC2BIN(3))))</f>
        <v>0</v>
      </c>
      <c r="X587" s="49" t="str">
        <f t="shared" ref="X587:X650" si="90">LOOKUP(N587,$AG$2:$AG$17,$AH$2:$AH$17)</f>
        <v>0</v>
      </c>
      <c r="Y587" s="49">
        <f t="shared" ref="Y587:Z650" si="91">O587</f>
        <v>0</v>
      </c>
      <c r="Z587" s="49">
        <f t="shared" si="91"/>
        <v>0</v>
      </c>
      <c r="AA587" s="49">
        <f t="shared" ref="AA587:AA650" si="92">Q587</f>
        <v>1</v>
      </c>
      <c r="AB587" s="49" t="str">
        <f t="shared" si="86"/>
        <v>101</v>
      </c>
      <c r="AC587" s="49">
        <f t="shared" ref="AC587:AC650" si="93">S587</f>
        <v>0</v>
      </c>
      <c r="AD587" s="49">
        <v>0</v>
      </c>
      <c r="AE587" s="49" t="str">
        <f t="shared" ref="AE587:AE650" si="94">DEC2HEX(V587+W587*4+X587*16+Y587*256+Z587*512+AA587*1024+AB587*2048+AC587*16384)</f>
        <v>32C00</v>
      </c>
    </row>
    <row r="588" spans="1:31" x14ac:dyDescent="0.15">
      <c r="A588" s="42" t="str">
        <f t="shared" si="87"/>
        <v>0</v>
      </c>
      <c r="B588" s="43">
        <v>586</v>
      </c>
      <c r="C588" s="213" t="s">
        <v>2491</v>
      </c>
      <c r="D588" s="211" t="s">
        <v>1027</v>
      </c>
      <c r="E588" s="214" t="s">
        <v>2492</v>
      </c>
      <c r="F588" s="215" t="s">
        <v>856</v>
      </c>
      <c r="G588" s="216">
        <v>0</v>
      </c>
      <c r="H588" s="217">
        <v>65535</v>
      </c>
      <c r="I588" s="213">
        <v>0</v>
      </c>
      <c r="J588" s="217">
        <v>0</v>
      </c>
      <c r="K588" s="217">
        <v>0</v>
      </c>
      <c r="L588" s="217" t="s">
        <v>859</v>
      </c>
      <c r="M588" s="217">
        <v>1</v>
      </c>
      <c r="N588" s="217" t="s">
        <v>1910</v>
      </c>
      <c r="O588" s="217">
        <v>0</v>
      </c>
      <c r="P588" s="213">
        <v>0</v>
      </c>
      <c r="Q588" s="217">
        <v>1</v>
      </c>
      <c r="R588" s="217">
        <v>5</v>
      </c>
      <c r="S588" s="217">
        <v>0</v>
      </c>
      <c r="T588" s="77"/>
      <c r="V588" s="49" t="str">
        <f t="shared" si="88"/>
        <v>0</v>
      </c>
      <c r="W588" s="49" t="str">
        <f t="shared" si="89"/>
        <v>0</v>
      </c>
      <c r="X588" s="49" t="str">
        <f t="shared" si="90"/>
        <v>0</v>
      </c>
      <c r="Y588" s="49">
        <f t="shared" si="91"/>
        <v>0</v>
      </c>
      <c r="Z588" s="49">
        <f t="shared" si="91"/>
        <v>0</v>
      </c>
      <c r="AA588" s="49">
        <f t="shared" si="92"/>
        <v>1</v>
      </c>
      <c r="AB588" s="49" t="str">
        <f t="shared" ref="AB588:AB651" si="95">DEC2BIN(R588)</f>
        <v>101</v>
      </c>
      <c r="AC588" s="49">
        <f t="shared" si="93"/>
        <v>0</v>
      </c>
      <c r="AD588" s="49">
        <v>0</v>
      </c>
      <c r="AE588" s="49" t="str">
        <f t="shared" si="94"/>
        <v>32C00</v>
      </c>
    </row>
    <row r="589" spans="1:31" x14ac:dyDescent="0.15">
      <c r="A589" s="42" t="str">
        <f t="shared" si="87"/>
        <v>0</v>
      </c>
      <c r="B589" s="43">
        <v>587</v>
      </c>
      <c r="C589" s="213" t="s">
        <v>2493</v>
      </c>
      <c r="D589" s="211" t="s">
        <v>1027</v>
      </c>
      <c r="E589" s="214" t="s">
        <v>2494</v>
      </c>
      <c r="F589" s="215" t="s">
        <v>856</v>
      </c>
      <c r="G589" s="216">
        <v>0</v>
      </c>
      <c r="H589" s="217">
        <v>65535</v>
      </c>
      <c r="I589" s="213">
        <v>0</v>
      </c>
      <c r="J589" s="217">
        <v>0</v>
      </c>
      <c r="K589" s="217">
        <v>0</v>
      </c>
      <c r="L589" s="217" t="s">
        <v>859</v>
      </c>
      <c r="M589" s="217">
        <v>1</v>
      </c>
      <c r="N589" s="217" t="s">
        <v>1910</v>
      </c>
      <c r="O589" s="217">
        <v>0</v>
      </c>
      <c r="P589" s="213">
        <v>0</v>
      </c>
      <c r="Q589" s="217">
        <v>1</v>
      </c>
      <c r="R589" s="217">
        <v>5</v>
      </c>
      <c r="S589" s="217">
        <v>0</v>
      </c>
      <c r="T589" s="77"/>
      <c r="V589" s="49" t="str">
        <f t="shared" si="88"/>
        <v>0</v>
      </c>
      <c r="W589" s="49" t="str">
        <f t="shared" si="89"/>
        <v>0</v>
      </c>
      <c r="X589" s="49" t="str">
        <f t="shared" si="90"/>
        <v>0</v>
      </c>
      <c r="Y589" s="49">
        <f t="shared" si="91"/>
        <v>0</v>
      </c>
      <c r="Z589" s="49">
        <f t="shared" si="91"/>
        <v>0</v>
      </c>
      <c r="AA589" s="49">
        <f t="shared" si="92"/>
        <v>1</v>
      </c>
      <c r="AB589" s="49" t="str">
        <f t="shared" si="95"/>
        <v>101</v>
      </c>
      <c r="AC589" s="49">
        <f t="shared" si="93"/>
        <v>0</v>
      </c>
      <c r="AD589" s="49">
        <v>0</v>
      </c>
      <c r="AE589" s="49" t="str">
        <f t="shared" si="94"/>
        <v>32C00</v>
      </c>
    </row>
    <row r="590" spans="1:31" x14ac:dyDescent="0.15">
      <c r="A590" s="42" t="str">
        <f t="shared" si="87"/>
        <v>0</v>
      </c>
      <c r="B590" s="43">
        <v>588</v>
      </c>
      <c r="C590" s="213" t="s">
        <v>2495</v>
      </c>
      <c r="D590" s="211" t="s">
        <v>1027</v>
      </c>
      <c r="E590" s="214" t="s">
        <v>2496</v>
      </c>
      <c r="F590" s="215" t="s">
        <v>856</v>
      </c>
      <c r="G590" s="216">
        <v>0</v>
      </c>
      <c r="H590" s="217">
        <v>65535</v>
      </c>
      <c r="I590" s="213">
        <v>0</v>
      </c>
      <c r="J590" s="217">
        <v>0</v>
      </c>
      <c r="K590" s="217">
        <v>0</v>
      </c>
      <c r="L590" s="217" t="s">
        <v>859</v>
      </c>
      <c r="M590" s="217">
        <v>1</v>
      </c>
      <c r="N590" s="217" t="s">
        <v>1910</v>
      </c>
      <c r="O590" s="217">
        <v>0</v>
      </c>
      <c r="P590" s="213">
        <v>0</v>
      </c>
      <c r="Q590" s="217">
        <v>1</v>
      </c>
      <c r="R590" s="217">
        <v>5</v>
      </c>
      <c r="S590" s="217">
        <v>0</v>
      </c>
      <c r="T590" s="77"/>
      <c r="V590" s="49" t="str">
        <f t="shared" si="88"/>
        <v>0</v>
      </c>
      <c r="W590" s="49" t="str">
        <f t="shared" si="89"/>
        <v>0</v>
      </c>
      <c r="X590" s="49" t="str">
        <f t="shared" si="90"/>
        <v>0</v>
      </c>
      <c r="Y590" s="49">
        <f t="shared" si="91"/>
        <v>0</v>
      </c>
      <c r="Z590" s="49">
        <f t="shared" si="91"/>
        <v>0</v>
      </c>
      <c r="AA590" s="49">
        <f t="shared" si="92"/>
        <v>1</v>
      </c>
      <c r="AB590" s="49" t="str">
        <f t="shared" si="95"/>
        <v>101</v>
      </c>
      <c r="AC590" s="49">
        <f t="shared" si="93"/>
        <v>0</v>
      </c>
      <c r="AD590" s="49">
        <v>0</v>
      </c>
      <c r="AE590" s="49" t="str">
        <f t="shared" si="94"/>
        <v>32C00</v>
      </c>
    </row>
    <row r="591" spans="1:31" x14ac:dyDescent="0.15">
      <c r="A591" s="42" t="str">
        <f t="shared" si="87"/>
        <v>0</v>
      </c>
      <c r="B591" s="43">
        <v>589</v>
      </c>
      <c r="C591" s="213" t="s">
        <v>2497</v>
      </c>
      <c r="D591" s="211" t="s">
        <v>1027</v>
      </c>
      <c r="E591" s="214" t="s">
        <v>2498</v>
      </c>
      <c r="F591" s="215" t="s">
        <v>856</v>
      </c>
      <c r="G591" s="216">
        <v>0</v>
      </c>
      <c r="H591" s="217">
        <v>65535</v>
      </c>
      <c r="I591" s="213">
        <v>0</v>
      </c>
      <c r="J591" s="217">
        <v>0</v>
      </c>
      <c r="K591" s="217">
        <v>0</v>
      </c>
      <c r="L591" s="217" t="s">
        <v>859</v>
      </c>
      <c r="M591" s="217">
        <v>1</v>
      </c>
      <c r="N591" s="217" t="s">
        <v>1910</v>
      </c>
      <c r="O591" s="217">
        <v>0</v>
      </c>
      <c r="P591" s="213">
        <v>0</v>
      </c>
      <c r="Q591" s="217">
        <v>1</v>
      </c>
      <c r="R591" s="217">
        <v>5</v>
      </c>
      <c r="S591" s="217">
        <v>0</v>
      </c>
      <c r="T591" s="53"/>
      <c r="V591" s="49" t="str">
        <f t="shared" si="88"/>
        <v>0</v>
      </c>
      <c r="W591" s="49" t="str">
        <f t="shared" si="89"/>
        <v>0</v>
      </c>
      <c r="X591" s="49" t="str">
        <f t="shared" si="90"/>
        <v>0</v>
      </c>
      <c r="Y591" s="49">
        <f t="shared" si="91"/>
        <v>0</v>
      </c>
      <c r="Z591" s="49">
        <f t="shared" si="91"/>
        <v>0</v>
      </c>
      <c r="AA591" s="49">
        <f t="shared" si="92"/>
        <v>1</v>
      </c>
      <c r="AB591" s="49" t="str">
        <f t="shared" si="95"/>
        <v>101</v>
      </c>
      <c r="AC591" s="49">
        <f t="shared" si="93"/>
        <v>0</v>
      </c>
      <c r="AD591" s="49">
        <v>0</v>
      </c>
      <c r="AE591" s="49" t="str">
        <f t="shared" si="94"/>
        <v>32C00</v>
      </c>
    </row>
    <row r="592" spans="1:31" x14ac:dyDescent="0.15">
      <c r="A592" s="42" t="str">
        <f t="shared" si="87"/>
        <v>0</v>
      </c>
      <c r="B592" s="43">
        <v>590</v>
      </c>
      <c r="C592" s="213" t="s">
        <v>2499</v>
      </c>
      <c r="D592" s="211" t="s">
        <v>1027</v>
      </c>
      <c r="E592" s="214" t="s">
        <v>2500</v>
      </c>
      <c r="F592" s="215" t="s">
        <v>856</v>
      </c>
      <c r="G592" s="216">
        <v>0</v>
      </c>
      <c r="H592" s="217">
        <v>65535</v>
      </c>
      <c r="I592" s="213">
        <v>0</v>
      </c>
      <c r="J592" s="217">
        <v>0</v>
      </c>
      <c r="K592" s="217">
        <v>0</v>
      </c>
      <c r="L592" s="217" t="s">
        <v>859</v>
      </c>
      <c r="M592" s="217">
        <v>1</v>
      </c>
      <c r="N592" s="217" t="s">
        <v>1910</v>
      </c>
      <c r="O592" s="217">
        <v>0</v>
      </c>
      <c r="P592" s="213">
        <v>0</v>
      </c>
      <c r="Q592" s="217">
        <v>1</v>
      </c>
      <c r="R592" s="217">
        <v>5</v>
      </c>
      <c r="S592" s="217">
        <v>0</v>
      </c>
      <c r="T592" s="53"/>
      <c r="V592" s="49" t="str">
        <f t="shared" si="88"/>
        <v>0</v>
      </c>
      <c r="W592" s="49" t="str">
        <f t="shared" si="89"/>
        <v>0</v>
      </c>
      <c r="X592" s="49" t="str">
        <f t="shared" si="90"/>
        <v>0</v>
      </c>
      <c r="Y592" s="49">
        <f t="shared" si="91"/>
        <v>0</v>
      </c>
      <c r="Z592" s="49">
        <f t="shared" si="91"/>
        <v>0</v>
      </c>
      <c r="AA592" s="49">
        <f t="shared" si="92"/>
        <v>1</v>
      </c>
      <c r="AB592" s="49" t="str">
        <f t="shared" si="95"/>
        <v>101</v>
      </c>
      <c r="AC592" s="49">
        <f t="shared" si="93"/>
        <v>0</v>
      </c>
      <c r="AD592" s="49">
        <v>0</v>
      </c>
      <c r="AE592" s="49" t="str">
        <f t="shared" si="94"/>
        <v>32C00</v>
      </c>
    </row>
    <row r="593" spans="1:31" x14ac:dyDescent="0.15">
      <c r="A593" s="42" t="str">
        <f t="shared" si="87"/>
        <v>0</v>
      </c>
      <c r="B593" s="43">
        <v>591</v>
      </c>
      <c r="C593" s="213" t="s">
        <v>2501</v>
      </c>
      <c r="D593" s="211" t="s">
        <v>1027</v>
      </c>
      <c r="E593" s="214" t="s">
        <v>2502</v>
      </c>
      <c r="F593" s="215" t="s">
        <v>856</v>
      </c>
      <c r="G593" s="216">
        <v>0</v>
      </c>
      <c r="H593" s="217">
        <v>65535</v>
      </c>
      <c r="I593" s="213">
        <v>0</v>
      </c>
      <c r="J593" s="217">
        <v>0</v>
      </c>
      <c r="K593" s="217">
        <v>0</v>
      </c>
      <c r="L593" s="217" t="s">
        <v>859</v>
      </c>
      <c r="M593" s="217">
        <v>1</v>
      </c>
      <c r="N593" s="217" t="s">
        <v>1910</v>
      </c>
      <c r="O593" s="217">
        <v>0</v>
      </c>
      <c r="P593" s="213">
        <v>0</v>
      </c>
      <c r="Q593" s="217">
        <v>1</v>
      </c>
      <c r="R593" s="217">
        <v>5</v>
      </c>
      <c r="S593" s="217">
        <v>0</v>
      </c>
      <c r="T593" s="53"/>
      <c r="V593" s="49" t="str">
        <f t="shared" si="88"/>
        <v>0</v>
      </c>
      <c r="W593" s="49" t="str">
        <f t="shared" si="89"/>
        <v>0</v>
      </c>
      <c r="X593" s="49" t="str">
        <f t="shared" si="90"/>
        <v>0</v>
      </c>
      <c r="Y593" s="49">
        <f t="shared" si="91"/>
        <v>0</v>
      </c>
      <c r="Z593" s="49">
        <f t="shared" si="91"/>
        <v>0</v>
      </c>
      <c r="AA593" s="49">
        <f t="shared" si="92"/>
        <v>1</v>
      </c>
      <c r="AB593" s="49" t="str">
        <f t="shared" si="95"/>
        <v>101</v>
      </c>
      <c r="AC593" s="49">
        <f t="shared" si="93"/>
        <v>0</v>
      </c>
      <c r="AD593" s="49">
        <v>0</v>
      </c>
      <c r="AE593" s="49" t="str">
        <f t="shared" si="94"/>
        <v>32C00</v>
      </c>
    </row>
    <row r="594" spans="1:31" x14ac:dyDescent="0.15">
      <c r="A594" s="42" t="str">
        <f t="shared" si="87"/>
        <v>0</v>
      </c>
      <c r="B594" s="43">
        <v>592</v>
      </c>
      <c r="C594" s="213" t="s">
        <v>2503</v>
      </c>
      <c r="D594" s="211" t="s">
        <v>1027</v>
      </c>
      <c r="E594" s="214" t="s">
        <v>2504</v>
      </c>
      <c r="F594" s="215" t="s">
        <v>856</v>
      </c>
      <c r="G594" s="216">
        <v>0</v>
      </c>
      <c r="H594" s="217">
        <v>65535</v>
      </c>
      <c r="I594" s="213">
        <v>0</v>
      </c>
      <c r="J594" s="217">
        <v>0</v>
      </c>
      <c r="K594" s="217">
        <v>0</v>
      </c>
      <c r="L594" s="217" t="s">
        <v>859</v>
      </c>
      <c r="M594" s="217">
        <v>1</v>
      </c>
      <c r="N594" s="217" t="s">
        <v>1910</v>
      </c>
      <c r="O594" s="217">
        <v>0</v>
      </c>
      <c r="P594" s="213">
        <v>0</v>
      </c>
      <c r="Q594" s="217">
        <v>1</v>
      </c>
      <c r="R594" s="217">
        <v>5</v>
      </c>
      <c r="S594" s="217">
        <v>0</v>
      </c>
      <c r="T594" s="53"/>
      <c r="V594" s="49" t="str">
        <f t="shared" si="88"/>
        <v>0</v>
      </c>
      <c r="W594" s="49" t="str">
        <f t="shared" si="89"/>
        <v>0</v>
      </c>
      <c r="X594" s="49" t="str">
        <f t="shared" si="90"/>
        <v>0</v>
      </c>
      <c r="Y594" s="49">
        <f t="shared" si="91"/>
        <v>0</v>
      </c>
      <c r="Z594" s="49">
        <f t="shared" si="91"/>
        <v>0</v>
      </c>
      <c r="AA594" s="49">
        <f t="shared" si="92"/>
        <v>1</v>
      </c>
      <c r="AB594" s="49" t="str">
        <f t="shared" si="95"/>
        <v>101</v>
      </c>
      <c r="AC594" s="49">
        <f t="shared" si="93"/>
        <v>0</v>
      </c>
      <c r="AD594" s="49">
        <v>0</v>
      </c>
      <c r="AE594" s="49" t="str">
        <f t="shared" si="94"/>
        <v>32C00</v>
      </c>
    </row>
    <row r="595" spans="1:31" x14ac:dyDescent="0.15">
      <c r="A595" s="42" t="str">
        <f t="shared" si="87"/>
        <v>0</v>
      </c>
      <c r="B595" s="43">
        <v>593</v>
      </c>
      <c r="C595" s="213" t="s">
        <v>2505</v>
      </c>
      <c r="D595" s="211" t="s">
        <v>1027</v>
      </c>
      <c r="E595" s="214" t="s">
        <v>2506</v>
      </c>
      <c r="F595" s="215" t="s">
        <v>856</v>
      </c>
      <c r="G595" s="216">
        <v>0</v>
      </c>
      <c r="H595" s="217">
        <v>65535</v>
      </c>
      <c r="I595" s="213">
        <v>0</v>
      </c>
      <c r="J595" s="217">
        <v>0</v>
      </c>
      <c r="K595" s="217">
        <v>0</v>
      </c>
      <c r="L595" s="217" t="s">
        <v>859</v>
      </c>
      <c r="M595" s="217">
        <v>1</v>
      </c>
      <c r="N595" s="217" t="s">
        <v>1910</v>
      </c>
      <c r="O595" s="217">
        <v>0</v>
      </c>
      <c r="P595" s="213">
        <v>0</v>
      </c>
      <c r="Q595" s="217">
        <v>1</v>
      </c>
      <c r="R595" s="217">
        <v>5</v>
      </c>
      <c r="S595" s="217">
        <v>0</v>
      </c>
      <c r="T595" s="53"/>
      <c r="V595" s="49" t="str">
        <f t="shared" si="88"/>
        <v>0</v>
      </c>
      <c r="W595" s="49" t="str">
        <f t="shared" si="89"/>
        <v>0</v>
      </c>
      <c r="X595" s="49" t="str">
        <f t="shared" si="90"/>
        <v>0</v>
      </c>
      <c r="Y595" s="49">
        <f t="shared" si="91"/>
        <v>0</v>
      </c>
      <c r="Z595" s="49">
        <f t="shared" si="91"/>
        <v>0</v>
      </c>
      <c r="AA595" s="49">
        <f t="shared" si="92"/>
        <v>1</v>
      </c>
      <c r="AB595" s="49" t="str">
        <f t="shared" si="95"/>
        <v>101</v>
      </c>
      <c r="AC595" s="49">
        <f t="shared" si="93"/>
        <v>0</v>
      </c>
      <c r="AD595" s="49">
        <v>0</v>
      </c>
      <c r="AE595" s="49" t="str">
        <f t="shared" si="94"/>
        <v>32C00</v>
      </c>
    </row>
    <row r="596" spans="1:31" x14ac:dyDescent="0.15">
      <c r="A596" s="42" t="str">
        <f t="shared" si="87"/>
        <v>0</v>
      </c>
      <c r="B596" s="43">
        <v>594</v>
      </c>
      <c r="C596" s="213" t="s">
        <v>2507</v>
      </c>
      <c r="D596" s="211" t="s">
        <v>1027</v>
      </c>
      <c r="E596" s="214" t="s">
        <v>2508</v>
      </c>
      <c r="F596" s="215" t="s">
        <v>856</v>
      </c>
      <c r="G596" s="216">
        <v>0</v>
      </c>
      <c r="H596" s="217">
        <v>65535</v>
      </c>
      <c r="I596" s="213">
        <v>0</v>
      </c>
      <c r="J596" s="217">
        <v>0</v>
      </c>
      <c r="K596" s="217">
        <v>0</v>
      </c>
      <c r="L596" s="217" t="s">
        <v>859</v>
      </c>
      <c r="M596" s="217">
        <v>1</v>
      </c>
      <c r="N596" s="217" t="s">
        <v>1910</v>
      </c>
      <c r="O596" s="217">
        <v>0</v>
      </c>
      <c r="P596" s="213">
        <v>0</v>
      </c>
      <c r="Q596" s="217">
        <v>1</v>
      </c>
      <c r="R596" s="217">
        <v>5</v>
      </c>
      <c r="S596" s="217">
        <v>0</v>
      </c>
      <c r="T596" s="53"/>
      <c r="V596" s="49" t="str">
        <f t="shared" si="88"/>
        <v>0</v>
      </c>
      <c r="W596" s="49" t="str">
        <f t="shared" si="89"/>
        <v>0</v>
      </c>
      <c r="X596" s="49" t="str">
        <f t="shared" si="90"/>
        <v>0</v>
      </c>
      <c r="Y596" s="49">
        <f t="shared" si="91"/>
        <v>0</v>
      </c>
      <c r="Z596" s="49">
        <f t="shared" si="91"/>
        <v>0</v>
      </c>
      <c r="AA596" s="49">
        <f t="shared" si="92"/>
        <v>1</v>
      </c>
      <c r="AB596" s="49" t="str">
        <f t="shared" si="95"/>
        <v>101</v>
      </c>
      <c r="AC596" s="49">
        <f t="shared" si="93"/>
        <v>0</v>
      </c>
      <c r="AD596" s="49">
        <v>0</v>
      </c>
      <c r="AE596" s="49" t="str">
        <f t="shared" si="94"/>
        <v>32C00</v>
      </c>
    </row>
    <row r="597" spans="1:31" x14ac:dyDescent="0.15">
      <c r="A597" s="42" t="str">
        <f t="shared" si="87"/>
        <v>0</v>
      </c>
      <c r="B597" s="43">
        <v>595</v>
      </c>
      <c r="C597" s="213" t="s">
        <v>2509</v>
      </c>
      <c r="D597" s="211" t="s">
        <v>1027</v>
      </c>
      <c r="E597" s="214" t="s">
        <v>2510</v>
      </c>
      <c r="F597" s="215" t="s">
        <v>856</v>
      </c>
      <c r="G597" s="216">
        <v>0</v>
      </c>
      <c r="H597" s="217">
        <v>65535</v>
      </c>
      <c r="I597" s="213">
        <v>0</v>
      </c>
      <c r="J597" s="217">
        <v>0</v>
      </c>
      <c r="K597" s="217">
        <v>0</v>
      </c>
      <c r="L597" s="217" t="s">
        <v>859</v>
      </c>
      <c r="M597" s="217">
        <v>1</v>
      </c>
      <c r="N597" s="217" t="s">
        <v>1910</v>
      </c>
      <c r="O597" s="217">
        <v>0</v>
      </c>
      <c r="P597" s="213">
        <v>0</v>
      </c>
      <c r="Q597" s="217">
        <v>1</v>
      </c>
      <c r="R597" s="217">
        <v>5</v>
      </c>
      <c r="S597" s="217">
        <v>0</v>
      </c>
      <c r="T597" s="53"/>
      <c r="V597" s="49" t="str">
        <f t="shared" si="88"/>
        <v>0</v>
      </c>
      <c r="W597" s="49" t="str">
        <f t="shared" si="89"/>
        <v>0</v>
      </c>
      <c r="X597" s="49" t="str">
        <f t="shared" si="90"/>
        <v>0</v>
      </c>
      <c r="Y597" s="49">
        <f t="shared" si="91"/>
        <v>0</v>
      </c>
      <c r="Z597" s="49">
        <f t="shared" si="91"/>
        <v>0</v>
      </c>
      <c r="AA597" s="49">
        <f t="shared" si="92"/>
        <v>1</v>
      </c>
      <c r="AB597" s="49" t="str">
        <f t="shared" si="95"/>
        <v>101</v>
      </c>
      <c r="AC597" s="49">
        <f t="shared" si="93"/>
        <v>0</v>
      </c>
      <c r="AD597" s="49">
        <v>0</v>
      </c>
      <c r="AE597" s="49" t="str">
        <f t="shared" si="94"/>
        <v>32C00</v>
      </c>
    </row>
    <row r="598" spans="1:31" x14ac:dyDescent="0.15">
      <c r="A598" s="42" t="str">
        <f t="shared" si="87"/>
        <v>0</v>
      </c>
      <c r="B598" s="43">
        <v>596</v>
      </c>
      <c r="C598" s="213" t="s">
        <v>2511</v>
      </c>
      <c r="D598" s="211" t="s">
        <v>1027</v>
      </c>
      <c r="E598" s="214" t="s">
        <v>2512</v>
      </c>
      <c r="F598" s="215" t="s">
        <v>856</v>
      </c>
      <c r="G598" s="216">
        <v>0</v>
      </c>
      <c r="H598" s="217">
        <v>65535</v>
      </c>
      <c r="I598" s="213">
        <v>0</v>
      </c>
      <c r="J598" s="217">
        <v>0</v>
      </c>
      <c r="K598" s="217">
        <v>0</v>
      </c>
      <c r="L598" s="217" t="s">
        <v>859</v>
      </c>
      <c r="M598" s="217">
        <v>1</v>
      </c>
      <c r="N598" s="217" t="s">
        <v>1910</v>
      </c>
      <c r="O598" s="217">
        <v>0</v>
      </c>
      <c r="P598" s="213">
        <v>0</v>
      </c>
      <c r="Q598" s="217">
        <v>1</v>
      </c>
      <c r="R598" s="217">
        <v>5</v>
      </c>
      <c r="S598" s="217">
        <v>0</v>
      </c>
      <c r="T598" s="53"/>
      <c r="V598" s="49" t="str">
        <f t="shared" si="88"/>
        <v>0</v>
      </c>
      <c r="W598" s="49" t="str">
        <f t="shared" si="89"/>
        <v>0</v>
      </c>
      <c r="X598" s="49" t="str">
        <f t="shared" si="90"/>
        <v>0</v>
      </c>
      <c r="Y598" s="49">
        <f t="shared" si="91"/>
        <v>0</v>
      </c>
      <c r="Z598" s="49">
        <f t="shared" si="91"/>
        <v>0</v>
      </c>
      <c r="AA598" s="49">
        <f t="shared" si="92"/>
        <v>1</v>
      </c>
      <c r="AB598" s="49" t="str">
        <f t="shared" si="95"/>
        <v>101</v>
      </c>
      <c r="AC598" s="49">
        <f t="shared" si="93"/>
        <v>0</v>
      </c>
      <c r="AD598" s="49">
        <v>0</v>
      </c>
      <c r="AE598" s="49" t="str">
        <f t="shared" si="94"/>
        <v>32C00</v>
      </c>
    </row>
    <row r="599" spans="1:31" x14ac:dyDescent="0.15">
      <c r="A599" s="42" t="str">
        <f t="shared" si="87"/>
        <v>0</v>
      </c>
      <c r="B599" s="43">
        <v>597</v>
      </c>
      <c r="C599" s="213" t="s">
        <v>2513</v>
      </c>
      <c r="D599" s="211" t="s">
        <v>1027</v>
      </c>
      <c r="E599" s="214" t="s">
        <v>2514</v>
      </c>
      <c r="F599" s="215" t="s">
        <v>856</v>
      </c>
      <c r="G599" s="216">
        <v>0</v>
      </c>
      <c r="H599" s="217">
        <v>65535</v>
      </c>
      <c r="I599" s="213">
        <v>0</v>
      </c>
      <c r="J599" s="217">
        <v>0</v>
      </c>
      <c r="K599" s="217">
        <v>0</v>
      </c>
      <c r="L599" s="217" t="s">
        <v>859</v>
      </c>
      <c r="M599" s="217">
        <v>1</v>
      </c>
      <c r="N599" s="217" t="s">
        <v>1910</v>
      </c>
      <c r="O599" s="217">
        <v>0</v>
      </c>
      <c r="P599" s="213">
        <v>0</v>
      </c>
      <c r="Q599" s="217">
        <v>1</v>
      </c>
      <c r="R599" s="217">
        <v>5</v>
      </c>
      <c r="S599" s="217">
        <v>0</v>
      </c>
      <c r="T599" s="53"/>
      <c r="V599" s="49" t="str">
        <f t="shared" si="88"/>
        <v>0</v>
      </c>
      <c r="W599" s="49" t="str">
        <f t="shared" si="89"/>
        <v>0</v>
      </c>
      <c r="X599" s="49" t="str">
        <f t="shared" si="90"/>
        <v>0</v>
      </c>
      <c r="Y599" s="49">
        <f t="shared" si="91"/>
        <v>0</v>
      </c>
      <c r="Z599" s="49">
        <f t="shared" si="91"/>
        <v>0</v>
      </c>
      <c r="AA599" s="49">
        <f t="shared" si="92"/>
        <v>1</v>
      </c>
      <c r="AB599" s="49" t="str">
        <f t="shared" si="95"/>
        <v>101</v>
      </c>
      <c r="AC599" s="49">
        <f t="shared" si="93"/>
        <v>0</v>
      </c>
      <c r="AD599" s="49">
        <v>0</v>
      </c>
      <c r="AE599" s="49" t="str">
        <f t="shared" si="94"/>
        <v>32C00</v>
      </c>
    </row>
    <row r="600" spans="1:31" x14ac:dyDescent="0.15">
      <c r="A600" s="42" t="str">
        <f t="shared" si="87"/>
        <v>0</v>
      </c>
      <c r="B600" s="43">
        <v>598</v>
      </c>
      <c r="C600" s="213" t="s">
        <v>2515</v>
      </c>
      <c r="D600" s="211" t="s">
        <v>1027</v>
      </c>
      <c r="E600" s="214" t="s">
        <v>2516</v>
      </c>
      <c r="F600" s="215" t="s">
        <v>856</v>
      </c>
      <c r="G600" s="216">
        <v>0</v>
      </c>
      <c r="H600" s="217">
        <v>65535</v>
      </c>
      <c r="I600" s="213">
        <v>0</v>
      </c>
      <c r="J600" s="217">
        <v>0</v>
      </c>
      <c r="K600" s="217">
        <v>0</v>
      </c>
      <c r="L600" s="217" t="s">
        <v>859</v>
      </c>
      <c r="M600" s="217">
        <v>1</v>
      </c>
      <c r="N600" s="217" t="s">
        <v>1910</v>
      </c>
      <c r="O600" s="217">
        <v>0</v>
      </c>
      <c r="P600" s="213">
        <v>0</v>
      </c>
      <c r="Q600" s="217">
        <v>1</v>
      </c>
      <c r="R600" s="217">
        <v>5</v>
      </c>
      <c r="S600" s="217">
        <v>0</v>
      </c>
      <c r="T600" s="53"/>
      <c r="V600" s="49" t="str">
        <f t="shared" si="88"/>
        <v>0</v>
      </c>
      <c r="W600" s="49" t="str">
        <f t="shared" si="89"/>
        <v>0</v>
      </c>
      <c r="X600" s="49" t="str">
        <f t="shared" si="90"/>
        <v>0</v>
      </c>
      <c r="Y600" s="49">
        <f t="shared" si="91"/>
        <v>0</v>
      </c>
      <c r="Z600" s="49">
        <f t="shared" si="91"/>
        <v>0</v>
      </c>
      <c r="AA600" s="49">
        <f t="shared" si="92"/>
        <v>1</v>
      </c>
      <c r="AB600" s="49" t="str">
        <f t="shared" si="95"/>
        <v>101</v>
      </c>
      <c r="AC600" s="49">
        <f t="shared" si="93"/>
        <v>0</v>
      </c>
      <c r="AD600" s="49">
        <v>0</v>
      </c>
      <c r="AE600" s="49" t="str">
        <f t="shared" si="94"/>
        <v>32C00</v>
      </c>
    </row>
    <row r="601" spans="1:31" x14ac:dyDescent="0.15">
      <c r="A601" s="42" t="str">
        <f t="shared" si="87"/>
        <v>0</v>
      </c>
      <c r="B601" s="43">
        <v>599</v>
      </c>
      <c r="C601" s="213" t="s">
        <v>2517</v>
      </c>
      <c r="D601" s="211" t="s">
        <v>1027</v>
      </c>
      <c r="E601" s="214" t="s">
        <v>2518</v>
      </c>
      <c r="F601" s="215" t="s">
        <v>856</v>
      </c>
      <c r="G601" s="216">
        <v>0</v>
      </c>
      <c r="H601" s="217">
        <v>65535</v>
      </c>
      <c r="I601" s="213">
        <v>0</v>
      </c>
      <c r="J601" s="217">
        <v>0</v>
      </c>
      <c r="K601" s="217">
        <v>0</v>
      </c>
      <c r="L601" s="217" t="s">
        <v>859</v>
      </c>
      <c r="M601" s="217">
        <v>1</v>
      </c>
      <c r="N601" s="217" t="s">
        <v>1910</v>
      </c>
      <c r="O601" s="217">
        <v>0</v>
      </c>
      <c r="P601" s="213">
        <v>0</v>
      </c>
      <c r="Q601" s="217">
        <v>1</v>
      </c>
      <c r="R601" s="217">
        <v>5</v>
      </c>
      <c r="S601" s="217">
        <v>0</v>
      </c>
      <c r="T601" s="53"/>
      <c r="V601" s="49" t="str">
        <f t="shared" si="88"/>
        <v>0</v>
      </c>
      <c r="W601" s="49" t="str">
        <f t="shared" si="89"/>
        <v>0</v>
      </c>
      <c r="X601" s="49" t="str">
        <f t="shared" si="90"/>
        <v>0</v>
      </c>
      <c r="Y601" s="49">
        <f t="shared" si="91"/>
        <v>0</v>
      </c>
      <c r="Z601" s="49">
        <f t="shared" si="91"/>
        <v>0</v>
      </c>
      <c r="AA601" s="49">
        <f t="shared" si="92"/>
        <v>1</v>
      </c>
      <c r="AB601" s="49" t="str">
        <f t="shared" si="95"/>
        <v>101</v>
      </c>
      <c r="AC601" s="49">
        <f t="shared" si="93"/>
        <v>0</v>
      </c>
      <c r="AD601" s="49">
        <v>0</v>
      </c>
      <c r="AE601" s="49" t="str">
        <f t="shared" si="94"/>
        <v>32C00</v>
      </c>
    </row>
    <row r="602" spans="1:31" x14ac:dyDescent="0.15">
      <c r="A602" s="42" t="str">
        <f t="shared" si="87"/>
        <v>0</v>
      </c>
      <c r="B602" s="43">
        <v>600</v>
      </c>
      <c r="C602" s="213" t="s">
        <v>2519</v>
      </c>
      <c r="D602" s="211" t="s">
        <v>1027</v>
      </c>
      <c r="E602" s="214" t="s">
        <v>2520</v>
      </c>
      <c r="F602" s="215" t="s">
        <v>856</v>
      </c>
      <c r="G602" s="216">
        <v>0</v>
      </c>
      <c r="H602" s="217">
        <v>65535</v>
      </c>
      <c r="I602" s="213">
        <v>0</v>
      </c>
      <c r="J602" s="217">
        <v>0</v>
      </c>
      <c r="K602" s="217">
        <v>0</v>
      </c>
      <c r="L602" s="217" t="s">
        <v>859</v>
      </c>
      <c r="M602" s="217">
        <v>1</v>
      </c>
      <c r="N602" s="217" t="s">
        <v>1910</v>
      </c>
      <c r="O602" s="217">
        <v>0</v>
      </c>
      <c r="P602" s="213">
        <v>0</v>
      </c>
      <c r="Q602" s="217">
        <v>1</v>
      </c>
      <c r="R602" s="217">
        <v>5</v>
      </c>
      <c r="S602" s="217">
        <v>0</v>
      </c>
      <c r="T602" s="53"/>
      <c r="V602" s="49" t="str">
        <f t="shared" si="88"/>
        <v>0</v>
      </c>
      <c r="W602" s="49" t="str">
        <f t="shared" si="89"/>
        <v>0</v>
      </c>
      <c r="X602" s="49" t="str">
        <f t="shared" si="90"/>
        <v>0</v>
      </c>
      <c r="Y602" s="49">
        <f t="shared" si="91"/>
        <v>0</v>
      </c>
      <c r="Z602" s="49">
        <f t="shared" si="91"/>
        <v>0</v>
      </c>
      <c r="AA602" s="49">
        <f t="shared" si="92"/>
        <v>1</v>
      </c>
      <c r="AB602" s="49" t="str">
        <f t="shared" si="95"/>
        <v>101</v>
      </c>
      <c r="AC602" s="49">
        <f t="shared" si="93"/>
        <v>0</v>
      </c>
      <c r="AD602" s="49">
        <v>0</v>
      </c>
      <c r="AE602" s="49" t="str">
        <f t="shared" si="94"/>
        <v>32C00</v>
      </c>
    </row>
    <row r="603" spans="1:31" x14ac:dyDescent="0.15">
      <c r="A603" s="42" t="str">
        <f t="shared" si="87"/>
        <v>0</v>
      </c>
      <c r="B603" s="43">
        <v>601</v>
      </c>
      <c r="C603" s="213" t="s">
        <v>2521</v>
      </c>
      <c r="D603" s="211" t="s">
        <v>1027</v>
      </c>
      <c r="E603" s="214" t="s">
        <v>2522</v>
      </c>
      <c r="F603" s="215" t="s">
        <v>856</v>
      </c>
      <c r="G603" s="216">
        <v>0</v>
      </c>
      <c r="H603" s="217">
        <v>65535</v>
      </c>
      <c r="I603" s="213">
        <v>0</v>
      </c>
      <c r="J603" s="217">
        <v>0</v>
      </c>
      <c r="K603" s="217">
        <v>0</v>
      </c>
      <c r="L603" s="217" t="s">
        <v>859</v>
      </c>
      <c r="M603" s="217">
        <v>1</v>
      </c>
      <c r="N603" s="217" t="s">
        <v>1910</v>
      </c>
      <c r="O603" s="217">
        <v>0</v>
      </c>
      <c r="P603" s="213">
        <v>0</v>
      </c>
      <c r="Q603" s="217">
        <v>1</v>
      </c>
      <c r="R603" s="217">
        <v>5</v>
      </c>
      <c r="S603" s="217">
        <v>0</v>
      </c>
      <c r="T603" s="53"/>
      <c r="V603" s="49" t="str">
        <f t="shared" si="88"/>
        <v>0</v>
      </c>
      <c r="W603" s="49" t="str">
        <f t="shared" si="89"/>
        <v>0</v>
      </c>
      <c r="X603" s="49" t="str">
        <f t="shared" si="90"/>
        <v>0</v>
      </c>
      <c r="Y603" s="49">
        <f t="shared" si="91"/>
        <v>0</v>
      </c>
      <c r="Z603" s="49">
        <f t="shared" si="91"/>
        <v>0</v>
      </c>
      <c r="AA603" s="49">
        <f t="shared" si="92"/>
        <v>1</v>
      </c>
      <c r="AB603" s="49" t="str">
        <f t="shared" si="95"/>
        <v>101</v>
      </c>
      <c r="AC603" s="49">
        <f t="shared" si="93"/>
        <v>0</v>
      </c>
      <c r="AD603" s="49">
        <v>0</v>
      </c>
      <c r="AE603" s="49" t="str">
        <f t="shared" si="94"/>
        <v>32C00</v>
      </c>
    </row>
    <row r="604" spans="1:31" x14ac:dyDescent="0.15">
      <c r="A604" s="42" t="str">
        <f t="shared" si="87"/>
        <v>0</v>
      </c>
      <c r="B604" s="43">
        <v>602</v>
      </c>
      <c r="C604" s="213" t="s">
        <v>2523</v>
      </c>
      <c r="D604" s="211" t="s">
        <v>1027</v>
      </c>
      <c r="E604" s="214" t="s">
        <v>2524</v>
      </c>
      <c r="F604" s="215" t="s">
        <v>856</v>
      </c>
      <c r="G604" s="216">
        <v>0</v>
      </c>
      <c r="H604" s="217">
        <v>65535</v>
      </c>
      <c r="I604" s="213">
        <v>0</v>
      </c>
      <c r="J604" s="217">
        <v>0</v>
      </c>
      <c r="K604" s="217">
        <v>0</v>
      </c>
      <c r="L604" s="217" t="s">
        <v>859</v>
      </c>
      <c r="M604" s="217">
        <v>1</v>
      </c>
      <c r="N604" s="217" t="s">
        <v>1910</v>
      </c>
      <c r="O604" s="217">
        <v>0</v>
      </c>
      <c r="P604" s="213">
        <v>0</v>
      </c>
      <c r="Q604" s="217">
        <v>1</v>
      </c>
      <c r="R604" s="217">
        <v>5</v>
      </c>
      <c r="S604" s="217">
        <v>0</v>
      </c>
      <c r="T604" s="53"/>
      <c r="V604" s="49" t="str">
        <f t="shared" si="88"/>
        <v>0</v>
      </c>
      <c r="W604" s="49" t="str">
        <f t="shared" si="89"/>
        <v>0</v>
      </c>
      <c r="X604" s="49" t="str">
        <f t="shared" si="90"/>
        <v>0</v>
      </c>
      <c r="Y604" s="49">
        <f t="shared" si="91"/>
        <v>0</v>
      </c>
      <c r="Z604" s="49">
        <f t="shared" si="91"/>
        <v>0</v>
      </c>
      <c r="AA604" s="49">
        <f t="shared" si="92"/>
        <v>1</v>
      </c>
      <c r="AB604" s="49" t="str">
        <f t="shared" si="95"/>
        <v>101</v>
      </c>
      <c r="AC604" s="49">
        <f t="shared" si="93"/>
        <v>0</v>
      </c>
      <c r="AD604" s="49">
        <v>0</v>
      </c>
      <c r="AE604" s="49" t="str">
        <f t="shared" si="94"/>
        <v>32C00</v>
      </c>
    </row>
    <row r="605" spans="1:31" x14ac:dyDescent="0.15">
      <c r="A605" s="42" t="str">
        <f t="shared" si="87"/>
        <v>0</v>
      </c>
      <c r="B605" s="43">
        <v>603</v>
      </c>
      <c r="C605" s="213" t="s">
        <v>2525</v>
      </c>
      <c r="D605" s="211" t="s">
        <v>1027</v>
      </c>
      <c r="E605" s="214" t="s">
        <v>2526</v>
      </c>
      <c r="F605" s="215" t="s">
        <v>856</v>
      </c>
      <c r="G605" s="216">
        <v>0</v>
      </c>
      <c r="H605" s="217">
        <v>65535</v>
      </c>
      <c r="I605" s="213">
        <v>0</v>
      </c>
      <c r="J605" s="217">
        <v>0</v>
      </c>
      <c r="K605" s="217">
        <v>0</v>
      </c>
      <c r="L605" s="217" t="s">
        <v>859</v>
      </c>
      <c r="M605" s="217">
        <v>1</v>
      </c>
      <c r="N605" s="217" t="s">
        <v>1910</v>
      </c>
      <c r="O605" s="217">
        <v>0</v>
      </c>
      <c r="P605" s="213">
        <v>0</v>
      </c>
      <c r="Q605" s="217">
        <v>1</v>
      </c>
      <c r="R605" s="217">
        <v>5</v>
      </c>
      <c r="S605" s="217">
        <v>0</v>
      </c>
      <c r="T605" s="53"/>
      <c r="V605" s="49" t="str">
        <f t="shared" si="88"/>
        <v>0</v>
      </c>
      <c r="W605" s="49" t="str">
        <f t="shared" si="89"/>
        <v>0</v>
      </c>
      <c r="X605" s="49" t="str">
        <f t="shared" si="90"/>
        <v>0</v>
      </c>
      <c r="Y605" s="49">
        <f t="shared" si="91"/>
        <v>0</v>
      </c>
      <c r="Z605" s="49">
        <f t="shared" si="91"/>
        <v>0</v>
      </c>
      <c r="AA605" s="49">
        <f t="shared" si="92"/>
        <v>1</v>
      </c>
      <c r="AB605" s="49" t="str">
        <f t="shared" si="95"/>
        <v>101</v>
      </c>
      <c r="AC605" s="49">
        <f t="shared" si="93"/>
        <v>0</v>
      </c>
      <c r="AD605" s="49">
        <v>0</v>
      </c>
      <c r="AE605" s="49" t="str">
        <f t="shared" si="94"/>
        <v>32C00</v>
      </c>
    </row>
    <row r="606" spans="1:31" x14ac:dyDescent="0.15">
      <c r="A606" s="42" t="str">
        <f t="shared" si="87"/>
        <v>0</v>
      </c>
      <c r="B606" s="43">
        <v>604</v>
      </c>
      <c r="C606" s="213" t="s">
        <v>2527</v>
      </c>
      <c r="D606" s="211" t="s">
        <v>1027</v>
      </c>
      <c r="E606" s="214" t="s">
        <v>2528</v>
      </c>
      <c r="F606" s="215" t="s">
        <v>856</v>
      </c>
      <c r="G606" s="216">
        <v>0</v>
      </c>
      <c r="H606" s="217">
        <v>65535</v>
      </c>
      <c r="I606" s="213">
        <v>0</v>
      </c>
      <c r="J606" s="217">
        <v>0</v>
      </c>
      <c r="K606" s="217">
        <v>0</v>
      </c>
      <c r="L606" s="217" t="s">
        <v>859</v>
      </c>
      <c r="M606" s="217">
        <v>1</v>
      </c>
      <c r="N606" s="217" t="s">
        <v>1910</v>
      </c>
      <c r="O606" s="217">
        <v>0</v>
      </c>
      <c r="P606" s="213">
        <v>0</v>
      </c>
      <c r="Q606" s="217">
        <v>1</v>
      </c>
      <c r="R606" s="217">
        <v>5</v>
      </c>
      <c r="S606" s="217">
        <v>0</v>
      </c>
      <c r="T606" s="53"/>
      <c r="V606" s="49" t="str">
        <f t="shared" si="88"/>
        <v>0</v>
      </c>
      <c r="W606" s="49" t="str">
        <f t="shared" si="89"/>
        <v>0</v>
      </c>
      <c r="X606" s="49" t="str">
        <f t="shared" si="90"/>
        <v>0</v>
      </c>
      <c r="Y606" s="49">
        <f t="shared" si="91"/>
        <v>0</v>
      </c>
      <c r="Z606" s="49">
        <f t="shared" si="91"/>
        <v>0</v>
      </c>
      <c r="AA606" s="49">
        <f t="shared" si="92"/>
        <v>1</v>
      </c>
      <c r="AB606" s="49" t="str">
        <f t="shared" si="95"/>
        <v>101</v>
      </c>
      <c r="AC606" s="49">
        <f t="shared" si="93"/>
        <v>0</v>
      </c>
      <c r="AD606" s="49">
        <v>0</v>
      </c>
      <c r="AE606" s="49" t="str">
        <f t="shared" si="94"/>
        <v>32C00</v>
      </c>
    </row>
    <row r="607" spans="1:31" x14ac:dyDescent="0.15">
      <c r="A607" s="42" t="str">
        <f t="shared" si="87"/>
        <v>0</v>
      </c>
      <c r="B607" s="43">
        <v>605</v>
      </c>
      <c r="C607" s="213" t="s">
        <v>2529</v>
      </c>
      <c r="D607" s="211" t="s">
        <v>1027</v>
      </c>
      <c r="E607" s="214" t="s">
        <v>2530</v>
      </c>
      <c r="F607" s="215" t="s">
        <v>856</v>
      </c>
      <c r="G607" s="216">
        <v>0</v>
      </c>
      <c r="H607" s="217">
        <v>65535</v>
      </c>
      <c r="I607" s="213">
        <v>0</v>
      </c>
      <c r="J607" s="217">
        <v>0</v>
      </c>
      <c r="K607" s="217">
        <v>0</v>
      </c>
      <c r="L607" s="217" t="s">
        <v>859</v>
      </c>
      <c r="M607" s="217">
        <v>1</v>
      </c>
      <c r="N607" s="217" t="s">
        <v>1910</v>
      </c>
      <c r="O607" s="217">
        <v>0</v>
      </c>
      <c r="P607" s="213">
        <v>0</v>
      </c>
      <c r="Q607" s="217">
        <v>1</v>
      </c>
      <c r="R607" s="217">
        <v>5</v>
      </c>
      <c r="S607" s="217">
        <v>0</v>
      </c>
      <c r="T607" s="53"/>
      <c r="V607" s="49" t="str">
        <f t="shared" si="88"/>
        <v>0</v>
      </c>
      <c r="W607" s="49" t="str">
        <f t="shared" si="89"/>
        <v>0</v>
      </c>
      <c r="X607" s="49" t="str">
        <f t="shared" si="90"/>
        <v>0</v>
      </c>
      <c r="Y607" s="49">
        <f t="shared" si="91"/>
        <v>0</v>
      </c>
      <c r="Z607" s="49">
        <f t="shared" si="91"/>
        <v>0</v>
      </c>
      <c r="AA607" s="49">
        <f t="shared" si="92"/>
        <v>1</v>
      </c>
      <c r="AB607" s="49" t="str">
        <f t="shared" si="95"/>
        <v>101</v>
      </c>
      <c r="AC607" s="49">
        <f t="shared" si="93"/>
        <v>0</v>
      </c>
      <c r="AD607" s="49">
        <v>0</v>
      </c>
      <c r="AE607" s="49" t="str">
        <f t="shared" si="94"/>
        <v>32C00</v>
      </c>
    </row>
    <row r="608" spans="1:31" x14ac:dyDescent="0.15">
      <c r="A608" s="42" t="str">
        <f t="shared" si="87"/>
        <v>0</v>
      </c>
      <c r="B608" s="43">
        <v>606</v>
      </c>
      <c r="C608" s="213" t="s">
        <v>2531</v>
      </c>
      <c r="D608" s="211" t="s">
        <v>1027</v>
      </c>
      <c r="E608" s="214" t="s">
        <v>2532</v>
      </c>
      <c r="F608" s="215" t="s">
        <v>856</v>
      </c>
      <c r="G608" s="216">
        <v>0</v>
      </c>
      <c r="H608" s="217">
        <v>65535</v>
      </c>
      <c r="I608" s="213">
        <v>0</v>
      </c>
      <c r="J608" s="217">
        <v>0</v>
      </c>
      <c r="K608" s="217">
        <v>0</v>
      </c>
      <c r="L608" s="217" t="s">
        <v>859</v>
      </c>
      <c r="M608" s="217">
        <v>1</v>
      </c>
      <c r="N608" s="217" t="s">
        <v>1910</v>
      </c>
      <c r="O608" s="217">
        <v>0</v>
      </c>
      <c r="P608" s="213">
        <v>0</v>
      </c>
      <c r="Q608" s="217">
        <v>1</v>
      </c>
      <c r="R608" s="217">
        <v>5</v>
      </c>
      <c r="S608" s="217">
        <v>0</v>
      </c>
      <c r="T608" s="53"/>
      <c r="V608" s="49" t="str">
        <f t="shared" si="88"/>
        <v>0</v>
      </c>
      <c r="W608" s="49" t="str">
        <f t="shared" si="89"/>
        <v>0</v>
      </c>
      <c r="X608" s="49" t="str">
        <f t="shared" si="90"/>
        <v>0</v>
      </c>
      <c r="Y608" s="49">
        <f t="shared" si="91"/>
        <v>0</v>
      </c>
      <c r="Z608" s="49">
        <f t="shared" si="91"/>
        <v>0</v>
      </c>
      <c r="AA608" s="49">
        <f t="shared" si="92"/>
        <v>1</v>
      </c>
      <c r="AB608" s="49" t="str">
        <f t="shared" si="95"/>
        <v>101</v>
      </c>
      <c r="AC608" s="49">
        <f t="shared" si="93"/>
        <v>0</v>
      </c>
      <c r="AD608" s="49">
        <v>0</v>
      </c>
      <c r="AE608" s="49" t="str">
        <f t="shared" si="94"/>
        <v>32C00</v>
      </c>
    </row>
    <row r="609" spans="1:31" x14ac:dyDescent="0.15">
      <c r="A609" s="42" t="str">
        <f t="shared" si="87"/>
        <v>0</v>
      </c>
      <c r="B609" s="43">
        <v>607</v>
      </c>
      <c r="C609" s="213" t="s">
        <v>2533</v>
      </c>
      <c r="D609" s="211" t="s">
        <v>1027</v>
      </c>
      <c r="E609" s="214" t="s">
        <v>2534</v>
      </c>
      <c r="F609" s="215" t="s">
        <v>856</v>
      </c>
      <c r="G609" s="216">
        <v>0</v>
      </c>
      <c r="H609" s="217">
        <v>65535</v>
      </c>
      <c r="I609" s="213">
        <v>0</v>
      </c>
      <c r="J609" s="217">
        <v>0</v>
      </c>
      <c r="K609" s="217">
        <v>0</v>
      </c>
      <c r="L609" s="217" t="s">
        <v>859</v>
      </c>
      <c r="M609" s="217">
        <v>1</v>
      </c>
      <c r="N609" s="217" t="s">
        <v>1910</v>
      </c>
      <c r="O609" s="217">
        <v>0</v>
      </c>
      <c r="P609" s="213">
        <v>0</v>
      </c>
      <c r="Q609" s="217">
        <v>1</v>
      </c>
      <c r="R609" s="217">
        <v>5</v>
      </c>
      <c r="S609" s="217">
        <v>0</v>
      </c>
      <c r="T609" s="53"/>
      <c r="V609" s="49" t="str">
        <f t="shared" si="88"/>
        <v>0</v>
      </c>
      <c r="W609" s="49" t="str">
        <f t="shared" si="89"/>
        <v>0</v>
      </c>
      <c r="X609" s="49" t="str">
        <f t="shared" si="90"/>
        <v>0</v>
      </c>
      <c r="Y609" s="49">
        <f t="shared" si="91"/>
        <v>0</v>
      </c>
      <c r="Z609" s="49">
        <f t="shared" si="91"/>
        <v>0</v>
      </c>
      <c r="AA609" s="49">
        <f t="shared" si="92"/>
        <v>1</v>
      </c>
      <c r="AB609" s="49" t="str">
        <f t="shared" si="95"/>
        <v>101</v>
      </c>
      <c r="AC609" s="49">
        <f t="shared" si="93"/>
        <v>0</v>
      </c>
      <c r="AD609" s="49">
        <v>0</v>
      </c>
      <c r="AE609" s="49" t="str">
        <f t="shared" si="94"/>
        <v>32C00</v>
      </c>
    </row>
    <row r="610" spans="1:31" x14ac:dyDescent="0.15">
      <c r="A610" s="42" t="str">
        <f t="shared" si="87"/>
        <v>0</v>
      </c>
      <c r="B610" s="43">
        <v>608</v>
      </c>
      <c r="C610" s="213" t="s">
        <v>2535</v>
      </c>
      <c r="D610" s="211" t="s">
        <v>1027</v>
      </c>
      <c r="E610" s="214" t="s">
        <v>2536</v>
      </c>
      <c r="F610" s="215" t="s">
        <v>856</v>
      </c>
      <c r="G610" s="216">
        <v>0</v>
      </c>
      <c r="H610" s="217">
        <v>65535</v>
      </c>
      <c r="I610" s="213">
        <v>0</v>
      </c>
      <c r="J610" s="217">
        <v>0</v>
      </c>
      <c r="K610" s="217">
        <v>0</v>
      </c>
      <c r="L610" s="217" t="s">
        <v>859</v>
      </c>
      <c r="M610" s="217">
        <v>1</v>
      </c>
      <c r="N610" s="217" t="s">
        <v>1910</v>
      </c>
      <c r="O610" s="217">
        <v>0</v>
      </c>
      <c r="P610" s="213">
        <v>0</v>
      </c>
      <c r="Q610" s="217">
        <v>1</v>
      </c>
      <c r="R610" s="217">
        <v>5</v>
      </c>
      <c r="S610" s="217">
        <v>0</v>
      </c>
      <c r="T610" s="53"/>
      <c r="V610" s="49" t="str">
        <f t="shared" si="88"/>
        <v>0</v>
      </c>
      <c r="W610" s="49" t="str">
        <f t="shared" si="89"/>
        <v>0</v>
      </c>
      <c r="X610" s="49" t="str">
        <f t="shared" si="90"/>
        <v>0</v>
      </c>
      <c r="Y610" s="49">
        <f t="shared" si="91"/>
        <v>0</v>
      </c>
      <c r="Z610" s="49">
        <f t="shared" si="91"/>
        <v>0</v>
      </c>
      <c r="AA610" s="49">
        <f t="shared" si="92"/>
        <v>1</v>
      </c>
      <c r="AB610" s="49" t="str">
        <f t="shared" si="95"/>
        <v>101</v>
      </c>
      <c r="AC610" s="49">
        <f t="shared" si="93"/>
        <v>0</v>
      </c>
      <c r="AD610" s="49">
        <v>0</v>
      </c>
      <c r="AE610" s="49" t="str">
        <f t="shared" si="94"/>
        <v>32C00</v>
      </c>
    </row>
    <row r="611" spans="1:31" x14ac:dyDescent="0.15">
      <c r="A611" s="42" t="str">
        <f t="shared" si="87"/>
        <v>0</v>
      </c>
      <c r="B611" s="43">
        <v>609</v>
      </c>
      <c r="C611" s="213" t="s">
        <v>2537</v>
      </c>
      <c r="D611" s="211" t="s">
        <v>1027</v>
      </c>
      <c r="E611" s="214" t="s">
        <v>2538</v>
      </c>
      <c r="F611" s="215" t="s">
        <v>856</v>
      </c>
      <c r="G611" s="216">
        <v>0</v>
      </c>
      <c r="H611" s="217">
        <v>65535</v>
      </c>
      <c r="I611" s="213">
        <v>0</v>
      </c>
      <c r="J611" s="217">
        <v>0</v>
      </c>
      <c r="K611" s="217">
        <v>0</v>
      </c>
      <c r="L611" s="217" t="s">
        <v>859</v>
      </c>
      <c r="M611" s="217">
        <v>1</v>
      </c>
      <c r="N611" s="217" t="s">
        <v>1910</v>
      </c>
      <c r="O611" s="217">
        <v>0</v>
      </c>
      <c r="P611" s="213">
        <v>0</v>
      </c>
      <c r="Q611" s="217">
        <v>1</v>
      </c>
      <c r="R611" s="217">
        <v>5</v>
      </c>
      <c r="S611" s="217">
        <v>0</v>
      </c>
      <c r="T611" s="53"/>
      <c r="V611" s="49" t="str">
        <f t="shared" si="88"/>
        <v>0</v>
      </c>
      <c r="W611" s="49" t="str">
        <f t="shared" si="89"/>
        <v>0</v>
      </c>
      <c r="X611" s="49" t="str">
        <f t="shared" si="90"/>
        <v>0</v>
      </c>
      <c r="Y611" s="49">
        <f t="shared" si="91"/>
        <v>0</v>
      </c>
      <c r="Z611" s="49">
        <f t="shared" si="91"/>
        <v>0</v>
      </c>
      <c r="AA611" s="49">
        <f t="shared" si="92"/>
        <v>1</v>
      </c>
      <c r="AB611" s="49" t="str">
        <f t="shared" si="95"/>
        <v>101</v>
      </c>
      <c r="AC611" s="49">
        <f t="shared" si="93"/>
        <v>0</v>
      </c>
      <c r="AD611" s="49">
        <v>0</v>
      </c>
      <c r="AE611" s="49" t="str">
        <f t="shared" si="94"/>
        <v>32C00</v>
      </c>
    </row>
    <row r="612" spans="1:31" x14ac:dyDescent="0.15">
      <c r="A612" s="42" t="str">
        <f t="shared" si="87"/>
        <v>0</v>
      </c>
      <c r="B612" s="43">
        <v>610</v>
      </c>
      <c r="C612" s="213" t="s">
        <v>2539</v>
      </c>
      <c r="D612" s="211" t="s">
        <v>1027</v>
      </c>
      <c r="E612" s="214" t="s">
        <v>2540</v>
      </c>
      <c r="F612" s="215" t="s">
        <v>856</v>
      </c>
      <c r="G612" s="216">
        <v>0</v>
      </c>
      <c r="H612" s="217">
        <v>65535</v>
      </c>
      <c r="I612" s="213">
        <v>0</v>
      </c>
      <c r="J612" s="217">
        <v>0</v>
      </c>
      <c r="K612" s="217">
        <v>0</v>
      </c>
      <c r="L612" s="217" t="s">
        <v>859</v>
      </c>
      <c r="M612" s="217">
        <v>1</v>
      </c>
      <c r="N612" s="217" t="s">
        <v>1910</v>
      </c>
      <c r="O612" s="217">
        <v>0</v>
      </c>
      <c r="P612" s="213">
        <v>0</v>
      </c>
      <c r="Q612" s="217">
        <v>1</v>
      </c>
      <c r="R612" s="217">
        <v>5</v>
      </c>
      <c r="S612" s="217">
        <v>0</v>
      </c>
      <c r="T612" s="53"/>
      <c r="V612" s="49" t="str">
        <f t="shared" si="88"/>
        <v>0</v>
      </c>
      <c r="W612" s="49" t="str">
        <f t="shared" si="89"/>
        <v>0</v>
      </c>
      <c r="X612" s="49" t="str">
        <f t="shared" si="90"/>
        <v>0</v>
      </c>
      <c r="Y612" s="49">
        <f t="shared" si="91"/>
        <v>0</v>
      </c>
      <c r="Z612" s="49">
        <f t="shared" si="91"/>
        <v>0</v>
      </c>
      <c r="AA612" s="49">
        <f t="shared" si="92"/>
        <v>1</v>
      </c>
      <c r="AB612" s="49" t="str">
        <f t="shared" si="95"/>
        <v>101</v>
      </c>
      <c r="AC612" s="49">
        <f t="shared" si="93"/>
        <v>0</v>
      </c>
      <c r="AD612" s="49">
        <v>0</v>
      </c>
      <c r="AE612" s="49" t="str">
        <f t="shared" si="94"/>
        <v>32C00</v>
      </c>
    </row>
    <row r="613" spans="1:31" x14ac:dyDescent="0.15">
      <c r="A613" s="42" t="str">
        <f t="shared" si="87"/>
        <v>0</v>
      </c>
      <c r="B613" s="43">
        <v>611</v>
      </c>
      <c r="C613" s="213" t="s">
        <v>2541</v>
      </c>
      <c r="D613" s="211" t="s">
        <v>1027</v>
      </c>
      <c r="E613" s="214" t="s">
        <v>2542</v>
      </c>
      <c r="F613" s="215" t="s">
        <v>856</v>
      </c>
      <c r="G613" s="216">
        <v>0</v>
      </c>
      <c r="H613" s="217">
        <v>65535</v>
      </c>
      <c r="I613" s="213">
        <v>0</v>
      </c>
      <c r="J613" s="217">
        <v>0</v>
      </c>
      <c r="K613" s="217">
        <v>0</v>
      </c>
      <c r="L613" s="217" t="s">
        <v>859</v>
      </c>
      <c r="M613" s="217">
        <v>1</v>
      </c>
      <c r="N613" s="217" t="s">
        <v>1910</v>
      </c>
      <c r="O613" s="217">
        <v>0</v>
      </c>
      <c r="P613" s="213">
        <v>0</v>
      </c>
      <c r="Q613" s="217">
        <v>1</v>
      </c>
      <c r="R613" s="217">
        <v>5</v>
      </c>
      <c r="S613" s="217">
        <v>0</v>
      </c>
      <c r="T613" s="53"/>
      <c r="V613" s="49" t="str">
        <f t="shared" si="88"/>
        <v>0</v>
      </c>
      <c r="W613" s="49" t="str">
        <f t="shared" si="89"/>
        <v>0</v>
      </c>
      <c r="X613" s="49" t="str">
        <f t="shared" si="90"/>
        <v>0</v>
      </c>
      <c r="Y613" s="49">
        <f t="shared" si="91"/>
        <v>0</v>
      </c>
      <c r="Z613" s="49">
        <f t="shared" si="91"/>
        <v>0</v>
      </c>
      <c r="AA613" s="49">
        <f t="shared" si="92"/>
        <v>1</v>
      </c>
      <c r="AB613" s="49" t="str">
        <f t="shared" si="95"/>
        <v>101</v>
      </c>
      <c r="AC613" s="49">
        <f t="shared" si="93"/>
        <v>0</v>
      </c>
      <c r="AD613" s="49">
        <v>0</v>
      </c>
      <c r="AE613" s="49" t="str">
        <f t="shared" si="94"/>
        <v>32C00</v>
      </c>
    </row>
    <row r="614" spans="1:31" x14ac:dyDescent="0.15">
      <c r="A614" s="42" t="str">
        <f t="shared" si="87"/>
        <v>0</v>
      </c>
      <c r="B614" s="43">
        <v>612</v>
      </c>
      <c r="C614" s="213" t="s">
        <v>2543</v>
      </c>
      <c r="D614" s="211" t="s">
        <v>1027</v>
      </c>
      <c r="E614" s="214" t="s">
        <v>2544</v>
      </c>
      <c r="F614" s="215" t="s">
        <v>856</v>
      </c>
      <c r="G614" s="216">
        <v>0</v>
      </c>
      <c r="H614" s="217">
        <v>65535</v>
      </c>
      <c r="I614" s="213">
        <v>0</v>
      </c>
      <c r="J614" s="217">
        <v>0</v>
      </c>
      <c r="K614" s="217">
        <v>0</v>
      </c>
      <c r="L614" s="217" t="s">
        <v>859</v>
      </c>
      <c r="M614" s="217">
        <v>1</v>
      </c>
      <c r="N614" s="217" t="s">
        <v>1910</v>
      </c>
      <c r="O614" s="217">
        <v>0</v>
      </c>
      <c r="P614" s="213">
        <v>0</v>
      </c>
      <c r="Q614" s="217">
        <v>1</v>
      </c>
      <c r="R614" s="217">
        <v>5</v>
      </c>
      <c r="S614" s="217">
        <v>0</v>
      </c>
      <c r="T614" s="53"/>
      <c r="V614" s="49" t="str">
        <f t="shared" si="88"/>
        <v>0</v>
      </c>
      <c r="W614" s="49" t="str">
        <f t="shared" si="89"/>
        <v>0</v>
      </c>
      <c r="X614" s="49" t="str">
        <f t="shared" si="90"/>
        <v>0</v>
      </c>
      <c r="Y614" s="49">
        <f t="shared" si="91"/>
        <v>0</v>
      </c>
      <c r="Z614" s="49">
        <f t="shared" si="91"/>
        <v>0</v>
      </c>
      <c r="AA614" s="49">
        <f t="shared" si="92"/>
        <v>1</v>
      </c>
      <c r="AB614" s="49" t="str">
        <f t="shared" si="95"/>
        <v>101</v>
      </c>
      <c r="AC614" s="49">
        <f t="shared" si="93"/>
        <v>0</v>
      </c>
      <c r="AD614" s="49">
        <v>0</v>
      </c>
      <c r="AE614" s="49" t="str">
        <f t="shared" si="94"/>
        <v>32C00</v>
      </c>
    </row>
    <row r="615" spans="1:31" x14ac:dyDescent="0.15">
      <c r="A615" s="42" t="str">
        <f t="shared" si="87"/>
        <v>0</v>
      </c>
      <c r="B615" s="43">
        <v>613</v>
      </c>
      <c r="C615" s="213" t="s">
        <v>2545</v>
      </c>
      <c r="D615" s="211" t="s">
        <v>1027</v>
      </c>
      <c r="E615" s="214" t="s">
        <v>2546</v>
      </c>
      <c r="F615" s="215" t="s">
        <v>856</v>
      </c>
      <c r="G615" s="216">
        <v>0</v>
      </c>
      <c r="H615" s="217">
        <v>65535</v>
      </c>
      <c r="I615" s="213">
        <v>0</v>
      </c>
      <c r="J615" s="217">
        <v>0</v>
      </c>
      <c r="K615" s="217">
        <v>0</v>
      </c>
      <c r="L615" s="217" t="s">
        <v>859</v>
      </c>
      <c r="M615" s="217">
        <v>1</v>
      </c>
      <c r="N615" s="217" t="s">
        <v>1910</v>
      </c>
      <c r="O615" s="217">
        <v>0</v>
      </c>
      <c r="P615" s="213">
        <v>0</v>
      </c>
      <c r="Q615" s="217">
        <v>1</v>
      </c>
      <c r="R615" s="217">
        <v>5</v>
      </c>
      <c r="S615" s="217">
        <v>0</v>
      </c>
      <c r="T615" s="53"/>
      <c r="V615" s="49" t="str">
        <f t="shared" si="88"/>
        <v>0</v>
      </c>
      <c r="W615" s="49" t="str">
        <f t="shared" si="89"/>
        <v>0</v>
      </c>
      <c r="X615" s="49" t="str">
        <f t="shared" si="90"/>
        <v>0</v>
      </c>
      <c r="Y615" s="49">
        <f t="shared" si="91"/>
        <v>0</v>
      </c>
      <c r="Z615" s="49">
        <f t="shared" si="91"/>
        <v>0</v>
      </c>
      <c r="AA615" s="49">
        <f t="shared" si="92"/>
        <v>1</v>
      </c>
      <c r="AB615" s="49" t="str">
        <f t="shared" si="95"/>
        <v>101</v>
      </c>
      <c r="AC615" s="49">
        <f t="shared" si="93"/>
        <v>0</v>
      </c>
      <c r="AD615" s="49">
        <v>0</v>
      </c>
      <c r="AE615" s="49" t="str">
        <f t="shared" si="94"/>
        <v>32C00</v>
      </c>
    </row>
    <row r="616" spans="1:31" x14ac:dyDescent="0.15">
      <c r="A616" s="42" t="str">
        <f t="shared" si="87"/>
        <v>0</v>
      </c>
      <c r="B616" s="43">
        <v>614</v>
      </c>
      <c r="C616" s="213" t="s">
        <v>2547</v>
      </c>
      <c r="D616" s="211" t="s">
        <v>1027</v>
      </c>
      <c r="E616" s="214" t="s">
        <v>2548</v>
      </c>
      <c r="F616" s="215" t="s">
        <v>856</v>
      </c>
      <c r="G616" s="216">
        <v>0</v>
      </c>
      <c r="H616" s="217">
        <v>65535</v>
      </c>
      <c r="I616" s="213">
        <v>0</v>
      </c>
      <c r="J616" s="217">
        <v>0</v>
      </c>
      <c r="K616" s="217">
        <v>0</v>
      </c>
      <c r="L616" s="217" t="s">
        <v>859</v>
      </c>
      <c r="M616" s="217">
        <v>1</v>
      </c>
      <c r="N616" s="217" t="s">
        <v>1910</v>
      </c>
      <c r="O616" s="217">
        <v>0</v>
      </c>
      <c r="P616" s="213">
        <v>0</v>
      </c>
      <c r="Q616" s="217">
        <v>1</v>
      </c>
      <c r="R616" s="217">
        <v>5</v>
      </c>
      <c r="S616" s="217">
        <v>0</v>
      </c>
      <c r="T616" s="53"/>
      <c r="V616" s="49" t="str">
        <f t="shared" si="88"/>
        <v>0</v>
      </c>
      <c r="W616" s="49" t="str">
        <f t="shared" si="89"/>
        <v>0</v>
      </c>
      <c r="X616" s="49" t="str">
        <f t="shared" si="90"/>
        <v>0</v>
      </c>
      <c r="Y616" s="49">
        <f t="shared" si="91"/>
        <v>0</v>
      </c>
      <c r="Z616" s="49">
        <f t="shared" si="91"/>
        <v>0</v>
      </c>
      <c r="AA616" s="49">
        <f t="shared" si="92"/>
        <v>1</v>
      </c>
      <c r="AB616" s="49" t="str">
        <f t="shared" si="95"/>
        <v>101</v>
      </c>
      <c r="AC616" s="49">
        <f t="shared" si="93"/>
        <v>0</v>
      </c>
      <c r="AD616" s="49">
        <v>0</v>
      </c>
      <c r="AE616" s="49" t="str">
        <f t="shared" si="94"/>
        <v>32C00</v>
      </c>
    </row>
    <row r="617" spans="1:31" x14ac:dyDescent="0.15">
      <c r="A617" s="42" t="str">
        <f t="shared" si="87"/>
        <v>0</v>
      </c>
      <c r="B617" s="43">
        <v>615</v>
      </c>
      <c r="C617" s="213" t="s">
        <v>2549</v>
      </c>
      <c r="D617" s="211" t="s">
        <v>1027</v>
      </c>
      <c r="E617" s="214" t="s">
        <v>2550</v>
      </c>
      <c r="F617" s="215" t="s">
        <v>856</v>
      </c>
      <c r="G617" s="216">
        <v>0</v>
      </c>
      <c r="H617" s="217">
        <v>65535</v>
      </c>
      <c r="I617" s="213">
        <v>0</v>
      </c>
      <c r="J617" s="217">
        <v>0</v>
      </c>
      <c r="K617" s="217">
        <v>0</v>
      </c>
      <c r="L617" s="217" t="s">
        <v>859</v>
      </c>
      <c r="M617" s="217">
        <v>1</v>
      </c>
      <c r="N617" s="217" t="s">
        <v>1910</v>
      </c>
      <c r="O617" s="217">
        <v>0</v>
      </c>
      <c r="P617" s="213">
        <v>0</v>
      </c>
      <c r="Q617" s="217">
        <v>1</v>
      </c>
      <c r="R617" s="217">
        <v>5</v>
      </c>
      <c r="S617" s="217">
        <v>0</v>
      </c>
      <c r="T617" s="53"/>
      <c r="V617" s="49" t="str">
        <f t="shared" si="88"/>
        <v>0</v>
      </c>
      <c r="W617" s="49" t="str">
        <f t="shared" si="89"/>
        <v>0</v>
      </c>
      <c r="X617" s="49" t="str">
        <f t="shared" si="90"/>
        <v>0</v>
      </c>
      <c r="Y617" s="49">
        <f t="shared" si="91"/>
        <v>0</v>
      </c>
      <c r="Z617" s="49">
        <f t="shared" si="91"/>
        <v>0</v>
      </c>
      <c r="AA617" s="49">
        <f t="shared" si="92"/>
        <v>1</v>
      </c>
      <c r="AB617" s="49" t="str">
        <f t="shared" si="95"/>
        <v>101</v>
      </c>
      <c r="AC617" s="49">
        <f t="shared" si="93"/>
        <v>0</v>
      </c>
      <c r="AD617" s="49">
        <v>0</v>
      </c>
      <c r="AE617" s="49" t="str">
        <f t="shared" si="94"/>
        <v>32C00</v>
      </c>
    </row>
    <row r="618" spans="1:31" x14ac:dyDescent="0.15">
      <c r="A618" s="42" t="str">
        <f t="shared" si="87"/>
        <v>0</v>
      </c>
      <c r="B618" s="43">
        <v>616</v>
      </c>
      <c r="C618" s="213" t="s">
        <v>2551</v>
      </c>
      <c r="D618" s="211" t="s">
        <v>1027</v>
      </c>
      <c r="E618" s="214" t="s">
        <v>2552</v>
      </c>
      <c r="F618" s="215" t="s">
        <v>856</v>
      </c>
      <c r="G618" s="216">
        <v>0</v>
      </c>
      <c r="H618" s="217">
        <v>65535</v>
      </c>
      <c r="I618" s="213">
        <v>0</v>
      </c>
      <c r="J618" s="217">
        <v>0</v>
      </c>
      <c r="K618" s="217">
        <v>0</v>
      </c>
      <c r="L618" s="217" t="s">
        <v>859</v>
      </c>
      <c r="M618" s="217">
        <v>1</v>
      </c>
      <c r="N618" s="217" t="s">
        <v>1910</v>
      </c>
      <c r="O618" s="217">
        <v>0</v>
      </c>
      <c r="P618" s="213">
        <v>0</v>
      </c>
      <c r="Q618" s="217">
        <v>1</v>
      </c>
      <c r="R618" s="217">
        <v>5</v>
      </c>
      <c r="S618" s="217">
        <v>0</v>
      </c>
      <c r="T618" s="53"/>
      <c r="V618" s="49" t="str">
        <f t="shared" si="88"/>
        <v>0</v>
      </c>
      <c r="W618" s="49" t="str">
        <f t="shared" si="89"/>
        <v>0</v>
      </c>
      <c r="X618" s="49" t="str">
        <f t="shared" si="90"/>
        <v>0</v>
      </c>
      <c r="Y618" s="49">
        <f t="shared" si="91"/>
        <v>0</v>
      </c>
      <c r="Z618" s="49">
        <f t="shared" si="91"/>
        <v>0</v>
      </c>
      <c r="AA618" s="49">
        <f t="shared" si="92"/>
        <v>1</v>
      </c>
      <c r="AB618" s="49" t="str">
        <f t="shared" si="95"/>
        <v>101</v>
      </c>
      <c r="AC618" s="49">
        <f t="shared" si="93"/>
        <v>0</v>
      </c>
      <c r="AD618" s="49">
        <v>0</v>
      </c>
      <c r="AE618" s="49" t="str">
        <f t="shared" si="94"/>
        <v>32C00</v>
      </c>
    </row>
    <row r="619" spans="1:31" x14ac:dyDescent="0.15">
      <c r="A619" s="42" t="str">
        <f t="shared" si="87"/>
        <v>0</v>
      </c>
      <c r="B619" s="43">
        <v>617</v>
      </c>
      <c r="C619" s="213" t="s">
        <v>2553</v>
      </c>
      <c r="D619" s="211" t="s">
        <v>1027</v>
      </c>
      <c r="E619" s="214" t="s">
        <v>2554</v>
      </c>
      <c r="F619" s="215" t="s">
        <v>856</v>
      </c>
      <c r="G619" s="216">
        <v>0</v>
      </c>
      <c r="H619" s="217">
        <v>65535</v>
      </c>
      <c r="I619" s="213">
        <v>0</v>
      </c>
      <c r="J619" s="217">
        <v>0</v>
      </c>
      <c r="K619" s="217">
        <v>0</v>
      </c>
      <c r="L619" s="217" t="s">
        <v>859</v>
      </c>
      <c r="M619" s="217">
        <v>1</v>
      </c>
      <c r="N619" s="217" t="s">
        <v>1910</v>
      </c>
      <c r="O619" s="217">
        <v>0</v>
      </c>
      <c r="P619" s="213">
        <v>0</v>
      </c>
      <c r="Q619" s="217">
        <v>1</v>
      </c>
      <c r="R619" s="217">
        <v>5</v>
      </c>
      <c r="S619" s="217">
        <v>0</v>
      </c>
      <c r="T619" s="53"/>
      <c r="V619" s="49" t="str">
        <f t="shared" si="88"/>
        <v>0</v>
      </c>
      <c r="W619" s="49" t="str">
        <f t="shared" si="89"/>
        <v>0</v>
      </c>
      <c r="X619" s="49" t="str">
        <f t="shared" si="90"/>
        <v>0</v>
      </c>
      <c r="Y619" s="49">
        <f t="shared" si="91"/>
        <v>0</v>
      </c>
      <c r="Z619" s="49">
        <f t="shared" si="91"/>
        <v>0</v>
      </c>
      <c r="AA619" s="49">
        <f t="shared" si="92"/>
        <v>1</v>
      </c>
      <c r="AB619" s="49" t="str">
        <f t="shared" si="95"/>
        <v>101</v>
      </c>
      <c r="AC619" s="49">
        <f t="shared" si="93"/>
        <v>0</v>
      </c>
      <c r="AD619" s="49">
        <v>0</v>
      </c>
      <c r="AE619" s="49" t="str">
        <f t="shared" si="94"/>
        <v>32C00</v>
      </c>
    </row>
    <row r="620" spans="1:31" x14ac:dyDescent="0.15">
      <c r="A620" s="42" t="str">
        <f t="shared" si="87"/>
        <v>0</v>
      </c>
      <c r="B620" s="43">
        <v>618</v>
      </c>
      <c r="C620" s="213" t="s">
        <v>2555</v>
      </c>
      <c r="D620" s="211" t="s">
        <v>1027</v>
      </c>
      <c r="E620" s="214" t="s">
        <v>2556</v>
      </c>
      <c r="F620" s="215" t="s">
        <v>856</v>
      </c>
      <c r="G620" s="216">
        <v>0</v>
      </c>
      <c r="H620" s="217">
        <v>65535</v>
      </c>
      <c r="I620" s="213">
        <v>0</v>
      </c>
      <c r="J620" s="217">
        <v>0</v>
      </c>
      <c r="K620" s="217">
        <v>0</v>
      </c>
      <c r="L620" s="217" t="s">
        <v>859</v>
      </c>
      <c r="M620" s="217">
        <v>1</v>
      </c>
      <c r="N620" s="217" t="s">
        <v>1910</v>
      </c>
      <c r="O620" s="217">
        <v>0</v>
      </c>
      <c r="P620" s="213">
        <v>0</v>
      </c>
      <c r="Q620" s="217">
        <v>1</v>
      </c>
      <c r="R620" s="217">
        <v>5</v>
      </c>
      <c r="S620" s="217">
        <v>0</v>
      </c>
      <c r="T620" s="53"/>
      <c r="V620" s="49" t="str">
        <f t="shared" si="88"/>
        <v>0</v>
      </c>
      <c r="W620" s="49" t="str">
        <f t="shared" si="89"/>
        <v>0</v>
      </c>
      <c r="X620" s="49" t="str">
        <f t="shared" si="90"/>
        <v>0</v>
      </c>
      <c r="Y620" s="49">
        <f t="shared" si="91"/>
        <v>0</v>
      </c>
      <c r="Z620" s="49">
        <f t="shared" si="91"/>
        <v>0</v>
      </c>
      <c r="AA620" s="49">
        <f t="shared" si="92"/>
        <v>1</v>
      </c>
      <c r="AB620" s="49" t="str">
        <f t="shared" si="95"/>
        <v>101</v>
      </c>
      <c r="AC620" s="49">
        <f t="shared" si="93"/>
        <v>0</v>
      </c>
      <c r="AD620" s="49">
        <v>0</v>
      </c>
      <c r="AE620" s="49" t="str">
        <f t="shared" si="94"/>
        <v>32C00</v>
      </c>
    </row>
    <row r="621" spans="1:31" x14ac:dyDescent="0.15">
      <c r="A621" s="42" t="str">
        <f t="shared" si="87"/>
        <v>0</v>
      </c>
      <c r="B621" s="43">
        <v>619</v>
      </c>
      <c r="C621" s="213" t="s">
        <v>2557</v>
      </c>
      <c r="D621" s="211" t="s">
        <v>1027</v>
      </c>
      <c r="E621" s="214" t="s">
        <v>2558</v>
      </c>
      <c r="F621" s="215" t="s">
        <v>856</v>
      </c>
      <c r="G621" s="216">
        <v>0</v>
      </c>
      <c r="H621" s="217">
        <v>65535</v>
      </c>
      <c r="I621" s="213">
        <v>0</v>
      </c>
      <c r="J621" s="217">
        <v>0</v>
      </c>
      <c r="K621" s="217">
        <v>0</v>
      </c>
      <c r="L621" s="217" t="s">
        <v>859</v>
      </c>
      <c r="M621" s="217">
        <v>1</v>
      </c>
      <c r="N621" s="217" t="s">
        <v>1910</v>
      </c>
      <c r="O621" s="217">
        <v>0</v>
      </c>
      <c r="P621" s="213">
        <v>0</v>
      </c>
      <c r="Q621" s="217">
        <v>1</v>
      </c>
      <c r="R621" s="217">
        <v>5</v>
      </c>
      <c r="S621" s="217">
        <v>0</v>
      </c>
      <c r="T621" s="53"/>
      <c r="V621" s="49" t="str">
        <f t="shared" si="88"/>
        <v>0</v>
      </c>
      <c r="W621" s="49" t="str">
        <f t="shared" si="89"/>
        <v>0</v>
      </c>
      <c r="X621" s="49" t="str">
        <f t="shared" si="90"/>
        <v>0</v>
      </c>
      <c r="Y621" s="49">
        <f t="shared" si="91"/>
        <v>0</v>
      </c>
      <c r="Z621" s="49">
        <f t="shared" si="91"/>
        <v>0</v>
      </c>
      <c r="AA621" s="49">
        <f t="shared" si="92"/>
        <v>1</v>
      </c>
      <c r="AB621" s="49" t="str">
        <f t="shared" si="95"/>
        <v>101</v>
      </c>
      <c r="AC621" s="49">
        <f t="shared" si="93"/>
        <v>0</v>
      </c>
      <c r="AD621" s="49">
        <v>0</v>
      </c>
      <c r="AE621" s="49" t="str">
        <f t="shared" si="94"/>
        <v>32C00</v>
      </c>
    </row>
    <row r="622" spans="1:31" x14ac:dyDescent="0.15">
      <c r="A622" s="42" t="str">
        <f t="shared" si="87"/>
        <v>0</v>
      </c>
      <c r="B622" s="43">
        <v>620</v>
      </c>
      <c r="C622" s="213" t="s">
        <v>2559</v>
      </c>
      <c r="D622" s="211" t="s">
        <v>1027</v>
      </c>
      <c r="E622" s="214" t="s">
        <v>2560</v>
      </c>
      <c r="F622" s="215" t="s">
        <v>856</v>
      </c>
      <c r="G622" s="216">
        <v>0</v>
      </c>
      <c r="H622" s="217">
        <v>65535</v>
      </c>
      <c r="I622" s="213">
        <v>0</v>
      </c>
      <c r="J622" s="217">
        <v>0</v>
      </c>
      <c r="K622" s="217">
        <v>0</v>
      </c>
      <c r="L622" s="217" t="s">
        <v>859</v>
      </c>
      <c r="M622" s="217">
        <v>1</v>
      </c>
      <c r="N622" s="217" t="s">
        <v>1910</v>
      </c>
      <c r="O622" s="217">
        <v>0</v>
      </c>
      <c r="P622" s="213">
        <v>0</v>
      </c>
      <c r="Q622" s="217">
        <v>1</v>
      </c>
      <c r="R622" s="217">
        <v>5</v>
      </c>
      <c r="S622" s="217">
        <v>0</v>
      </c>
      <c r="T622" s="53"/>
      <c r="V622" s="49" t="str">
        <f t="shared" si="88"/>
        <v>0</v>
      </c>
      <c r="W622" s="49" t="str">
        <f t="shared" si="89"/>
        <v>0</v>
      </c>
      <c r="X622" s="49" t="str">
        <f t="shared" si="90"/>
        <v>0</v>
      </c>
      <c r="Y622" s="49">
        <f t="shared" si="91"/>
        <v>0</v>
      </c>
      <c r="Z622" s="49">
        <f t="shared" si="91"/>
        <v>0</v>
      </c>
      <c r="AA622" s="49">
        <f t="shared" si="92"/>
        <v>1</v>
      </c>
      <c r="AB622" s="49" t="str">
        <f t="shared" si="95"/>
        <v>101</v>
      </c>
      <c r="AC622" s="49">
        <f t="shared" si="93"/>
        <v>0</v>
      </c>
      <c r="AD622" s="49">
        <v>0</v>
      </c>
      <c r="AE622" s="49" t="str">
        <f t="shared" si="94"/>
        <v>32C00</v>
      </c>
    </row>
    <row r="623" spans="1:31" x14ac:dyDescent="0.15">
      <c r="A623" s="42" t="str">
        <f t="shared" si="87"/>
        <v>0</v>
      </c>
      <c r="B623" s="43">
        <v>621</v>
      </c>
      <c r="C623" s="213" t="s">
        <v>2561</v>
      </c>
      <c r="D623" s="211" t="s">
        <v>1027</v>
      </c>
      <c r="E623" s="214" t="s">
        <v>2562</v>
      </c>
      <c r="F623" s="215" t="s">
        <v>856</v>
      </c>
      <c r="G623" s="216">
        <v>0</v>
      </c>
      <c r="H623" s="217">
        <v>65535</v>
      </c>
      <c r="I623" s="213">
        <v>0</v>
      </c>
      <c r="J623" s="217">
        <v>0</v>
      </c>
      <c r="K623" s="217">
        <v>0</v>
      </c>
      <c r="L623" s="217" t="s">
        <v>859</v>
      </c>
      <c r="M623" s="217">
        <v>1</v>
      </c>
      <c r="N623" s="217" t="s">
        <v>1910</v>
      </c>
      <c r="O623" s="217">
        <v>0</v>
      </c>
      <c r="P623" s="213">
        <v>0</v>
      </c>
      <c r="Q623" s="217">
        <v>1</v>
      </c>
      <c r="R623" s="217">
        <v>5</v>
      </c>
      <c r="S623" s="217">
        <v>0</v>
      </c>
      <c r="T623" s="53"/>
      <c r="V623" s="49" t="str">
        <f t="shared" si="88"/>
        <v>0</v>
      </c>
      <c r="W623" s="49" t="str">
        <f t="shared" si="89"/>
        <v>0</v>
      </c>
      <c r="X623" s="49" t="str">
        <f t="shared" si="90"/>
        <v>0</v>
      </c>
      <c r="Y623" s="49">
        <f t="shared" si="91"/>
        <v>0</v>
      </c>
      <c r="Z623" s="49">
        <f t="shared" si="91"/>
        <v>0</v>
      </c>
      <c r="AA623" s="49">
        <f t="shared" si="92"/>
        <v>1</v>
      </c>
      <c r="AB623" s="49" t="str">
        <f t="shared" si="95"/>
        <v>101</v>
      </c>
      <c r="AC623" s="49">
        <f t="shared" si="93"/>
        <v>0</v>
      </c>
      <c r="AD623" s="49">
        <v>0</v>
      </c>
      <c r="AE623" s="49" t="str">
        <f t="shared" si="94"/>
        <v>32C00</v>
      </c>
    </row>
    <row r="624" spans="1:31" x14ac:dyDescent="0.15">
      <c r="A624" s="42" t="str">
        <f t="shared" si="87"/>
        <v>0</v>
      </c>
      <c r="B624" s="43">
        <v>622</v>
      </c>
      <c r="C624" s="213" t="s">
        <v>2563</v>
      </c>
      <c r="D624" s="211" t="s">
        <v>1027</v>
      </c>
      <c r="E624" s="214" t="s">
        <v>2564</v>
      </c>
      <c r="F624" s="215" t="s">
        <v>856</v>
      </c>
      <c r="G624" s="216">
        <v>0</v>
      </c>
      <c r="H624" s="217">
        <v>65535</v>
      </c>
      <c r="I624" s="213">
        <v>0</v>
      </c>
      <c r="J624" s="217">
        <v>0</v>
      </c>
      <c r="K624" s="217">
        <v>0</v>
      </c>
      <c r="L624" s="217" t="s">
        <v>859</v>
      </c>
      <c r="M624" s="217">
        <v>1</v>
      </c>
      <c r="N624" s="217" t="s">
        <v>1910</v>
      </c>
      <c r="O624" s="217">
        <v>0</v>
      </c>
      <c r="P624" s="213">
        <v>0</v>
      </c>
      <c r="Q624" s="217">
        <v>1</v>
      </c>
      <c r="R624" s="217">
        <v>5</v>
      </c>
      <c r="S624" s="217">
        <v>0</v>
      </c>
      <c r="T624" s="53"/>
      <c r="V624" s="49" t="str">
        <f t="shared" si="88"/>
        <v>0</v>
      </c>
      <c r="W624" s="49" t="str">
        <f t="shared" si="89"/>
        <v>0</v>
      </c>
      <c r="X624" s="49" t="str">
        <f t="shared" si="90"/>
        <v>0</v>
      </c>
      <c r="Y624" s="49">
        <f t="shared" si="91"/>
        <v>0</v>
      </c>
      <c r="Z624" s="49">
        <f t="shared" si="91"/>
        <v>0</v>
      </c>
      <c r="AA624" s="49">
        <f t="shared" si="92"/>
        <v>1</v>
      </c>
      <c r="AB624" s="49" t="str">
        <f t="shared" si="95"/>
        <v>101</v>
      </c>
      <c r="AC624" s="49">
        <f t="shared" si="93"/>
        <v>0</v>
      </c>
      <c r="AD624" s="49">
        <v>0</v>
      </c>
      <c r="AE624" s="49" t="str">
        <f t="shared" si="94"/>
        <v>32C00</v>
      </c>
    </row>
    <row r="625" spans="1:31" s="327" customFormat="1" ht="84" x14ac:dyDescent="0.15">
      <c r="A625" s="318" t="str">
        <f t="shared" si="87"/>
        <v>0</v>
      </c>
      <c r="B625" s="319">
        <v>623</v>
      </c>
      <c r="C625" s="276" t="s">
        <v>2767</v>
      </c>
      <c r="D625" s="271" t="s">
        <v>1027</v>
      </c>
      <c r="E625" s="272" t="s">
        <v>2565</v>
      </c>
      <c r="F625" s="273" t="s">
        <v>2768</v>
      </c>
      <c r="G625" s="274">
        <v>0</v>
      </c>
      <c r="H625" s="275">
        <v>5</v>
      </c>
      <c r="I625" s="276">
        <v>0</v>
      </c>
      <c r="J625" s="275">
        <v>0</v>
      </c>
      <c r="K625" s="275">
        <v>0</v>
      </c>
      <c r="L625" s="275" t="s">
        <v>860</v>
      </c>
      <c r="M625" s="275">
        <v>1</v>
      </c>
      <c r="N625" s="275" t="s">
        <v>1910</v>
      </c>
      <c r="O625" s="275">
        <v>0</v>
      </c>
      <c r="P625" s="276">
        <v>0</v>
      </c>
      <c r="Q625" s="275">
        <v>1</v>
      </c>
      <c r="R625" s="275">
        <v>1</v>
      </c>
      <c r="S625" s="275">
        <v>0</v>
      </c>
      <c r="T625" s="331"/>
      <c r="V625" s="327" t="str">
        <f t="shared" si="88"/>
        <v>1</v>
      </c>
      <c r="W625" s="327" t="str">
        <f t="shared" si="89"/>
        <v>0</v>
      </c>
      <c r="X625" s="327" t="str">
        <f t="shared" si="90"/>
        <v>0</v>
      </c>
      <c r="Y625" s="327">
        <f t="shared" si="91"/>
        <v>0</v>
      </c>
      <c r="Z625" s="327">
        <f t="shared" si="91"/>
        <v>0</v>
      </c>
      <c r="AA625" s="327">
        <f t="shared" si="92"/>
        <v>1</v>
      </c>
      <c r="AB625" s="327" t="str">
        <f t="shared" si="95"/>
        <v>1</v>
      </c>
      <c r="AC625" s="327">
        <f t="shared" si="93"/>
        <v>0</v>
      </c>
      <c r="AD625" s="327">
        <v>0</v>
      </c>
      <c r="AE625" s="327" t="str">
        <f t="shared" si="94"/>
        <v>C01</v>
      </c>
    </row>
    <row r="626" spans="1:31" s="327" customFormat="1" x14ac:dyDescent="0.15">
      <c r="A626" s="318" t="str">
        <f t="shared" si="87"/>
        <v>0</v>
      </c>
      <c r="B626" s="319">
        <v>624</v>
      </c>
      <c r="C626" s="276" t="s">
        <v>2769</v>
      </c>
      <c r="D626" s="271" t="s">
        <v>1027</v>
      </c>
      <c r="E626" s="272" t="s">
        <v>2566</v>
      </c>
      <c r="F626" s="273" t="s">
        <v>2770</v>
      </c>
      <c r="G626" s="274">
        <v>10</v>
      </c>
      <c r="H626" s="275">
        <v>3000</v>
      </c>
      <c r="I626" s="276">
        <v>0</v>
      </c>
      <c r="J626" s="275">
        <v>0</v>
      </c>
      <c r="K626" s="275">
        <v>0</v>
      </c>
      <c r="L626" s="275" t="s">
        <v>859</v>
      </c>
      <c r="M626" s="275">
        <v>1</v>
      </c>
      <c r="N626" s="275" t="s">
        <v>1910</v>
      </c>
      <c r="O626" s="275">
        <v>0</v>
      </c>
      <c r="P626" s="276">
        <v>0</v>
      </c>
      <c r="Q626" s="275">
        <v>1</v>
      </c>
      <c r="R626" s="275">
        <v>4</v>
      </c>
      <c r="S626" s="275">
        <v>0</v>
      </c>
      <c r="T626" s="331"/>
      <c r="V626" s="327" t="str">
        <f t="shared" si="88"/>
        <v>0</v>
      </c>
      <c r="W626" s="327" t="str">
        <f t="shared" si="89"/>
        <v>0</v>
      </c>
      <c r="X626" s="327" t="str">
        <f t="shared" si="90"/>
        <v>0</v>
      </c>
      <c r="Y626" s="327">
        <f t="shared" si="91"/>
        <v>0</v>
      </c>
      <c r="Z626" s="327">
        <f t="shared" si="91"/>
        <v>0</v>
      </c>
      <c r="AA626" s="327">
        <f t="shared" si="92"/>
        <v>1</v>
      </c>
      <c r="AB626" s="327" t="str">
        <f t="shared" si="95"/>
        <v>100</v>
      </c>
      <c r="AC626" s="327">
        <f t="shared" si="93"/>
        <v>0</v>
      </c>
      <c r="AD626" s="327">
        <v>0</v>
      </c>
      <c r="AE626" s="327" t="str">
        <f t="shared" si="94"/>
        <v>32400</v>
      </c>
    </row>
    <row r="627" spans="1:31" s="327" customFormat="1" x14ac:dyDescent="0.15">
      <c r="A627" s="318" t="str">
        <f t="shared" si="87"/>
        <v>0</v>
      </c>
      <c r="B627" s="319">
        <v>625</v>
      </c>
      <c r="C627" s="276" t="s">
        <v>2771</v>
      </c>
      <c r="D627" s="271" t="s">
        <v>1027</v>
      </c>
      <c r="E627" s="272" t="s">
        <v>2567</v>
      </c>
      <c r="F627" s="273" t="s">
        <v>2772</v>
      </c>
      <c r="G627" s="274">
        <v>200</v>
      </c>
      <c r="H627" s="275">
        <v>40000</v>
      </c>
      <c r="I627" s="276">
        <v>0</v>
      </c>
      <c r="J627" s="275">
        <v>0</v>
      </c>
      <c r="K627" s="275">
        <v>0</v>
      </c>
      <c r="L627" s="275" t="s">
        <v>859</v>
      </c>
      <c r="M627" s="275">
        <v>1E-3</v>
      </c>
      <c r="N627" s="275" t="s">
        <v>2188</v>
      </c>
      <c r="O627" s="275">
        <v>0</v>
      </c>
      <c r="P627" s="276">
        <v>0</v>
      </c>
      <c r="Q627" s="275">
        <v>1</v>
      </c>
      <c r="R627" s="275">
        <v>5</v>
      </c>
      <c r="S627" s="275">
        <v>0</v>
      </c>
      <c r="T627" s="331"/>
      <c r="V627" s="327" t="str">
        <f t="shared" si="88"/>
        <v>0</v>
      </c>
      <c r="W627" s="327" t="str">
        <f t="shared" si="89"/>
        <v>11</v>
      </c>
      <c r="X627" s="327" t="str">
        <f t="shared" si="90"/>
        <v>0</v>
      </c>
      <c r="Y627" s="327">
        <f t="shared" si="91"/>
        <v>0</v>
      </c>
      <c r="Z627" s="327">
        <f t="shared" si="91"/>
        <v>0</v>
      </c>
      <c r="AA627" s="327">
        <f t="shared" si="92"/>
        <v>1</v>
      </c>
      <c r="AB627" s="327" t="str">
        <f t="shared" si="95"/>
        <v>101</v>
      </c>
      <c r="AC627" s="327">
        <f t="shared" si="93"/>
        <v>0</v>
      </c>
      <c r="AD627" s="327">
        <v>0</v>
      </c>
      <c r="AE627" s="327" t="str">
        <f t="shared" si="94"/>
        <v>32C2C</v>
      </c>
    </row>
    <row r="628" spans="1:31" s="327" customFormat="1" ht="23.25" x14ac:dyDescent="0.15">
      <c r="A628" s="318" t="str">
        <f t="shared" si="87"/>
        <v>0</v>
      </c>
      <c r="B628" s="319">
        <v>626</v>
      </c>
      <c r="C628" s="276" t="s">
        <v>2773</v>
      </c>
      <c r="D628" s="271" t="s">
        <v>1027</v>
      </c>
      <c r="E628" s="272" t="s">
        <v>2568</v>
      </c>
      <c r="F628" s="273" t="s">
        <v>2774</v>
      </c>
      <c r="G628" s="274">
        <v>1000</v>
      </c>
      <c r="H628" s="275">
        <v>40000</v>
      </c>
      <c r="I628" s="276">
        <v>0</v>
      </c>
      <c r="J628" s="275">
        <v>0</v>
      </c>
      <c r="K628" s="275">
        <v>0</v>
      </c>
      <c r="L628" s="275" t="s">
        <v>859</v>
      </c>
      <c r="M628" s="275">
        <v>1E-3</v>
      </c>
      <c r="N628" s="275" t="s">
        <v>1910</v>
      </c>
      <c r="O628" s="275">
        <v>0</v>
      </c>
      <c r="P628" s="276">
        <v>0</v>
      </c>
      <c r="Q628" s="275">
        <v>1</v>
      </c>
      <c r="R628" s="275">
        <v>5</v>
      </c>
      <c r="S628" s="275">
        <v>0</v>
      </c>
      <c r="T628" s="331"/>
      <c r="V628" s="327" t="str">
        <f t="shared" si="88"/>
        <v>0</v>
      </c>
      <c r="W628" s="327" t="str">
        <f t="shared" si="89"/>
        <v>11</v>
      </c>
      <c r="X628" s="327" t="str">
        <f t="shared" si="90"/>
        <v>0</v>
      </c>
      <c r="Y628" s="327">
        <f t="shared" si="91"/>
        <v>0</v>
      </c>
      <c r="Z628" s="327">
        <f t="shared" si="91"/>
        <v>0</v>
      </c>
      <c r="AA628" s="327">
        <f t="shared" si="92"/>
        <v>1</v>
      </c>
      <c r="AB628" s="327" t="str">
        <f t="shared" si="95"/>
        <v>101</v>
      </c>
      <c r="AC628" s="327">
        <f t="shared" si="93"/>
        <v>0</v>
      </c>
      <c r="AD628" s="327">
        <v>0</v>
      </c>
      <c r="AE628" s="327" t="str">
        <f t="shared" si="94"/>
        <v>32C2C</v>
      </c>
    </row>
    <row r="629" spans="1:31" s="327" customFormat="1" x14ac:dyDescent="0.15">
      <c r="A629" s="318" t="str">
        <f t="shared" si="87"/>
        <v>0</v>
      </c>
      <c r="B629" s="319">
        <v>627</v>
      </c>
      <c r="C629" s="276" t="s">
        <v>2775</v>
      </c>
      <c r="D629" s="271" t="s">
        <v>1027</v>
      </c>
      <c r="E629" s="272" t="s">
        <v>2569</v>
      </c>
      <c r="F629" s="273" t="s">
        <v>1019</v>
      </c>
      <c r="G629" s="274">
        <v>100</v>
      </c>
      <c r="H629" s="275">
        <v>60000</v>
      </c>
      <c r="I629" s="276">
        <v>0</v>
      </c>
      <c r="J629" s="275" t="s">
        <v>435</v>
      </c>
      <c r="K629" s="275">
        <v>0</v>
      </c>
      <c r="L629" s="275" t="s">
        <v>859</v>
      </c>
      <c r="M629" s="275">
        <v>0.01</v>
      </c>
      <c r="N629" s="275" t="s">
        <v>1905</v>
      </c>
      <c r="O629" s="275">
        <v>0</v>
      </c>
      <c r="P629" s="276">
        <v>0</v>
      </c>
      <c r="Q629" s="275">
        <v>1</v>
      </c>
      <c r="R629" s="275">
        <v>5</v>
      </c>
      <c r="S629" s="275">
        <v>0</v>
      </c>
      <c r="T629" s="331"/>
      <c r="V629" s="327" t="str">
        <f t="shared" si="88"/>
        <v>0</v>
      </c>
      <c r="W629" s="327" t="str">
        <f t="shared" si="89"/>
        <v>10</v>
      </c>
      <c r="X629" s="327" t="str">
        <f t="shared" si="90"/>
        <v>0</v>
      </c>
      <c r="Y629" s="327">
        <f t="shared" si="91"/>
        <v>0</v>
      </c>
      <c r="Z629" s="327">
        <f t="shared" si="91"/>
        <v>0</v>
      </c>
      <c r="AA629" s="327">
        <f t="shared" si="92"/>
        <v>1</v>
      </c>
      <c r="AB629" s="327" t="str">
        <f t="shared" si="95"/>
        <v>101</v>
      </c>
      <c r="AC629" s="327">
        <f t="shared" si="93"/>
        <v>0</v>
      </c>
      <c r="AD629" s="327">
        <v>0</v>
      </c>
      <c r="AE629" s="327" t="str">
        <f t="shared" si="94"/>
        <v>32C28</v>
      </c>
    </row>
    <row r="630" spans="1:31" s="327" customFormat="1" x14ac:dyDescent="0.15">
      <c r="A630" s="318" t="str">
        <f t="shared" si="87"/>
        <v>0</v>
      </c>
      <c r="B630" s="319">
        <v>628</v>
      </c>
      <c r="C630" s="276" t="s">
        <v>2776</v>
      </c>
      <c r="D630" s="271" t="s">
        <v>1027</v>
      </c>
      <c r="E630" s="272" t="s">
        <v>2570</v>
      </c>
      <c r="F630" s="273" t="s">
        <v>2777</v>
      </c>
      <c r="G630" s="274">
        <v>0</v>
      </c>
      <c r="H630" s="275">
        <v>30000</v>
      </c>
      <c r="I630" s="276">
        <v>0</v>
      </c>
      <c r="J630" s="275">
        <v>0</v>
      </c>
      <c r="K630" s="275">
        <v>0</v>
      </c>
      <c r="L630" s="275" t="s">
        <v>859</v>
      </c>
      <c r="M630" s="275">
        <v>1</v>
      </c>
      <c r="N630" s="275" t="s">
        <v>1910</v>
      </c>
      <c r="O630" s="275">
        <v>0</v>
      </c>
      <c r="P630" s="276">
        <v>0</v>
      </c>
      <c r="Q630" s="275">
        <v>1</v>
      </c>
      <c r="R630" s="275">
        <v>5</v>
      </c>
      <c r="S630" s="275">
        <v>0</v>
      </c>
      <c r="T630" s="331"/>
      <c r="V630" s="327" t="str">
        <f t="shared" si="88"/>
        <v>0</v>
      </c>
      <c r="W630" s="327" t="str">
        <f t="shared" si="89"/>
        <v>0</v>
      </c>
      <c r="X630" s="327" t="str">
        <f t="shared" si="90"/>
        <v>0</v>
      </c>
      <c r="Y630" s="327">
        <f t="shared" si="91"/>
        <v>0</v>
      </c>
      <c r="Z630" s="327">
        <f t="shared" si="91"/>
        <v>0</v>
      </c>
      <c r="AA630" s="327">
        <f t="shared" si="92"/>
        <v>1</v>
      </c>
      <c r="AB630" s="327" t="str">
        <f t="shared" si="95"/>
        <v>101</v>
      </c>
      <c r="AC630" s="327">
        <f t="shared" si="93"/>
        <v>0</v>
      </c>
      <c r="AD630" s="327">
        <v>0</v>
      </c>
      <c r="AE630" s="327" t="str">
        <f t="shared" si="94"/>
        <v>32C00</v>
      </c>
    </row>
    <row r="631" spans="1:31" s="327" customFormat="1" x14ac:dyDescent="0.15">
      <c r="A631" s="318" t="str">
        <f t="shared" si="87"/>
        <v>0</v>
      </c>
      <c r="B631" s="319">
        <v>629</v>
      </c>
      <c r="C631" s="276" t="s">
        <v>2778</v>
      </c>
      <c r="D631" s="271" t="s">
        <v>1027</v>
      </c>
      <c r="E631" s="272" t="s">
        <v>1096</v>
      </c>
      <c r="F631" s="273" t="s">
        <v>2777</v>
      </c>
      <c r="G631" s="274">
        <v>0</v>
      </c>
      <c r="H631" s="275">
        <v>30000</v>
      </c>
      <c r="I631" s="276">
        <v>0</v>
      </c>
      <c r="J631" s="275">
        <v>0</v>
      </c>
      <c r="K631" s="275">
        <v>0</v>
      </c>
      <c r="L631" s="275" t="s">
        <v>859</v>
      </c>
      <c r="M631" s="275">
        <v>1</v>
      </c>
      <c r="N631" s="275" t="s">
        <v>1910</v>
      </c>
      <c r="O631" s="275">
        <v>0</v>
      </c>
      <c r="P631" s="276">
        <v>0</v>
      </c>
      <c r="Q631" s="275">
        <v>1</v>
      </c>
      <c r="R631" s="275">
        <v>5</v>
      </c>
      <c r="S631" s="275">
        <v>0</v>
      </c>
      <c r="T631" s="331"/>
      <c r="V631" s="327" t="str">
        <f t="shared" si="88"/>
        <v>0</v>
      </c>
      <c r="W631" s="327" t="str">
        <f t="shared" si="89"/>
        <v>0</v>
      </c>
      <c r="X631" s="327" t="str">
        <f t="shared" si="90"/>
        <v>0</v>
      </c>
      <c r="Y631" s="327">
        <f t="shared" si="91"/>
        <v>0</v>
      </c>
      <c r="Z631" s="327">
        <f t="shared" si="91"/>
        <v>0</v>
      </c>
      <c r="AA631" s="327">
        <f t="shared" si="92"/>
        <v>1</v>
      </c>
      <c r="AB631" s="327" t="str">
        <f t="shared" si="95"/>
        <v>101</v>
      </c>
      <c r="AC631" s="327">
        <f t="shared" si="93"/>
        <v>0</v>
      </c>
      <c r="AD631" s="327">
        <v>0</v>
      </c>
      <c r="AE631" s="327" t="str">
        <f t="shared" si="94"/>
        <v>32C00</v>
      </c>
    </row>
    <row r="632" spans="1:31" s="327" customFormat="1" x14ac:dyDescent="0.15">
      <c r="A632" s="318" t="str">
        <f t="shared" si="87"/>
        <v>0</v>
      </c>
      <c r="B632" s="319">
        <v>630</v>
      </c>
      <c r="C632" s="276" t="s">
        <v>2779</v>
      </c>
      <c r="D632" s="271" t="s">
        <v>1027</v>
      </c>
      <c r="E632" s="272" t="s">
        <v>1097</v>
      </c>
      <c r="F632" s="273" t="s">
        <v>2777</v>
      </c>
      <c r="G632" s="274">
        <v>0</v>
      </c>
      <c r="H632" s="275">
        <v>30000</v>
      </c>
      <c r="I632" s="276">
        <v>0</v>
      </c>
      <c r="J632" s="275">
        <v>0</v>
      </c>
      <c r="K632" s="275">
        <v>0</v>
      </c>
      <c r="L632" s="275" t="s">
        <v>859</v>
      </c>
      <c r="M632" s="275">
        <v>1</v>
      </c>
      <c r="N632" s="275" t="s">
        <v>1910</v>
      </c>
      <c r="O632" s="275">
        <v>0</v>
      </c>
      <c r="P632" s="276">
        <v>0</v>
      </c>
      <c r="Q632" s="275">
        <v>1</v>
      </c>
      <c r="R632" s="275">
        <v>5</v>
      </c>
      <c r="S632" s="275">
        <v>0</v>
      </c>
      <c r="T632" s="331"/>
      <c r="V632" s="327" t="str">
        <f t="shared" ref="V632:V637" si="96">IF(L632="△",DEC2BIN(0),IF(L632="×",DEC2BIN(1),IF(L632="◎",DEC2BIN(2),DEC2BIN(3))))</f>
        <v>0</v>
      </c>
      <c r="W632" s="327" t="str">
        <f t="shared" ref="W632:W637" si="97">IF(M632=1,DEC2BIN(0),IF(M632=0.1,DEC2BIN(1),IF(M632=0.01,DEC2BIN(2),DEC2BIN(3))))</f>
        <v>0</v>
      </c>
      <c r="X632" s="327" t="str">
        <f t="shared" ref="X632:X637" si="98">LOOKUP(N632,$AG$2:$AG$17,$AH$2:$AH$17)</f>
        <v>0</v>
      </c>
      <c r="Y632" s="327">
        <f t="shared" ref="Y632:AA637" si="99">O632</f>
        <v>0</v>
      </c>
      <c r="Z632" s="327">
        <f t="shared" si="99"/>
        <v>0</v>
      </c>
      <c r="AA632" s="327">
        <f t="shared" si="99"/>
        <v>1</v>
      </c>
      <c r="AB632" s="327" t="str">
        <f t="shared" ref="AB632:AB637" si="100">DEC2BIN(R632)</f>
        <v>101</v>
      </c>
      <c r="AC632" s="327">
        <f t="shared" ref="AC632:AC637" si="101">S632</f>
        <v>0</v>
      </c>
      <c r="AD632" s="327">
        <v>0</v>
      </c>
      <c r="AE632" s="327" t="str">
        <f t="shared" si="94"/>
        <v>32C00</v>
      </c>
    </row>
    <row r="633" spans="1:31" s="327" customFormat="1" x14ac:dyDescent="0.15">
      <c r="A633" s="318" t="str">
        <f t="shared" si="87"/>
        <v>0</v>
      </c>
      <c r="B633" s="319">
        <v>631</v>
      </c>
      <c r="C633" s="276" t="s">
        <v>2780</v>
      </c>
      <c r="D633" s="271" t="s">
        <v>1027</v>
      </c>
      <c r="E633" s="272" t="s">
        <v>2571</v>
      </c>
      <c r="F633" s="273" t="s">
        <v>2777</v>
      </c>
      <c r="G633" s="274">
        <v>0</v>
      </c>
      <c r="H633" s="275">
        <v>30000</v>
      </c>
      <c r="I633" s="276">
        <v>0</v>
      </c>
      <c r="J633" s="275">
        <v>0</v>
      </c>
      <c r="K633" s="275">
        <v>0</v>
      </c>
      <c r="L633" s="275" t="s">
        <v>859</v>
      </c>
      <c r="M633" s="275">
        <v>1</v>
      </c>
      <c r="N633" s="275" t="s">
        <v>1910</v>
      </c>
      <c r="O633" s="275">
        <v>0</v>
      </c>
      <c r="P633" s="276">
        <v>0</v>
      </c>
      <c r="Q633" s="275">
        <v>1</v>
      </c>
      <c r="R633" s="275">
        <v>5</v>
      </c>
      <c r="S633" s="275">
        <v>0</v>
      </c>
      <c r="T633" s="331"/>
      <c r="V633" s="327" t="str">
        <f t="shared" si="96"/>
        <v>0</v>
      </c>
      <c r="W633" s="327" t="str">
        <f t="shared" si="97"/>
        <v>0</v>
      </c>
      <c r="X633" s="327" t="str">
        <f t="shared" si="98"/>
        <v>0</v>
      </c>
      <c r="Y633" s="327">
        <f t="shared" si="99"/>
        <v>0</v>
      </c>
      <c r="Z633" s="327">
        <f t="shared" si="99"/>
        <v>0</v>
      </c>
      <c r="AA633" s="327">
        <f t="shared" si="99"/>
        <v>1</v>
      </c>
      <c r="AB633" s="327" t="str">
        <f t="shared" si="100"/>
        <v>101</v>
      </c>
      <c r="AC633" s="327">
        <f t="shared" si="101"/>
        <v>0</v>
      </c>
      <c r="AD633" s="327">
        <v>0</v>
      </c>
      <c r="AE633" s="327" t="str">
        <f t="shared" si="94"/>
        <v>32C00</v>
      </c>
    </row>
    <row r="634" spans="1:31" s="327" customFormat="1" ht="36" x14ac:dyDescent="0.15">
      <c r="A634" s="318" t="str">
        <f t="shared" si="87"/>
        <v>0</v>
      </c>
      <c r="B634" s="319">
        <v>632</v>
      </c>
      <c r="C634" s="276" t="s">
        <v>2781</v>
      </c>
      <c r="D634" s="271" t="s">
        <v>1027</v>
      </c>
      <c r="E634" s="272" t="s">
        <v>2572</v>
      </c>
      <c r="F634" s="273" t="s">
        <v>2782</v>
      </c>
      <c r="G634" s="274">
        <v>0</v>
      </c>
      <c r="H634" s="275">
        <v>2</v>
      </c>
      <c r="I634" s="276">
        <v>0</v>
      </c>
      <c r="J634" s="275">
        <v>0</v>
      </c>
      <c r="K634" s="275">
        <v>0</v>
      </c>
      <c r="L634" s="275" t="s">
        <v>860</v>
      </c>
      <c r="M634" s="275">
        <v>1</v>
      </c>
      <c r="N634" s="275" t="s">
        <v>1910</v>
      </c>
      <c r="O634" s="275">
        <v>0</v>
      </c>
      <c r="P634" s="276">
        <v>0</v>
      </c>
      <c r="Q634" s="275">
        <v>1</v>
      </c>
      <c r="R634" s="275">
        <v>1</v>
      </c>
      <c r="S634" s="275">
        <v>0</v>
      </c>
      <c r="T634" s="331"/>
      <c r="V634" s="327" t="str">
        <f t="shared" si="96"/>
        <v>1</v>
      </c>
      <c r="W634" s="327" t="str">
        <f t="shared" si="97"/>
        <v>0</v>
      </c>
      <c r="X634" s="327" t="str">
        <f t="shared" si="98"/>
        <v>0</v>
      </c>
      <c r="Y634" s="327">
        <f t="shared" si="99"/>
        <v>0</v>
      </c>
      <c r="Z634" s="327">
        <f t="shared" si="99"/>
        <v>0</v>
      </c>
      <c r="AA634" s="327">
        <f t="shared" si="99"/>
        <v>1</v>
      </c>
      <c r="AB634" s="327" t="str">
        <f t="shared" si="100"/>
        <v>1</v>
      </c>
      <c r="AC634" s="327">
        <f t="shared" si="101"/>
        <v>0</v>
      </c>
      <c r="AD634" s="327">
        <v>0</v>
      </c>
      <c r="AE634" s="327" t="str">
        <f t="shared" si="94"/>
        <v>C01</v>
      </c>
    </row>
    <row r="635" spans="1:31" s="327" customFormat="1" x14ac:dyDescent="0.15">
      <c r="A635" s="318" t="str">
        <f t="shared" si="87"/>
        <v>0</v>
      </c>
      <c r="B635" s="319">
        <v>633</v>
      </c>
      <c r="C635" s="276" t="s">
        <v>2783</v>
      </c>
      <c r="D635" s="271" t="s">
        <v>1027</v>
      </c>
      <c r="E635" s="272" t="s">
        <v>2573</v>
      </c>
      <c r="F635" s="273" t="s">
        <v>1098</v>
      </c>
      <c r="G635" s="274">
        <v>1000</v>
      </c>
      <c r="H635" s="275">
        <v>60000</v>
      </c>
      <c r="I635" s="276">
        <v>0</v>
      </c>
      <c r="J635" s="275" t="s">
        <v>435</v>
      </c>
      <c r="K635" s="275">
        <v>0</v>
      </c>
      <c r="L635" s="275" t="s">
        <v>859</v>
      </c>
      <c r="M635" s="275">
        <v>0.01</v>
      </c>
      <c r="N635" s="275" t="s">
        <v>1905</v>
      </c>
      <c r="O635" s="275">
        <v>0</v>
      </c>
      <c r="P635" s="276">
        <v>0</v>
      </c>
      <c r="Q635" s="275">
        <v>1</v>
      </c>
      <c r="R635" s="275">
        <v>5</v>
      </c>
      <c r="S635" s="275">
        <v>0</v>
      </c>
      <c r="T635" s="331"/>
      <c r="V635" s="327" t="str">
        <f t="shared" si="96"/>
        <v>0</v>
      </c>
      <c r="W635" s="327" t="str">
        <f t="shared" si="97"/>
        <v>10</v>
      </c>
      <c r="X635" s="327" t="str">
        <f t="shared" si="98"/>
        <v>0</v>
      </c>
      <c r="Y635" s="327">
        <f t="shared" si="99"/>
        <v>0</v>
      </c>
      <c r="Z635" s="327">
        <f t="shared" si="99"/>
        <v>0</v>
      </c>
      <c r="AA635" s="327">
        <f t="shared" si="99"/>
        <v>1</v>
      </c>
      <c r="AB635" s="327" t="str">
        <f t="shared" si="100"/>
        <v>101</v>
      </c>
      <c r="AC635" s="327">
        <f t="shared" si="101"/>
        <v>0</v>
      </c>
      <c r="AD635" s="327">
        <v>0</v>
      </c>
      <c r="AE635" s="327" t="str">
        <f t="shared" si="94"/>
        <v>32C28</v>
      </c>
    </row>
    <row r="636" spans="1:31" s="327" customFormat="1" ht="23.25" x14ac:dyDescent="0.15">
      <c r="A636" s="318" t="str">
        <f t="shared" si="87"/>
        <v>0</v>
      </c>
      <c r="B636" s="319">
        <v>634</v>
      </c>
      <c r="C636" s="276" t="s">
        <v>2784</v>
      </c>
      <c r="D636" s="271" t="s">
        <v>1027</v>
      </c>
      <c r="E636" s="272" t="s">
        <v>2574</v>
      </c>
      <c r="F636" s="273" t="s">
        <v>2785</v>
      </c>
      <c r="G636" s="274">
        <v>20</v>
      </c>
      <c r="H636" s="275">
        <v>600</v>
      </c>
      <c r="I636" s="276">
        <v>0</v>
      </c>
      <c r="J636" s="275">
        <v>0</v>
      </c>
      <c r="K636" s="275">
        <v>0</v>
      </c>
      <c r="L636" s="275" t="s">
        <v>859</v>
      </c>
      <c r="M636" s="275">
        <v>0.1</v>
      </c>
      <c r="N636" s="275" t="s">
        <v>2188</v>
      </c>
      <c r="O636" s="275">
        <v>0</v>
      </c>
      <c r="P636" s="276">
        <v>0</v>
      </c>
      <c r="Q636" s="275">
        <v>1</v>
      </c>
      <c r="R636" s="275">
        <v>3</v>
      </c>
      <c r="S636" s="275">
        <v>0</v>
      </c>
      <c r="T636" s="331"/>
      <c r="V636" s="327" t="str">
        <f t="shared" si="96"/>
        <v>0</v>
      </c>
      <c r="W636" s="327" t="str">
        <f t="shared" si="97"/>
        <v>1</v>
      </c>
      <c r="X636" s="327" t="str">
        <f t="shared" si="98"/>
        <v>0</v>
      </c>
      <c r="Y636" s="327">
        <f t="shared" si="99"/>
        <v>0</v>
      </c>
      <c r="Z636" s="327">
        <f t="shared" si="99"/>
        <v>0</v>
      </c>
      <c r="AA636" s="327">
        <f t="shared" si="99"/>
        <v>1</v>
      </c>
      <c r="AB636" s="327" t="str">
        <f t="shared" si="100"/>
        <v>11</v>
      </c>
      <c r="AC636" s="327">
        <f t="shared" si="101"/>
        <v>0</v>
      </c>
      <c r="AD636" s="327">
        <v>0</v>
      </c>
      <c r="AE636" s="327" t="str">
        <f t="shared" si="94"/>
        <v>5C04</v>
      </c>
    </row>
    <row r="637" spans="1:31" s="327" customFormat="1" x14ac:dyDescent="0.15">
      <c r="A637" s="318" t="str">
        <f t="shared" si="87"/>
        <v>0</v>
      </c>
      <c r="B637" s="319">
        <v>635</v>
      </c>
      <c r="C637" s="276" t="s">
        <v>2786</v>
      </c>
      <c r="D637" s="271" t="s">
        <v>1027</v>
      </c>
      <c r="E637" s="272" t="s">
        <v>2575</v>
      </c>
      <c r="F637" s="273" t="s">
        <v>2787</v>
      </c>
      <c r="G637" s="274">
        <v>10</v>
      </c>
      <c r="H637" s="275">
        <v>6000</v>
      </c>
      <c r="I637" s="276">
        <v>0</v>
      </c>
      <c r="J637" s="275">
        <v>0</v>
      </c>
      <c r="K637" s="275">
        <v>0</v>
      </c>
      <c r="L637" s="275" t="s">
        <v>859</v>
      </c>
      <c r="M637" s="275">
        <v>1E-3</v>
      </c>
      <c r="N637" s="275" t="s">
        <v>2188</v>
      </c>
      <c r="O637" s="275">
        <v>0</v>
      </c>
      <c r="P637" s="276">
        <v>0</v>
      </c>
      <c r="Q637" s="275">
        <v>1</v>
      </c>
      <c r="R637" s="275">
        <v>4</v>
      </c>
      <c r="S637" s="275">
        <v>0</v>
      </c>
      <c r="T637" s="331"/>
      <c r="V637" s="327" t="str">
        <f t="shared" si="96"/>
        <v>0</v>
      </c>
      <c r="W637" s="327" t="str">
        <f t="shared" si="97"/>
        <v>11</v>
      </c>
      <c r="X637" s="327" t="str">
        <f t="shared" si="98"/>
        <v>0</v>
      </c>
      <c r="Y637" s="327">
        <f t="shared" si="99"/>
        <v>0</v>
      </c>
      <c r="Z637" s="327">
        <f t="shared" si="99"/>
        <v>0</v>
      </c>
      <c r="AA637" s="327">
        <f t="shared" si="99"/>
        <v>1</v>
      </c>
      <c r="AB637" s="327" t="str">
        <f t="shared" si="100"/>
        <v>100</v>
      </c>
      <c r="AC637" s="327">
        <f t="shared" si="101"/>
        <v>0</v>
      </c>
      <c r="AD637" s="327">
        <v>0</v>
      </c>
      <c r="AE637" s="327" t="str">
        <f t="shared" si="94"/>
        <v>3242C</v>
      </c>
    </row>
    <row r="638" spans="1:31" s="327" customFormat="1" ht="23.25" x14ac:dyDescent="0.15">
      <c r="A638" s="318" t="str">
        <f t="shared" si="87"/>
        <v>0</v>
      </c>
      <c r="B638" s="319">
        <v>636</v>
      </c>
      <c r="C638" s="276" t="s">
        <v>2788</v>
      </c>
      <c r="D638" s="271" t="s">
        <v>1027</v>
      </c>
      <c r="E638" s="272" t="s">
        <v>2576</v>
      </c>
      <c r="F638" s="273" t="s">
        <v>2789</v>
      </c>
      <c r="G638" s="274">
        <v>0</v>
      </c>
      <c r="H638" s="275">
        <v>2</v>
      </c>
      <c r="I638" s="276">
        <v>0</v>
      </c>
      <c r="J638" s="275">
        <v>0</v>
      </c>
      <c r="K638" s="275">
        <v>0</v>
      </c>
      <c r="L638" s="275" t="s">
        <v>860</v>
      </c>
      <c r="M638" s="275">
        <v>1</v>
      </c>
      <c r="N638" s="275" t="s">
        <v>1910</v>
      </c>
      <c r="O638" s="275">
        <v>0</v>
      </c>
      <c r="P638" s="276">
        <v>0</v>
      </c>
      <c r="Q638" s="275">
        <v>1</v>
      </c>
      <c r="R638" s="275">
        <v>1</v>
      </c>
      <c r="S638" s="275">
        <v>0</v>
      </c>
      <c r="T638" s="331"/>
      <c r="V638" s="327" t="str">
        <f t="shared" si="88"/>
        <v>1</v>
      </c>
      <c r="W638" s="327" t="str">
        <f t="shared" si="89"/>
        <v>0</v>
      </c>
      <c r="X638" s="327" t="str">
        <f t="shared" si="90"/>
        <v>0</v>
      </c>
      <c r="Y638" s="327">
        <f t="shared" si="91"/>
        <v>0</v>
      </c>
      <c r="Z638" s="327">
        <f t="shared" si="91"/>
        <v>0</v>
      </c>
      <c r="AA638" s="327">
        <f t="shared" si="92"/>
        <v>1</v>
      </c>
      <c r="AB638" s="327" t="str">
        <f t="shared" si="95"/>
        <v>1</v>
      </c>
      <c r="AC638" s="327">
        <f t="shared" si="93"/>
        <v>0</v>
      </c>
      <c r="AD638" s="327">
        <v>0</v>
      </c>
      <c r="AE638" s="327" t="str">
        <f t="shared" si="94"/>
        <v>C01</v>
      </c>
    </row>
    <row r="639" spans="1:31" s="327" customFormat="1" ht="23.25" x14ac:dyDescent="0.15">
      <c r="A639" s="318" t="str">
        <f t="shared" si="87"/>
        <v>0</v>
      </c>
      <c r="B639" s="319">
        <v>637</v>
      </c>
      <c r="C639" s="276" t="s">
        <v>2790</v>
      </c>
      <c r="D639" s="271" t="s">
        <v>1027</v>
      </c>
      <c r="E639" s="272" t="s">
        <v>2577</v>
      </c>
      <c r="F639" s="273" t="s">
        <v>2791</v>
      </c>
      <c r="G639" s="274">
        <v>0</v>
      </c>
      <c r="H639" s="275">
        <v>1</v>
      </c>
      <c r="I639" s="276">
        <v>0</v>
      </c>
      <c r="J639" s="275">
        <v>0</v>
      </c>
      <c r="K639" s="275">
        <v>0</v>
      </c>
      <c r="L639" s="275" t="s">
        <v>860</v>
      </c>
      <c r="M639" s="275">
        <v>1</v>
      </c>
      <c r="N639" s="275" t="s">
        <v>1910</v>
      </c>
      <c r="O639" s="275">
        <v>0</v>
      </c>
      <c r="P639" s="276">
        <v>0</v>
      </c>
      <c r="Q639" s="275">
        <v>1</v>
      </c>
      <c r="R639" s="275">
        <v>1</v>
      </c>
      <c r="S639" s="275">
        <v>0</v>
      </c>
      <c r="T639" s="331"/>
      <c r="V639" s="327" t="str">
        <f t="shared" si="88"/>
        <v>1</v>
      </c>
      <c r="W639" s="327" t="str">
        <f t="shared" si="89"/>
        <v>0</v>
      </c>
      <c r="X639" s="327" t="str">
        <f t="shared" si="90"/>
        <v>0</v>
      </c>
      <c r="Y639" s="327">
        <f t="shared" si="91"/>
        <v>0</v>
      </c>
      <c r="Z639" s="327">
        <f t="shared" si="91"/>
        <v>0</v>
      </c>
      <c r="AA639" s="327">
        <f t="shared" si="92"/>
        <v>1</v>
      </c>
      <c r="AB639" s="327" t="str">
        <f t="shared" si="95"/>
        <v>1</v>
      </c>
      <c r="AC639" s="327">
        <f t="shared" si="93"/>
        <v>0</v>
      </c>
      <c r="AD639" s="327">
        <v>0</v>
      </c>
      <c r="AE639" s="327" t="str">
        <f t="shared" si="94"/>
        <v>C01</v>
      </c>
    </row>
    <row r="640" spans="1:31" s="327" customFormat="1" x14ac:dyDescent="0.15">
      <c r="A640" s="318" t="str">
        <f t="shared" si="87"/>
        <v>0</v>
      </c>
      <c r="B640" s="319">
        <v>638</v>
      </c>
      <c r="C640" s="276" t="s">
        <v>2792</v>
      </c>
      <c r="D640" s="271" t="s">
        <v>1027</v>
      </c>
      <c r="E640" s="272" t="s">
        <v>2578</v>
      </c>
      <c r="F640" s="273" t="s">
        <v>1098</v>
      </c>
      <c r="G640" s="274">
        <v>1000</v>
      </c>
      <c r="H640" s="275">
        <v>60000</v>
      </c>
      <c r="I640" s="276">
        <v>0</v>
      </c>
      <c r="J640" s="275" t="s">
        <v>435</v>
      </c>
      <c r="K640" s="275">
        <v>0</v>
      </c>
      <c r="L640" s="275" t="s">
        <v>860</v>
      </c>
      <c r="M640" s="275">
        <v>0.01</v>
      </c>
      <c r="N640" s="275" t="s">
        <v>1905</v>
      </c>
      <c r="O640" s="275">
        <v>0</v>
      </c>
      <c r="P640" s="276">
        <v>0</v>
      </c>
      <c r="Q640" s="275">
        <v>1</v>
      </c>
      <c r="R640" s="275">
        <v>5</v>
      </c>
      <c r="S640" s="275">
        <v>0</v>
      </c>
      <c r="T640" s="331"/>
      <c r="V640" s="327" t="str">
        <f t="shared" si="88"/>
        <v>1</v>
      </c>
      <c r="W640" s="327" t="str">
        <f t="shared" si="89"/>
        <v>10</v>
      </c>
      <c r="X640" s="327" t="str">
        <f t="shared" si="90"/>
        <v>0</v>
      </c>
      <c r="Y640" s="327">
        <f t="shared" si="91"/>
        <v>0</v>
      </c>
      <c r="Z640" s="327">
        <f t="shared" si="91"/>
        <v>0</v>
      </c>
      <c r="AA640" s="327">
        <f t="shared" si="92"/>
        <v>1</v>
      </c>
      <c r="AB640" s="327" t="str">
        <f t="shared" si="95"/>
        <v>101</v>
      </c>
      <c r="AC640" s="327">
        <f t="shared" si="93"/>
        <v>0</v>
      </c>
      <c r="AD640" s="327">
        <v>0</v>
      </c>
      <c r="AE640" s="327" t="str">
        <f t="shared" si="94"/>
        <v>32C29</v>
      </c>
    </row>
    <row r="641" spans="1:31" s="327" customFormat="1" x14ac:dyDescent="0.15">
      <c r="A641" s="318" t="str">
        <f t="shared" si="87"/>
        <v>0</v>
      </c>
      <c r="B641" s="319">
        <v>639</v>
      </c>
      <c r="C641" s="276" t="s">
        <v>2793</v>
      </c>
      <c r="D641" s="271" t="s">
        <v>1027</v>
      </c>
      <c r="E641" s="272" t="s">
        <v>1099</v>
      </c>
      <c r="F641" s="273" t="s">
        <v>2794</v>
      </c>
      <c r="G641" s="274">
        <v>100</v>
      </c>
      <c r="H641" s="275">
        <v>1000</v>
      </c>
      <c r="I641" s="276">
        <v>0</v>
      </c>
      <c r="J641" s="275">
        <v>0</v>
      </c>
      <c r="K641" s="275">
        <v>0</v>
      </c>
      <c r="L641" s="275" t="s">
        <v>860</v>
      </c>
      <c r="M641" s="275">
        <v>0.01</v>
      </c>
      <c r="N641" s="275" t="s">
        <v>1905</v>
      </c>
      <c r="O641" s="275">
        <v>0</v>
      </c>
      <c r="P641" s="276">
        <v>0</v>
      </c>
      <c r="Q641" s="275">
        <v>1</v>
      </c>
      <c r="R641" s="275">
        <v>4</v>
      </c>
      <c r="S641" s="275">
        <v>0</v>
      </c>
      <c r="T641" s="331"/>
      <c r="V641" s="327" t="str">
        <f t="shared" si="88"/>
        <v>1</v>
      </c>
      <c r="W641" s="327" t="str">
        <f t="shared" si="89"/>
        <v>10</v>
      </c>
      <c r="X641" s="327" t="str">
        <f t="shared" si="90"/>
        <v>0</v>
      </c>
      <c r="Y641" s="327">
        <f t="shared" si="91"/>
        <v>0</v>
      </c>
      <c r="Z641" s="327">
        <f t="shared" si="91"/>
        <v>0</v>
      </c>
      <c r="AA641" s="327">
        <f t="shared" si="92"/>
        <v>1</v>
      </c>
      <c r="AB641" s="327" t="str">
        <f t="shared" si="95"/>
        <v>100</v>
      </c>
      <c r="AC641" s="327">
        <f t="shared" si="93"/>
        <v>0</v>
      </c>
      <c r="AD641" s="327">
        <v>0</v>
      </c>
      <c r="AE641" s="327" t="str">
        <f t="shared" si="94"/>
        <v>32429</v>
      </c>
    </row>
    <row r="642" spans="1:31" s="327" customFormat="1" x14ac:dyDescent="0.15">
      <c r="A642" s="318" t="str">
        <f t="shared" si="87"/>
        <v>0</v>
      </c>
      <c r="B642" s="319">
        <v>640</v>
      </c>
      <c r="C642" s="276" t="s">
        <v>2795</v>
      </c>
      <c r="D642" s="271" t="s">
        <v>1027</v>
      </c>
      <c r="E642" s="272" t="s">
        <v>2579</v>
      </c>
      <c r="F642" s="273" t="s">
        <v>2796</v>
      </c>
      <c r="G642" s="274">
        <v>0</v>
      </c>
      <c r="H642" s="275">
        <v>9999</v>
      </c>
      <c r="I642" s="276">
        <v>0</v>
      </c>
      <c r="J642" s="275">
        <v>0</v>
      </c>
      <c r="K642" s="275">
        <v>0</v>
      </c>
      <c r="L642" s="275" t="s">
        <v>859</v>
      </c>
      <c r="M642" s="275">
        <v>1</v>
      </c>
      <c r="N642" s="275" t="s">
        <v>1910</v>
      </c>
      <c r="O642" s="275">
        <v>0</v>
      </c>
      <c r="P642" s="276">
        <v>0</v>
      </c>
      <c r="Q642" s="275">
        <v>1</v>
      </c>
      <c r="R642" s="275">
        <v>4</v>
      </c>
      <c r="S642" s="275">
        <v>0</v>
      </c>
      <c r="T642" s="331"/>
      <c r="V642" s="327" t="str">
        <f t="shared" si="88"/>
        <v>0</v>
      </c>
      <c r="W642" s="327" t="str">
        <f t="shared" si="89"/>
        <v>0</v>
      </c>
      <c r="X642" s="327" t="str">
        <f t="shared" si="90"/>
        <v>0</v>
      </c>
      <c r="Y642" s="327">
        <f t="shared" si="91"/>
        <v>0</v>
      </c>
      <c r="Z642" s="327">
        <f t="shared" si="91"/>
        <v>0</v>
      </c>
      <c r="AA642" s="327">
        <f t="shared" si="92"/>
        <v>1</v>
      </c>
      <c r="AB642" s="327" t="str">
        <f t="shared" si="95"/>
        <v>100</v>
      </c>
      <c r="AC642" s="327">
        <f t="shared" si="93"/>
        <v>0</v>
      </c>
      <c r="AD642" s="327">
        <v>0</v>
      </c>
      <c r="AE642" s="327" t="str">
        <f t="shared" si="94"/>
        <v>32400</v>
      </c>
    </row>
    <row r="643" spans="1:31" s="327" customFormat="1" x14ac:dyDescent="0.15">
      <c r="A643" s="318" t="str">
        <f t="shared" si="87"/>
        <v>0</v>
      </c>
      <c r="B643" s="319">
        <v>641</v>
      </c>
      <c r="C643" s="276" t="s">
        <v>2797</v>
      </c>
      <c r="D643" s="271" t="s">
        <v>1027</v>
      </c>
      <c r="E643" s="272" t="s">
        <v>2580</v>
      </c>
      <c r="F643" s="273" t="s">
        <v>2796</v>
      </c>
      <c r="G643" s="274">
        <v>0</v>
      </c>
      <c r="H643" s="275">
        <v>9999</v>
      </c>
      <c r="I643" s="276">
        <v>0</v>
      </c>
      <c r="J643" s="275">
        <v>0</v>
      </c>
      <c r="K643" s="275">
        <v>0</v>
      </c>
      <c r="L643" s="275" t="s">
        <v>859</v>
      </c>
      <c r="M643" s="275">
        <v>1</v>
      </c>
      <c r="N643" s="275" t="s">
        <v>1910</v>
      </c>
      <c r="O643" s="275">
        <v>0</v>
      </c>
      <c r="P643" s="276">
        <v>0</v>
      </c>
      <c r="Q643" s="275">
        <v>1</v>
      </c>
      <c r="R643" s="275">
        <v>4</v>
      </c>
      <c r="S643" s="275">
        <v>0</v>
      </c>
      <c r="T643" s="331"/>
      <c r="V643" s="327" t="str">
        <f t="shared" si="88"/>
        <v>0</v>
      </c>
      <c r="W643" s="327" t="str">
        <f t="shared" si="89"/>
        <v>0</v>
      </c>
      <c r="X643" s="327" t="str">
        <f t="shared" si="90"/>
        <v>0</v>
      </c>
      <c r="Y643" s="327">
        <f t="shared" si="91"/>
        <v>0</v>
      </c>
      <c r="Z643" s="327">
        <f t="shared" si="91"/>
        <v>0</v>
      </c>
      <c r="AA643" s="327">
        <f t="shared" si="92"/>
        <v>1</v>
      </c>
      <c r="AB643" s="327" t="str">
        <f t="shared" si="95"/>
        <v>100</v>
      </c>
      <c r="AC643" s="327">
        <f t="shared" si="93"/>
        <v>0</v>
      </c>
      <c r="AD643" s="327">
        <v>0</v>
      </c>
      <c r="AE643" s="327" t="str">
        <f t="shared" si="94"/>
        <v>32400</v>
      </c>
    </row>
    <row r="644" spans="1:31" s="327" customFormat="1" x14ac:dyDescent="0.15">
      <c r="A644" s="318" t="str">
        <f t="shared" ref="A644:A707" si="102">DEC2HEX(AH644)</f>
        <v>0</v>
      </c>
      <c r="B644" s="319">
        <v>642</v>
      </c>
      <c r="C644" s="276" t="s">
        <v>2798</v>
      </c>
      <c r="D644" s="271" t="s">
        <v>1027</v>
      </c>
      <c r="E644" s="272" t="s">
        <v>2581</v>
      </c>
      <c r="F644" s="273" t="s">
        <v>2796</v>
      </c>
      <c r="G644" s="274">
        <v>0</v>
      </c>
      <c r="H644" s="275">
        <v>9999</v>
      </c>
      <c r="I644" s="276">
        <v>0</v>
      </c>
      <c r="J644" s="275">
        <v>0</v>
      </c>
      <c r="K644" s="275">
        <v>0</v>
      </c>
      <c r="L644" s="275" t="s">
        <v>859</v>
      </c>
      <c r="M644" s="275">
        <v>1</v>
      </c>
      <c r="N644" s="275" t="s">
        <v>1910</v>
      </c>
      <c r="O644" s="275">
        <v>0</v>
      </c>
      <c r="P644" s="276">
        <v>0</v>
      </c>
      <c r="Q644" s="275">
        <v>1</v>
      </c>
      <c r="R644" s="275">
        <v>4</v>
      </c>
      <c r="S644" s="275">
        <v>0</v>
      </c>
      <c r="T644" s="331"/>
      <c r="V644" s="327" t="str">
        <f t="shared" si="88"/>
        <v>0</v>
      </c>
      <c r="W644" s="327" t="str">
        <f t="shared" si="89"/>
        <v>0</v>
      </c>
      <c r="X644" s="327" t="str">
        <f t="shared" si="90"/>
        <v>0</v>
      </c>
      <c r="Y644" s="327">
        <f t="shared" si="91"/>
        <v>0</v>
      </c>
      <c r="Z644" s="327">
        <f t="shared" si="91"/>
        <v>0</v>
      </c>
      <c r="AA644" s="327">
        <f t="shared" si="92"/>
        <v>1</v>
      </c>
      <c r="AB644" s="327" t="str">
        <f t="shared" si="95"/>
        <v>100</v>
      </c>
      <c r="AC644" s="327">
        <f t="shared" si="93"/>
        <v>0</v>
      </c>
      <c r="AD644" s="327">
        <v>0</v>
      </c>
      <c r="AE644" s="327" t="str">
        <f t="shared" si="94"/>
        <v>32400</v>
      </c>
    </row>
    <row r="645" spans="1:31" s="327" customFormat="1" x14ac:dyDescent="0.15">
      <c r="A645" s="318" t="str">
        <f t="shared" si="102"/>
        <v>0</v>
      </c>
      <c r="B645" s="319">
        <v>643</v>
      </c>
      <c r="C645" s="276" t="s">
        <v>2799</v>
      </c>
      <c r="D645" s="271" t="s">
        <v>1027</v>
      </c>
      <c r="E645" s="272" t="s">
        <v>1101</v>
      </c>
      <c r="F645" s="273" t="s">
        <v>2796</v>
      </c>
      <c r="G645" s="274">
        <v>0</v>
      </c>
      <c r="H645" s="275">
        <v>9999</v>
      </c>
      <c r="I645" s="276">
        <v>0</v>
      </c>
      <c r="J645" s="275">
        <v>0</v>
      </c>
      <c r="K645" s="275">
        <v>0</v>
      </c>
      <c r="L645" s="275" t="s">
        <v>859</v>
      </c>
      <c r="M645" s="275">
        <v>1</v>
      </c>
      <c r="N645" s="275" t="s">
        <v>1910</v>
      </c>
      <c r="O645" s="275">
        <v>0</v>
      </c>
      <c r="P645" s="276">
        <v>0</v>
      </c>
      <c r="Q645" s="275">
        <v>1</v>
      </c>
      <c r="R645" s="275">
        <v>4</v>
      </c>
      <c r="S645" s="275">
        <v>0</v>
      </c>
      <c r="T645" s="331"/>
      <c r="V645" s="327" t="str">
        <f t="shared" si="88"/>
        <v>0</v>
      </c>
      <c r="W645" s="327" t="str">
        <f t="shared" si="89"/>
        <v>0</v>
      </c>
      <c r="X645" s="327" t="str">
        <f t="shared" si="90"/>
        <v>0</v>
      </c>
      <c r="Y645" s="327">
        <f t="shared" si="91"/>
        <v>0</v>
      </c>
      <c r="Z645" s="327">
        <f t="shared" si="91"/>
        <v>0</v>
      </c>
      <c r="AA645" s="327">
        <f t="shared" si="92"/>
        <v>1</v>
      </c>
      <c r="AB645" s="327" t="str">
        <f t="shared" si="95"/>
        <v>100</v>
      </c>
      <c r="AC645" s="327">
        <f t="shared" si="93"/>
        <v>0</v>
      </c>
      <c r="AD645" s="327">
        <v>0</v>
      </c>
      <c r="AE645" s="327" t="str">
        <f t="shared" si="94"/>
        <v>32400</v>
      </c>
    </row>
    <row r="646" spans="1:31" s="327" customFormat="1" x14ac:dyDescent="0.15">
      <c r="A646" s="318" t="str">
        <f t="shared" si="102"/>
        <v>0</v>
      </c>
      <c r="B646" s="319">
        <v>644</v>
      </c>
      <c r="C646" s="276" t="s">
        <v>2800</v>
      </c>
      <c r="D646" s="271" t="s">
        <v>1027</v>
      </c>
      <c r="E646" s="272" t="s">
        <v>2582</v>
      </c>
      <c r="F646" s="273" t="s">
        <v>2796</v>
      </c>
      <c r="G646" s="274">
        <v>0</v>
      </c>
      <c r="H646" s="275">
        <v>9999</v>
      </c>
      <c r="I646" s="276">
        <v>0</v>
      </c>
      <c r="J646" s="275">
        <v>0</v>
      </c>
      <c r="K646" s="275">
        <v>0</v>
      </c>
      <c r="L646" s="275" t="s">
        <v>859</v>
      </c>
      <c r="M646" s="275">
        <v>1</v>
      </c>
      <c r="N646" s="275" t="s">
        <v>1910</v>
      </c>
      <c r="O646" s="275">
        <v>0</v>
      </c>
      <c r="P646" s="276">
        <v>0</v>
      </c>
      <c r="Q646" s="275">
        <v>1</v>
      </c>
      <c r="R646" s="275">
        <v>4</v>
      </c>
      <c r="S646" s="275">
        <v>0</v>
      </c>
      <c r="T646" s="331"/>
      <c r="V646" s="327" t="str">
        <f t="shared" si="88"/>
        <v>0</v>
      </c>
      <c r="W646" s="327" t="str">
        <f t="shared" si="89"/>
        <v>0</v>
      </c>
      <c r="X646" s="327" t="str">
        <f t="shared" si="90"/>
        <v>0</v>
      </c>
      <c r="Y646" s="327">
        <f t="shared" si="91"/>
        <v>0</v>
      </c>
      <c r="Z646" s="327">
        <f t="shared" si="91"/>
        <v>0</v>
      </c>
      <c r="AA646" s="327">
        <f t="shared" si="92"/>
        <v>1</v>
      </c>
      <c r="AB646" s="327" t="str">
        <f t="shared" si="95"/>
        <v>100</v>
      </c>
      <c r="AC646" s="327">
        <f t="shared" si="93"/>
        <v>0</v>
      </c>
      <c r="AD646" s="327">
        <v>0</v>
      </c>
      <c r="AE646" s="327" t="str">
        <f t="shared" si="94"/>
        <v>32400</v>
      </c>
    </row>
    <row r="647" spans="1:31" s="327" customFormat="1" ht="42" customHeight="1" x14ac:dyDescent="0.15">
      <c r="A647" s="318" t="str">
        <f t="shared" si="102"/>
        <v>0</v>
      </c>
      <c r="B647" s="319">
        <v>645</v>
      </c>
      <c r="C647" s="276" t="s">
        <v>2801</v>
      </c>
      <c r="D647" s="271" t="s">
        <v>1027</v>
      </c>
      <c r="E647" s="272" t="s">
        <v>1102</v>
      </c>
      <c r="F647" s="273" t="s">
        <v>2796</v>
      </c>
      <c r="G647" s="274">
        <v>0</v>
      </c>
      <c r="H647" s="275">
        <v>9999</v>
      </c>
      <c r="I647" s="276">
        <v>0</v>
      </c>
      <c r="J647" s="275">
        <v>0</v>
      </c>
      <c r="K647" s="275">
        <v>0</v>
      </c>
      <c r="L647" s="275" t="s">
        <v>859</v>
      </c>
      <c r="M647" s="275">
        <v>1</v>
      </c>
      <c r="N647" s="275" t="s">
        <v>1910</v>
      </c>
      <c r="O647" s="275">
        <v>0</v>
      </c>
      <c r="P647" s="276">
        <v>0</v>
      </c>
      <c r="Q647" s="275">
        <v>1</v>
      </c>
      <c r="R647" s="275">
        <v>4</v>
      </c>
      <c r="S647" s="275">
        <v>0</v>
      </c>
      <c r="T647" s="331"/>
      <c r="V647" s="327" t="str">
        <f t="shared" si="88"/>
        <v>0</v>
      </c>
      <c r="W647" s="327" t="str">
        <f t="shared" si="89"/>
        <v>0</v>
      </c>
      <c r="X647" s="327" t="str">
        <f t="shared" si="90"/>
        <v>0</v>
      </c>
      <c r="Y647" s="327">
        <f t="shared" si="91"/>
        <v>0</v>
      </c>
      <c r="Z647" s="327">
        <f t="shared" si="91"/>
        <v>0</v>
      </c>
      <c r="AA647" s="327">
        <f t="shared" si="92"/>
        <v>1</v>
      </c>
      <c r="AB647" s="327" t="str">
        <f t="shared" si="95"/>
        <v>100</v>
      </c>
      <c r="AC647" s="327">
        <f t="shared" si="93"/>
        <v>0</v>
      </c>
      <c r="AD647" s="327">
        <v>0</v>
      </c>
      <c r="AE647" s="327" t="str">
        <f t="shared" si="94"/>
        <v>32400</v>
      </c>
    </row>
    <row r="648" spans="1:31" s="327" customFormat="1" x14ac:dyDescent="0.15">
      <c r="A648" s="318" t="str">
        <f t="shared" si="102"/>
        <v>0</v>
      </c>
      <c r="B648" s="319">
        <v>646</v>
      </c>
      <c r="C648" s="276" t="s">
        <v>2802</v>
      </c>
      <c r="D648" s="271" t="s">
        <v>1027</v>
      </c>
      <c r="E648" s="272" t="s">
        <v>2583</v>
      </c>
      <c r="F648" s="273" t="s">
        <v>2796</v>
      </c>
      <c r="G648" s="274">
        <v>0</v>
      </c>
      <c r="H648" s="275">
        <v>9999</v>
      </c>
      <c r="I648" s="276">
        <v>0</v>
      </c>
      <c r="J648" s="275">
        <v>0</v>
      </c>
      <c r="K648" s="275">
        <v>0</v>
      </c>
      <c r="L648" s="275" t="s">
        <v>859</v>
      </c>
      <c r="M648" s="275">
        <v>1</v>
      </c>
      <c r="N648" s="275" t="s">
        <v>1910</v>
      </c>
      <c r="O648" s="275">
        <v>0</v>
      </c>
      <c r="P648" s="276">
        <v>0</v>
      </c>
      <c r="Q648" s="275">
        <v>1</v>
      </c>
      <c r="R648" s="275">
        <v>4</v>
      </c>
      <c r="S648" s="275">
        <v>0</v>
      </c>
      <c r="T648" s="331"/>
      <c r="V648" s="327" t="str">
        <f t="shared" si="88"/>
        <v>0</v>
      </c>
      <c r="W648" s="327" t="str">
        <f t="shared" si="89"/>
        <v>0</v>
      </c>
      <c r="X648" s="327" t="str">
        <f t="shared" si="90"/>
        <v>0</v>
      </c>
      <c r="Y648" s="327">
        <f t="shared" si="91"/>
        <v>0</v>
      </c>
      <c r="Z648" s="327">
        <f t="shared" si="91"/>
        <v>0</v>
      </c>
      <c r="AA648" s="327">
        <f t="shared" si="92"/>
        <v>1</v>
      </c>
      <c r="AB648" s="327" t="str">
        <f t="shared" si="95"/>
        <v>100</v>
      </c>
      <c r="AC648" s="327">
        <f t="shared" si="93"/>
        <v>0</v>
      </c>
      <c r="AD648" s="327">
        <v>0</v>
      </c>
      <c r="AE648" s="327" t="str">
        <f t="shared" si="94"/>
        <v>32400</v>
      </c>
    </row>
    <row r="649" spans="1:31" s="327" customFormat="1" x14ac:dyDescent="0.15">
      <c r="A649" s="318" t="str">
        <f t="shared" si="102"/>
        <v>0</v>
      </c>
      <c r="B649" s="319">
        <v>647</v>
      </c>
      <c r="C649" s="276" t="s">
        <v>2803</v>
      </c>
      <c r="D649" s="271" t="s">
        <v>1027</v>
      </c>
      <c r="E649" s="272" t="s">
        <v>1103</v>
      </c>
      <c r="F649" s="273" t="s">
        <v>2796</v>
      </c>
      <c r="G649" s="274">
        <v>0</v>
      </c>
      <c r="H649" s="275">
        <v>9999</v>
      </c>
      <c r="I649" s="276">
        <v>0</v>
      </c>
      <c r="J649" s="275">
        <v>0</v>
      </c>
      <c r="K649" s="275">
        <v>0</v>
      </c>
      <c r="L649" s="275" t="s">
        <v>859</v>
      </c>
      <c r="M649" s="275">
        <v>1</v>
      </c>
      <c r="N649" s="275" t="s">
        <v>1910</v>
      </c>
      <c r="O649" s="275">
        <v>0</v>
      </c>
      <c r="P649" s="276">
        <v>0</v>
      </c>
      <c r="Q649" s="275">
        <v>1</v>
      </c>
      <c r="R649" s="275">
        <v>4</v>
      </c>
      <c r="S649" s="275">
        <v>0</v>
      </c>
      <c r="T649" s="331"/>
      <c r="V649" s="327" t="str">
        <f t="shared" si="88"/>
        <v>0</v>
      </c>
      <c r="W649" s="327" t="str">
        <f t="shared" si="89"/>
        <v>0</v>
      </c>
      <c r="X649" s="327" t="str">
        <f t="shared" si="90"/>
        <v>0</v>
      </c>
      <c r="Y649" s="327">
        <f t="shared" si="91"/>
        <v>0</v>
      </c>
      <c r="Z649" s="327">
        <f t="shared" si="91"/>
        <v>0</v>
      </c>
      <c r="AA649" s="327">
        <f t="shared" si="92"/>
        <v>1</v>
      </c>
      <c r="AB649" s="327" t="str">
        <f t="shared" si="95"/>
        <v>100</v>
      </c>
      <c r="AC649" s="327">
        <f t="shared" si="93"/>
        <v>0</v>
      </c>
      <c r="AD649" s="327">
        <v>0</v>
      </c>
      <c r="AE649" s="327" t="str">
        <f t="shared" si="94"/>
        <v>32400</v>
      </c>
    </row>
    <row r="650" spans="1:31" s="327" customFormat="1" x14ac:dyDescent="0.15">
      <c r="A650" s="318" t="str">
        <f t="shared" si="102"/>
        <v>0</v>
      </c>
      <c r="B650" s="319">
        <v>648</v>
      </c>
      <c r="C650" s="276" t="s">
        <v>2804</v>
      </c>
      <c r="D650" s="271" t="s">
        <v>1027</v>
      </c>
      <c r="E650" s="272" t="s">
        <v>2584</v>
      </c>
      <c r="F650" s="273" t="s">
        <v>2796</v>
      </c>
      <c r="G650" s="274">
        <v>0</v>
      </c>
      <c r="H650" s="275">
        <v>9999</v>
      </c>
      <c r="I650" s="276">
        <v>0</v>
      </c>
      <c r="J650" s="275">
        <v>0</v>
      </c>
      <c r="K650" s="275">
        <v>0</v>
      </c>
      <c r="L650" s="275" t="s">
        <v>859</v>
      </c>
      <c r="M650" s="275">
        <v>1</v>
      </c>
      <c r="N650" s="275" t="s">
        <v>1910</v>
      </c>
      <c r="O650" s="275">
        <v>0</v>
      </c>
      <c r="P650" s="276">
        <v>0</v>
      </c>
      <c r="Q650" s="275">
        <v>1</v>
      </c>
      <c r="R650" s="275">
        <v>4</v>
      </c>
      <c r="S650" s="275">
        <v>0</v>
      </c>
      <c r="T650" s="331"/>
      <c r="V650" s="327" t="str">
        <f t="shared" si="88"/>
        <v>0</v>
      </c>
      <c r="W650" s="327" t="str">
        <f t="shared" si="89"/>
        <v>0</v>
      </c>
      <c r="X650" s="327" t="str">
        <f t="shared" si="90"/>
        <v>0</v>
      </c>
      <c r="Y650" s="327">
        <f t="shared" si="91"/>
        <v>0</v>
      </c>
      <c r="Z650" s="327">
        <f t="shared" si="91"/>
        <v>0</v>
      </c>
      <c r="AA650" s="327">
        <f t="shared" si="92"/>
        <v>1</v>
      </c>
      <c r="AB650" s="327" t="str">
        <f t="shared" si="95"/>
        <v>100</v>
      </c>
      <c r="AC650" s="327">
        <f t="shared" si="93"/>
        <v>0</v>
      </c>
      <c r="AD650" s="327">
        <v>0</v>
      </c>
      <c r="AE650" s="327" t="str">
        <f t="shared" si="94"/>
        <v>32400</v>
      </c>
    </row>
    <row r="651" spans="1:31" s="327" customFormat="1" x14ac:dyDescent="0.15">
      <c r="A651" s="318" t="str">
        <f t="shared" si="102"/>
        <v>0</v>
      </c>
      <c r="B651" s="319">
        <v>649</v>
      </c>
      <c r="C651" s="276" t="s">
        <v>2805</v>
      </c>
      <c r="D651" s="271" t="s">
        <v>1027</v>
      </c>
      <c r="E651" s="272" t="s">
        <v>1104</v>
      </c>
      <c r="F651" s="273" t="s">
        <v>2796</v>
      </c>
      <c r="G651" s="274">
        <v>0</v>
      </c>
      <c r="H651" s="275">
        <v>9999</v>
      </c>
      <c r="I651" s="276">
        <v>0</v>
      </c>
      <c r="J651" s="275">
        <v>0</v>
      </c>
      <c r="K651" s="275">
        <v>0</v>
      </c>
      <c r="L651" s="275" t="s">
        <v>859</v>
      </c>
      <c r="M651" s="275">
        <v>1</v>
      </c>
      <c r="N651" s="275" t="s">
        <v>1910</v>
      </c>
      <c r="O651" s="275">
        <v>0</v>
      </c>
      <c r="P651" s="276">
        <v>0</v>
      </c>
      <c r="Q651" s="275">
        <v>1</v>
      </c>
      <c r="R651" s="275">
        <v>4</v>
      </c>
      <c r="S651" s="275">
        <v>0</v>
      </c>
      <c r="T651" s="331"/>
      <c r="V651" s="327" t="str">
        <f t="shared" ref="V651:V715" si="103">IF(L651="△",DEC2BIN(0),IF(L651="×",DEC2BIN(1),IF(L651="◎",DEC2BIN(2),DEC2BIN(3))))</f>
        <v>0</v>
      </c>
      <c r="W651" s="327" t="str">
        <f t="shared" ref="W651:W715" si="104">IF(M651=1,DEC2BIN(0),IF(M651=0.1,DEC2BIN(1),IF(M651=0.01,DEC2BIN(2),DEC2BIN(3))))</f>
        <v>0</v>
      </c>
      <c r="X651" s="327" t="str">
        <f t="shared" ref="X651:X714" si="105">LOOKUP(N651,$AG$2:$AG$17,$AH$2:$AH$17)</f>
        <v>0</v>
      </c>
      <c r="Y651" s="327">
        <f t="shared" ref="Y651:Z715" si="106">O651</f>
        <v>0</v>
      </c>
      <c r="Z651" s="327">
        <f t="shared" si="106"/>
        <v>0</v>
      </c>
      <c r="AA651" s="327">
        <f t="shared" ref="AA651:AA715" si="107">Q651</f>
        <v>1</v>
      </c>
      <c r="AB651" s="327" t="str">
        <f t="shared" si="95"/>
        <v>100</v>
      </c>
      <c r="AC651" s="327">
        <f t="shared" ref="AC651:AC715" si="108">S651</f>
        <v>0</v>
      </c>
      <c r="AD651" s="327">
        <v>0</v>
      </c>
      <c r="AE651" s="327" t="str">
        <f t="shared" ref="AE651:AE715" si="109">DEC2HEX(V651+W651*4+X651*16+Y651*256+Z651*512+AA651*1024+AB651*2048+AC651*16384)</f>
        <v>32400</v>
      </c>
    </row>
    <row r="652" spans="1:31" s="327" customFormat="1" x14ac:dyDescent="0.15">
      <c r="A652" s="318" t="str">
        <f t="shared" si="102"/>
        <v>0</v>
      </c>
      <c r="B652" s="319">
        <v>650</v>
      </c>
      <c r="C652" s="276" t="s">
        <v>2806</v>
      </c>
      <c r="D652" s="271" t="s">
        <v>1027</v>
      </c>
      <c r="E652" s="272" t="s">
        <v>2585</v>
      </c>
      <c r="F652" s="273" t="s">
        <v>2796</v>
      </c>
      <c r="G652" s="274">
        <v>0</v>
      </c>
      <c r="H652" s="275">
        <v>9999</v>
      </c>
      <c r="I652" s="276">
        <v>0</v>
      </c>
      <c r="J652" s="275">
        <v>0</v>
      </c>
      <c r="K652" s="275">
        <v>0</v>
      </c>
      <c r="L652" s="275" t="s">
        <v>859</v>
      </c>
      <c r="M652" s="275">
        <v>1</v>
      </c>
      <c r="N652" s="275" t="s">
        <v>1910</v>
      </c>
      <c r="O652" s="275">
        <v>0</v>
      </c>
      <c r="P652" s="276">
        <v>0</v>
      </c>
      <c r="Q652" s="275">
        <v>1</v>
      </c>
      <c r="R652" s="275">
        <v>4</v>
      </c>
      <c r="S652" s="275">
        <v>0</v>
      </c>
      <c r="T652" s="331"/>
      <c r="V652" s="327" t="str">
        <f t="shared" si="103"/>
        <v>0</v>
      </c>
      <c r="W652" s="327" t="str">
        <f t="shared" si="104"/>
        <v>0</v>
      </c>
      <c r="X652" s="327" t="str">
        <f t="shared" si="105"/>
        <v>0</v>
      </c>
      <c r="Y652" s="327">
        <f t="shared" si="106"/>
        <v>0</v>
      </c>
      <c r="Z652" s="327">
        <f t="shared" si="106"/>
        <v>0</v>
      </c>
      <c r="AA652" s="327">
        <f t="shared" si="107"/>
        <v>1</v>
      </c>
      <c r="AB652" s="327" t="str">
        <f t="shared" ref="AB652:AB716" si="110">DEC2BIN(R652)</f>
        <v>100</v>
      </c>
      <c r="AC652" s="327">
        <f t="shared" si="108"/>
        <v>0</v>
      </c>
      <c r="AD652" s="327">
        <v>0</v>
      </c>
      <c r="AE652" s="327" t="str">
        <f t="shared" si="109"/>
        <v>32400</v>
      </c>
    </row>
    <row r="653" spans="1:31" s="327" customFormat="1" x14ac:dyDescent="0.15">
      <c r="A653" s="318" t="str">
        <f t="shared" si="102"/>
        <v>0</v>
      </c>
      <c r="B653" s="319">
        <v>651</v>
      </c>
      <c r="C653" s="276" t="s">
        <v>2807</v>
      </c>
      <c r="D653" s="271" t="s">
        <v>1027</v>
      </c>
      <c r="E653" s="272" t="s">
        <v>1105</v>
      </c>
      <c r="F653" s="273" t="s">
        <v>2796</v>
      </c>
      <c r="G653" s="274">
        <v>0</v>
      </c>
      <c r="H653" s="275">
        <v>9999</v>
      </c>
      <c r="I653" s="276">
        <v>0</v>
      </c>
      <c r="J653" s="275">
        <v>0</v>
      </c>
      <c r="K653" s="275">
        <v>0</v>
      </c>
      <c r="L653" s="275" t="s">
        <v>859</v>
      </c>
      <c r="M653" s="275">
        <v>1</v>
      </c>
      <c r="N653" s="275" t="s">
        <v>1910</v>
      </c>
      <c r="O653" s="275">
        <v>0</v>
      </c>
      <c r="P653" s="276">
        <v>0</v>
      </c>
      <c r="Q653" s="275">
        <v>1</v>
      </c>
      <c r="R653" s="275">
        <v>4</v>
      </c>
      <c r="S653" s="275">
        <v>0</v>
      </c>
      <c r="T653" s="331"/>
      <c r="V653" s="327" t="str">
        <f t="shared" si="103"/>
        <v>0</v>
      </c>
      <c r="W653" s="327" t="str">
        <f t="shared" si="104"/>
        <v>0</v>
      </c>
      <c r="X653" s="327" t="str">
        <f t="shared" si="105"/>
        <v>0</v>
      </c>
      <c r="Y653" s="327">
        <f t="shared" si="106"/>
        <v>0</v>
      </c>
      <c r="Z653" s="327">
        <f t="shared" si="106"/>
        <v>0</v>
      </c>
      <c r="AA653" s="327">
        <f t="shared" si="107"/>
        <v>1</v>
      </c>
      <c r="AB653" s="327" t="str">
        <f t="shared" si="110"/>
        <v>100</v>
      </c>
      <c r="AC653" s="327">
        <f t="shared" si="108"/>
        <v>0</v>
      </c>
      <c r="AD653" s="327">
        <v>0</v>
      </c>
      <c r="AE653" s="327" t="str">
        <f t="shared" si="109"/>
        <v>32400</v>
      </c>
    </row>
    <row r="654" spans="1:31" s="327" customFormat="1" x14ac:dyDescent="0.15">
      <c r="A654" s="318" t="str">
        <f t="shared" si="102"/>
        <v>0</v>
      </c>
      <c r="B654" s="319">
        <v>652</v>
      </c>
      <c r="C654" s="276" t="s">
        <v>2808</v>
      </c>
      <c r="D654" s="271" t="s">
        <v>1027</v>
      </c>
      <c r="E654" s="272" t="s">
        <v>2586</v>
      </c>
      <c r="F654" s="273" t="s">
        <v>2796</v>
      </c>
      <c r="G654" s="274">
        <v>0</v>
      </c>
      <c r="H654" s="275">
        <v>9999</v>
      </c>
      <c r="I654" s="276">
        <v>0</v>
      </c>
      <c r="J654" s="275">
        <v>0</v>
      </c>
      <c r="K654" s="275">
        <v>0</v>
      </c>
      <c r="L654" s="275" t="s">
        <v>859</v>
      </c>
      <c r="M654" s="275">
        <v>1</v>
      </c>
      <c r="N654" s="275" t="s">
        <v>1910</v>
      </c>
      <c r="O654" s="275">
        <v>0</v>
      </c>
      <c r="P654" s="276">
        <v>0</v>
      </c>
      <c r="Q654" s="275">
        <v>1</v>
      </c>
      <c r="R654" s="275">
        <v>4</v>
      </c>
      <c r="S654" s="275">
        <v>0</v>
      </c>
      <c r="T654" s="331"/>
      <c r="V654" s="327" t="str">
        <f t="shared" si="103"/>
        <v>0</v>
      </c>
      <c r="W654" s="327" t="str">
        <f t="shared" si="104"/>
        <v>0</v>
      </c>
      <c r="X654" s="327" t="str">
        <f t="shared" si="105"/>
        <v>0</v>
      </c>
      <c r="Y654" s="327">
        <f t="shared" si="106"/>
        <v>0</v>
      </c>
      <c r="Z654" s="327">
        <f t="shared" si="106"/>
        <v>0</v>
      </c>
      <c r="AA654" s="327">
        <f t="shared" si="107"/>
        <v>1</v>
      </c>
      <c r="AB654" s="327" t="str">
        <f t="shared" si="110"/>
        <v>100</v>
      </c>
      <c r="AC654" s="327">
        <f t="shared" si="108"/>
        <v>0</v>
      </c>
      <c r="AD654" s="327">
        <v>0</v>
      </c>
      <c r="AE654" s="327" t="str">
        <f t="shared" si="109"/>
        <v>32400</v>
      </c>
    </row>
    <row r="655" spans="1:31" s="327" customFormat="1" x14ac:dyDescent="0.15">
      <c r="A655" s="318" t="str">
        <f t="shared" si="102"/>
        <v>0</v>
      </c>
      <c r="B655" s="319">
        <v>653</v>
      </c>
      <c r="C655" s="276" t="s">
        <v>2809</v>
      </c>
      <c r="D655" s="271" t="s">
        <v>1027</v>
      </c>
      <c r="E655" s="272" t="s">
        <v>1106</v>
      </c>
      <c r="F655" s="273" t="s">
        <v>2796</v>
      </c>
      <c r="G655" s="274">
        <v>0</v>
      </c>
      <c r="H655" s="275">
        <v>9999</v>
      </c>
      <c r="I655" s="276">
        <v>0</v>
      </c>
      <c r="J655" s="275">
        <v>0</v>
      </c>
      <c r="K655" s="275">
        <v>0</v>
      </c>
      <c r="L655" s="275" t="s">
        <v>859</v>
      </c>
      <c r="M655" s="275">
        <v>1</v>
      </c>
      <c r="N655" s="275" t="s">
        <v>1910</v>
      </c>
      <c r="O655" s="275">
        <v>0</v>
      </c>
      <c r="P655" s="276">
        <v>0</v>
      </c>
      <c r="Q655" s="275">
        <v>1</v>
      </c>
      <c r="R655" s="275">
        <v>4</v>
      </c>
      <c r="S655" s="275">
        <v>0</v>
      </c>
      <c r="T655" s="331"/>
      <c r="V655" s="327" t="str">
        <f t="shared" si="103"/>
        <v>0</v>
      </c>
      <c r="W655" s="327" t="str">
        <f t="shared" si="104"/>
        <v>0</v>
      </c>
      <c r="X655" s="327" t="str">
        <f t="shared" si="105"/>
        <v>0</v>
      </c>
      <c r="Y655" s="327">
        <f t="shared" si="106"/>
        <v>0</v>
      </c>
      <c r="Z655" s="327">
        <f t="shared" si="106"/>
        <v>0</v>
      </c>
      <c r="AA655" s="327">
        <f t="shared" si="107"/>
        <v>1</v>
      </c>
      <c r="AB655" s="327" t="str">
        <f t="shared" si="110"/>
        <v>100</v>
      </c>
      <c r="AC655" s="327">
        <f t="shared" si="108"/>
        <v>0</v>
      </c>
      <c r="AD655" s="327">
        <v>0</v>
      </c>
      <c r="AE655" s="327" t="str">
        <f t="shared" si="109"/>
        <v>32400</v>
      </c>
    </row>
    <row r="656" spans="1:31" s="327" customFormat="1" x14ac:dyDescent="0.15">
      <c r="A656" s="318" t="str">
        <f t="shared" si="102"/>
        <v>0</v>
      </c>
      <c r="B656" s="319">
        <v>654</v>
      </c>
      <c r="C656" s="276" t="s">
        <v>2810</v>
      </c>
      <c r="D656" s="271" t="s">
        <v>1027</v>
      </c>
      <c r="E656" s="272" t="s">
        <v>2587</v>
      </c>
      <c r="F656" s="273" t="s">
        <v>2796</v>
      </c>
      <c r="G656" s="274">
        <v>0</v>
      </c>
      <c r="H656" s="275">
        <v>9999</v>
      </c>
      <c r="I656" s="276">
        <v>0</v>
      </c>
      <c r="J656" s="275">
        <v>0</v>
      </c>
      <c r="K656" s="275">
        <v>0</v>
      </c>
      <c r="L656" s="275" t="s">
        <v>859</v>
      </c>
      <c r="M656" s="275">
        <v>1</v>
      </c>
      <c r="N656" s="275" t="s">
        <v>1910</v>
      </c>
      <c r="O656" s="275">
        <v>0</v>
      </c>
      <c r="P656" s="276">
        <v>0</v>
      </c>
      <c r="Q656" s="275">
        <v>1</v>
      </c>
      <c r="R656" s="275">
        <v>4</v>
      </c>
      <c r="S656" s="275">
        <v>0</v>
      </c>
      <c r="T656" s="331"/>
      <c r="V656" s="327" t="str">
        <f t="shared" si="103"/>
        <v>0</v>
      </c>
      <c r="W656" s="327" t="str">
        <f t="shared" si="104"/>
        <v>0</v>
      </c>
      <c r="X656" s="327" t="str">
        <f t="shared" si="105"/>
        <v>0</v>
      </c>
      <c r="Y656" s="327">
        <f t="shared" si="106"/>
        <v>0</v>
      </c>
      <c r="Z656" s="327">
        <f t="shared" si="106"/>
        <v>0</v>
      </c>
      <c r="AA656" s="327">
        <f t="shared" si="107"/>
        <v>1</v>
      </c>
      <c r="AB656" s="327" t="str">
        <f t="shared" si="110"/>
        <v>100</v>
      </c>
      <c r="AC656" s="327">
        <f t="shared" si="108"/>
        <v>0</v>
      </c>
      <c r="AD656" s="327">
        <v>0</v>
      </c>
      <c r="AE656" s="327" t="str">
        <f t="shared" si="109"/>
        <v>32400</v>
      </c>
    </row>
    <row r="657" spans="1:31" s="327" customFormat="1" x14ac:dyDescent="0.15">
      <c r="A657" s="318" t="str">
        <f t="shared" si="102"/>
        <v>0</v>
      </c>
      <c r="B657" s="319">
        <v>655</v>
      </c>
      <c r="C657" s="276" t="s">
        <v>2811</v>
      </c>
      <c r="D657" s="271" t="s">
        <v>1027</v>
      </c>
      <c r="E657" s="272" t="s">
        <v>2588</v>
      </c>
      <c r="F657" s="273" t="s">
        <v>2796</v>
      </c>
      <c r="G657" s="274">
        <v>0</v>
      </c>
      <c r="H657" s="275">
        <v>9999</v>
      </c>
      <c r="I657" s="276">
        <v>0</v>
      </c>
      <c r="J657" s="275">
        <v>0</v>
      </c>
      <c r="K657" s="275">
        <v>0</v>
      </c>
      <c r="L657" s="275" t="s">
        <v>859</v>
      </c>
      <c r="M657" s="275">
        <v>1</v>
      </c>
      <c r="N657" s="275" t="s">
        <v>1910</v>
      </c>
      <c r="O657" s="275">
        <v>0</v>
      </c>
      <c r="P657" s="276">
        <v>0</v>
      </c>
      <c r="Q657" s="275">
        <v>1</v>
      </c>
      <c r="R657" s="275">
        <v>4</v>
      </c>
      <c r="S657" s="275">
        <v>0</v>
      </c>
      <c r="T657" s="331"/>
      <c r="V657" s="327" t="str">
        <f t="shared" si="103"/>
        <v>0</v>
      </c>
      <c r="W657" s="327" t="str">
        <f t="shared" si="104"/>
        <v>0</v>
      </c>
      <c r="X657" s="327" t="str">
        <f t="shared" si="105"/>
        <v>0</v>
      </c>
      <c r="Y657" s="327">
        <f t="shared" si="106"/>
        <v>0</v>
      </c>
      <c r="Z657" s="327">
        <f t="shared" si="106"/>
        <v>0</v>
      </c>
      <c r="AA657" s="327">
        <f t="shared" si="107"/>
        <v>1</v>
      </c>
      <c r="AB657" s="327" t="str">
        <f t="shared" si="110"/>
        <v>100</v>
      </c>
      <c r="AC657" s="327">
        <f t="shared" si="108"/>
        <v>0</v>
      </c>
      <c r="AD657" s="327">
        <v>0</v>
      </c>
      <c r="AE657" s="327" t="str">
        <f t="shared" si="109"/>
        <v>32400</v>
      </c>
    </row>
    <row r="658" spans="1:31" s="327" customFormat="1" ht="147" x14ac:dyDescent="0.15">
      <c r="A658" s="318" t="str">
        <f t="shared" si="102"/>
        <v>0</v>
      </c>
      <c r="B658" s="319">
        <v>656</v>
      </c>
      <c r="C658" s="276" t="s">
        <v>2812</v>
      </c>
      <c r="D658" s="271" t="s">
        <v>1027</v>
      </c>
      <c r="E658" s="272" t="s">
        <v>2589</v>
      </c>
      <c r="F658" s="273" t="s">
        <v>2813</v>
      </c>
      <c r="G658" s="274">
        <v>0</v>
      </c>
      <c r="H658" s="275">
        <v>8</v>
      </c>
      <c r="I658" s="276">
        <v>0</v>
      </c>
      <c r="J658" s="275">
        <v>0</v>
      </c>
      <c r="K658" s="275">
        <v>0</v>
      </c>
      <c r="L658" s="275" t="s">
        <v>860</v>
      </c>
      <c r="M658" s="275">
        <v>1</v>
      </c>
      <c r="N658" s="275" t="s">
        <v>1910</v>
      </c>
      <c r="O658" s="275">
        <v>0</v>
      </c>
      <c r="P658" s="276">
        <v>0</v>
      </c>
      <c r="Q658" s="275">
        <v>1</v>
      </c>
      <c r="R658" s="275">
        <v>1</v>
      </c>
      <c r="S658" s="275">
        <v>0</v>
      </c>
      <c r="T658" s="331"/>
      <c r="V658" s="327" t="str">
        <f t="shared" si="103"/>
        <v>1</v>
      </c>
      <c r="W658" s="327" t="str">
        <f t="shared" si="104"/>
        <v>0</v>
      </c>
      <c r="X658" s="327" t="str">
        <f t="shared" si="105"/>
        <v>0</v>
      </c>
      <c r="Y658" s="327">
        <f t="shared" si="106"/>
        <v>0</v>
      </c>
      <c r="Z658" s="327">
        <f t="shared" si="106"/>
        <v>0</v>
      </c>
      <c r="AA658" s="327">
        <f t="shared" si="107"/>
        <v>1</v>
      </c>
      <c r="AB658" s="327" t="str">
        <f t="shared" si="110"/>
        <v>1</v>
      </c>
      <c r="AC658" s="327">
        <f t="shared" si="108"/>
        <v>0</v>
      </c>
      <c r="AD658" s="327">
        <v>0</v>
      </c>
      <c r="AE658" s="327" t="str">
        <f t="shared" si="109"/>
        <v>C01</v>
      </c>
    </row>
    <row r="659" spans="1:31" s="327" customFormat="1" x14ac:dyDescent="0.15">
      <c r="A659" s="318" t="str">
        <f t="shared" si="102"/>
        <v>0</v>
      </c>
      <c r="B659" s="319">
        <v>657</v>
      </c>
      <c r="C659" s="276" t="s">
        <v>2814</v>
      </c>
      <c r="D659" s="271" t="s">
        <v>1027</v>
      </c>
      <c r="E659" s="272" t="s">
        <v>2590</v>
      </c>
      <c r="F659" s="273" t="s">
        <v>2815</v>
      </c>
      <c r="G659" s="274">
        <v>1000</v>
      </c>
      <c r="H659" s="275">
        <v>30000</v>
      </c>
      <c r="I659" s="276">
        <v>1</v>
      </c>
      <c r="J659" s="275">
        <v>0</v>
      </c>
      <c r="K659" s="275">
        <v>0</v>
      </c>
      <c r="L659" s="275" t="s">
        <v>859</v>
      </c>
      <c r="M659" s="275">
        <v>1</v>
      </c>
      <c r="N659" s="275" t="s">
        <v>1910</v>
      </c>
      <c r="O659" s="275">
        <v>0</v>
      </c>
      <c r="P659" s="276">
        <v>0</v>
      </c>
      <c r="Q659" s="275">
        <v>1</v>
      </c>
      <c r="R659" s="275">
        <v>5</v>
      </c>
      <c r="S659" s="275">
        <v>0</v>
      </c>
      <c r="T659" s="331"/>
      <c r="V659" s="327" t="str">
        <f t="shared" si="103"/>
        <v>0</v>
      </c>
      <c r="W659" s="327" t="str">
        <f t="shared" si="104"/>
        <v>0</v>
      </c>
      <c r="X659" s="327" t="str">
        <f t="shared" si="105"/>
        <v>0</v>
      </c>
      <c r="Y659" s="327">
        <f t="shared" si="106"/>
        <v>0</v>
      </c>
      <c r="Z659" s="327">
        <f t="shared" si="106"/>
        <v>0</v>
      </c>
      <c r="AA659" s="327">
        <f t="shared" si="107"/>
        <v>1</v>
      </c>
      <c r="AB659" s="327" t="str">
        <f t="shared" si="110"/>
        <v>101</v>
      </c>
      <c r="AC659" s="327">
        <f t="shared" si="108"/>
        <v>0</v>
      </c>
      <c r="AD659" s="327">
        <v>0</v>
      </c>
      <c r="AE659" s="327" t="str">
        <f t="shared" si="109"/>
        <v>32C00</v>
      </c>
    </row>
    <row r="660" spans="1:31" s="327" customFormat="1" x14ac:dyDescent="0.15">
      <c r="A660" s="318" t="str">
        <f t="shared" si="102"/>
        <v>0</v>
      </c>
      <c r="B660" s="319">
        <v>658</v>
      </c>
      <c r="C660" s="276" t="s">
        <v>2816</v>
      </c>
      <c r="D660" s="271" t="s">
        <v>1027</v>
      </c>
      <c r="E660" s="272" t="s">
        <v>2591</v>
      </c>
      <c r="F660" s="273" t="s">
        <v>2815</v>
      </c>
      <c r="G660" s="274">
        <v>1000</v>
      </c>
      <c r="H660" s="275">
        <v>30000</v>
      </c>
      <c r="I660" s="276">
        <v>1</v>
      </c>
      <c r="J660" s="275">
        <v>0</v>
      </c>
      <c r="K660" s="275">
        <v>0</v>
      </c>
      <c r="L660" s="275" t="s">
        <v>859</v>
      </c>
      <c r="M660" s="275">
        <v>1</v>
      </c>
      <c r="N660" s="275" t="s">
        <v>1910</v>
      </c>
      <c r="O660" s="275">
        <v>0</v>
      </c>
      <c r="P660" s="276">
        <v>0</v>
      </c>
      <c r="Q660" s="275">
        <v>1</v>
      </c>
      <c r="R660" s="275">
        <v>5</v>
      </c>
      <c r="S660" s="275">
        <v>0</v>
      </c>
      <c r="T660" s="331"/>
      <c r="V660" s="327" t="str">
        <f t="shared" si="103"/>
        <v>0</v>
      </c>
      <c r="W660" s="327" t="str">
        <f t="shared" si="104"/>
        <v>0</v>
      </c>
      <c r="X660" s="327" t="str">
        <f t="shared" si="105"/>
        <v>0</v>
      </c>
      <c r="Y660" s="327">
        <f t="shared" si="106"/>
        <v>0</v>
      </c>
      <c r="Z660" s="327">
        <f t="shared" si="106"/>
        <v>0</v>
      </c>
      <c r="AA660" s="327">
        <f t="shared" si="107"/>
        <v>1</v>
      </c>
      <c r="AB660" s="327" t="str">
        <f t="shared" si="110"/>
        <v>101</v>
      </c>
      <c r="AC660" s="327">
        <f t="shared" si="108"/>
        <v>0</v>
      </c>
      <c r="AD660" s="327">
        <v>0</v>
      </c>
      <c r="AE660" s="327" t="str">
        <f t="shared" si="109"/>
        <v>32C00</v>
      </c>
    </row>
    <row r="661" spans="1:31" s="327" customFormat="1" x14ac:dyDescent="0.15">
      <c r="A661" s="318" t="str">
        <f t="shared" si="102"/>
        <v>0</v>
      </c>
      <c r="B661" s="319">
        <v>659</v>
      </c>
      <c r="C661" s="276" t="s">
        <v>2817</v>
      </c>
      <c r="D661" s="271" t="s">
        <v>1027</v>
      </c>
      <c r="E661" s="272" t="s">
        <v>2592</v>
      </c>
      <c r="F661" s="273" t="s">
        <v>2818</v>
      </c>
      <c r="G661" s="274">
        <v>1000</v>
      </c>
      <c r="H661" s="275">
        <v>7000</v>
      </c>
      <c r="I661" s="276">
        <v>0</v>
      </c>
      <c r="J661" s="275">
        <v>0</v>
      </c>
      <c r="K661" s="275">
        <v>0</v>
      </c>
      <c r="L661" s="275" t="s">
        <v>859</v>
      </c>
      <c r="M661" s="275">
        <v>1E-3</v>
      </c>
      <c r="N661" s="275" t="s">
        <v>1910</v>
      </c>
      <c r="O661" s="275">
        <v>0</v>
      </c>
      <c r="P661" s="276">
        <v>0</v>
      </c>
      <c r="Q661" s="275">
        <v>1</v>
      </c>
      <c r="R661" s="275">
        <v>4</v>
      </c>
      <c r="S661" s="275">
        <v>0</v>
      </c>
      <c r="T661" s="331"/>
      <c r="V661" s="327" t="str">
        <f t="shared" si="103"/>
        <v>0</v>
      </c>
      <c r="W661" s="327" t="str">
        <f t="shared" si="104"/>
        <v>11</v>
      </c>
      <c r="X661" s="327" t="str">
        <f t="shared" si="105"/>
        <v>0</v>
      </c>
      <c r="Y661" s="327">
        <f t="shared" si="106"/>
        <v>0</v>
      </c>
      <c r="Z661" s="327">
        <f t="shared" si="106"/>
        <v>0</v>
      </c>
      <c r="AA661" s="327">
        <f t="shared" si="107"/>
        <v>1</v>
      </c>
      <c r="AB661" s="327" t="str">
        <f t="shared" si="110"/>
        <v>100</v>
      </c>
      <c r="AC661" s="327">
        <f t="shared" si="108"/>
        <v>0</v>
      </c>
      <c r="AD661" s="327">
        <v>0</v>
      </c>
      <c r="AE661" s="327" t="str">
        <f t="shared" si="109"/>
        <v>3242C</v>
      </c>
    </row>
    <row r="662" spans="1:31" s="327" customFormat="1" x14ac:dyDescent="0.15">
      <c r="A662" s="318" t="str">
        <f t="shared" si="102"/>
        <v>0</v>
      </c>
      <c r="B662" s="319">
        <v>660</v>
      </c>
      <c r="C662" s="276" t="s">
        <v>2819</v>
      </c>
      <c r="D662" s="271" t="s">
        <v>1027</v>
      </c>
      <c r="E662" s="272" t="s">
        <v>2593</v>
      </c>
      <c r="F662" s="273" t="s">
        <v>2820</v>
      </c>
      <c r="G662" s="274">
        <v>1</v>
      </c>
      <c r="H662" s="275">
        <v>7000</v>
      </c>
      <c r="I662" s="276">
        <v>0</v>
      </c>
      <c r="J662" s="275">
        <v>0</v>
      </c>
      <c r="K662" s="275">
        <v>0</v>
      </c>
      <c r="L662" s="275" t="s">
        <v>859</v>
      </c>
      <c r="M662" s="275">
        <v>1E-3</v>
      </c>
      <c r="N662" s="275" t="s">
        <v>2188</v>
      </c>
      <c r="O662" s="275">
        <v>0</v>
      </c>
      <c r="P662" s="276">
        <v>0</v>
      </c>
      <c r="Q662" s="275">
        <v>1</v>
      </c>
      <c r="R662" s="275">
        <v>4</v>
      </c>
      <c r="S662" s="275">
        <v>0</v>
      </c>
      <c r="T662" s="331"/>
      <c r="V662" s="327" t="str">
        <f t="shared" si="103"/>
        <v>0</v>
      </c>
      <c r="W662" s="327" t="str">
        <f t="shared" si="104"/>
        <v>11</v>
      </c>
      <c r="X662" s="327" t="str">
        <f t="shared" si="105"/>
        <v>0</v>
      </c>
      <c r="Y662" s="327">
        <f t="shared" si="106"/>
        <v>0</v>
      </c>
      <c r="Z662" s="327">
        <f t="shared" si="106"/>
        <v>0</v>
      </c>
      <c r="AA662" s="327">
        <f t="shared" si="107"/>
        <v>1</v>
      </c>
      <c r="AB662" s="327" t="str">
        <f t="shared" si="110"/>
        <v>100</v>
      </c>
      <c r="AC662" s="327">
        <f t="shared" si="108"/>
        <v>0</v>
      </c>
      <c r="AD662" s="327">
        <v>0</v>
      </c>
      <c r="AE662" s="327" t="str">
        <f t="shared" si="109"/>
        <v>3242C</v>
      </c>
    </row>
    <row r="663" spans="1:31" s="327" customFormat="1" x14ac:dyDescent="0.15">
      <c r="A663" s="318" t="str">
        <f t="shared" si="102"/>
        <v>0</v>
      </c>
      <c r="B663" s="319">
        <v>661</v>
      </c>
      <c r="C663" s="276" t="s">
        <v>2821</v>
      </c>
      <c r="D663" s="271" t="s">
        <v>1027</v>
      </c>
      <c r="E663" s="272" t="s">
        <v>2594</v>
      </c>
      <c r="F663" s="273" t="s">
        <v>2796</v>
      </c>
      <c r="G663" s="274">
        <v>800</v>
      </c>
      <c r="H663" s="275">
        <v>9999</v>
      </c>
      <c r="I663" s="276">
        <v>0</v>
      </c>
      <c r="J663" s="275">
        <v>0</v>
      </c>
      <c r="K663" s="275">
        <v>0</v>
      </c>
      <c r="L663" s="275" t="s">
        <v>859</v>
      </c>
      <c r="M663" s="275">
        <v>1</v>
      </c>
      <c r="N663" s="275" t="s">
        <v>1910</v>
      </c>
      <c r="O663" s="275">
        <v>0</v>
      </c>
      <c r="P663" s="276">
        <v>0</v>
      </c>
      <c r="Q663" s="275">
        <v>1</v>
      </c>
      <c r="R663" s="275">
        <v>4</v>
      </c>
      <c r="S663" s="275">
        <v>0</v>
      </c>
      <c r="T663" s="331"/>
      <c r="V663" s="327" t="str">
        <f t="shared" si="103"/>
        <v>0</v>
      </c>
      <c r="W663" s="327" t="str">
        <f t="shared" si="104"/>
        <v>0</v>
      </c>
      <c r="X663" s="327" t="str">
        <f t="shared" si="105"/>
        <v>0</v>
      </c>
      <c r="Y663" s="327">
        <f t="shared" si="106"/>
        <v>0</v>
      </c>
      <c r="Z663" s="327">
        <f t="shared" si="106"/>
        <v>0</v>
      </c>
      <c r="AA663" s="327">
        <f t="shared" si="107"/>
        <v>1</v>
      </c>
      <c r="AB663" s="327" t="str">
        <f t="shared" si="110"/>
        <v>100</v>
      </c>
      <c r="AC663" s="327">
        <f t="shared" si="108"/>
        <v>0</v>
      </c>
      <c r="AD663" s="327">
        <v>0</v>
      </c>
      <c r="AE663" s="327" t="str">
        <f t="shared" si="109"/>
        <v>32400</v>
      </c>
    </row>
    <row r="664" spans="1:31" s="327" customFormat="1" x14ac:dyDescent="0.15">
      <c r="A664" s="318" t="str">
        <f t="shared" si="102"/>
        <v>0</v>
      </c>
      <c r="B664" s="319">
        <v>662</v>
      </c>
      <c r="C664" s="276" t="s">
        <v>2822</v>
      </c>
      <c r="D664" s="271" t="s">
        <v>1027</v>
      </c>
      <c r="E664" s="272" t="s">
        <v>2595</v>
      </c>
      <c r="F664" s="273" t="s">
        <v>2596</v>
      </c>
      <c r="G664" s="274">
        <v>1000</v>
      </c>
      <c r="H664" s="275">
        <v>9999</v>
      </c>
      <c r="I664" s="276">
        <v>0</v>
      </c>
      <c r="J664" s="275">
        <v>0</v>
      </c>
      <c r="K664" s="275">
        <v>0</v>
      </c>
      <c r="L664" s="275" t="s">
        <v>859</v>
      </c>
      <c r="M664" s="275">
        <v>1</v>
      </c>
      <c r="N664" s="275" t="s">
        <v>1910</v>
      </c>
      <c r="O664" s="275">
        <v>0</v>
      </c>
      <c r="P664" s="276">
        <v>0</v>
      </c>
      <c r="Q664" s="275">
        <v>1</v>
      </c>
      <c r="R664" s="275">
        <v>4</v>
      </c>
      <c r="S664" s="275">
        <v>0</v>
      </c>
      <c r="T664" s="331"/>
      <c r="V664" s="327" t="str">
        <f t="shared" si="103"/>
        <v>0</v>
      </c>
      <c r="W664" s="327" t="str">
        <f t="shared" si="104"/>
        <v>0</v>
      </c>
      <c r="X664" s="327" t="str">
        <f t="shared" si="105"/>
        <v>0</v>
      </c>
      <c r="Y664" s="327">
        <f t="shared" si="106"/>
        <v>0</v>
      </c>
      <c r="Z664" s="327">
        <f t="shared" si="106"/>
        <v>0</v>
      </c>
      <c r="AA664" s="327">
        <f t="shared" si="107"/>
        <v>1</v>
      </c>
      <c r="AB664" s="327" t="str">
        <f t="shared" si="110"/>
        <v>100</v>
      </c>
      <c r="AC664" s="327">
        <f t="shared" si="108"/>
        <v>0</v>
      </c>
      <c r="AD664" s="327">
        <v>0</v>
      </c>
      <c r="AE664" s="327" t="str">
        <f t="shared" si="109"/>
        <v>32400</v>
      </c>
    </row>
    <row r="665" spans="1:31" s="327" customFormat="1" x14ac:dyDescent="0.15">
      <c r="A665" s="318" t="str">
        <f t="shared" si="102"/>
        <v>0</v>
      </c>
      <c r="B665" s="319">
        <v>663</v>
      </c>
      <c r="C665" s="276" t="s">
        <v>2823</v>
      </c>
      <c r="D665" s="271" t="s">
        <v>1027</v>
      </c>
      <c r="E665" s="272" t="s">
        <v>2597</v>
      </c>
      <c r="F665" s="273" t="s">
        <v>2598</v>
      </c>
      <c r="G665" s="274">
        <v>100</v>
      </c>
      <c r="H665" s="275">
        <v>1000</v>
      </c>
      <c r="I665" s="276">
        <v>0</v>
      </c>
      <c r="J665" s="275">
        <v>0</v>
      </c>
      <c r="K665" s="275">
        <v>0</v>
      </c>
      <c r="L665" s="275" t="s">
        <v>860</v>
      </c>
      <c r="M665" s="275">
        <v>0.1</v>
      </c>
      <c r="N665" s="275" t="s">
        <v>1907</v>
      </c>
      <c r="O665" s="275">
        <v>0</v>
      </c>
      <c r="P665" s="276">
        <v>0</v>
      </c>
      <c r="Q665" s="275">
        <v>1</v>
      </c>
      <c r="R665" s="275">
        <v>4</v>
      </c>
      <c r="S665" s="275">
        <v>0</v>
      </c>
      <c r="T665" s="331"/>
      <c r="V665" s="327" t="str">
        <f t="shared" si="103"/>
        <v>1</v>
      </c>
      <c r="W665" s="327" t="str">
        <f t="shared" si="104"/>
        <v>1</v>
      </c>
      <c r="X665" s="327" t="e">
        <f t="shared" si="105"/>
        <v>#N/A</v>
      </c>
      <c r="Y665" s="327">
        <f t="shared" si="106"/>
        <v>0</v>
      </c>
      <c r="Z665" s="327">
        <f t="shared" si="106"/>
        <v>0</v>
      </c>
      <c r="AA665" s="327">
        <f t="shared" si="107"/>
        <v>1</v>
      </c>
      <c r="AB665" s="327" t="str">
        <f t="shared" si="110"/>
        <v>100</v>
      </c>
      <c r="AC665" s="327">
        <f t="shared" si="108"/>
        <v>0</v>
      </c>
      <c r="AD665" s="327">
        <v>0</v>
      </c>
      <c r="AE665" s="327" t="e">
        <f t="shared" si="109"/>
        <v>#N/A</v>
      </c>
    </row>
    <row r="666" spans="1:31" s="327" customFormat="1" ht="33.75" x14ac:dyDescent="0.15">
      <c r="A666" s="318" t="str">
        <f t="shared" si="102"/>
        <v>0</v>
      </c>
      <c r="B666" s="319">
        <v>664</v>
      </c>
      <c r="C666" s="276" t="s">
        <v>2824</v>
      </c>
      <c r="D666" s="271" t="s">
        <v>1027</v>
      </c>
      <c r="E666" s="272" t="s">
        <v>2599</v>
      </c>
      <c r="F666" s="273" t="s">
        <v>2600</v>
      </c>
      <c r="G666" s="274">
        <v>0</v>
      </c>
      <c r="H666" s="275">
        <v>1</v>
      </c>
      <c r="I666" s="276">
        <v>0</v>
      </c>
      <c r="J666" s="275">
        <v>0</v>
      </c>
      <c r="K666" s="275">
        <v>0</v>
      </c>
      <c r="L666" s="275" t="s">
        <v>859</v>
      </c>
      <c r="M666" s="275">
        <v>1</v>
      </c>
      <c r="N666" s="275" t="s">
        <v>1910</v>
      </c>
      <c r="O666" s="275">
        <v>0</v>
      </c>
      <c r="P666" s="276">
        <v>0</v>
      </c>
      <c r="Q666" s="275">
        <v>1</v>
      </c>
      <c r="R666" s="275">
        <v>1</v>
      </c>
      <c r="S666" s="275">
        <v>0</v>
      </c>
      <c r="T666" s="331"/>
      <c r="V666" s="327" t="str">
        <f t="shared" si="103"/>
        <v>0</v>
      </c>
      <c r="W666" s="327" t="str">
        <f t="shared" si="104"/>
        <v>0</v>
      </c>
      <c r="X666" s="327" t="str">
        <f t="shared" si="105"/>
        <v>0</v>
      </c>
      <c r="Y666" s="327">
        <f t="shared" si="106"/>
        <v>0</v>
      </c>
      <c r="Z666" s="327">
        <f t="shared" si="106"/>
        <v>0</v>
      </c>
      <c r="AA666" s="327">
        <f t="shared" si="107"/>
        <v>1</v>
      </c>
      <c r="AB666" s="327" t="str">
        <f t="shared" si="110"/>
        <v>1</v>
      </c>
      <c r="AC666" s="327">
        <f t="shared" si="108"/>
        <v>0</v>
      </c>
      <c r="AD666" s="327">
        <v>0</v>
      </c>
      <c r="AE666" s="327" t="str">
        <f t="shared" si="109"/>
        <v>C00</v>
      </c>
    </row>
    <row r="667" spans="1:31" s="327" customFormat="1" ht="112.5" x14ac:dyDescent="0.15">
      <c r="A667" s="318" t="str">
        <f t="shared" si="102"/>
        <v>0</v>
      </c>
      <c r="B667" s="319">
        <v>665</v>
      </c>
      <c r="C667" s="276" t="s">
        <v>2825</v>
      </c>
      <c r="D667" s="271" t="s">
        <v>1027</v>
      </c>
      <c r="E667" s="272" t="s">
        <v>2601</v>
      </c>
      <c r="F667" s="273" t="s">
        <v>2365</v>
      </c>
      <c r="G667" s="274">
        <v>0</v>
      </c>
      <c r="H667" s="275">
        <v>111</v>
      </c>
      <c r="I667" s="276">
        <v>0</v>
      </c>
      <c r="J667" s="275">
        <v>0</v>
      </c>
      <c r="K667" s="275">
        <v>0</v>
      </c>
      <c r="L667" s="275" t="s">
        <v>859</v>
      </c>
      <c r="M667" s="275">
        <v>1</v>
      </c>
      <c r="N667" s="275" t="s">
        <v>1910</v>
      </c>
      <c r="O667" s="275">
        <v>1</v>
      </c>
      <c r="P667" s="276">
        <v>0</v>
      </c>
      <c r="Q667" s="275">
        <v>1</v>
      </c>
      <c r="R667" s="275">
        <v>3</v>
      </c>
      <c r="S667" s="275">
        <v>0</v>
      </c>
      <c r="T667" s="331"/>
      <c r="V667" s="327" t="str">
        <f t="shared" si="103"/>
        <v>0</v>
      </c>
      <c r="W667" s="327" t="str">
        <f t="shared" si="104"/>
        <v>0</v>
      </c>
      <c r="X667" s="327" t="str">
        <f t="shared" si="105"/>
        <v>0</v>
      </c>
      <c r="Y667" s="327">
        <f t="shared" si="106"/>
        <v>1</v>
      </c>
      <c r="Z667" s="327">
        <f t="shared" si="106"/>
        <v>0</v>
      </c>
      <c r="AA667" s="327">
        <f t="shared" si="107"/>
        <v>1</v>
      </c>
      <c r="AB667" s="327" t="str">
        <f t="shared" si="110"/>
        <v>11</v>
      </c>
      <c r="AC667" s="327">
        <f t="shared" si="108"/>
        <v>0</v>
      </c>
      <c r="AD667" s="327">
        <v>0</v>
      </c>
      <c r="AE667" s="327" t="str">
        <f t="shared" si="109"/>
        <v>5D00</v>
      </c>
    </row>
    <row r="668" spans="1:31" s="327" customFormat="1" x14ac:dyDescent="0.15">
      <c r="A668" s="318" t="str">
        <f t="shared" si="102"/>
        <v>0</v>
      </c>
      <c r="B668" s="319">
        <v>666</v>
      </c>
      <c r="C668" s="276" t="s">
        <v>2826</v>
      </c>
      <c r="D668" s="271" t="s">
        <v>1027</v>
      </c>
      <c r="E668" s="272" t="s">
        <v>2602</v>
      </c>
      <c r="F668" s="273" t="s">
        <v>856</v>
      </c>
      <c r="G668" s="274">
        <v>0</v>
      </c>
      <c r="H668" s="275">
        <v>65535</v>
      </c>
      <c r="I668" s="276">
        <v>0</v>
      </c>
      <c r="J668" s="275">
        <v>0</v>
      </c>
      <c r="K668" s="275">
        <v>0</v>
      </c>
      <c r="L668" s="275" t="s">
        <v>859</v>
      </c>
      <c r="M668" s="275">
        <v>1</v>
      </c>
      <c r="N668" s="275" t="s">
        <v>1910</v>
      </c>
      <c r="O668" s="275">
        <v>0</v>
      </c>
      <c r="P668" s="276">
        <v>0</v>
      </c>
      <c r="Q668" s="275">
        <v>1</v>
      </c>
      <c r="R668" s="275">
        <v>5</v>
      </c>
      <c r="S668" s="275">
        <v>0</v>
      </c>
      <c r="T668" s="331"/>
      <c r="V668" s="327" t="str">
        <f t="shared" si="103"/>
        <v>0</v>
      </c>
      <c r="W668" s="327" t="str">
        <f t="shared" si="104"/>
        <v>0</v>
      </c>
      <c r="X668" s="327" t="str">
        <f t="shared" si="105"/>
        <v>0</v>
      </c>
      <c r="Y668" s="327">
        <f t="shared" si="106"/>
        <v>0</v>
      </c>
      <c r="Z668" s="327">
        <f t="shared" si="106"/>
        <v>0</v>
      </c>
      <c r="AA668" s="327">
        <f t="shared" si="107"/>
        <v>1</v>
      </c>
      <c r="AB668" s="327" t="str">
        <f t="shared" si="110"/>
        <v>101</v>
      </c>
      <c r="AC668" s="327">
        <f t="shared" si="108"/>
        <v>0</v>
      </c>
      <c r="AD668" s="327">
        <v>0</v>
      </c>
      <c r="AE668" s="327" t="str">
        <f t="shared" si="109"/>
        <v>32C00</v>
      </c>
    </row>
    <row r="669" spans="1:31" s="327" customFormat="1" x14ac:dyDescent="0.15">
      <c r="A669" s="318" t="str">
        <f t="shared" si="102"/>
        <v>0</v>
      </c>
      <c r="B669" s="319">
        <v>667</v>
      </c>
      <c r="C669" s="276" t="s">
        <v>2603</v>
      </c>
      <c r="D669" s="271" t="s">
        <v>2844</v>
      </c>
      <c r="E669" s="272" t="s">
        <v>2604</v>
      </c>
      <c r="F669" s="273" t="s">
        <v>856</v>
      </c>
      <c r="G669" s="274">
        <v>0</v>
      </c>
      <c r="H669" s="275">
        <v>65535</v>
      </c>
      <c r="I669" s="276">
        <v>0</v>
      </c>
      <c r="J669" s="275">
        <v>0</v>
      </c>
      <c r="K669" s="275">
        <v>0</v>
      </c>
      <c r="L669" s="275" t="s">
        <v>859</v>
      </c>
      <c r="M669" s="275">
        <v>1</v>
      </c>
      <c r="N669" s="275" t="s">
        <v>1910</v>
      </c>
      <c r="O669" s="275">
        <v>0</v>
      </c>
      <c r="P669" s="276">
        <v>0</v>
      </c>
      <c r="Q669" s="275">
        <v>1</v>
      </c>
      <c r="R669" s="275">
        <v>5</v>
      </c>
      <c r="S669" s="275">
        <v>0</v>
      </c>
      <c r="T669" s="331"/>
      <c r="V669" s="327" t="str">
        <f t="shared" si="103"/>
        <v>0</v>
      </c>
      <c r="W669" s="327" t="str">
        <f t="shared" si="104"/>
        <v>0</v>
      </c>
      <c r="X669" s="327" t="str">
        <f t="shared" si="105"/>
        <v>0</v>
      </c>
      <c r="Y669" s="327">
        <f t="shared" si="106"/>
        <v>0</v>
      </c>
      <c r="Z669" s="327">
        <f t="shared" si="106"/>
        <v>0</v>
      </c>
      <c r="AA669" s="327">
        <f t="shared" si="107"/>
        <v>1</v>
      </c>
      <c r="AB669" s="327" t="str">
        <f t="shared" si="110"/>
        <v>101</v>
      </c>
      <c r="AC669" s="327">
        <f t="shared" si="108"/>
        <v>0</v>
      </c>
      <c r="AD669" s="327">
        <v>0</v>
      </c>
      <c r="AE669" s="327" t="str">
        <f t="shared" si="109"/>
        <v>32C00</v>
      </c>
    </row>
    <row r="670" spans="1:31" s="327" customFormat="1" x14ac:dyDescent="0.15">
      <c r="A670" s="318" t="str">
        <f t="shared" si="102"/>
        <v>0</v>
      </c>
      <c r="B670" s="319">
        <v>668</v>
      </c>
      <c r="C670" s="276" t="s">
        <v>2605</v>
      </c>
      <c r="D670" s="271" t="s">
        <v>2844</v>
      </c>
      <c r="E670" s="272" t="s">
        <v>2606</v>
      </c>
      <c r="F670" s="273" t="s">
        <v>856</v>
      </c>
      <c r="G670" s="274">
        <v>0</v>
      </c>
      <c r="H670" s="275">
        <v>65535</v>
      </c>
      <c r="I670" s="276">
        <v>0</v>
      </c>
      <c r="J670" s="275">
        <v>0</v>
      </c>
      <c r="K670" s="275">
        <v>0</v>
      </c>
      <c r="L670" s="275" t="s">
        <v>859</v>
      </c>
      <c r="M670" s="275">
        <v>1</v>
      </c>
      <c r="N670" s="275" t="s">
        <v>1910</v>
      </c>
      <c r="O670" s="275">
        <v>0</v>
      </c>
      <c r="P670" s="276">
        <v>0</v>
      </c>
      <c r="Q670" s="275">
        <v>1</v>
      </c>
      <c r="R670" s="275">
        <v>5</v>
      </c>
      <c r="S670" s="275">
        <v>0</v>
      </c>
      <c r="T670" s="331"/>
      <c r="V670" s="327" t="str">
        <f t="shared" si="103"/>
        <v>0</v>
      </c>
      <c r="W670" s="327" t="str">
        <f t="shared" si="104"/>
        <v>0</v>
      </c>
      <c r="X670" s="327" t="str">
        <f t="shared" si="105"/>
        <v>0</v>
      </c>
      <c r="Y670" s="327">
        <f t="shared" si="106"/>
        <v>0</v>
      </c>
      <c r="Z670" s="327">
        <f t="shared" si="106"/>
        <v>0</v>
      </c>
      <c r="AA670" s="327">
        <f t="shared" si="107"/>
        <v>1</v>
      </c>
      <c r="AB670" s="327" t="str">
        <f t="shared" si="110"/>
        <v>101</v>
      </c>
      <c r="AC670" s="327">
        <f t="shared" si="108"/>
        <v>0</v>
      </c>
      <c r="AD670" s="327">
        <v>0</v>
      </c>
      <c r="AE670" s="327" t="str">
        <f t="shared" si="109"/>
        <v>32C00</v>
      </c>
    </row>
    <row r="671" spans="1:31" ht="32.450000000000003" customHeight="1" x14ac:dyDescent="0.15">
      <c r="A671" s="42" t="str">
        <f t="shared" si="102"/>
        <v>0</v>
      </c>
      <c r="B671" s="43">
        <v>669</v>
      </c>
      <c r="C671" s="44" t="s">
        <v>799</v>
      </c>
      <c r="D671" s="25" t="s">
        <v>286</v>
      </c>
      <c r="E671" s="45" t="s">
        <v>287</v>
      </c>
      <c r="F671" s="46" t="s">
        <v>288</v>
      </c>
      <c r="G671" s="47">
        <v>0</v>
      </c>
      <c r="H671" s="48">
        <v>1</v>
      </c>
      <c r="I671" s="44">
        <v>0</v>
      </c>
      <c r="J671" s="48">
        <v>0</v>
      </c>
      <c r="K671" s="48">
        <v>0</v>
      </c>
      <c r="L671" s="48" t="s">
        <v>860</v>
      </c>
      <c r="M671" s="48">
        <v>1</v>
      </c>
      <c r="N671" s="48" t="s">
        <v>1601</v>
      </c>
      <c r="O671" s="48">
        <v>0</v>
      </c>
      <c r="P671" s="44">
        <v>0</v>
      </c>
      <c r="Q671" s="48">
        <v>1</v>
      </c>
      <c r="R671" s="48">
        <v>1</v>
      </c>
      <c r="S671" s="48">
        <v>0</v>
      </c>
      <c r="T671" s="48"/>
      <c r="V671" s="49" t="str">
        <f t="shared" si="103"/>
        <v>1</v>
      </c>
      <c r="W671" s="49" t="str">
        <f t="shared" si="104"/>
        <v>0</v>
      </c>
      <c r="X671" s="49" t="str">
        <f t="shared" si="105"/>
        <v>0</v>
      </c>
      <c r="Y671" s="49">
        <f t="shared" si="106"/>
        <v>0</v>
      </c>
      <c r="Z671" s="49">
        <f t="shared" si="106"/>
        <v>0</v>
      </c>
      <c r="AA671" s="49">
        <f t="shared" si="107"/>
        <v>1</v>
      </c>
      <c r="AB671" s="49" t="str">
        <f t="shared" si="110"/>
        <v>1</v>
      </c>
      <c r="AC671" s="49">
        <f t="shared" si="108"/>
        <v>0</v>
      </c>
      <c r="AD671" s="49">
        <v>0</v>
      </c>
      <c r="AE671" s="49" t="str">
        <f t="shared" si="109"/>
        <v>C01</v>
      </c>
    </row>
    <row r="672" spans="1:31" ht="231" customHeight="1" x14ac:dyDescent="0.15">
      <c r="A672" s="42" t="str">
        <f t="shared" si="102"/>
        <v>0</v>
      </c>
      <c r="B672" s="43">
        <v>670</v>
      </c>
      <c r="C672" s="44" t="s">
        <v>800</v>
      </c>
      <c r="D672" s="25" t="s">
        <v>289</v>
      </c>
      <c r="E672" s="45" t="s">
        <v>290</v>
      </c>
      <c r="F672" s="46" t="s">
        <v>291</v>
      </c>
      <c r="G672" s="47">
        <v>1</v>
      </c>
      <c r="H672" s="48">
        <v>1155</v>
      </c>
      <c r="I672" s="44">
        <v>0</v>
      </c>
      <c r="J672" s="48">
        <v>0</v>
      </c>
      <c r="K672" s="48">
        <v>0</v>
      </c>
      <c r="L672" s="48" t="s">
        <v>860</v>
      </c>
      <c r="M672" s="48">
        <v>1</v>
      </c>
      <c r="N672" s="48" t="s">
        <v>1601</v>
      </c>
      <c r="O672" s="48">
        <v>1</v>
      </c>
      <c r="P672" s="44">
        <v>0</v>
      </c>
      <c r="Q672" s="48">
        <v>1</v>
      </c>
      <c r="R672" s="48">
        <v>4</v>
      </c>
      <c r="S672" s="48">
        <v>0</v>
      </c>
      <c r="T672" s="48" t="s">
        <v>1108</v>
      </c>
      <c r="V672" s="49" t="str">
        <f t="shared" si="103"/>
        <v>1</v>
      </c>
      <c r="W672" s="49" t="str">
        <f t="shared" si="104"/>
        <v>0</v>
      </c>
      <c r="X672" s="49" t="str">
        <f t="shared" si="105"/>
        <v>0</v>
      </c>
      <c r="Y672" s="49">
        <f t="shared" si="106"/>
        <v>1</v>
      </c>
      <c r="Z672" s="49">
        <f t="shared" si="106"/>
        <v>0</v>
      </c>
      <c r="AA672" s="49">
        <f t="shared" si="107"/>
        <v>1</v>
      </c>
      <c r="AB672" s="49" t="str">
        <f t="shared" si="110"/>
        <v>100</v>
      </c>
      <c r="AC672" s="49">
        <f t="shared" si="108"/>
        <v>0</v>
      </c>
      <c r="AD672" s="49">
        <v>0</v>
      </c>
      <c r="AE672" s="49" t="str">
        <f t="shared" si="109"/>
        <v>32501</v>
      </c>
    </row>
    <row r="673" spans="1:31" ht="14.45" customHeight="1" x14ac:dyDescent="0.15">
      <c r="A673" s="42" t="str">
        <f t="shared" si="102"/>
        <v>0</v>
      </c>
      <c r="B673" s="43">
        <v>671</v>
      </c>
      <c r="C673" s="44" t="s">
        <v>801</v>
      </c>
      <c r="D673" s="25" t="s">
        <v>292</v>
      </c>
      <c r="E673" s="45" t="s">
        <v>293</v>
      </c>
      <c r="F673" s="46" t="s">
        <v>294</v>
      </c>
      <c r="G673" s="94">
        <v>1</v>
      </c>
      <c r="H673" s="48">
        <v>247</v>
      </c>
      <c r="I673" s="44">
        <v>0</v>
      </c>
      <c r="J673" s="48">
        <v>0</v>
      </c>
      <c r="K673" s="48">
        <v>0</v>
      </c>
      <c r="L673" s="48" t="s">
        <v>860</v>
      </c>
      <c r="M673" s="48">
        <v>1</v>
      </c>
      <c r="N673" s="48" t="s">
        <v>1660</v>
      </c>
      <c r="O673" s="48">
        <v>0</v>
      </c>
      <c r="P673" s="44">
        <v>0</v>
      </c>
      <c r="Q673" s="48">
        <v>1</v>
      </c>
      <c r="R673" s="48">
        <v>3</v>
      </c>
      <c r="S673" s="48">
        <v>0</v>
      </c>
      <c r="T673" s="48"/>
      <c r="V673" s="49" t="str">
        <f t="shared" si="103"/>
        <v>1</v>
      </c>
      <c r="W673" s="49" t="str">
        <f t="shared" si="104"/>
        <v>0</v>
      </c>
      <c r="X673" s="49" t="str">
        <f t="shared" si="105"/>
        <v>0</v>
      </c>
      <c r="Y673" s="49">
        <f t="shared" si="106"/>
        <v>0</v>
      </c>
      <c r="Z673" s="49">
        <f t="shared" si="106"/>
        <v>0</v>
      </c>
      <c r="AA673" s="49">
        <f t="shared" si="107"/>
        <v>1</v>
      </c>
      <c r="AB673" s="49" t="str">
        <f t="shared" si="110"/>
        <v>11</v>
      </c>
      <c r="AC673" s="49">
        <f t="shared" si="108"/>
        <v>0</v>
      </c>
      <c r="AD673" s="49">
        <v>0</v>
      </c>
      <c r="AE673" s="49" t="str">
        <f t="shared" si="109"/>
        <v>5C01</v>
      </c>
    </row>
    <row r="674" spans="1:31" x14ac:dyDescent="0.15">
      <c r="A674" s="42" t="str">
        <f t="shared" si="102"/>
        <v>0</v>
      </c>
      <c r="B674" s="43">
        <v>672</v>
      </c>
      <c r="C674" s="44" t="s">
        <v>802</v>
      </c>
      <c r="D674" s="25" t="s">
        <v>295</v>
      </c>
      <c r="E674" s="45" t="s">
        <v>296</v>
      </c>
      <c r="F674" s="46" t="s">
        <v>297</v>
      </c>
      <c r="G674" s="47">
        <v>0</v>
      </c>
      <c r="H674" s="48">
        <v>10000</v>
      </c>
      <c r="I674" s="44">
        <v>0</v>
      </c>
      <c r="J674" s="48">
        <v>0</v>
      </c>
      <c r="K674" s="48">
        <v>0</v>
      </c>
      <c r="L674" s="48" t="s">
        <v>859</v>
      </c>
      <c r="M674" s="48">
        <v>0.1</v>
      </c>
      <c r="N674" s="48" t="s">
        <v>1697</v>
      </c>
      <c r="O674" s="48">
        <v>0</v>
      </c>
      <c r="P674" s="44">
        <v>0</v>
      </c>
      <c r="Q674" s="48">
        <v>1</v>
      </c>
      <c r="R674" s="48">
        <v>5</v>
      </c>
      <c r="S674" s="48">
        <v>0</v>
      </c>
      <c r="T674" s="48"/>
      <c r="V674" s="49" t="str">
        <f t="shared" si="103"/>
        <v>0</v>
      </c>
      <c r="W674" s="49" t="str">
        <f t="shared" si="104"/>
        <v>1</v>
      </c>
      <c r="X674" s="49" t="str">
        <f t="shared" si="105"/>
        <v>0</v>
      </c>
      <c r="Y674" s="49">
        <f t="shared" si="106"/>
        <v>0</v>
      </c>
      <c r="Z674" s="49">
        <f t="shared" si="106"/>
        <v>0</v>
      </c>
      <c r="AA674" s="49">
        <f t="shared" si="107"/>
        <v>1</v>
      </c>
      <c r="AB674" s="49" t="str">
        <f t="shared" si="110"/>
        <v>101</v>
      </c>
      <c r="AC674" s="49">
        <f t="shared" si="108"/>
        <v>0</v>
      </c>
      <c r="AD674" s="49">
        <v>0</v>
      </c>
      <c r="AE674" s="49" t="str">
        <f t="shared" si="109"/>
        <v>32C04</v>
      </c>
    </row>
    <row r="675" spans="1:31" ht="24" x14ac:dyDescent="0.15">
      <c r="A675" s="42" t="str">
        <f t="shared" si="102"/>
        <v>0</v>
      </c>
      <c r="B675" s="43">
        <v>673</v>
      </c>
      <c r="C675" s="44" t="s">
        <v>803</v>
      </c>
      <c r="D675" s="25" t="s">
        <v>298</v>
      </c>
      <c r="E675" s="45" t="s">
        <v>299</v>
      </c>
      <c r="F675" s="46" t="s">
        <v>1233</v>
      </c>
      <c r="G675" s="47">
        <v>0</v>
      </c>
      <c r="H675" s="48">
        <v>1000</v>
      </c>
      <c r="I675" s="44">
        <v>0</v>
      </c>
      <c r="J675" s="48">
        <v>0</v>
      </c>
      <c r="K675" s="48">
        <v>0</v>
      </c>
      <c r="L675" s="48" t="s">
        <v>859</v>
      </c>
      <c r="M675" s="48">
        <v>1</v>
      </c>
      <c r="N675" s="48" t="s">
        <v>208</v>
      </c>
      <c r="O675" s="48">
        <v>0</v>
      </c>
      <c r="P675" s="44">
        <v>0</v>
      </c>
      <c r="Q675" s="48">
        <v>1</v>
      </c>
      <c r="R675" s="48">
        <v>4</v>
      </c>
      <c r="S675" s="48">
        <v>0</v>
      </c>
      <c r="T675" s="48"/>
      <c r="V675" s="49" t="str">
        <f t="shared" si="103"/>
        <v>0</v>
      </c>
      <c r="W675" s="49" t="str">
        <f t="shared" si="104"/>
        <v>0</v>
      </c>
      <c r="X675" s="49" t="str">
        <f t="shared" si="105"/>
        <v>0</v>
      </c>
      <c r="Y675" s="49">
        <f t="shared" si="106"/>
        <v>0</v>
      </c>
      <c r="Z675" s="49">
        <f t="shared" si="106"/>
        <v>0</v>
      </c>
      <c r="AA675" s="49">
        <f t="shared" si="107"/>
        <v>1</v>
      </c>
      <c r="AB675" s="49" t="str">
        <f t="shared" si="110"/>
        <v>100</v>
      </c>
      <c r="AC675" s="49">
        <f t="shared" si="108"/>
        <v>0</v>
      </c>
      <c r="AD675" s="49">
        <v>0</v>
      </c>
      <c r="AE675" s="49" t="str">
        <f t="shared" si="109"/>
        <v>32400</v>
      </c>
    </row>
    <row r="676" spans="1:31" ht="42.75" customHeight="1" x14ac:dyDescent="0.15">
      <c r="A676" s="42" t="str">
        <f t="shared" si="102"/>
        <v>0</v>
      </c>
      <c r="B676" s="43">
        <v>674</v>
      </c>
      <c r="C676" s="44" t="s">
        <v>804</v>
      </c>
      <c r="D676" s="25" t="s">
        <v>300</v>
      </c>
      <c r="E676" s="45" t="s">
        <v>301</v>
      </c>
      <c r="F676" s="46" t="s">
        <v>302</v>
      </c>
      <c r="G676" s="47">
        <v>0</v>
      </c>
      <c r="H676" s="48">
        <v>2</v>
      </c>
      <c r="I676" s="44">
        <v>0</v>
      </c>
      <c r="J676" s="48">
        <v>0</v>
      </c>
      <c r="K676" s="48">
        <v>0</v>
      </c>
      <c r="L676" s="48" t="s">
        <v>860</v>
      </c>
      <c r="M676" s="48">
        <v>1</v>
      </c>
      <c r="N676" s="48" t="s">
        <v>1660</v>
      </c>
      <c r="O676" s="48">
        <v>0</v>
      </c>
      <c r="P676" s="44">
        <v>0</v>
      </c>
      <c r="Q676" s="48">
        <v>1</v>
      </c>
      <c r="R676" s="48">
        <v>1</v>
      </c>
      <c r="S676" s="48">
        <v>0</v>
      </c>
      <c r="T676" s="48"/>
      <c r="V676" s="49" t="str">
        <f t="shared" si="103"/>
        <v>1</v>
      </c>
      <c r="W676" s="49" t="str">
        <f t="shared" si="104"/>
        <v>0</v>
      </c>
      <c r="X676" s="49" t="str">
        <f t="shared" si="105"/>
        <v>0</v>
      </c>
      <c r="Y676" s="49">
        <f t="shared" si="106"/>
        <v>0</v>
      </c>
      <c r="Z676" s="49">
        <f t="shared" si="106"/>
        <v>0</v>
      </c>
      <c r="AA676" s="49">
        <f t="shared" si="107"/>
        <v>1</v>
      </c>
      <c r="AB676" s="49" t="str">
        <f t="shared" si="110"/>
        <v>1</v>
      </c>
      <c r="AC676" s="49">
        <f t="shared" si="108"/>
        <v>0</v>
      </c>
      <c r="AD676" s="49">
        <v>0</v>
      </c>
      <c r="AE676" s="49" t="str">
        <f t="shared" si="109"/>
        <v>C01</v>
      </c>
    </row>
    <row r="677" spans="1:31" ht="24" x14ac:dyDescent="0.15">
      <c r="A677" s="42" t="str">
        <f t="shared" si="102"/>
        <v>0</v>
      </c>
      <c r="B677" s="43">
        <v>675</v>
      </c>
      <c r="C677" s="44" t="s">
        <v>805</v>
      </c>
      <c r="D677" s="25" t="s">
        <v>303</v>
      </c>
      <c r="E677" s="45" t="s">
        <v>304</v>
      </c>
      <c r="F677" s="46" t="s">
        <v>305</v>
      </c>
      <c r="G677" s="47">
        <v>0</v>
      </c>
      <c r="H677" s="48">
        <v>1</v>
      </c>
      <c r="I677" s="44">
        <v>0</v>
      </c>
      <c r="J677" s="48">
        <v>0</v>
      </c>
      <c r="K677" s="48">
        <v>0</v>
      </c>
      <c r="L677" s="48" t="s">
        <v>860</v>
      </c>
      <c r="M677" s="48">
        <v>1</v>
      </c>
      <c r="N677" s="48" t="s">
        <v>1660</v>
      </c>
      <c r="O677" s="48">
        <v>0</v>
      </c>
      <c r="P677" s="44">
        <v>0</v>
      </c>
      <c r="Q677" s="48">
        <v>1</v>
      </c>
      <c r="R677" s="48">
        <v>1</v>
      </c>
      <c r="S677" s="48">
        <v>0</v>
      </c>
      <c r="T677" s="48"/>
      <c r="V677" s="49" t="str">
        <f t="shared" si="103"/>
        <v>1</v>
      </c>
      <c r="W677" s="49" t="str">
        <f t="shared" si="104"/>
        <v>0</v>
      </c>
      <c r="X677" s="49" t="str">
        <f t="shared" si="105"/>
        <v>0</v>
      </c>
      <c r="Y677" s="49">
        <f t="shared" si="106"/>
        <v>0</v>
      </c>
      <c r="Z677" s="49">
        <f t="shared" si="106"/>
        <v>0</v>
      </c>
      <c r="AA677" s="49">
        <f t="shared" si="107"/>
        <v>1</v>
      </c>
      <c r="AB677" s="49" t="str">
        <f t="shared" si="110"/>
        <v>1</v>
      </c>
      <c r="AC677" s="49">
        <f t="shared" si="108"/>
        <v>0</v>
      </c>
      <c r="AD677" s="49">
        <v>0</v>
      </c>
      <c r="AE677" s="49" t="str">
        <f t="shared" si="109"/>
        <v>C01</v>
      </c>
    </row>
    <row r="678" spans="1:31" s="118" customFormat="1" x14ac:dyDescent="0.15">
      <c r="A678" s="115" t="str">
        <f t="shared" si="102"/>
        <v>0</v>
      </c>
      <c r="B678" s="116">
        <v>676</v>
      </c>
      <c r="C678" s="119" t="s">
        <v>1109</v>
      </c>
      <c r="D678" s="120" t="s">
        <v>306</v>
      </c>
      <c r="E678" s="121" t="s">
        <v>307</v>
      </c>
      <c r="F678" s="122" t="s">
        <v>791</v>
      </c>
      <c r="G678" s="123">
        <v>1000</v>
      </c>
      <c r="H678" s="124">
        <v>10000</v>
      </c>
      <c r="I678" s="119">
        <v>0</v>
      </c>
      <c r="J678" s="124">
        <v>0</v>
      </c>
      <c r="K678" s="124">
        <v>0</v>
      </c>
      <c r="L678" s="124" t="s">
        <v>859</v>
      </c>
      <c r="M678" s="124">
        <v>0.1</v>
      </c>
      <c r="N678" s="124" t="s">
        <v>1010</v>
      </c>
      <c r="O678" s="124">
        <v>0</v>
      </c>
      <c r="P678" s="119">
        <v>0</v>
      </c>
      <c r="Q678" s="124">
        <v>1</v>
      </c>
      <c r="R678" s="124">
        <v>5</v>
      </c>
      <c r="S678" s="124">
        <v>0</v>
      </c>
      <c r="T678" s="124"/>
      <c r="V678" s="118" t="str">
        <f t="shared" si="103"/>
        <v>0</v>
      </c>
      <c r="W678" s="118" t="str">
        <f t="shared" si="104"/>
        <v>1</v>
      </c>
      <c r="X678" s="118" t="e">
        <f t="shared" si="105"/>
        <v>#N/A</v>
      </c>
      <c r="Y678" s="118">
        <f t="shared" si="106"/>
        <v>0</v>
      </c>
      <c r="Z678" s="118">
        <f t="shared" si="106"/>
        <v>0</v>
      </c>
      <c r="AA678" s="118">
        <f t="shared" si="107"/>
        <v>1</v>
      </c>
      <c r="AB678" s="118" t="str">
        <f t="shared" si="110"/>
        <v>101</v>
      </c>
      <c r="AC678" s="118">
        <f t="shared" si="108"/>
        <v>0</v>
      </c>
      <c r="AD678" s="118">
        <v>0</v>
      </c>
      <c r="AE678" s="118" t="e">
        <f t="shared" si="109"/>
        <v>#N/A</v>
      </c>
    </row>
    <row r="679" spans="1:31" ht="22.5" x14ac:dyDescent="0.15">
      <c r="A679" s="42" t="str">
        <f t="shared" si="102"/>
        <v>0</v>
      </c>
      <c r="B679" s="43">
        <v>677</v>
      </c>
      <c r="C679" s="44" t="s">
        <v>1110</v>
      </c>
      <c r="D679" s="204" t="s">
        <v>2157</v>
      </c>
      <c r="E679" s="206" t="s">
        <v>2158</v>
      </c>
      <c r="F679" s="210" t="s">
        <v>2159</v>
      </c>
      <c r="G679" s="208">
        <v>0</v>
      </c>
      <c r="H679" s="209">
        <v>1</v>
      </c>
      <c r="I679" s="205">
        <v>0</v>
      </c>
      <c r="J679" s="209">
        <v>0</v>
      </c>
      <c r="K679" s="209">
        <v>0</v>
      </c>
      <c r="L679" s="209" t="s">
        <v>860</v>
      </c>
      <c r="M679" s="209">
        <v>1</v>
      </c>
      <c r="N679" s="209" t="s">
        <v>1910</v>
      </c>
      <c r="O679" s="209">
        <v>0</v>
      </c>
      <c r="P679" s="205">
        <v>0</v>
      </c>
      <c r="Q679" s="209">
        <v>1</v>
      </c>
      <c r="R679" s="209">
        <v>1</v>
      </c>
      <c r="S679" s="209">
        <v>0</v>
      </c>
      <c r="T679" s="48"/>
      <c r="V679" s="49" t="str">
        <f t="shared" si="103"/>
        <v>1</v>
      </c>
      <c r="W679" s="49" t="str">
        <f t="shared" si="104"/>
        <v>0</v>
      </c>
      <c r="X679" s="49" t="str">
        <f t="shared" si="105"/>
        <v>0</v>
      </c>
      <c r="Y679" s="49">
        <f t="shared" si="106"/>
        <v>0</v>
      </c>
      <c r="Z679" s="49">
        <f t="shared" si="106"/>
        <v>0</v>
      </c>
      <c r="AA679" s="49">
        <f t="shared" si="107"/>
        <v>1</v>
      </c>
      <c r="AB679" s="49" t="str">
        <f t="shared" si="110"/>
        <v>1</v>
      </c>
      <c r="AC679" s="49">
        <f t="shared" si="108"/>
        <v>0</v>
      </c>
      <c r="AD679" s="49">
        <v>0</v>
      </c>
      <c r="AE679" s="49" t="str">
        <f t="shared" si="109"/>
        <v>C01</v>
      </c>
    </row>
    <row r="680" spans="1:31" ht="22.5" x14ac:dyDescent="0.15">
      <c r="A680" s="42" t="str">
        <f t="shared" si="102"/>
        <v>0</v>
      </c>
      <c r="B680" s="43">
        <v>678</v>
      </c>
      <c r="C680" s="44" t="s">
        <v>1112</v>
      </c>
      <c r="D680" s="204" t="s">
        <v>2160</v>
      </c>
      <c r="E680" s="206" t="s">
        <v>2161</v>
      </c>
      <c r="F680" s="207" t="s">
        <v>2162</v>
      </c>
      <c r="G680" s="208">
        <v>0</v>
      </c>
      <c r="H680" s="209">
        <v>1</v>
      </c>
      <c r="I680" s="205">
        <v>0</v>
      </c>
      <c r="J680" s="209">
        <v>0</v>
      </c>
      <c r="K680" s="209">
        <v>0</v>
      </c>
      <c r="L680" s="209" t="s">
        <v>860</v>
      </c>
      <c r="M680" s="209">
        <v>1</v>
      </c>
      <c r="N680" s="209" t="s">
        <v>1910</v>
      </c>
      <c r="O680" s="209">
        <v>0</v>
      </c>
      <c r="P680" s="205">
        <v>0</v>
      </c>
      <c r="Q680" s="209">
        <v>1</v>
      </c>
      <c r="R680" s="209">
        <v>1</v>
      </c>
      <c r="S680" s="209">
        <v>0</v>
      </c>
      <c r="T680" s="48"/>
      <c r="V680" s="49" t="str">
        <f t="shared" si="103"/>
        <v>1</v>
      </c>
      <c r="W680" s="49" t="str">
        <f t="shared" si="104"/>
        <v>0</v>
      </c>
      <c r="X680" s="49" t="str">
        <f t="shared" si="105"/>
        <v>0</v>
      </c>
      <c r="Y680" s="49">
        <f t="shared" si="106"/>
        <v>0</v>
      </c>
      <c r="Z680" s="49">
        <f t="shared" si="106"/>
        <v>0</v>
      </c>
      <c r="AA680" s="49">
        <f t="shared" si="107"/>
        <v>1</v>
      </c>
      <c r="AB680" s="49" t="str">
        <f t="shared" si="110"/>
        <v>1</v>
      </c>
      <c r="AC680" s="49">
        <f t="shared" si="108"/>
        <v>0</v>
      </c>
      <c r="AD680" s="49">
        <v>0</v>
      </c>
      <c r="AE680" s="49" t="str">
        <f t="shared" si="109"/>
        <v>C01</v>
      </c>
    </row>
    <row r="681" spans="1:31" s="327" customFormat="1" ht="33.75" x14ac:dyDescent="0.15">
      <c r="A681" s="318" t="str">
        <f t="shared" si="102"/>
        <v>0</v>
      </c>
      <c r="B681" s="319">
        <v>679</v>
      </c>
      <c r="C681" s="328" t="s">
        <v>1</v>
      </c>
      <c r="D681" s="329" t="s">
        <v>2845</v>
      </c>
      <c r="E681" s="330" t="s">
        <v>2</v>
      </c>
      <c r="F681" s="332" t="s">
        <v>3</v>
      </c>
      <c r="G681" s="277">
        <v>4</v>
      </c>
      <c r="H681" s="331">
        <v>127</v>
      </c>
      <c r="I681" s="328">
        <v>1</v>
      </c>
      <c r="J681" s="331">
        <v>0</v>
      </c>
      <c r="K681" s="331">
        <v>0</v>
      </c>
      <c r="L681" s="331" t="s">
        <v>859</v>
      </c>
      <c r="M681" s="331">
        <v>1</v>
      </c>
      <c r="N681" s="331" t="s">
        <v>4</v>
      </c>
      <c r="O681" s="331">
        <v>0</v>
      </c>
      <c r="P681" s="328">
        <v>0</v>
      </c>
      <c r="Q681" s="331">
        <v>1</v>
      </c>
      <c r="R681" s="331">
        <v>3</v>
      </c>
      <c r="S681" s="331">
        <v>0</v>
      </c>
      <c r="T681" s="331"/>
      <c r="V681" s="327" t="str">
        <f t="shared" si="103"/>
        <v>0</v>
      </c>
      <c r="W681" s="327" t="str">
        <f t="shared" si="104"/>
        <v>0</v>
      </c>
      <c r="X681" s="327" t="str">
        <f t="shared" si="105"/>
        <v>0</v>
      </c>
      <c r="Y681" s="327">
        <f t="shared" si="106"/>
        <v>0</v>
      </c>
      <c r="Z681" s="327">
        <f t="shared" si="106"/>
        <v>0</v>
      </c>
      <c r="AA681" s="327">
        <f t="shared" si="107"/>
        <v>1</v>
      </c>
      <c r="AB681" s="327" t="str">
        <f t="shared" si="110"/>
        <v>11</v>
      </c>
      <c r="AC681" s="327">
        <f t="shared" si="108"/>
        <v>0</v>
      </c>
      <c r="AD681" s="327">
        <v>0</v>
      </c>
      <c r="AE681" s="327" t="str">
        <f t="shared" si="109"/>
        <v>5C00</v>
      </c>
    </row>
    <row r="682" spans="1:31" s="327" customFormat="1" ht="67.5" x14ac:dyDescent="0.15">
      <c r="A682" s="318" t="str">
        <f t="shared" si="102"/>
        <v>0</v>
      </c>
      <c r="B682" s="319">
        <v>680</v>
      </c>
      <c r="C682" s="328" t="s">
        <v>1113</v>
      </c>
      <c r="D682" s="329" t="s">
        <v>2845</v>
      </c>
      <c r="E682" s="330" t="s">
        <v>5</v>
      </c>
      <c r="F682" s="332" t="s">
        <v>6</v>
      </c>
      <c r="G682" s="277">
        <v>0</v>
      </c>
      <c r="H682" s="331">
        <v>5</v>
      </c>
      <c r="I682" s="328">
        <v>0</v>
      </c>
      <c r="J682" s="331">
        <v>0</v>
      </c>
      <c r="K682" s="331">
        <v>0</v>
      </c>
      <c r="L682" s="331" t="s">
        <v>859</v>
      </c>
      <c r="M682" s="331">
        <v>1</v>
      </c>
      <c r="N682" s="331" t="s">
        <v>4</v>
      </c>
      <c r="O682" s="331">
        <v>0</v>
      </c>
      <c r="P682" s="328">
        <v>0</v>
      </c>
      <c r="Q682" s="331">
        <v>1</v>
      </c>
      <c r="R682" s="331">
        <v>1</v>
      </c>
      <c r="S682" s="331">
        <v>0</v>
      </c>
      <c r="T682" s="331"/>
      <c r="V682" s="327" t="str">
        <f t="shared" si="103"/>
        <v>0</v>
      </c>
      <c r="W682" s="327" t="str">
        <f t="shared" si="104"/>
        <v>0</v>
      </c>
      <c r="X682" s="327" t="str">
        <f t="shared" si="105"/>
        <v>0</v>
      </c>
      <c r="Y682" s="327">
        <f t="shared" si="106"/>
        <v>0</v>
      </c>
      <c r="Z682" s="327">
        <f t="shared" si="106"/>
        <v>0</v>
      </c>
      <c r="AA682" s="327">
        <f t="shared" si="107"/>
        <v>1</v>
      </c>
      <c r="AB682" s="327" t="str">
        <f t="shared" si="110"/>
        <v>1</v>
      </c>
      <c r="AC682" s="327">
        <f t="shared" si="108"/>
        <v>0</v>
      </c>
      <c r="AD682" s="327">
        <v>0</v>
      </c>
      <c r="AE682" s="327" t="str">
        <f t="shared" si="109"/>
        <v>C00</v>
      </c>
    </row>
    <row r="683" spans="1:31" s="327" customFormat="1" ht="45" x14ac:dyDescent="0.15">
      <c r="A683" s="318" t="str">
        <f t="shared" si="102"/>
        <v>0</v>
      </c>
      <c r="B683" s="319">
        <v>681</v>
      </c>
      <c r="C683" s="328" t="s">
        <v>1114</v>
      </c>
      <c r="D683" s="329" t="s">
        <v>2845</v>
      </c>
      <c r="E683" s="330" t="s">
        <v>7</v>
      </c>
      <c r="F683" s="332" t="s">
        <v>8</v>
      </c>
      <c r="G683" s="277">
        <v>0</v>
      </c>
      <c r="H683" s="331" t="s">
        <v>9</v>
      </c>
      <c r="I683" s="328">
        <v>0</v>
      </c>
      <c r="J683" s="331">
        <v>0</v>
      </c>
      <c r="K683" s="331">
        <v>0</v>
      </c>
      <c r="L683" s="331" t="s">
        <v>859</v>
      </c>
      <c r="M683" s="331">
        <v>1</v>
      </c>
      <c r="N683" s="331" t="s">
        <v>4</v>
      </c>
      <c r="O683" s="331">
        <v>1</v>
      </c>
      <c r="P683" s="328">
        <v>0</v>
      </c>
      <c r="Q683" s="331">
        <v>1</v>
      </c>
      <c r="R683" s="331">
        <v>4</v>
      </c>
      <c r="S683" s="331">
        <v>0</v>
      </c>
      <c r="T683" s="331"/>
      <c r="V683" s="327" t="str">
        <f t="shared" si="103"/>
        <v>0</v>
      </c>
      <c r="W683" s="327" t="str">
        <f t="shared" si="104"/>
        <v>0</v>
      </c>
      <c r="X683" s="327" t="str">
        <f>DEC2BIN(14)</f>
        <v>1110</v>
      </c>
      <c r="Y683" s="327">
        <f t="shared" si="106"/>
        <v>1</v>
      </c>
      <c r="Z683" s="327">
        <f t="shared" si="106"/>
        <v>0</v>
      </c>
      <c r="AA683" s="327">
        <f t="shared" si="107"/>
        <v>1</v>
      </c>
      <c r="AB683" s="327" t="str">
        <f t="shared" si="110"/>
        <v>100</v>
      </c>
      <c r="AC683" s="327">
        <f t="shared" si="108"/>
        <v>0</v>
      </c>
      <c r="AD683" s="327">
        <v>0</v>
      </c>
      <c r="AE683" s="327" t="str">
        <f t="shared" si="109"/>
        <v>36A60</v>
      </c>
    </row>
    <row r="684" spans="1:31" s="327" customFormat="1" ht="45" x14ac:dyDescent="0.15">
      <c r="A684" s="318" t="str">
        <f t="shared" si="102"/>
        <v>0</v>
      </c>
      <c r="B684" s="319">
        <v>682</v>
      </c>
      <c r="C684" s="328" t="s">
        <v>1115</v>
      </c>
      <c r="D684" s="329" t="s">
        <v>2845</v>
      </c>
      <c r="E684" s="330" t="s">
        <v>10</v>
      </c>
      <c r="F684" s="332" t="s">
        <v>772</v>
      </c>
      <c r="G684" s="277">
        <v>0</v>
      </c>
      <c r="H684" s="331" t="s">
        <v>9</v>
      </c>
      <c r="I684" s="328">
        <v>0</v>
      </c>
      <c r="J684" s="331">
        <v>0</v>
      </c>
      <c r="K684" s="331">
        <v>0</v>
      </c>
      <c r="L684" s="331" t="s">
        <v>859</v>
      </c>
      <c r="M684" s="331">
        <v>1</v>
      </c>
      <c r="N684" s="331" t="s">
        <v>4</v>
      </c>
      <c r="O684" s="331">
        <v>1</v>
      </c>
      <c r="P684" s="328">
        <v>0</v>
      </c>
      <c r="Q684" s="331">
        <v>1</v>
      </c>
      <c r="R684" s="331">
        <v>4</v>
      </c>
      <c r="S684" s="331">
        <v>0</v>
      </c>
      <c r="T684" s="331"/>
      <c r="V684" s="327" t="str">
        <f t="shared" si="103"/>
        <v>0</v>
      </c>
      <c r="W684" s="327" t="str">
        <f t="shared" si="104"/>
        <v>0</v>
      </c>
      <c r="X684" s="327" t="str">
        <f>DEC2BIN(14)</f>
        <v>1110</v>
      </c>
      <c r="Y684" s="327">
        <f t="shared" si="106"/>
        <v>1</v>
      </c>
      <c r="Z684" s="327">
        <f t="shared" si="106"/>
        <v>0</v>
      </c>
      <c r="AA684" s="327">
        <f t="shared" si="107"/>
        <v>1</v>
      </c>
      <c r="AB684" s="327" t="str">
        <f t="shared" si="110"/>
        <v>100</v>
      </c>
      <c r="AC684" s="327">
        <f t="shared" si="108"/>
        <v>0</v>
      </c>
      <c r="AD684" s="327">
        <v>0</v>
      </c>
      <c r="AE684" s="327" t="str">
        <f t="shared" si="109"/>
        <v>36A60</v>
      </c>
    </row>
    <row r="685" spans="1:31" s="327" customFormat="1" ht="45" x14ac:dyDescent="0.15">
      <c r="A685" s="318" t="str">
        <f t="shared" si="102"/>
        <v>0</v>
      </c>
      <c r="B685" s="319">
        <v>683</v>
      </c>
      <c r="C685" s="328" t="s">
        <v>1116</v>
      </c>
      <c r="D685" s="329" t="s">
        <v>2844</v>
      </c>
      <c r="E685" s="330" t="s">
        <v>11</v>
      </c>
      <c r="F685" s="332" t="s">
        <v>773</v>
      </c>
      <c r="G685" s="277">
        <v>0</v>
      </c>
      <c r="H685" s="331" t="s">
        <v>9</v>
      </c>
      <c r="I685" s="328">
        <v>0</v>
      </c>
      <c r="J685" s="331">
        <v>0</v>
      </c>
      <c r="K685" s="331">
        <v>0</v>
      </c>
      <c r="L685" s="331" t="s">
        <v>859</v>
      </c>
      <c r="M685" s="331">
        <v>1</v>
      </c>
      <c r="N685" s="331" t="s">
        <v>4</v>
      </c>
      <c r="O685" s="331">
        <v>1</v>
      </c>
      <c r="P685" s="328">
        <v>0</v>
      </c>
      <c r="Q685" s="331">
        <v>1</v>
      </c>
      <c r="R685" s="331">
        <v>4</v>
      </c>
      <c r="S685" s="331">
        <v>0</v>
      </c>
      <c r="T685" s="331"/>
      <c r="V685" s="327" t="str">
        <f t="shared" si="103"/>
        <v>0</v>
      </c>
      <c r="W685" s="327" t="str">
        <f t="shared" si="104"/>
        <v>0</v>
      </c>
      <c r="X685" s="327" t="str">
        <f t="shared" si="105"/>
        <v>0</v>
      </c>
      <c r="Y685" s="327">
        <f t="shared" si="106"/>
        <v>1</v>
      </c>
      <c r="Z685" s="327">
        <f t="shared" si="106"/>
        <v>0</v>
      </c>
      <c r="AA685" s="327">
        <f t="shared" si="107"/>
        <v>1</v>
      </c>
      <c r="AB685" s="327" t="str">
        <f t="shared" si="110"/>
        <v>100</v>
      </c>
      <c r="AC685" s="327">
        <f t="shared" si="108"/>
        <v>0</v>
      </c>
      <c r="AD685" s="327">
        <v>0</v>
      </c>
      <c r="AE685" s="327" t="str">
        <f t="shared" si="109"/>
        <v>32500</v>
      </c>
    </row>
    <row r="686" spans="1:31" s="327" customFormat="1" ht="45" x14ac:dyDescent="0.15">
      <c r="A686" s="318" t="str">
        <f t="shared" si="102"/>
        <v>0</v>
      </c>
      <c r="B686" s="319">
        <v>684</v>
      </c>
      <c r="C686" s="328" t="s">
        <v>1117</v>
      </c>
      <c r="D686" s="329" t="s">
        <v>2844</v>
      </c>
      <c r="E686" s="330" t="s">
        <v>12</v>
      </c>
      <c r="F686" s="332" t="s">
        <v>774</v>
      </c>
      <c r="G686" s="277">
        <v>0</v>
      </c>
      <c r="H686" s="331" t="s">
        <v>9</v>
      </c>
      <c r="I686" s="328">
        <v>0</v>
      </c>
      <c r="J686" s="331">
        <v>0</v>
      </c>
      <c r="K686" s="331">
        <v>0</v>
      </c>
      <c r="L686" s="331" t="s">
        <v>859</v>
      </c>
      <c r="M686" s="331">
        <v>1</v>
      </c>
      <c r="N686" s="331" t="s">
        <v>4</v>
      </c>
      <c r="O686" s="331">
        <v>1</v>
      </c>
      <c r="P686" s="328">
        <v>0</v>
      </c>
      <c r="Q686" s="331">
        <v>1</v>
      </c>
      <c r="R686" s="331">
        <v>4</v>
      </c>
      <c r="S686" s="331">
        <v>0</v>
      </c>
      <c r="T686" s="331"/>
      <c r="V686" s="327" t="str">
        <f t="shared" si="103"/>
        <v>0</v>
      </c>
      <c r="W686" s="327" t="str">
        <f t="shared" si="104"/>
        <v>0</v>
      </c>
      <c r="X686" s="327" t="str">
        <f t="shared" si="105"/>
        <v>0</v>
      </c>
      <c r="Y686" s="327">
        <f t="shared" si="106"/>
        <v>1</v>
      </c>
      <c r="Z686" s="327">
        <f t="shared" si="106"/>
        <v>0</v>
      </c>
      <c r="AA686" s="327">
        <f t="shared" si="107"/>
        <v>1</v>
      </c>
      <c r="AB686" s="327" t="str">
        <f t="shared" si="110"/>
        <v>100</v>
      </c>
      <c r="AC686" s="327">
        <f t="shared" si="108"/>
        <v>0</v>
      </c>
      <c r="AD686" s="327">
        <v>0</v>
      </c>
      <c r="AE686" s="327" t="str">
        <f t="shared" si="109"/>
        <v>32500</v>
      </c>
    </row>
    <row r="687" spans="1:31" s="327" customFormat="1" ht="45" x14ac:dyDescent="0.15">
      <c r="A687" s="318" t="str">
        <f t="shared" si="102"/>
        <v>0</v>
      </c>
      <c r="B687" s="319">
        <v>685</v>
      </c>
      <c r="C687" s="328" t="s">
        <v>1118</v>
      </c>
      <c r="D687" s="329" t="s">
        <v>2844</v>
      </c>
      <c r="E687" s="330" t="s">
        <v>13</v>
      </c>
      <c r="F687" s="332" t="s">
        <v>775</v>
      </c>
      <c r="G687" s="277">
        <v>0</v>
      </c>
      <c r="H687" s="331" t="s">
        <v>9</v>
      </c>
      <c r="I687" s="328">
        <v>0</v>
      </c>
      <c r="J687" s="331">
        <v>0</v>
      </c>
      <c r="K687" s="331">
        <v>0</v>
      </c>
      <c r="L687" s="331" t="s">
        <v>859</v>
      </c>
      <c r="M687" s="331">
        <v>1</v>
      </c>
      <c r="N687" s="331" t="s">
        <v>4</v>
      </c>
      <c r="O687" s="331">
        <v>1</v>
      </c>
      <c r="P687" s="328">
        <v>0</v>
      </c>
      <c r="Q687" s="331">
        <v>1</v>
      </c>
      <c r="R687" s="331">
        <v>4</v>
      </c>
      <c r="S687" s="331">
        <v>0</v>
      </c>
      <c r="T687" s="331"/>
      <c r="V687" s="327" t="str">
        <f t="shared" si="103"/>
        <v>0</v>
      </c>
      <c r="W687" s="327" t="str">
        <f t="shared" si="104"/>
        <v>0</v>
      </c>
      <c r="X687" s="327" t="str">
        <f t="shared" si="105"/>
        <v>0</v>
      </c>
      <c r="Y687" s="327">
        <f t="shared" si="106"/>
        <v>1</v>
      </c>
      <c r="Z687" s="327">
        <f t="shared" si="106"/>
        <v>0</v>
      </c>
      <c r="AA687" s="327">
        <f t="shared" si="107"/>
        <v>1</v>
      </c>
      <c r="AB687" s="327" t="str">
        <f t="shared" si="110"/>
        <v>100</v>
      </c>
      <c r="AC687" s="327">
        <f t="shared" si="108"/>
        <v>0</v>
      </c>
      <c r="AD687" s="327">
        <v>0</v>
      </c>
      <c r="AE687" s="327" t="str">
        <f t="shared" si="109"/>
        <v>32500</v>
      </c>
    </row>
    <row r="688" spans="1:31" s="327" customFormat="1" ht="45" x14ac:dyDescent="0.15">
      <c r="A688" s="318" t="str">
        <f t="shared" si="102"/>
        <v>0</v>
      </c>
      <c r="B688" s="319">
        <v>686</v>
      </c>
      <c r="C688" s="328" t="s">
        <v>1119</v>
      </c>
      <c r="D688" s="329" t="s">
        <v>2844</v>
      </c>
      <c r="E688" s="330" t="s">
        <v>14</v>
      </c>
      <c r="F688" s="332" t="s">
        <v>776</v>
      </c>
      <c r="G688" s="277">
        <v>0</v>
      </c>
      <c r="H688" s="331" t="s">
        <v>9</v>
      </c>
      <c r="I688" s="328">
        <v>0</v>
      </c>
      <c r="J688" s="331">
        <v>0</v>
      </c>
      <c r="K688" s="331">
        <v>0</v>
      </c>
      <c r="L688" s="331" t="s">
        <v>859</v>
      </c>
      <c r="M688" s="331">
        <v>1</v>
      </c>
      <c r="N688" s="331" t="s">
        <v>4</v>
      </c>
      <c r="O688" s="331">
        <v>1</v>
      </c>
      <c r="P688" s="328">
        <v>0</v>
      </c>
      <c r="Q688" s="331">
        <v>1</v>
      </c>
      <c r="R688" s="331">
        <v>4</v>
      </c>
      <c r="S688" s="331">
        <v>0</v>
      </c>
      <c r="T688" s="331"/>
      <c r="V688" s="327" t="str">
        <f t="shared" si="103"/>
        <v>0</v>
      </c>
      <c r="W688" s="327" t="str">
        <f t="shared" si="104"/>
        <v>0</v>
      </c>
      <c r="X688" s="327" t="str">
        <f t="shared" si="105"/>
        <v>0</v>
      </c>
      <c r="Y688" s="327">
        <f t="shared" si="106"/>
        <v>1</v>
      </c>
      <c r="Z688" s="327">
        <f t="shared" si="106"/>
        <v>0</v>
      </c>
      <c r="AA688" s="327">
        <f t="shared" si="107"/>
        <v>1</v>
      </c>
      <c r="AB688" s="327" t="str">
        <f t="shared" si="110"/>
        <v>100</v>
      </c>
      <c r="AC688" s="327">
        <f t="shared" si="108"/>
        <v>0</v>
      </c>
      <c r="AD688" s="327">
        <v>0</v>
      </c>
      <c r="AE688" s="327" t="str">
        <f t="shared" si="109"/>
        <v>32500</v>
      </c>
    </row>
    <row r="689" spans="1:31" s="327" customFormat="1" ht="45" x14ac:dyDescent="0.15">
      <c r="A689" s="318" t="str">
        <f t="shared" si="102"/>
        <v>0</v>
      </c>
      <c r="B689" s="319">
        <v>687</v>
      </c>
      <c r="C689" s="328" t="s">
        <v>1120</v>
      </c>
      <c r="D689" s="329" t="s">
        <v>2844</v>
      </c>
      <c r="E689" s="330" t="s">
        <v>15</v>
      </c>
      <c r="F689" s="332" t="s">
        <v>777</v>
      </c>
      <c r="G689" s="277">
        <v>0</v>
      </c>
      <c r="H689" s="331" t="s">
        <v>9</v>
      </c>
      <c r="I689" s="328">
        <v>0</v>
      </c>
      <c r="J689" s="331">
        <v>0</v>
      </c>
      <c r="K689" s="331">
        <v>0</v>
      </c>
      <c r="L689" s="331" t="s">
        <v>859</v>
      </c>
      <c r="M689" s="331">
        <v>1</v>
      </c>
      <c r="N689" s="331" t="s">
        <v>4</v>
      </c>
      <c r="O689" s="331">
        <v>1</v>
      </c>
      <c r="P689" s="328">
        <v>0</v>
      </c>
      <c r="Q689" s="331">
        <v>1</v>
      </c>
      <c r="R689" s="331">
        <v>4</v>
      </c>
      <c r="S689" s="331">
        <v>0</v>
      </c>
      <c r="T689" s="331"/>
      <c r="V689" s="327" t="str">
        <f t="shared" si="103"/>
        <v>0</v>
      </c>
      <c r="W689" s="327" t="str">
        <f t="shared" si="104"/>
        <v>0</v>
      </c>
      <c r="X689" s="327" t="str">
        <f t="shared" si="105"/>
        <v>0</v>
      </c>
      <c r="Y689" s="327">
        <f t="shared" si="106"/>
        <v>1</v>
      </c>
      <c r="Z689" s="327">
        <f t="shared" si="106"/>
        <v>0</v>
      </c>
      <c r="AA689" s="327">
        <f t="shared" si="107"/>
        <v>1</v>
      </c>
      <c r="AB689" s="327" t="str">
        <f t="shared" si="110"/>
        <v>100</v>
      </c>
      <c r="AC689" s="327">
        <f t="shared" si="108"/>
        <v>0</v>
      </c>
      <c r="AD689" s="327">
        <v>0</v>
      </c>
      <c r="AE689" s="327" t="str">
        <f t="shared" si="109"/>
        <v>32500</v>
      </c>
    </row>
    <row r="690" spans="1:31" s="327" customFormat="1" ht="45" x14ac:dyDescent="0.15">
      <c r="A690" s="318" t="str">
        <f t="shared" si="102"/>
        <v>0</v>
      </c>
      <c r="B690" s="319">
        <v>688</v>
      </c>
      <c r="C690" s="328" t="s">
        <v>1121</v>
      </c>
      <c r="D690" s="329" t="s">
        <v>2844</v>
      </c>
      <c r="E690" s="330" t="s">
        <v>16</v>
      </c>
      <c r="F690" s="332" t="s">
        <v>778</v>
      </c>
      <c r="G690" s="277">
        <v>0</v>
      </c>
      <c r="H690" s="331" t="s">
        <v>9</v>
      </c>
      <c r="I690" s="328">
        <v>0</v>
      </c>
      <c r="J690" s="331">
        <v>0</v>
      </c>
      <c r="K690" s="331">
        <v>0</v>
      </c>
      <c r="L690" s="331" t="s">
        <v>859</v>
      </c>
      <c r="M690" s="331">
        <v>1</v>
      </c>
      <c r="N690" s="331" t="s">
        <v>4</v>
      </c>
      <c r="O690" s="331">
        <v>1</v>
      </c>
      <c r="P690" s="328">
        <v>0</v>
      </c>
      <c r="Q690" s="331">
        <v>1</v>
      </c>
      <c r="R690" s="331">
        <v>4</v>
      </c>
      <c r="S690" s="331">
        <v>0</v>
      </c>
      <c r="T690" s="331"/>
      <c r="V690" s="327" t="str">
        <f t="shared" si="103"/>
        <v>0</v>
      </c>
      <c r="W690" s="327" t="str">
        <f t="shared" si="104"/>
        <v>0</v>
      </c>
      <c r="X690" s="327" t="str">
        <f t="shared" si="105"/>
        <v>0</v>
      </c>
      <c r="Y690" s="327">
        <f t="shared" si="106"/>
        <v>1</v>
      </c>
      <c r="Z690" s="327">
        <f t="shared" si="106"/>
        <v>0</v>
      </c>
      <c r="AA690" s="327">
        <f t="shared" si="107"/>
        <v>1</v>
      </c>
      <c r="AB690" s="327" t="str">
        <f t="shared" si="110"/>
        <v>100</v>
      </c>
      <c r="AC690" s="327">
        <f t="shared" si="108"/>
        <v>0</v>
      </c>
      <c r="AD690" s="327">
        <v>0</v>
      </c>
      <c r="AE690" s="327" t="str">
        <f t="shared" si="109"/>
        <v>32500</v>
      </c>
    </row>
    <row r="691" spans="1:31" s="327" customFormat="1" ht="45" x14ac:dyDescent="0.15">
      <c r="A691" s="318" t="str">
        <f t="shared" si="102"/>
        <v>0</v>
      </c>
      <c r="B691" s="319">
        <v>689</v>
      </c>
      <c r="C691" s="328" t="s">
        <v>1122</v>
      </c>
      <c r="D691" s="329" t="s">
        <v>2844</v>
      </c>
      <c r="E691" s="330" t="s">
        <v>17</v>
      </c>
      <c r="F691" s="332" t="s">
        <v>779</v>
      </c>
      <c r="G691" s="277">
        <v>0</v>
      </c>
      <c r="H691" s="331" t="s">
        <v>18</v>
      </c>
      <c r="I691" s="328">
        <v>0</v>
      </c>
      <c r="J691" s="331">
        <v>0</v>
      </c>
      <c r="K691" s="331">
        <v>0</v>
      </c>
      <c r="L691" s="331" t="s">
        <v>859</v>
      </c>
      <c r="M691" s="331">
        <v>1</v>
      </c>
      <c r="N691" s="331" t="s">
        <v>19</v>
      </c>
      <c r="O691" s="331">
        <v>1</v>
      </c>
      <c r="P691" s="328">
        <v>0</v>
      </c>
      <c r="Q691" s="331">
        <v>1</v>
      </c>
      <c r="R691" s="331">
        <v>4</v>
      </c>
      <c r="S691" s="331">
        <v>0</v>
      </c>
      <c r="T691" s="331"/>
      <c r="V691" s="327" t="str">
        <f t="shared" si="103"/>
        <v>0</v>
      </c>
      <c r="W691" s="327" t="str">
        <f t="shared" si="104"/>
        <v>0</v>
      </c>
      <c r="X691" s="327" t="str">
        <f t="shared" si="105"/>
        <v>0</v>
      </c>
      <c r="Y691" s="327">
        <f t="shared" si="106"/>
        <v>1</v>
      </c>
      <c r="Z691" s="327">
        <f t="shared" si="106"/>
        <v>0</v>
      </c>
      <c r="AA691" s="327">
        <f t="shared" si="107"/>
        <v>1</v>
      </c>
      <c r="AB691" s="327" t="str">
        <f t="shared" si="110"/>
        <v>100</v>
      </c>
      <c r="AC691" s="327">
        <f t="shared" si="108"/>
        <v>0</v>
      </c>
      <c r="AD691" s="327">
        <v>0</v>
      </c>
      <c r="AE691" s="327" t="str">
        <f t="shared" si="109"/>
        <v>32500</v>
      </c>
    </row>
    <row r="692" spans="1:31" s="327" customFormat="1" ht="45" x14ac:dyDescent="0.15">
      <c r="A692" s="318" t="str">
        <f t="shared" si="102"/>
        <v>0</v>
      </c>
      <c r="B692" s="319">
        <v>690</v>
      </c>
      <c r="C692" s="328" t="s">
        <v>1123</v>
      </c>
      <c r="D692" s="329" t="s">
        <v>2845</v>
      </c>
      <c r="E692" s="330" t="s">
        <v>20</v>
      </c>
      <c r="F692" s="332" t="s">
        <v>780</v>
      </c>
      <c r="G692" s="277">
        <v>0</v>
      </c>
      <c r="H692" s="331" t="s">
        <v>18</v>
      </c>
      <c r="I692" s="328">
        <v>0</v>
      </c>
      <c r="J692" s="331">
        <v>0</v>
      </c>
      <c r="K692" s="331">
        <v>0</v>
      </c>
      <c r="L692" s="331" t="s">
        <v>859</v>
      </c>
      <c r="M692" s="331">
        <v>1</v>
      </c>
      <c r="N692" s="331" t="s">
        <v>19</v>
      </c>
      <c r="O692" s="331">
        <v>1</v>
      </c>
      <c r="P692" s="328">
        <v>0</v>
      </c>
      <c r="Q692" s="331">
        <v>1</v>
      </c>
      <c r="R692" s="331">
        <v>4</v>
      </c>
      <c r="S692" s="331">
        <v>0</v>
      </c>
      <c r="T692" s="331"/>
      <c r="V692" s="327" t="str">
        <f t="shared" si="103"/>
        <v>0</v>
      </c>
      <c r="W692" s="327" t="str">
        <f t="shared" si="104"/>
        <v>0</v>
      </c>
      <c r="X692" s="327" t="str">
        <f t="shared" si="105"/>
        <v>0</v>
      </c>
      <c r="Y692" s="327">
        <f t="shared" si="106"/>
        <v>1</v>
      </c>
      <c r="Z692" s="327">
        <f t="shared" si="106"/>
        <v>0</v>
      </c>
      <c r="AA692" s="327">
        <f t="shared" si="107"/>
        <v>1</v>
      </c>
      <c r="AB692" s="327" t="str">
        <f t="shared" si="110"/>
        <v>100</v>
      </c>
      <c r="AC692" s="327">
        <f t="shared" si="108"/>
        <v>0</v>
      </c>
      <c r="AD692" s="327">
        <v>0</v>
      </c>
      <c r="AE692" s="327" t="str">
        <f t="shared" si="109"/>
        <v>32500</v>
      </c>
    </row>
    <row r="693" spans="1:31" s="327" customFormat="1" ht="45" x14ac:dyDescent="0.15">
      <c r="A693" s="318" t="str">
        <f t="shared" si="102"/>
        <v>0</v>
      </c>
      <c r="B693" s="319">
        <v>691</v>
      </c>
      <c r="C693" s="328" t="s">
        <v>1124</v>
      </c>
      <c r="D693" s="329" t="s">
        <v>2844</v>
      </c>
      <c r="E693" s="330" t="s">
        <v>21</v>
      </c>
      <c r="F693" s="332" t="s">
        <v>781</v>
      </c>
      <c r="G693" s="277">
        <v>0</v>
      </c>
      <c r="H693" s="331" t="s">
        <v>18</v>
      </c>
      <c r="I693" s="328">
        <v>0</v>
      </c>
      <c r="J693" s="331">
        <v>0</v>
      </c>
      <c r="K693" s="331">
        <v>0</v>
      </c>
      <c r="L693" s="331" t="s">
        <v>859</v>
      </c>
      <c r="M693" s="331">
        <v>1</v>
      </c>
      <c r="N693" s="331" t="s">
        <v>19</v>
      </c>
      <c r="O693" s="331">
        <v>1</v>
      </c>
      <c r="P693" s="328">
        <v>0</v>
      </c>
      <c r="Q693" s="331">
        <v>1</v>
      </c>
      <c r="R693" s="331">
        <v>4</v>
      </c>
      <c r="S693" s="331">
        <v>0</v>
      </c>
      <c r="T693" s="331"/>
      <c r="V693" s="327" t="str">
        <f t="shared" si="103"/>
        <v>0</v>
      </c>
      <c r="W693" s="327" t="str">
        <f t="shared" si="104"/>
        <v>0</v>
      </c>
      <c r="X693" s="327" t="str">
        <f>DEC2BIN(14)</f>
        <v>1110</v>
      </c>
      <c r="Y693" s="327">
        <f t="shared" si="106"/>
        <v>1</v>
      </c>
      <c r="Z693" s="327">
        <f t="shared" si="106"/>
        <v>0</v>
      </c>
      <c r="AA693" s="327">
        <f t="shared" si="107"/>
        <v>1</v>
      </c>
      <c r="AB693" s="327" t="str">
        <f t="shared" si="110"/>
        <v>100</v>
      </c>
      <c r="AC693" s="327">
        <f t="shared" si="108"/>
        <v>0</v>
      </c>
      <c r="AD693" s="327">
        <v>0</v>
      </c>
      <c r="AE693" s="327" t="str">
        <f t="shared" si="109"/>
        <v>36A60</v>
      </c>
    </row>
    <row r="694" spans="1:31" s="327" customFormat="1" ht="45" x14ac:dyDescent="0.15">
      <c r="A694" s="318" t="str">
        <f t="shared" si="102"/>
        <v>0</v>
      </c>
      <c r="B694" s="319">
        <v>692</v>
      </c>
      <c r="C694" s="328" t="s">
        <v>1125</v>
      </c>
      <c r="D694" s="329" t="s">
        <v>2844</v>
      </c>
      <c r="E694" s="330" t="s">
        <v>22</v>
      </c>
      <c r="F694" s="332" t="s">
        <v>782</v>
      </c>
      <c r="G694" s="277">
        <v>0</v>
      </c>
      <c r="H694" s="331" t="s">
        <v>18</v>
      </c>
      <c r="I694" s="328">
        <v>0</v>
      </c>
      <c r="J694" s="331">
        <v>0</v>
      </c>
      <c r="K694" s="331">
        <v>0</v>
      </c>
      <c r="L694" s="331" t="s">
        <v>859</v>
      </c>
      <c r="M694" s="331">
        <v>1</v>
      </c>
      <c r="N694" s="331" t="s">
        <v>19</v>
      </c>
      <c r="O694" s="331">
        <v>1</v>
      </c>
      <c r="P694" s="328">
        <v>0</v>
      </c>
      <c r="Q694" s="331">
        <v>1</v>
      </c>
      <c r="R694" s="331">
        <v>4</v>
      </c>
      <c r="S694" s="331">
        <v>0</v>
      </c>
      <c r="T694" s="331"/>
      <c r="V694" s="327" t="str">
        <f t="shared" si="103"/>
        <v>0</v>
      </c>
      <c r="W694" s="327" t="str">
        <f t="shared" si="104"/>
        <v>0</v>
      </c>
      <c r="X694" s="327" t="str">
        <f>DEC2BIN(14)</f>
        <v>1110</v>
      </c>
      <c r="Y694" s="327">
        <f t="shared" si="106"/>
        <v>1</v>
      </c>
      <c r="Z694" s="327">
        <f t="shared" si="106"/>
        <v>0</v>
      </c>
      <c r="AA694" s="327">
        <f t="shared" si="107"/>
        <v>1</v>
      </c>
      <c r="AB694" s="327" t="str">
        <f t="shared" si="110"/>
        <v>100</v>
      </c>
      <c r="AC694" s="327">
        <f t="shared" si="108"/>
        <v>0</v>
      </c>
      <c r="AD694" s="327">
        <v>0</v>
      </c>
      <c r="AE694" s="327" t="str">
        <f t="shared" si="109"/>
        <v>36A60</v>
      </c>
    </row>
    <row r="695" spans="1:31" s="327" customFormat="1" ht="45" x14ac:dyDescent="0.15">
      <c r="A695" s="318" t="str">
        <f t="shared" si="102"/>
        <v>0</v>
      </c>
      <c r="B695" s="319">
        <v>693</v>
      </c>
      <c r="C695" s="328" t="s">
        <v>1126</v>
      </c>
      <c r="D695" s="329" t="s">
        <v>2844</v>
      </c>
      <c r="E695" s="330" t="s">
        <v>23</v>
      </c>
      <c r="F695" s="332" t="s">
        <v>783</v>
      </c>
      <c r="G695" s="277">
        <v>0</v>
      </c>
      <c r="H695" s="331" t="s">
        <v>18</v>
      </c>
      <c r="I695" s="328">
        <v>0</v>
      </c>
      <c r="J695" s="331">
        <v>0</v>
      </c>
      <c r="K695" s="331">
        <v>0</v>
      </c>
      <c r="L695" s="331" t="s">
        <v>859</v>
      </c>
      <c r="M695" s="331">
        <v>1</v>
      </c>
      <c r="N695" s="331" t="s">
        <v>19</v>
      </c>
      <c r="O695" s="331">
        <v>1</v>
      </c>
      <c r="P695" s="328">
        <v>0</v>
      </c>
      <c r="Q695" s="331">
        <v>1</v>
      </c>
      <c r="R695" s="331">
        <v>4</v>
      </c>
      <c r="S695" s="331">
        <v>0</v>
      </c>
      <c r="T695" s="331"/>
      <c r="V695" s="327" t="str">
        <f t="shared" si="103"/>
        <v>0</v>
      </c>
      <c r="W695" s="327" t="str">
        <f t="shared" si="104"/>
        <v>0</v>
      </c>
      <c r="X695" s="327" t="str">
        <f t="shared" si="105"/>
        <v>0</v>
      </c>
      <c r="Y695" s="327">
        <f t="shared" si="106"/>
        <v>1</v>
      </c>
      <c r="Z695" s="327">
        <f t="shared" si="106"/>
        <v>0</v>
      </c>
      <c r="AA695" s="327">
        <f t="shared" si="107"/>
        <v>1</v>
      </c>
      <c r="AB695" s="327" t="str">
        <f t="shared" si="110"/>
        <v>100</v>
      </c>
      <c r="AC695" s="327">
        <f t="shared" si="108"/>
        <v>0</v>
      </c>
      <c r="AD695" s="327">
        <v>0</v>
      </c>
      <c r="AE695" s="327" t="str">
        <f t="shared" si="109"/>
        <v>32500</v>
      </c>
    </row>
    <row r="696" spans="1:31" s="327" customFormat="1" ht="45" x14ac:dyDescent="0.15">
      <c r="A696" s="318" t="str">
        <f t="shared" si="102"/>
        <v>0</v>
      </c>
      <c r="B696" s="319">
        <v>694</v>
      </c>
      <c r="C696" s="328" t="s">
        <v>1127</v>
      </c>
      <c r="D696" s="329" t="s">
        <v>2844</v>
      </c>
      <c r="E696" s="330" t="s">
        <v>24</v>
      </c>
      <c r="F696" s="332" t="s">
        <v>784</v>
      </c>
      <c r="G696" s="277">
        <v>0</v>
      </c>
      <c r="H696" s="331" t="s">
        <v>18</v>
      </c>
      <c r="I696" s="328">
        <v>0</v>
      </c>
      <c r="J696" s="331">
        <v>0</v>
      </c>
      <c r="K696" s="331">
        <v>0</v>
      </c>
      <c r="L696" s="331" t="s">
        <v>859</v>
      </c>
      <c r="M696" s="331">
        <v>1</v>
      </c>
      <c r="N696" s="331" t="s">
        <v>19</v>
      </c>
      <c r="O696" s="331">
        <v>1</v>
      </c>
      <c r="P696" s="328">
        <v>0</v>
      </c>
      <c r="Q696" s="331">
        <v>1</v>
      </c>
      <c r="R696" s="331">
        <v>4</v>
      </c>
      <c r="S696" s="331">
        <v>0</v>
      </c>
      <c r="T696" s="331"/>
      <c r="V696" s="327" t="str">
        <f t="shared" si="103"/>
        <v>0</v>
      </c>
      <c r="W696" s="327" t="str">
        <f t="shared" si="104"/>
        <v>0</v>
      </c>
      <c r="X696" s="327" t="str">
        <f t="shared" si="105"/>
        <v>0</v>
      </c>
      <c r="Y696" s="327">
        <f t="shared" si="106"/>
        <v>1</v>
      </c>
      <c r="Z696" s="327">
        <f t="shared" si="106"/>
        <v>0</v>
      </c>
      <c r="AA696" s="327">
        <f t="shared" si="107"/>
        <v>1</v>
      </c>
      <c r="AB696" s="327" t="str">
        <f t="shared" si="110"/>
        <v>100</v>
      </c>
      <c r="AC696" s="327">
        <f t="shared" si="108"/>
        <v>0</v>
      </c>
      <c r="AD696" s="327">
        <v>0</v>
      </c>
      <c r="AE696" s="327" t="str">
        <f t="shared" si="109"/>
        <v>32500</v>
      </c>
    </row>
    <row r="697" spans="1:31" s="327" customFormat="1" ht="45" x14ac:dyDescent="0.15">
      <c r="A697" s="318" t="str">
        <f t="shared" si="102"/>
        <v>0</v>
      </c>
      <c r="B697" s="319">
        <v>695</v>
      </c>
      <c r="C697" s="328" t="s">
        <v>1128</v>
      </c>
      <c r="D697" s="329" t="s">
        <v>2844</v>
      </c>
      <c r="E697" s="330" t="s">
        <v>25</v>
      </c>
      <c r="F697" s="332" t="s">
        <v>785</v>
      </c>
      <c r="G697" s="277">
        <v>0</v>
      </c>
      <c r="H697" s="331" t="s">
        <v>18</v>
      </c>
      <c r="I697" s="328">
        <v>0</v>
      </c>
      <c r="J697" s="331">
        <v>0</v>
      </c>
      <c r="K697" s="331">
        <v>0</v>
      </c>
      <c r="L697" s="331" t="s">
        <v>859</v>
      </c>
      <c r="M697" s="331">
        <v>1</v>
      </c>
      <c r="N697" s="331" t="s">
        <v>19</v>
      </c>
      <c r="O697" s="331">
        <v>1</v>
      </c>
      <c r="P697" s="328">
        <v>0</v>
      </c>
      <c r="Q697" s="331">
        <v>1</v>
      </c>
      <c r="R697" s="331">
        <v>4</v>
      </c>
      <c r="S697" s="331">
        <v>0</v>
      </c>
      <c r="T697" s="331"/>
      <c r="V697" s="327" t="str">
        <f t="shared" si="103"/>
        <v>0</v>
      </c>
      <c r="W697" s="327" t="str">
        <f t="shared" si="104"/>
        <v>0</v>
      </c>
      <c r="X697" s="327" t="str">
        <f t="shared" si="105"/>
        <v>0</v>
      </c>
      <c r="Y697" s="327">
        <f t="shared" si="106"/>
        <v>1</v>
      </c>
      <c r="Z697" s="327">
        <f t="shared" si="106"/>
        <v>0</v>
      </c>
      <c r="AA697" s="327">
        <f t="shared" si="107"/>
        <v>1</v>
      </c>
      <c r="AB697" s="327" t="str">
        <f t="shared" si="110"/>
        <v>100</v>
      </c>
      <c r="AC697" s="327">
        <f t="shared" si="108"/>
        <v>0</v>
      </c>
      <c r="AD697" s="327">
        <v>0</v>
      </c>
      <c r="AE697" s="327" t="str">
        <f t="shared" si="109"/>
        <v>32500</v>
      </c>
    </row>
    <row r="698" spans="1:31" s="327" customFormat="1" ht="45" x14ac:dyDescent="0.15">
      <c r="A698" s="318" t="str">
        <f t="shared" si="102"/>
        <v>0</v>
      </c>
      <c r="B698" s="319">
        <v>696</v>
      </c>
      <c r="C698" s="328" t="s">
        <v>1129</v>
      </c>
      <c r="D698" s="329" t="s">
        <v>2844</v>
      </c>
      <c r="E698" s="330" t="s">
        <v>26</v>
      </c>
      <c r="F698" s="332" t="s">
        <v>786</v>
      </c>
      <c r="G698" s="277">
        <v>0</v>
      </c>
      <c r="H698" s="331" t="s">
        <v>18</v>
      </c>
      <c r="I698" s="328">
        <v>0</v>
      </c>
      <c r="J698" s="331">
        <v>0</v>
      </c>
      <c r="K698" s="331">
        <v>0</v>
      </c>
      <c r="L698" s="331" t="s">
        <v>859</v>
      </c>
      <c r="M698" s="331">
        <v>1</v>
      </c>
      <c r="N698" s="331" t="s">
        <v>19</v>
      </c>
      <c r="O698" s="331">
        <v>1</v>
      </c>
      <c r="P698" s="328">
        <v>0</v>
      </c>
      <c r="Q698" s="331">
        <v>1</v>
      </c>
      <c r="R698" s="331">
        <v>4</v>
      </c>
      <c r="S698" s="331">
        <v>0</v>
      </c>
      <c r="T698" s="331"/>
      <c r="V698" s="327" t="str">
        <f t="shared" si="103"/>
        <v>0</v>
      </c>
      <c r="W698" s="327" t="str">
        <f t="shared" si="104"/>
        <v>0</v>
      </c>
      <c r="X698" s="327" t="str">
        <f t="shared" si="105"/>
        <v>0</v>
      </c>
      <c r="Y698" s="327">
        <f t="shared" si="106"/>
        <v>1</v>
      </c>
      <c r="Z698" s="327">
        <f t="shared" si="106"/>
        <v>0</v>
      </c>
      <c r="AA698" s="327">
        <f t="shared" si="107"/>
        <v>1</v>
      </c>
      <c r="AB698" s="327" t="str">
        <f t="shared" si="110"/>
        <v>100</v>
      </c>
      <c r="AC698" s="327">
        <f t="shared" si="108"/>
        <v>0</v>
      </c>
      <c r="AD698" s="327">
        <v>0</v>
      </c>
      <c r="AE698" s="327" t="str">
        <f t="shared" si="109"/>
        <v>32500</v>
      </c>
    </row>
    <row r="699" spans="1:31" s="327" customFormat="1" ht="45" x14ac:dyDescent="0.15">
      <c r="A699" s="318" t="str">
        <f t="shared" si="102"/>
        <v>0</v>
      </c>
      <c r="B699" s="319">
        <v>697</v>
      </c>
      <c r="C699" s="328" t="s">
        <v>757</v>
      </c>
      <c r="D699" s="329" t="s">
        <v>2844</v>
      </c>
      <c r="E699" s="330" t="s">
        <v>27</v>
      </c>
      <c r="F699" s="332" t="s">
        <v>787</v>
      </c>
      <c r="G699" s="277">
        <v>0</v>
      </c>
      <c r="H699" s="331" t="s">
        <v>18</v>
      </c>
      <c r="I699" s="328">
        <v>0</v>
      </c>
      <c r="J699" s="331">
        <v>0</v>
      </c>
      <c r="K699" s="331">
        <v>0</v>
      </c>
      <c r="L699" s="331" t="s">
        <v>859</v>
      </c>
      <c r="M699" s="331">
        <v>1</v>
      </c>
      <c r="N699" s="331" t="s">
        <v>19</v>
      </c>
      <c r="O699" s="331">
        <v>1</v>
      </c>
      <c r="P699" s="328">
        <v>0</v>
      </c>
      <c r="Q699" s="331">
        <v>1</v>
      </c>
      <c r="R699" s="331">
        <v>4</v>
      </c>
      <c r="S699" s="331">
        <v>0</v>
      </c>
      <c r="T699" s="325"/>
      <c r="V699" s="327" t="str">
        <f t="shared" si="103"/>
        <v>0</v>
      </c>
      <c r="W699" s="327" t="str">
        <f t="shared" si="104"/>
        <v>0</v>
      </c>
      <c r="X699" s="327" t="str">
        <f t="shared" si="105"/>
        <v>0</v>
      </c>
      <c r="Y699" s="327">
        <f t="shared" si="106"/>
        <v>1</v>
      </c>
      <c r="Z699" s="327">
        <f t="shared" si="106"/>
        <v>0</v>
      </c>
      <c r="AA699" s="327">
        <f t="shared" si="107"/>
        <v>1</v>
      </c>
      <c r="AB699" s="327" t="str">
        <f t="shared" si="110"/>
        <v>100</v>
      </c>
      <c r="AC699" s="327">
        <f t="shared" si="108"/>
        <v>0</v>
      </c>
      <c r="AD699" s="327">
        <v>0</v>
      </c>
      <c r="AE699" s="327" t="str">
        <f t="shared" si="109"/>
        <v>32500</v>
      </c>
    </row>
    <row r="700" spans="1:31" s="327" customFormat="1" ht="45" x14ac:dyDescent="0.15">
      <c r="A700" s="318" t="str">
        <f t="shared" si="102"/>
        <v>0</v>
      </c>
      <c r="B700" s="319">
        <v>698</v>
      </c>
      <c r="C700" s="328" t="s">
        <v>758</v>
      </c>
      <c r="D700" s="329" t="s">
        <v>2844</v>
      </c>
      <c r="E700" s="330" t="s">
        <v>2827</v>
      </c>
      <c r="F700" s="332" t="s">
        <v>788</v>
      </c>
      <c r="G700" s="277">
        <v>0</v>
      </c>
      <c r="H700" s="331" t="s">
        <v>18</v>
      </c>
      <c r="I700" s="328">
        <v>0</v>
      </c>
      <c r="J700" s="331">
        <v>0</v>
      </c>
      <c r="K700" s="331">
        <v>0</v>
      </c>
      <c r="L700" s="331" t="s">
        <v>859</v>
      </c>
      <c r="M700" s="331">
        <v>1</v>
      </c>
      <c r="N700" s="331" t="s">
        <v>19</v>
      </c>
      <c r="O700" s="331">
        <v>1</v>
      </c>
      <c r="P700" s="328">
        <v>0</v>
      </c>
      <c r="Q700" s="331">
        <v>1</v>
      </c>
      <c r="R700" s="331">
        <v>4</v>
      </c>
      <c r="S700" s="331">
        <v>0</v>
      </c>
      <c r="T700" s="325"/>
      <c r="V700" s="327" t="str">
        <f t="shared" si="103"/>
        <v>0</v>
      </c>
      <c r="W700" s="327" t="str">
        <f t="shared" si="104"/>
        <v>0</v>
      </c>
      <c r="X700" s="327" t="str">
        <f t="shared" si="105"/>
        <v>0</v>
      </c>
      <c r="Y700" s="327">
        <f t="shared" si="106"/>
        <v>1</v>
      </c>
      <c r="Z700" s="327">
        <f t="shared" si="106"/>
        <v>0</v>
      </c>
      <c r="AA700" s="327">
        <f t="shared" si="107"/>
        <v>1</v>
      </c>
      <c r="AB700" s="327" t="str">
        <f t="shared" si="110"/>
        <v>100</v>
      </c>
      <c r="AC700" s="327">
        <f t="shared" si="108"/>
        <v>0</v>
      </c>
      <c r="AD700" s="327">
        <v>0</v>
      </c>
      <c r="AE700" s="327" t="str">
        <f t="shared" si="109"/>
        <v>32500</v>
      </c>
    </row>
    <row r="701" spans="1:31" s="327" customFormat="1" ht="33.75" x14ac:dyDescent="0.15">
      <c r="A701" s="318" t="str">
        <f t="shared" si="102"/>
        <v>0</v>
      </c>
      <c r="B701" s="319">
        <v>699</v>
      </c>
      <c r="C701" s="328" t="s">
        <v>759</v>
      </c>
      <c r="D701" s="329" t="s">
        <v>2845</v>
      </c>
      <c r="E701" s="330" t="s">
        <v>28</v>
      </c>
      <c r="F701" s="332" t="s">
        <v>29</v>
      </c>
      <c r="G701" s="277">
        <v>0</v>
      </c>
      <c r="H701" s="331">
        <v>1</v>
      </c>
      <c r="I701" s="328">
        <v>0</v>
      </c>
      <c r="J701" s="331">
        <v>0</v>
      </c>
      <c r="K701" s="331">
        <v>0</v>
      </c>
      <c r="L701" s="331" t="s">
        <v>859</v>
      </c>
      <c r="M701" s="331">
        <v>1</v>
      </c>
      <c r="N701" s="331" t="s">
        <v>19</v>
      </c>
      <c r="O701" s="331">
        <v>0</v>
      </c>
      <c r="P701" s="328">
        <v>0</v>
      </c>
      <c r="Q701" s="331">
        <v>1</v>
      </c>
      <c r="R701" s="331">
        <v>1</v>
      </c>
      <c r="S701" s="331">
        <v>0</v>
      </c>
      <c r="T701" s="325"/>
      <c r="V701" s="327" t="str">
        <f t="shared" si="103"/>
        <v>0</v>
      </c>
      <c r="W701" s="327" t="str">
        <f t="shared" si="104"/>
        <v>0</v>
      </c>
      <c r="X701" s="327" t="str">
        <f t="shared" si="105"/>
        <v>0</v>
      </c>
      <c r="Y701" s="327">
        <f t="shared" si="106"/>
        <v>0</v>
      </c>
      <c r="Z701" s="327">
        <f t="shared" si="106"/>
        <v>0</v>
      </c>
      <c r="AA701" s="327">
        <f t="shared" si="107"/>
        <v>1</v>
      </c>
      <c r="AB701" s="327" t="str">
        <f t="shared" si="110"/>
        <v>1</v>
      </c>
      <c r="AC701" s="327">
        <f t="shared" si="108"/>
        <v>0</v>
      </c>
      <c r="AD701" s="327">
        <v>0</v>
      </c>
      <c r="AE701" s="327" t="str">
        <f t="shared" si="109"/>
        <v>C00</v>
      </c>
    </row>
    <row r="702" spans="1:31" s="327" customFormat="1" x14ac:dyDescent="0.15">
      <c r="A702" s="318" t="str">
        <f t="shared" si="102"/>
        <v>0</v>
      </c>
      <c r="B702" s="319">
        <v>700</v>
      </c>
      <c r="C702" s="328" t="s">
        <v>760</v>
      </c>
      <c r="D702" s="329" t="s">
        <v>1226</v>
      </c>
      <c r="E702" s="329" t="s">
        <v>761</v>
      </c>
      <c r="F702" s="332" t="s">
        <v>856</v>
      </c>
      <c r="G702" s="277">
        <v>0</v>
      </c>
      <c r="H702" s="331">
        <v>65535</v>
      </c>
      <c r="I702" s="328">
        <v>0</v>
      </c>
      <c r="J702" s="331">
        <v>0</v>
      </c>
      <c r="K702" s="331">
        <v>0</v>
      </c>
      <c r="L702" s="331" t="s">
        <v>859</v>
      </c>
      <c r="M702" s="331">
        <v>1</v>
      </c>
      <c r="N702" s="331" t="s">
        <v>1004</v>
      </c>
      <c r="O702" s="331">
        <v>0</v>
      </c>
      <c r="P702" s="328">
        <v>0</v>
      </c>
      <c r="Q702" s="331">
        <v>1</v>
      </c>
      <c r="R702" s="331">
        <v>5</v>
      </c>
      <c r="S702" s="331">
        <v>0</v>
      </c>
      <c r="T702" s="325"/>
      <c r="V702" s="327" t="str">
        <f t="shared" si="103"/>
        <v>0</v>
      </c>
      <c r="W702" s="327" t="str">
        <f t="shared" si="104"/>
        <v>0</v>
      </c>
      <c r="X702" s="327" t="str">
        <f>DEC2BIN(14)</f>
        <v>1110</v>
      </c>
      <c r="Y702" s="327">
        <f t="shared" si="106"/>
        <v>0</v>
      </c>
      <c r="Z702" s="327">
        <f t="shared" si="106"/>
        <v>0</v>
      </c>
      <c r="AA702" s="327">
        <f t="shared" si="107"/>
        <v>1</v>
      </c>
      <c r="AB702" s="327" t="str">
        <f t="shared" si="110"/>
        <v>101</v>
      </c>
      <c r="AC702" s="327">
        <f t="shared" si="108"/>
        <v>0</v>
      </c>
      <c r="AD702" s="327">
        <v>0</v>
      </c>
      <c r="AE702" s="327" t="str">
        <f t="shared" si="109"/>
        <v>37160</v>
      </c>
    </row>
    <row r="703" spans="1:31" s="327" customFormat="1" x14ac:dyDescent="0.15">
      <c r="A703" s="318" t="str">
        <f t="shared" si="102"/>
        <v>0</v>
      </c>
      <c r="B703" s="319">
        <v>701</v>
      </c>
      <c r="C703" s="328" t="s">
        <v>762</v>
      </c>
      <c r="D703" s="329" t="s">
        <v>1226</v>
      </c>
      <c r="E703" s="329" t="s">
        <v>763</v>
      </c>
      <c r="F703" s="332" t="s">
        <v>856</v>
      </c>
      <c r="G703" s="277">
        <v>0</v>
      </c>
      <c r="H703" s="331">
        <v>65535</v>
      </c>
      <c r="I703" s="328">
        <v>0</v>
      </c>
      <c r="J703" s="331">
        <v>0</v>
      </c>
      <c r="K703" s="331">
        <v>0</v>
      </c>
      <c r="L703" s="331" t="s">
        <v>859</v>
      </c>
      <c r="M703" s="331">
        <v>1</v>
      </c>
      <c r="N703" s="331" t="s">
        <v>1004</v>
      </c>
      <c r="O703" s="331">
        <v>0</v>
      </c>
      <c r="P703" s="328">
        <v>0</v>
      </c>
      <c r="Q703" s="331">
        <v>1</v>
      </c>
      <c r="R703" s="331">
        <v>5</v>
      </c>
      <c r="S703" s="331">
        <v>0</v>
      </c>
      <c r="T703" s="325"/>
      <c r="V703" s="327" t="str">
        <f t="shared" si="103"/>
        <v>0</v>
      </c>
      <c r="W703" s="327" t="str">
        <f t="shared" si="104"/>
        <v>0</v>
      </c>
      <c r="X703" s="327" t="str">
        <f>DEC2BIN(14)</f>
        <v>1110</v>
      </c>
      <c r="Y703" s="327">
        <f t="shared" si="106"/>
        <v>0</v>
      </c>
      <c r="Z703" s="327">
        <f t="shared" si="106"/>
        <v>0</v>
      </c>
      <c r="AA703" s="327">
        <f t="shared" si="107"/>
        <v>1</v>
      </c>
      <c r="AB703" s="327" t="str">
        <f t="shared" si="110"/>
        <v>101</v>
      </c>
      <c r="AC703" s="327">
        <f t="shared" si="108"/>
        <v>0</v>
      </c>
      <c r="AD703" s="327">
        <v>0</v>
      </c>
      <c r="AE703" s="327" t="str">
        <f t="shared" si="109"/>
        <v>37160</v>
      </c>
    </row>
    <row r="704" spans="1:31" s="327" customFormat="1" x14ac:dyDescent="0.15">
      <c r="A704" s="318" t="str">
        <f t="shared" si="102"/>
        <v>0</v>
      </c>
      <c r="B704" s="319">
        <v>702</v>
      </c>
      <c r="C704" s="328" t="s">
        <v>764</v>
      </c>
      <c r="D704" s="329" t="s">
        <v>1226</v>
      </c>
      <c r="E704" s="329" t="s">
        <v>765</v>
      </c>
      <c r="F704" s="332" t="s">
        <v>856</v>
      </c>
      <c r="G704" s="277">
        <v>0</v>
      </c>
      <c r="H704" s="331">
        <v>65535</v>
      </c>
      <c r="I704" s="328">
        <v>0</v>
      </c>
      <c r="J704" s="331">
        <v>0</v>
      </c>
      <c r="K704" s="331">
        <v>0</v>
      </c>
      <c r="L704" s="331" t="s">
        <v>859</v>
      </c>
      <c r="M704" s="331">
        <v>1</v>
      </c>
      <c r="N704" s="331" t="s">
        <v>1004</v>
      </c>
      <c r="O704" s="331">
        <v>0</v>
      </c>
      <c r="P704" s="328">
        <v>0</v>
      </c>
      <c r="Q704" s="331">
        <v>1</v>
      </c>
      <c r="R704" s="331">
        <v>5</v>
      </c>
      <c r="S704" s="331">
        <v>0</v>
      </c>
      <c r="T704" s="325"/>
      <c r="V704" s="327" t="str">
        <f t="shared" si="103"/>
        <v>0</v>
      </c>
      <c r="W704" s="327" t="str">
        <f t="shared" si="104"/>
        <v>0</v>
      </c>
      <c r="X704" s="327" t="str">
        <f t="shared" si="105"/>
        <v>0</v>
      </c>
      <c r="Y704" s="327">
        <f t="shared" si="106"/>
        <v>0</v>
      </c>
      <c r="Z704" s="327">
        <f t="shared" si="106"/>
        <v>0</v>
      </c>
      <c r="AA704" s="327">
        <f t="shared" si="107"/>
        <v>1</v>
      </c>
      <c r="AB704" s="327" t="str">
        <f t="shared" si="110"/>
        <v>101</v>
      </c>
      <c r="AC704" s="327">
        <f t="shared" si="108"/>
        <v>0</v>
      </c>
      <c r="AD704" s="327">
        <v>0</v>
      </c>
      <c r="AE704" s="327" t="str">
        <f t="shared" si="109"/>
        <v>32C00</v>
      </c>
    </row>
    <row r="705" spans="1:31" s="327" customFormat="1" x14ac:dyDescent="0.15">
      <c r="A705" s="318" t="str">
        <f t="shared" si="102"/>
        <v>0</v>
      </c>
      <c r="B705" s="319">
        <v>703</v>
      </c>
      <c r="C705" s="328" t="s">
        <v>766</v>
      </c>
      <c r="D705" s="329" t="s">
        <v>1226</v>
      </c>
      <c r="E705" s="329" t="s">
        <v>767</v>
      </c>
      <c r="F705" s="332" t="s">
        <v>856</v>
      </c>
      <c r="G705" s="277">
        <v>0</v>
      </c>
      <c r="H705" s="331">
        <v>65535</v>
      </c>
      <c r="I705" s="328">
        <v>0</v>
      </c>
      <c r="J705" s="331">
        <v>0</v>
      </c>
      <c r="K705" s="331">
        <v>0</v>
      </c>
      <c r="L705" s="331" t="s">
        <v>859</v>
      </c>
      <c r="M705" s="331">
        <v>1</v>
      </c>
      <c r="N705" s="331" t="s">
        <v>1004</v>
      </c>
      <c r="O705" s="331">
        <v>0</v>
      </c>
      <c r="P705" s="328">
        <v>0</v>
      </c>
      <c r="Q705" s="331">
        <v>1</v>
      </c>
      <c r="R705" s="331">
        <v>5</v>
      </c>
      <c r="S705" s="331">
        <v>0</v>
      </c>
      <c r="T705" s="325"/>
      <c r="V705" s="327" t="str">
        <f t="shared" si="103"/>
        <v>0</v>
      </c>
      <c r="W705" s="327" t="str">
        <f t="shared" si="104"/>
        <v>0</v>
      </c>
      <c r="X705" s="327" t="str">
        <f t="shared" si="105"/>
        <v>0</v>
      </c>
      <c r="Y705" s="327">
        <f t="shared" si="106"/>
        <v>0</v>
      </c>
      <c r="Z705" s="327">
        <f t="shared" si="106"/>
        <v>0</v>
      </c>
      <c r="AA705" s="327">
        <f t="shared" si="107"/>
        <v>1</v>
      </c>
      <c r="AB705" s="327" t="str">
        <f t="shared" si="110"/>
        <v>101</v>
      </c>
      <c r="AC705" s="327">
        <f t="shared" si="108"/>
        <v>0</v>
      </c>
      <c r="AD705" s="327">
        <v>0</v>
      </c>
      <c r="AE705" s="327" t="str">
        <f t="shared" si="109"/>
        <v>32C00</v>
      </c>
    </row>
    <row r="706" spans="1:31" s="327" customFormat="1" x14ac:dyDescent="0.15">
      <c r="A706" s="318" t="str">
        <f t="shared" si="102"/>
        <v>0</v>
      </c>
      <c r="B706" s="319">
        <v>704</v>
      </c>
      <c r="C706" s="328" t="s">
        <v>768</v>
      </c>
      <c r="D706" s="329" t="s">
        <v>1226</v>
      </c>
      <c r="E706" s="329" t="s">
        <v>769</v>
      </c>
      <c r="F706" s="332" t="s">
        <v>856</v>
      </c>
      <c r="G706" s="277">
        <v>0</v>
      </c>
      <c r="H706" s="331">
        <v>65535</v>
      </c>
      <c r="I706" s="328">
        <v>0</v>
      </c>
      <c r="J706" s="331">
        <v>0</v>
      </c>
      <c r="K706" s="331">
        <v>0</v>
      </c>
      <c r="L706" s="331" t="s">
        <v>859</v>
      </c>
      <c r="M706" s="331">
        <v>1</v>
      </c>
      <c r="N706" s="331" t="s">
        <v>1004</v>
      </c>
      <c r="O706" s="331">
        <v>0</v>
      </c>
      <c r="P706" s="328">
        <v>0</v>
      </c>
      <c r="Q706" s="331">
        <v>1</v>
      </c>
      <c r="R706" s="331">
        <v>5</v>
      </c>
      <c r="S706" s="331">
        <v>0</v>
      </c>
      <c r="T706" s="325"/>
      <c r="V706" s="327" t="str">
        <f t="shared" si="103"/>
        <v>0</v>
      </c>
      <c r="W706" s="327" t="str">
        <f t="shared" si="104"/>
        <v>0</v>
      </c>
      <c r="X706" s="327" t="str">
        <f t="shared" si="105"/>
        <v>0</v>
      </c>
      <c r="Y706" s="327">
        <f t="shared" si="106"/>
        <v>0</v>
      </c>
      <c r="Z706" s="327">
        <f t="shared" si="106"/>
        <v>0</v>
      </c>
      <c r="AA706" s="327">
        <f t="shared" si="107"/>
        <v>1</v>
      </c>
      <c r="AB706" s="327" t="str">
        <f t="shared" si="110"/>
        <v>101</v>
      </c>
      <c r="AC706" s="327">
        <f t="shared" si="108"/>
        <v>0</v>
      </c>
      <c r="AD706" s="327">
        <v>0</v>
      </c>
      <c r="AE706" s="327" t="str">
        <f t="shared" si="109"/>
        <v>32C00</v>
      </c>
    </row>
    <row r="707" spans="1:31" s="327" customFormat="1" x14ac:dyDescent="0.15">
      <c r="A707" s="318" t="str">
        <f t="shared" si="102"/>
        <v>0</v>
      </c>
      <c r="B707" s="319">
        <v>705</v>
      </c>
      <c r="C707" s="328" t="s">
        <v>770</v>
      </c>
      <c r="D707" s="329" t="s">
        <v>1226</v>
      </c>
      <c r="E707" s="329" t="s">
        <v>771</v>
      </c>
      <c r="F707" s="332" t="s">
        <v>856</v>
      </c>
      <c r="G707" s="277">
        <v>0</v>
      </c>
      <c r="H707" s="331">
        <v>65535</v>
      </c>
      <c r="I707" s="328">
        <v>0</v>
      </c>
      <c r="J707" s="331">
        <v>0</v>
      </c>
      <c r="K707" s="331">
        <v>0</v>
      </c>
      <c r="L707" s="331" t="s">
        <v>859</v>
      </c>
      <c r="M707" s="331">
        <v>1</v>
      </c>
      <c r="N707" s="331" t="s">
        <v>1004</v>
      </c>
      <c r="O707" s="331">
        <v>0</v>
      </c>
      <c r="P707" s="328">
        <v>0</v>
      </c>
      <c r="Q707" s="331">
        <v>1</v>
      </c>
      <c r="R707" s="331">
        <v>5</v>
      </c>
      <c r="S707" s="331">
        <v>0</v>
      </c>
      <c r="T707" s="325"/>
      <c r="V707" s="327" t="str">
        <f t="shared" si="103"/>
        <v>0</v>
      </c>
      <c r="W707" s="327" t="str">
        <f t="shared" si="104"/>
        <v>0</v>
      </c>
      <c r="X707" s="327" t="str">
        <f>DEC2BIN(14)</f>
        <v>1110</v>
      </c>
      <c r="Y707" s="327">
        <f t="shared" si="106"/>
        <v>0</v>
      </c>
      <c r="Z707" s="327">
        <f t="shared" si="106"/>
        <v>0</v>
      </c>
      <c r="AA707" s="327">
        <f t="shared" si="107"/>
        <v>1</v>
      </c>
      <c r="AB707" s="327" t="str">
        <f t="shared" si="110"/>
        <v>101</v>
      </c>
      <c r="AC707" s="327">
        <f t="shared" si="108"/>
        <v>0</v>
      </c>
      <c r="AD707" s="327">
        <v>0</v>
      </c>
      <c r="AE707" s="327" t="str">
        <f t="shared" si="109"/>
        <v>37160</v>
      </c>
    </row>
    <row r="708" spans="1:31" s="327" customFormat="1" x14ac:dyDescent="0.15">
      <c r="A708" s="318" t="str">
        <f t="shared" ref="A708:A771" si="111">DEC2HEX(AH708)</f>
        <v>0</v>
      </c>
      <c r="B708" s="319">
        <v>706</v>
      </c>
      <c r="C708" s="320" t="s">
        <v>2828</v>
      </c>
      <c r="D708" s="321" t="s">
        <v>1612</v>
      </c>
      <c r="E708" s="321" t="s">
        <v>2829</v>
      </c>
      <c r="F708" s="354" t="s">
        <v>856</v>
      </c>
      <c r="G708" s="324">
        <v>0</v>
      </c>
      <c r="H708" s="325">
        <v>65535</v>
      </c>
      <c r="I708" s="320">
        <v>0</v>
      </c>
      <c r="J708" s="325">
        <v>0</v>
      </c>
      <c r="K708" s="325">
        <v>0</v>
      </c>
      <c r="L708" s="325" t="s">
        <v>859</v>
      </c>
      <c r="M708" s="325">
        <v>1</v>
      </c>
      <c r="N708" s="325" t="s">
        <v>1601</v>
      </c>
      <c r="O708" s="325">
        <v>0</v>
      </c>
      <c r="P708" s="320">
        <v>0</v>
      </c>
      <c r="Q708" s="325">
        <v>1</v>
      </c>
      <c r="R708" s="325">
        <v>5</v>
      </c>
      <c r="S708" s="325">
        <v>0</v>
      </c>
      <c r="T708" s="325"/>
      <c r="V708" s="327" t="str">
        <f t="shared" si="103"/>
        <v>0</v>
      </c>
      <c r="W708" s="327" t="str">
        <f t="shared" si="104"/>
        <v>0</v>
      </c>
      <c r="X708" s="327" t="str">
        <f t="shared" si="105"/>
        <v>0</v>
      </c>
      <c r="Y708" s="327">
        <f t="shared" si="106"/>
        <v>0</v>
      </c>
      <c r="Z708" s="327">
        <f t="shared" si="106"/>
        <v>0</v>
      </c>
      <c r="AA708" s="327">
        <f t="shared" si="107"/>
        <v>1</v>
      </c>
      <c r="AB708" s="327" t="str">
        <f t="shared" si="110"/>
        <v>101</v>
      </c>
      <c r="AC708" s="327">
        <f t="shared" si="108"/>
        <v>0</v>
      </c>
      <c r="AD708" s="327">
        <v>0</v>
      </c>
      <c r="AE708" s="327" t="str">
        <f t="shared" si="109"/>
        <v>32C00</v>
      </c>
    </row>
    <row r="709" spans="1:31" s="327" customFormat="1" x14ac:dyDescent="0.15">
      <c r="A709" s="318" t="str">
        <f t="shared" si="111"/>
        <v>0</v>
      </c>
      <c r="B709" s="319">
        <v>707</v>
      </c>
      <c r="C709" s="320" t="s">
        <v>2830</v>
      </c>
      <c r="D709" s="321" t="s">
        <v>1612</v>
      </c>
      <c r="E709" s="321" t="s">
        <v>2831</v>
      </c>
      <c r="F709" s="354" t="s">
        <v>856</v>
      </c>
      <c r="G709" s="324">
        <v>0</v>
      </c>
      <c r="H709" s="325">
        <v>65535</v>
      </c>
      <c r="I709" s="320">
        <v>0</v>
      </c>
      <c r="J709" s="325">
        <v>0</v>
      </c>
      <c r="K709" s="325">
        <v>0</v>
      </c>
      <c r="L709" s="325" t="s">
        <v>859</v>
      </c>
      <c r="M709" s="325">
        <v>1</v>
      </c>
      <c r="N709" s="325" t="s">
        <v>1601</v>
      </c>
      <c r="O709" s="325">
        <v>0</v>
      </c>
      <c r="P709" s="320">
        <v>0</v>
      </c>
      <c r="Q709" s="325">
        <v>1</v>
      </c>
      <c r="R709" s="325">
        <v>5</v>
      </c>
      <c r="S709" s="325">
        <v>0</v>
      </c>
      <c r="T709" s="325"/>
      <c r="V709" s="327" t="str">
        <f t="shared" si="103"/>
        <v>0</v>
      </c>
      <c r="W709" s="327" t="str">
        <f t="shared" si="104"/>
        <v>0</v>
      </c>
      <c r="X709" s="327" t="str">
        <f t="shared" si="105"/>
        <v>0</v>
      </c>
      <c r="Y709" s="327">
        <f t="shared" si="106"/>
        <v>0</v>
      </c>
      <c r="Z709" s="327">
        <f t="shared" si="106"/>
        <v>0</v>
      </c>
      <c r="AA709" s="327">
        <f t="shared" si="107"/>
        <v>1</v>
      </c>
      <c r="AB709" s="327" t="str">
        <f t="shared" si="110"/>
        <v>101</v>
      </c>
      <c r="AC709" s="327">
        <f t="shared" si="108"/>
        <v>0</v>
      </c>
      <c r="AD709" s="327">
        <v>0</v>
      </c>
      <c r="AE709" s="327" t="str">
        <f t="shared" si="109"/>
        <v>32C00</v>
      </c>
    </row>
    <row r="710" spans="1:31" s="327" customFormat="1" ht="112.5" x14ac:dyDescent="0.15">
      <c r="A710" s="318" t="str">
        <f t="shared" si="111"/>
        <v>0</v>
      </c>
      <c r="B710" s="319">
        <v>708</v>
      </c>
      <c r="C710" s="328" t="s">
        <v>806</v>
      </c>
      <c r="D710" s="329" t="s">
        <v>2845</v>
      </c>
      <c r="E710" s="330" t="s">
        <v>308</v>
      </c>
      <c r="F710" s="358" t="s">
        <v>309</v>
      </c>
      <c r="G710" s="277">
        <v>0</v>
      </c>
      <c r="H710" s="331">
        <v>6</v>
      </c>
      <c r="I710" s="328">
        <v>0</v>
      </c>
      <c r="J710" s="331">
        <v>0</v>
      </c>
      <c r="K710" s="331">
        <v>0</v>
      </c>
      <c r="L710" s="331" t="s">
        <v>859</v>
      </c>
      <c r="M710" s="331">
        <v>1</v>
      </c>
      <c r="N710" s="331" t="s">
        <v>1660</v>
      </c>
      <c r="O710" s="331">
        <v>0</v>
      </c>
      <c r="P710" s="328">
        <v>1</v>
      </c>
      <c r="Q710" s="331">
        <v>1</v>
      </c>
      <c r="R710" s="331">
        <v>1</v>
      </c>
      <c r="S710" s="331">
        <v>0</v>
      </c>
      <c r="T710" s="331"/>
      <c r="V710" s="327" t="str">
        <f t="shared" si="103"/>
        <v>0</v>
      </c>
      <c r="W710" s="327" t="str">
        <f t="shared" si="104"/>
        <v>0</v>
      </c>
      <c r="X710" s="327" t="str">
        <f>DEC2BIN(15)</f>
        <v>1111</v>
      </c>
      <c r="Y710" s="327">
        <f t="shared" si="106"/>
        <v>0</v>
      </c>
      <c r="Z710" s="327">
        <f t="shared" si="106"/>
        <v>1</v>
      </c>
      <c r="AA710" s="327">
        <f t="shared" si="107"/>
        <v>1</v>
      </c>
      <c r="AB710" s="327" t="str">
        <f t="shared" si="110"/>
        <v>1</v>
      </c>
      <c r="AC710" s="327">
        <f t="shared" si="108"/>
        <v>0</v>
      </c>
      <c r="AD710" s="327">
        <v>0</v>
      </c>
      <c r="AE710" s="327" t="str">
        <f t="shared" si="109"/>
        <v>5370</v>
      </c>
    </row>
    <row r="711" spans="1:31" s="327" customFormat="1" ht="67.5" x14ac:dyDescent="0.15">
      <c r="A711" s="318" t="str">
        <f t="shared" si="111"/>
        <v>0</v>
      </c>
      <c r="B711" s="319">
        <v>709</v>
      </c>
      <c r="C711" s="328" t="s">
        <v>807</v>
      </c>
      <c r="D711" s="329" t="s">
        <v>2845</v>
      </c>
      <c r="E711" s="330" t="s">
        <v>310</v>
      </c>
      <c r="F711" s="358" t="s">
        <v>311</v>
      </c>
      <c r="G711" s="277">
        <v>0</v>
      </c>
      <c r="H711" s="331">
        <v>4</v>
      </c>
      <c r="I711" s="328">
        <v>0</v>
      </c>
      <c r="J711" s="331">
        <v>0</v>
      </c>
      <c r="K711" s="331">
        <v>0</v>
      </c>
      <c r="L711" s="331" t="s">
        <v>859</v>
      </c>
      <c r="M711" s="331">
        <v>1</v>
      </c>
      <c r="N711" s="331" t="s">
        <v>1601</v>
      </c>
      <c r="O711" s="331">
        <v>0</v>
      </c>
      <c r="P711" s="328">
        <v>0</v>
      </c>
      <c r="Q711" s="331">
        <v>1</v>
      </c>
      <c r="R711" s="331">
        <v>1</v>
      </c>
      <c r="S711" s="331">
        <v>0</v>
      </c>
      <c r="T711" s="331"/>
      <c r="V711" s="327" t="str">
        <f t="shared" si="103"/>
        <v>0</v>
      </c>
      <c r="W711" s="327" t="str">
        <f t="shared" si="104"/>
        <v>0</v>
      </c>
      <c r="X711" s="327" t="str">
        <f>DEC2BIN(15)</f>
        <v>1111</v>
      </c>
      <c r="Y711" s="327">
        <f t="shared" si="106"/>
        <v>0</v>
      </c>
      <c r="Z711" s="327">
        <f t="shared" si="106"/>
        <v>0</v>
      </c>
      <c r="AA711" s="327">
        <f t="shared" si="107"/>
        <v>1</v>
      </c>
      <c r="AB711" s="327" t="str">
        <f t="shared" si="110"/>
        <v>1</v>
      </c>
      <c r="AC711" s="327">
        <f t="shared" si="108"/>
        <v>0</v>
      </c>
      <c r="AD711" s="327">
        <v>0</v>
      </c>
      <c r="AE711" s="327" t="str">
        <f t="shared" si="109"/>
        <v>5170</v>
      </c>
    </row>
    <row r="712" spans="1:31" s="327" customFormat="1" ht="48.2" customHeight="1" x14ac:dyDescent="0.15">
      <c r="A712" s="318" t="str">
        <f t="shared" si="111"/>
        <v>0</v>
      </c>
      <c r="B712" s="319">
        <v>710</v>
      </c>
      <c r="C712" s="328" t="s">
        <v>808</v>
      </c>
      <c r="D712" s="329" t="s">
        <v>2845</v>
      </c>
      <c r="E712" s="330" t="s">
        <v>312</v>
      </c>
      <c r="F712" s="358" t="s">
        <v>2832</v>
      </c>
      <c r="G712" s="277">
        <v>0</v>
      </c>
      <c r="H712" s="331">
        <v>1</v>
      </c>
      <c r="I712" s="328">
        <v>0</v>
      </c>
      <c r="J712" s="331">
        <v>0</v>
      </c>
      <c r="K712" s="331">
        <v>0</v>
      </c>
      <c r="L712" s="331" t="s">
        <v>859</v>
      </c>
      <c r="M712" s="331">
        <v>1</v>
      </c>
      <c r="N712" s="331" t="s">
        <v>1601</v>
      </c>
      <c r="O712" s="331">
        <v>0</v>
      </c>
      <c r="P712" s="328">
        <v>0</v>
      </c>
      <c r="Q712" s="331">
        <v>1</v>
      </c>
      <c r="R712" s="331">
        <v>1</v>
      </c>
      <c r="S712" s="331">
        <v>0</v>
      </c>
      <c r="T712" s="331"/>
      <c r="V712" s="327" t="str">
        <f t="shared" si="103"/>
        <v>0</v>
      </c>
      <c r="W712" s="327" t="str">
        <f t="shared" si="104"/>
        <v>0</v>
      </c>
      <c r="X712" s="327" t="str">
        <f t="shared" si="105"/>
        <v>0</v>
      </c>
      <c r="Y712" s="327">
        <f t="shared" si="106"/>
        <v>0</v>
      </c>
      <c r="Z712" s="327">
        <f t="shared" si="106"/>
        <v>0</v>
      </c>
      <c r="AA712" s="327">
        <f t="shared" si="107"/>
        <v>1</v>
      </c>
      <c r="AB712" s="327" t="str">
        <f t="shared" si="110"/>
        <v>1</v>
      </c>
      <c r="AC712" s="327">
        <f t="shared" si="108"/>
        <v>0</v>
      </c>
      <c r="AD712" s="327">
        <v>0</v>
      </c>
      <c r="AE712" s="327" t="str">
        <f t="shared" si="109"/>
        <v>C00</v>
      </c>
    </row>
    <row r="713" spans="1:31" s="327" customFormat="1" ht="144.75" customHeight="1" x14ac:dyDescent="0.15">
      <c r="A713" s="318" t="str">
        <f t="shared" si="111"/>
        <v>0</v>
      </c>
      <c r="B713" s="319">
        <v>711</v>
      </c>
      <c r="C713" s="328" t="s">
        <v>809</v>
      </c>
      <c r="D713" s="329" t="s">
        <v>2845</v>
      </c>
      <c r="E713" s="330" t="s">
        <v>313</v>
      </c>
      <c r="F713" s="358" t="s">
        <v>2833</v>
      </c>
      <c r="G713" s="277">
        <v>0</v>
      </c>
      <c r="H713" s="331">
        <v>1111</v>
      </c>
      <c r="I713" s="328">
        <v>0</v>
      </c>
      <c r="J713" s="331">
        <v>0</v>
      </c>
      <c r="K713" s="331">
        <v>0</v>
      </c>
      <c r="L713" s="331" t="s">
        <v>859</v>
      </c>
      <c r="M713" s="331">
        <v>1</v>
      </c>
      <c r="N713" s="331" t="s">
        <v>1601</v>
      </c>
      <c r="O713" s="331">
        <v>1</v>
      </c>
      <c r="P713" s="328">
        <v>0</v>
      </c>
      <c r="Q713" s="331">
        <v>1</v>
      </c>
      <c r="R713" s="331">
        <v>4</v>
      </c>
      <c r="S713" s="331">
        <v>0</v>
      </c>
      <c r="T713" s="331" t="s">
        <v>314</v>
      </c>
    </row>
    <row r="714" spans="1:31" s="327" customFormat="1" x14ac:dyDescent="0.15">
      <c r="A714" s="318" t="str">
        <f t="shared" si="111"/>
        <v>0</v>
      </c>
      <c r="B714" s="319">
        <v>712</v>
      </c>
      <c r="C714" s="328" t="s">
        <v>838</v>
      </c>
      <c r="D714" s="329" t="s">
        <v>2844</v>
      </c>
      <c r="E714" s="330" t="s">
        <v>315</v>
      </c>
      <c r="F714" s="358" t="s">
        <v>2834</v>
      </c>
      <c r="G714" s="277">
        <v>3</v>
      </c>
      <c r="H714" s="331">
        <v>1000</v>
      </c>
      <c r="I714" s="328">
        <v>0</v>
      </c>
      <c r="J714" s="331">
        <v>0</v>
      </c>
      <c r="K714" s="331">
        <v>0</v>
      </c>
      <c r="L714" s="331" t="s">
        <v>859</v>
      </c>
      <c r="M714" s="331">
        <v>0.01</v>
      </c>
      <c r="N714" s="331" t="s">
        <v>1751</v>
      </c>
      <c r="O714" s="331">
        <v>0</v>
      </c>
      <c r="P714" s="328">
        <v>0</v>
      </c>
      <c r="Q714" s="331">
        <v>1</v>
      </c>
      <c r="R714" s="331">
        <v>4</v>
      </c>
      <c r="S714" s="331">
        <v>0</v>
      </c>
      <c r="T714" s="331"/>
      <c r="V714" s="327" t="str">
        <f t="shared" si="103"/>
        <v>0</v>
      </c>
      <c r="W714" s="327" t="str">
        <f t="shared" si="104"/>
        <v>10</v>
      </c>
      <c r="X714" s="327" t="str">
        <f t="shared" si="105"/>
        <v>0</v>
      </c>
      <c r="Y714" s="327">
        <f t="shared" si="106"/>
        <v>0</v>
      </c>
      <c r="Z714" s="327">
        <f t="shared" si="106"/>
        <v>0</v>
      </c>
      <c r="AA714" s="327">
        <f t="shared" si="107"/>
        <v>1</v>
      </c>
      <c r="AB714" s="327" t="str">
        <f t="shared" si="110"/>
        <v>100</v>
      </c>
      <c r="AC714" s="327">
        <f t="shared" si="108"/>
        <v>0</v>
      </c>
      <c r="AD714" s="327">
        <v>0</v>
      </c>
      <c r="AE714" s="327" t="str">
        <f t="shared" si="109"/>
        <v>32428</v>
      </c>
    </row>
    <row r="715" spans="1:31" ht="281.25" x14ac:dyDescent="0.15">
      <c r="A715" s="42" t="str">
        <f t="shared" si="111"/>
        <v>0</v>
      </c>
      <c r="B715" s="43">
        <v>713</v>
      </c>
      <c r="C715" s="44" t="s">
        <v>316</v>
      </c>
      <c r="D715" s="25" t="s">
        <v>1491</v>
      </c>
      <c r="E715" s="45" t="s">
        <v>317</v>
      </c>
      <c r="F715" s="66" t="s">
        <v>318</v>
      </c>
      <c r="G715" s="47" t="s">
        <v>319</v>
      </c>
      <c r="H715" s="48" t="s">
        <v>320</v>
      </c>
      <c r="I715" s="44">
        <v>0</v>
      </c>
      <c r="J715" s="48">
        <v>0</v>
      </c>
      <c r="K715" s="48">
        <v>0</v>
      </c>
      <c r="L715" s="48" t="s">
        <v>859</v>
      </c>
      <c r="M715" s="48">
        <v>1</v>
      </c>
      <c r="N715" s="48" t="s">
        <v>1601</v>
      </c>
      <c r="O715" s="48">
        <v>1</v>
      </c>
      <c r="P715" s="44">
        <v>1</v>
      </c>
      <c r="Q715" s="48">
        <v>1</v>
      </c>
      <c r="R715" s="48">
        <v>4</v>
      </c>
      <c r="S715" s="48">
        <v>0</v>
      </c>
      <c r="T715" s="48"/>
      <c r="V715" s="49" t="str">
        <f t="shared" si="103"/>
        <v>0</v>
      </c>
      <c r="W715" s="49" t="str">
        <f t="shared" si="104"/>
        <v>0</v>
      </c>
      <c r="X715" s="49" t="str">
        <f>LOOKUP(N715,$AG$2:$AG$17,$AH$2:$AH$17)</f>
        <v>0</v>
      </c>
      <c r="Y715" s="49">
        <f t="shared" si="106"/>
        <v>1</v>
      </c>
      <c r="Z715" s="49">
        <f t="shared" si="106"/>
        <v>1</v>
      </c>
      <c r="AA715" s="49">
        <f t="shared" si="107"/>
        <v>1</v>
      </c>
      <c r="AB715" s="49" t="str">
        <f t="shared" si="110"/>
        <v>100</v>
      </c>
      <c r="AC715" s="49">
        <f t="shared" si="108"/>
        <v>0</v>
      </c>
      <c r="AD715" s="49">
        <v>0</v>
      </c>
      <c r="AE715" s="49" t="str">
        <f t="shared" si="109"/>
        <v>32700</v>
      </c>
    </row>
    <row r="716" spans="1:31" ht="258.75" x14ac:dyDescent="0.15">
      <c r="A716" s="42" t="str">
        <f t="shared" si="111"/>
        <v>0</v>
      </c>
      <c r="B716" s="43">
        <v>714</v>
      </c>
      <c r="C716" s="44" t="s">
        <v>321</v>
      </c>
      <c r="D716" s="25" t="s">
        <v>1492</v>
      </c>
      <c r="E716" s="45" t="s">
        <v>322</v>
      </c>
      <c r="F716" s="66" t="s">
        <v>323</v>
      </c>
      <c r="G716" s="47">
        <v>0</v>
      </c>
      <c r="H716" s="48" t="s">
        <v>324</v>
      </c>
      <c r="I716" s="44">
        <v>0</v>
      </c>
      <c r="J716" s="48">
        <v>0</v>
      </c>
      <c r="K716" s="48">
        <v>0</v>
      </c>
      <c r="L716" s="48" t="s">
        <v>859</v>
      </c>
      <c r="M716" s="48">
        <v>1</v>
      </c>
      <c r="N716" s="48" t="s">
        <v>1601</v>
      </c>
      <c r="O716" s="48">
        <v>1</v>
      </c>
      <c r="P716" s="44">
        <v>1</v>
      </c>
      <c r="Q716" s="48">
        <v>1</v>
      </c>
      <c r="R716" s="48">
        <v>4</v>
      </c>
      <c r="S716" s="48">
        <v>0</v>
      </c>
      <c r="T716" s="48"/>
      <c r="V716" s="49" t="str">
        <f t="shared" ref="V716:V781" si="112">IF(L716="△",DEC2BIN(0),IF(L716="×",DEC2BIN(1),IF(L716="◎",DEC2BIN(2),DEC2BIN(3))))</f>
        <v>0</v>
      </c>
      <c r="W716" s="49" t="str">
        <f t="shared" ref="W716:W781" si="113">IF(M716=1,DEC2BIN(0),IF(M716=0.1,DEC2BIN(1),IF(M716=0.01,DEC2BIN(2),DEC2BIN(3))))</f>
        <v>0</v>
      </c>
      <c r="X716" s="49" t="str">
        <f t="shared" ref="X716:X781" si="114">LOOKUP(N716,$AG$2:$AG$17,$AH$2:$AH$17)</f>
        <v>0</v>
      </c>
      <c r="Y716" s="49">
        <f t="shared" ref="Y716:Y781" si="115">O716</f>
        <v>1</v>
      </c>
      <c r="Z716" s="49">
        <f t="shared" ref="Z716:Z781" si="116">P716</f>
        <v>1</v>
      </c>
      <c r="AA716" s="49">
        <f t="shared" ref="AA716:AA781" si="117">Q716</f>
        <v>1</v>
      </c>
      <c r="AB716" s="49" t="str">
        <f t="shared" si="110"/>
        <v>100</v>
      </c>
      <c r="AC716" s="49">
        <f t="shared" ref="AC716:AC781" si="118">S716</f>
        <v>0</v>
      </c>
      <c r="AD716" s="49">
        <v>0</v>
      </c>
      <c r="AE716" s="49" t="str">
        <f t="shared" ref="AE716:AE781" si="119">DEC2HEX(V716+W716*4+X716*16+Y716*256+Z716*512+AA716*1024+AB716*2048+AC716*16384)</f>
        <v>32700</v>
      </c>
    </row>
    <row r="717" spans="1:31" ht="281.25" x14ac:dyDescent="0.15">
      <c r="A717" s="42" t="str">
        <f t="shared" si="111"/>
        <v>0</v>
      </c>
      <c r="B717" s="43">
        <v>715</v>
      </c>
      <c r="C717" s="44" t="s">
        <v>325</v>
      </c>
      <c r="D717" s="25" t="s">
        <v>1493</v>
      </c>
      <c r="E717" s="45" t="s">
        <v>326</v>
      </c>
      <c r="F717" s="66" t="s">
        <v>327</v>
      </c>
      <c r="G717" s="47">
        <v>3</v>
      </c>
      <c r="H717" s="48" t="s">
        <v>328</v>
      </c>
      <c r="I717" s="44">
        <v>0</v>
      </c>
      <c r="J717" s="48">
        <v>0</v>
      </c>
      <c r="K717" s="48">
        <v>0</v>
      </c>
      <c r="L717" s="48" t="s">
        <v>859</v>
      </c>
      <c r="M717" s="48">
        <v>1</v>
      </c>
      <c r="N717" s="48" t="s">
        <v>1601</v>
      </c>
      <c r="O717" s="48">
        <v>1</v>
      </c>
      <c r="P717" s="44">
        <v>1</v>
      </c>
      <c r="Q717" s="48">
        <v>1</v>
      </c>
      <c r="R717" s="48">
        <v>4</v>
      </c>
      <c r="S717" s="48">
        <v>0</v>
      </c>
      <c r="T717" s="48"/>
      <c r="V717" s="49" t="str">
        <f t="shared" si="112"/>
        <v>0</v>
      </c>
      <c r="W717" s="49" t="str">
        <f t="shared" si="113"/>
        <v>0</v>
      </c>
      <c r="X717" s="49" t="str">
        <f t="shared" si="114"/>
        <v>0</v>
      </c>
      <c r="Y717" s="49">
        <f t="shared" si="115"/>
        <v>1</v>
      </c>
      <c r="Z717" s="49">
        <f t="shared" si="116"/>
        <v>1</v>
      </c>
      <c r="AA717" s="49">
        <f t="shared" si="117"/>
        <v>1</v>
      </c>
      <c r="AB717" s="49" t="str">
        <f t="shared" ref="AB717:AB781" si="120">DEC2BIN(R717)</f>
        <v>100</v>
      </c>
      <c r="AC717" s="49">
        <f t="shared" si="118"/>
        <v>0</v>
      </c>
      <c r="AD717" s="49">
        <v>0</v>
      </c>
      <c r="AE717" s="49" t="str">
        <f t="shared" si="119"/>
        <v>32700</v>
      </c>
    </row>
    <row r="718" spans="1:31" s="327" customFormat="1" x14ac:dyDescent="0.15">
      <c r="A718" s="318" t="str">
        <f t="shared" si="111"/>
        <v>0</v>
      </c>
      <c r="B718" s="319">
        <v>716</v>
      </c>
      <c r="C718" s="333" t="s">
        <v>329</v>
      </c>
      <c r="D718" s="334" t="s">
        <v>1226</v>
      </c>
      <c r="E718" s="335" t="s">
        <v>330</v>
      </c>
      <c r="F718" s="336" t="s">
        <v>331</v>
      </c>
      <c r="G718" s="337">
        <v>1000</v>
      </c>
      <c r="H718" s="338">
        <v>9999</v>
      </c>
      <c r="I718" s="333">
        <v>1</v>
      </c>
      <c r="J718" s="338">
        <v>0</v>
      </c>
      <c r="K718" s="338">
        <v>0</v>
      </c>
      <c r="L718" s="338" t="s">
        <v>859</v>
      </c>
      <c r="M718" s="338">
        <v>0.1</v>
      </c>
      <c r="N718" s="338" t="s">
        <v>1634</v>
      </c>
      <c r="O718" s="338">
        <v>0</v>
      </c>
      <c r="P718" s="333">
        <v>0</v>
      </c>
      <c r="Q718" s="338">
        <v>1</v>
      </c>
      <c r="R718" s="338">
        <v>4</v>
      </c>
      <c r="S718" s="338">
        <v>0</v>
      </c>
      <c r="T718" s="331"/>
      <c r="V718" s="327" t="str">
        <f t="shared" si="112"/>
        <v>0</v>
      </c>
      <c r="W718" s="327" t="str">
        <f t="shared" si="113"/>
        <v>1</v>
      </c>
      <c r="X718" s="327" t="e">
        <f t="shared" si="114"/>
        <v>#N/A</v>
      </c>
      <c r="Y718" s="327">
        <f t="shared" si="115"/>
        <v>0</v>
      </c>
      <c r="Z718" s="327">
        <f t="shared" si="116"/>
        <v>0</v>
      </c>
      <c r="AA718" s="327">
        <f t="shared" si="117"/>
        <v>1</v>
      </c>
      <c r="AB718" s="327" t="str">
        <f t="shared" si="120"/>
        <v>100</v>
      </c>
      <c r="AC718" s="327">
        <f t="shared" si="118"/>
        <v>0</v>
      </c>
      <c r="AD718" s="327">
        <v>0</v>
      </c>
      <c r="AE718" s="327" t="e">
        <f t="shared" si="119"/>
        <v>#N/A</v>
      </c>
    </row>
    <row r="719" spans="1:31" x14ac:dyDescent="0.15">
      <c r="A719" s="42" t="str">
        <f t="shared" si="111"/>
        <v>0</v>
      </c>
      <c r="B719" s="43">
        <v>717</v>
      </c>
      <c r="C719" s="38" t="s">
        <v>332</v>
      </c>
      <c r="D719" s="50" t="s">
        <v>839</v>
      </c>
      <c r="E719" s="51" t="s">
        <v>333</v>
      </c>
      <c r="F719" s="72" t="s">
        <v>1022</v>
      </c>
      <c r="G719" s="52">
        <v>0</v>
      </c>
      <c r="H719" s="53">
        <v>60000</v>
      </c>
      <c r="I719" s="38">
        <v>0</v>
      </c>
      <c r="J719" s="53">
        <v>0</v>
      </c>
      <c r="K719" s="53">
        <v>0</v>
      </c>
      <c r="L719" s="53" t="s">
        <v>861</v>
      </c>
      <c r="M719" s="53">
        <v>0.01</v>
      </c>
      <c r="N719" s="53" t="s">
        <v>1648</v>
      </c>
      <c r="O719" s="53">
        <v>0</v>
      </c>
      <c r="P719" s="38">
        <v>1</v>
      </c>
      <c r="Q719" s="53">
        <v>0</v>
      </c>
      <c r="R719" s="53">
        <v>5</v>
      </c>
      <c r="S719" s="53">
        <v>0</v>
      </c>
      <c r="T719" s="53"/>
      <c r="V719" s="49" t="str">
        <f t="shared" si="112"/>
        <v>10</v>
      </c>
      <c r="W719" s="49" t="str">
        <f t="shared" si="113"/>
        <v>10</v>
      </c>
      <c r="X719" s="49" t="str">
        <f t="shared" si="114"/>
        <v>0</v>
      </c>
      <c r="Y719" s="49">
        <f t="shared" si="115"/>
        <v>0</v>
      </c>
      <c r="Z719" s="49">
        <f t="shared" si="116"/>
        <v>1</v>
      </c>
      <c r="AA719" s="49">
        <f t="shared" si="117"/>
        <v>0</v>
      </c>
      <c r="AB719" s="49" t="str">
        <f t="shared" si="120"/>
        <v>101</v>
      </c>
      <c r="AC719" s="49">
        <f t="shared" si="118"/>
        <v>0</v>
      </c>
      <c r="AD719" s="49">
        <v>0</v>
      </c>
      <c r="AE719" s="49" t="str">
        <f t="shared" si="119"/>
        <v>32A32</v>
      </c>
    </row>
    <row r="720" spans="1:31" x14ac:dyDescent="0.15">
      <c r="A720" s="42" t="str">
        <f t="shared" si="111"/>
        <v>0</v>
      </c>
      <c r="B720" s="43">
        <v>718</v>
      </c>
      <c r="C720" s="38" t="s">
        <v>1494</v>
      </c>
      <c r="D720" s="50" t="s">
        <v>840</v>
      </c>
      <c r="E720" s="51" t="s">
        <v>334</v>
      </c>
      <c r="F720" s="72" t="s">
        <v>1022</v>
      </c>
      <c r="G720" s="52">
        <v>0</v>
      </c>
      <c r="H720" s="53">
        <v>60000</v>
      </c>
      <c r="I720" s="38">
        <v>0</v>
      </c>
      <c r="J720" s="53">
        <v>0</v>
      </c>
      <c r="K720" s="53">
        <v>0</v>
      </c>
      <c r="L720" s="53" t="s">
        <v>861</v>
      </c>
      <c r="M720" s="53">
        <v>0.01</v>
      </c>
      <c r="N720" s="53" t="s">
        <v>1648</v>
      </c>
      <c r="O720" s="53">
        <v>0</v>
      </c>
      <c r="P720" s="38">
        <v>1</v>
      </c>
      <c r="Q720" s="53">
        <v>0</v>
      </c>
      <c r="R720" s="53">
        <v>5</v>
      </c>
      <c r="S720" s="53">
        <v>0</v>
      </c>
      <c r="T720" s="53"/>
      <c r="V720" s="49" t="str">
        <f t="shared" si="112"/>
        <v>10</v>
      </c>
      <c r="W720" s="49" t="str">
        <f t="shared" si="113"/>
        <v>10</v>
      </c>
      <c r="X720" s="49" t="str">
        <f t="shared" si="114"/>
        <v>0</v>
      </c>
      <c r="Y720" s="49">
        <f t="shared" si="115"/>
        <v>0</v>
      </c>
      <c r="Z720" s="49">
        <f t="shared" si="116"/>
        <v>1</v>
      </c>
      <c r="AA720" s="49">
        <f t="shared" si="117"/>
        <v>0</v>
      </c>
      <c r="AB720" s="49" t="str">
        <f t="shared" si="120"/>
        <v>101</v>
      </c>
      <c r="AC720" s="49">
        <f t="shared" si="118"/>
        <v>0</v>
      </c>
      <c r="AD720" s="49">
        <v>0</v>
      </c>
      <c r="AE720" s="49" t="str">
        <f t="shared" si="119"/>
        <v>32A32</v>
      </c>
    </row>
    <row r="721" spans="1:31" x14ac:dyDescent="0.15">
      <c r="A721" s="42" t="str">
        <f t="shared" si="111"/>
        <v>0</v>
      </c>
      <c r="B721" s="43">
        <v>719</v>
      </c>
      <c r="C721" s="38" t="s">
        <v>1495</v>
      </c>
      <c r="D721" s="50" t="s">
        <v>1317</v>
      </c>
      <c r="E721" s="51" t="s">
        <v>335</v>
      </c>
      <c r="F721" s="72" t="s">
        <v>1130</v>
      </c>
      <c r="G721" s="52">
        <v>0</v>
      </c>
      <c r="H721" s="53">
        <v>65535</v>
      </c>
      <c r="I721" s="38">
        <v>0</v>
      </c>
      <c r="J721" s="53">
        <v>0</v>
      </c>
      <c r="K721" s="53">
        <v>0</v>
      </c>
      <c r="L721" s="53" t="s">
        <v>861</v>
      </c>
      <c r="M721" s="53">
        <v>1</v>
      </c>
      <c r="N721" s="53" t="s">
        <v>1879</v>
      </c>
      <c r="O721" s="53">
        <v>0</v>
      </c>
      <c r="P721" s="38">
        <v>1</v>
      </c>
      <c r="Q721" s="53">
        <v>0</v>
      </c>
      <c r="R721" s="53">
        <v>5</v>
      </c>
      <c r="S721" s="53">
        <v>0</v>
      </c>
      <c r="T721" s="53"/>
      <c r="V721" s="49" t="str">
        <f t="shared" si="112"/>
        <v>10</v>
      </c>
      <c r="W721" s="49" t="str">
        <f t="shared" si="113"/>
        <v>0</v>
      </c>
      <c r="X721" s="49" t="str">
        <f t="shared" si="114"/>
        <v>0</v>
      </c>
      <c r="Y721" s="49">
        <f t="shared" si="115"/>
        <v>0</v>
      </c>
      <c r="Z721" s="49">
        <f t="shared" si="116"/>
        <v>1</v>
      </c>
      <c r="AA721" s="49">
        <f t="shared" si="117"/>
        <v>0</v>
      </c>
      <c r="AB721" s="49" t="str">
        <f t="shared" si="120"/>
        <v>101</v>
      </c>
      <c r="AC721" s="49">
        <f t="shared" si="118"/>
        <v>0</v>
      </c>
      <c r="AD721" s="49">
        <v>0</v>
      </c>
      <c r="AE721" s="49" t="str">
        <f t="shared" si="119"/>
        <v>32A0A</v>
      </c>
    </row>
    <row r="722" spans="1:31" x14ac:dyDescent="0.15">
      <c r="A722" s="42" t="str">
        <f t="shared" si="111"/>
        <v>0</v>
      </c>
      <c r="B722" s="43">
        <v>720</v>
      </c>
      <c r="C722" s="38" t="s">
        <v>1496</v>
      </c>
      <c r="D722" s="50" t="s">
        <v>841</v>
      </c>
      <c r="E722" s="51" t="s">
        <v>336</v>
      </c>
      <c r="F722" s="72" t="s">
        <v>1130</v>
      </c>
      <c r="G722" s="52">
        <v>0</v>
      </c>
      <c r="H722" s="53">
        <v>65535</v>
      </c>
      <c r="I722" s="38">
        <v>0</v>
      </c>
      <c r="J722" s="53">
        <v>0</v>
      </c>
      <c r="K722" s="53">
        <v>0</v>
      </c>
      <c r="L722" s="53" t="s">
        <v>861</v>
      </c>
      <c r="M722" s="53">
        <v>1</v>
      </c>
      <c r="N722" s="53" t="s">
        <v>1879</v>
      </c>
      <c r="O722" s="53">
        <v>0</v>
      </c>
      <c r="P722" s="38">
        <v>1</v>
      </c>
      <c r="Q722" s="53">
        <v>0</v>
      </c>
      <c r="R722" s="53">
        <v>5</v>
      </c>
      <c r="S722" s="53">
        <v>0</v>
      </c>
      <c r="T722" s="53"/>
      <c r="V722" s="49" t="str">
        <f t="shared" si="112"/>
        <v>10</v>
      </c>
      <c r="W722" s="49" t="str">
        <f t="shared" si="113"/>
        <v>0</v>
      </c>
      <c r="X722" s="49" t="str">
        <f t="shared" si="114"/>
        <v>0</v>
      </c>
      <c r="Y722" s="49">
        <f t="shared" si="115"/>
        <v>0</v>
      </c>
      <c r="Z722" s="49">
        <f t="shared" si="116"/>
        <v>1</v>
      </c>
      <c r="AA722" s="49">
        <f t="shared" si="117"/>
        <v>0</v>
      </c>
      <c r="AB722" s="49" t="str">
        <f t="shared" si="120"/>
        <v>101</v>
      </c>
      <c r="AC722" s="49">
        <f t="shared" si="118"/>
        <v>0</v>
      </c>
      <c r="AD722" s="49">
        <v>0</v>
      </c>
      <c r="AE722" s="49" t="str">
        <f t="shared" si="119"/>
        <v>32A0A</v>
      </c>
    </row>
    <row r="723" spans="1:31" x14ac:dyDescent="0.15">
      <c r="A723" s="42" t="str">
        <f t="shared" si="111"/>
        <v>0</v>
      </c>
      <c r="B723" s="43">
        <v>721</v>
      </c>
      <c r="C723" s="38" t="s">
        <v>1497</v>
      </c>
      <c r="D723" s="50" t="s">
        <v>842</v>
      </c>
      <c r="E723" s="150" t="s">
        <v>337</v>
      </c>
      <c r="F723" s="72" t="s">
        <v>1052</v>
      </c>
      <c r="G723" s="52">
        <v>0</v>
      </c>
      <c r="H723" s="53">
        <v>65535</v>
      </c>
      <c r="I723" s="38">
        <v>0</v>
      </c>
      <c r="J723" s="53">
        <v>0</v>
      </c>
      <c r="K723" s="53">
        <v>0</v>
      </c>
      <c r="L723" s="53" t="s">
        <v>861</v>
      </c>
      <c r="M723" s="53">
        <v>0.1</v>
      </c>
      <c r="N723" s="53" t="s">
        <v>72</v>
      </c>
      <c r="O723" s="53">
        <v>0</v>
      </c>
      <c r="P723" s="38">
        <v>1</v>
      </c>
      <c r="Q723" s="53">
        <v>0</v>
      </c>
      <c r="R723" s="53">
        <v>5</v>
      </c>
      <c r="S723" s="53">
        <v>0</v>
      </c>
      <c r="T723" s="53"/>
      <c r="V723" s="49" t="str">
        <f t="shared" si="112"/>
        <v>10</v>
      </c>
      <c r="W723" s="49" t="str">
        <f t="shared" si="113"/>
        <v>1</v>
      </c>
      <c r="X723" s="49" t="str">
        <f t="shared" si="114"/>
        <v>0</v>
      </c>
      <c r="Y723" s="49">
        <f t="shared" si="115"/>
        <v>0</v>
      </c>
      <c r="Z723" s="49">
        <f t="shared" si="116"/>
        <v>1</v>
      </c>
      <c r="AA723" s="49">
        <f t="shared" si="117"/>
        <v>0</v>
      </c>
      <c r="AB723" s="49" t="str">
        <f t="shared" si="120"/>
        <v>101</v>
      </c>
      <c r="AC723" s="49">
        <f t="shared" si="118"/>
        <v>0</v>
      </c>
      <c r="AD723" s="49">
        <v>0</v>
      </c>
      <c r="AE723" s="49" t="str">
        <f t="shared" si="119"/>
        <v>32A0E</v>
      </c>
    </row>
    <row r="724" spans="1:31" x14ac:dyDescent="0.15">
      <c r="A724" s="42" t="str">
        <f t="shared" si="111"/>
        <v>0</v>
      </c>
      <c r="B724" s="43">
        <v>722</v>
      </c>
      <c r="C724" s="38" t="s">
        <v>1498</v>
      </c>
      <c r="D724" s="50" t="s">
        <v>843</v>
      </c>
      <c r="E724" s="112" t="s">
        <v>789</v>
      </c>
      <c r="F724" s="72" t="s">
        <v>1063</v>
      </c>
      <c r="G724" s="52">
        <v>0</v>
      </c>
      <c r="H724" s="53">
        <v>3000</v>
      </c>
      <c r="I724" s="38">
        <v>0</v>
      </c>
      <c r="J724" s="53">
        <v>0</v>
      </c>
      <c r="K724" s="53">
        <v>0</v>
      </c>
      <c r="L724" s="53" t="s">
        <v>861</v>
      </c>
      <c r="M724" s="53">
        <v>0.1</v>
      </c>
      <c r="N724" s="53" t="s">
        <v>1719</v>
      </c>
      <c r="O724" s="53">
        <v>0</v>
      </c>
      <c r="P724" s="38">
        <v>1</v>
      </c>
      <c r="Q724" s="53">
        <v>0</v>
      </c>
      <c r="R724" s="53">
        <v>4</v>
      </c>
      <c r="S724" s="53">
        <v>0</v>
      </c>
      <c r="T724" s="53"/>
      <c r="V724" s="49" t="str">
        <f t="shared" si="112"/>
        <v>10</v>
      </c>
      <c r="W724" s="49" t="str">
        <f t="shared" si="113"/>
        <v>1</v>
      </c>
      <c r="X724" s="49" t="e">
        <f t="shared" si="114"/>
        <v>#N/A</v>
      </c>
      <c r="Y724" s="49">
        <f t="shared" si="115"/>
        <v>0</v>
      </c>
      <c r="Z724" s="49">
        <f t="shared" si="116"/>
        <v>1</v>
      </c>
      <c r="AA724" s="49">
        <f t="shared" si="117"/>
        <v>0</v>
      </c>
      <c r="AB724" s="49" t="str">
        <f t="shared" si="120"/>
        <v>100</v>
      </c>
      <c r="AC724" s="49">
        <f t="shared" si="118"/>
        <v>0</v>
      </c>
      <c r="AD724" s="49">
        <v>0</v>
      </c>
      <c r="AE724" s="49" t="e">
        <f t="shared" si="119"/>
        <v>#N/A</v>
      </c>
    </row>
    <row r="725" spans="1:31" x14ac:dyDescent="0.15">
      <c r="A725" s="42" t="str">
        <f t="shared" si="111"/>
        <v>0</v>
      </c>
      <c r="B725" s="43">
        <v>723</v>
      </c>
      <c r="C725" s="38" t="s">
        <v>1499</v>
      </c>
      <c r="D725" s="50" t="s">
        <v>844</v>
      </c>
      <c r="E725" s="51" t="s">
        <v>338</v>
      </c>
      <c r="F725" s="72" t="s">
        <v>339</v>
      </c>
      <c r="G725" s="52">
        <v>0</v>
      </c>
      <c r="H725" s="53">
        <v>3000</v>
      </c>
      <c r="I725" s="38">
        <v>0</v>
      </c>
      <c r="J725" s="53">
        <v>0</v>
      </c>
      <c r="K725" s="53">
        <v>0</v>
      </c>
      <c r="L725" s="53" t="s">
        <v>861</v>
      </c>
      <c r="M725" s="53">
        <v>0.1</v>
      </c>
      <c r="N725" s="53" t="s">
        <v>1719</v>
      </c>
      <c r="O725" s="53">
        <v>0</v>
      </c>
      <c r="P725" s="38">
        <v>1</v>
      </c>
      <c r="Q725" s="53">
        <v>0</v>
      </c>
      <c r="R725" s="53">
        <v>4</v>
      </c>
      <c r="S725" s="53">
        <v>0</v>
      </c>
      <c r="T725" s="53"/>
      <c r="V725" s="49" t="str">
        <f t="shared" si="112"/>
        <v>10</v>
      </c>
      <c r="W725" s="49" t="str">
        <f t="shared" si="113"/>
        <v>1</v>
      </c>
      <c r="X725" s="49" t="e">
        <f t="shared" si="114"/>
        <v>#N/A</v>
      </c>
      <c r="Y725" s="49">
        <f t="shared" si="115"/>
        <v>0</v>
      </c>
      <c r="Z725" s="49">
        <f t="shared" si="116"/>
        <v>1</v>
      </c>
      <c r="AA725" s="49">
        <f t="shared" si="117"/>
        <v>0</v>
      </c>
      <c r="AB725" s="49" t="str">
        <f t="shared" si="120"/>
        <v>100</v>
      </c>
      <c r="AC725" s="49">
        <f t="shared" si="118"/>
        <v>0</v>
      </c>
      <c r="AD725" s="49">
        <v>0</v>
      </c>
      <c r="AE725" s="49" t="e">
        <f t="shared" si="119"/>
        <v>#N/A</v>
      </c>
    </row>
    <row r="726" spans="1:31" ht="123.75" x14ac:dyDescent="0.15">
      <c r="A726" s="42" t="str">
        <f t="shared" si="111"/>
        <v>0</v>
      </c>
      <c r="B726" s="43">
        <v>724</v>
      </c>
      <c r="C726" s="38" t="s">
        <v>1500</v>
      </c>
      <c r="D726" s="50" t="s">
        <v>1131</v>
      </c>
      <c r="E726" s="51" t="s">
        <v>340</v>
      </c>
      <c r="F726" s="54" t="s">
        <v>341</v>
      </c>
      <c r="G726" s="52">
        <v>0</v>
      </c>
      <c r="H726" s="53">
        <v>9</v>
      </c>
      <c r="I726" s="38">
        <v>0</v>
      </c>
      <c r="J726" s="53">
        <v>0</v>
      </c>
      <c r="K726" s="53">
        <v>0</v>
      </c>
      <c r="L726" s="53" t="s">
        <v>861</v>
      </c>
      <c r="M726" s="53">
        <v>1</v>
      </c>
      <c r="N726" s="53" t="s">
        <v>1660</v>
      </c>
      <c r="O726" s="53">
        <v>0</v>
      </c>
      <c r="P726" s="38">
        <v>1</v>
      </c>
      <c r="Q726" s="53">
        <v>0</v>
      </c>
      <c r="R726" s="53">
        <v>1</v>
      </c>
      <c r="S726" s="53">
        <v>0</v>
      </c>
      <c r="T726" s="53"/>
      <c r="V726" s="49" t="str">
        <f t="shared" si="112"/>
        <v>10</v>
      </c>
      <c r="W726" s="49" t="str">
        <f t="shared" si="113"/>
        <v>0</v>
      </c>
      <c r="X726" s="49" t="str">
        <f t="shared" si="114"/>
        <v>0</v>
      </c>
      <c r="Y726" s="49">
        <f t="shared" si="115"/>
        <v>0</v>
      </c>
      <c r="Z726" s="49">
        <f t="shared" si="116"/>
        <v>1</v>
      </c>
      <c r="AA726" s="49">
        <f t="shared" si="117"/>
        <v>0</v>
      </c>
      <c r="AB726" s="49" t="str">
        <f t="shared" si="120"/>
        <v>1</v>
      </c>
      <c r="AC726" s="49">
        <f t="shared" si="118"/>
        <v>0</v>
      </c>
      <c r="AD726" s="49">
        <v>0</v>
      </c>
      <c r="AE726" s="49" t="str">
        <f t="shared" si="119"/>
        <v>A0A</v>
      </c>
    </row>
    <row r="727" spans="1:31" s="327" customFormat="1" ht="135" x14ac:dyDescent="0.15">
      <c r="A727" s="318" t="str">
        <f t="shared" si="111"/>
        <v>0</v>
      </c>
      <c r="B727" s="319">
        <v>725</v>
      </c>
      <c r="C727" s="328" t="s">
        <v>1501</v>
      </c>
      <c r="D727" s="329" t="s">
        <v>2687</v>
      </c>
      <c r="E727" s="330" t="s">
        <v>342</v>
      </c>
      <c r="F727" s="332" t="s">
        <v>343</v>
      </c>
      <c r="G727" s="277">
        <v>0</v>
      </c>
      <c r="H727" s="331">
        <v>10</v>
      </c>
      <c r="I727" s="328">
        <v>0</v>
      </c>
      <c r="J727" s="331">
        <v>0</v>
      </c>
      <c r="K727" s="331">
        <v>0</v>
      </c>
      <c r="L727" s="331" t="s">
        <v>861</v>
      </c>
      <c r="M727" s="331">
        <v>1</v>
      </c>
      <c r="N727" s="331" t="s">
        <v>1660</v>
      </c>
      <c r="O727" s="331">
        <v>0</v>
      </c>
      <c r="P727" s="328">
        <v>1</v>
      </c>
      <c r="Q727" s="331">
        <v>0</v>
      </c>
      <c r="R727" s="331">
        <v>2</v>
      </c>
      <c r="S727" s="331">
        <v>0</v>
      </c>
      <c r="T727" s="331"/>
      <c r="V727" s="327" t="str">
        <f t="shared" si="112"/>
        <v>10</v>
      </c>
      <c r="W727" s="327" t="str">
        <f t="shared" si="113"/>
        <v>0</v>
      </c>
      <c r="X727" s="327" t="str">
        <f t="shared" si="114"/>
        <v>0</v>
      </c>
      <c r="Y727" s="327">
        <f t="shared" si="115"/>
        <v>0</v>
      </c>
      <c r="Z727" s="327">
        <f t="shared" si="116"/>
        <v>1</v>
      </c>
      <c r="AA727" s="327">
        <f t="shared" si="117"/>
        <v>0</v>
      </c>
      <c r="AB727" s="327" t="str">
        <f t="shared" si="120"/>
        <v>10</v>
      </c>
      <c r="AC727" s="327">
        <f t="shared" si="118"/>
        <v>0</v>
      </c>
      <c r="AD727" s="327">
        <v>0</v>
      </c>
      <c r="AE727" s="327" t="str">
        <f t="shared" si="119"/>
        <v>520A</v>
      </c>
    </row>
    <row r="728" spans="1:31" x14ac:dyDescent="0.15">
      <c r="A728" s="42" t="str">
        <f t="shared" si="111"/>
        <v>0</v>
      </c>
      <c r="B728" s="43">
        <v>726</v>
      </c>
      <c r="C728" s="38" t="s">
        <v>1502</v>
      </c>
      <c r="D728" s="50" t="s">
        <v>1132</v>
      </c>
      <c r="E728" s="51" t="s">
        <v>344</v>
      </c>
      <c r="F728" s="69" t="s">
        <v>1022</v>
      </c>
      <c r="G728" s="52">
        <v>0</v>
      </c>
      <c r="H728" s="53">
        <v>60000</v>
      </c>
      <c r="I728" s="38">
        <v>0</v>
      </c>
      <c r="J728" s="53">
        <v>0</v>
      </c>
      <c r="K728" s="53">
        <v>0</v>
      </c>
      <c r="L728" s="53" t="s">
        <v>861</v>
      </c>
      <c r="M728" s="53">
        <v>0.01</v>
      </c>
      <c r="N728" s="53" t="s">
        <v>1648</v>
      </c>
      <c r="O728" s="53">
        <v>0</v>
      </c>
      <c r="P728" s="38">
        <v>1</v>
      </c>
      <c r="Q728" s="53">
        <v>0</v>
      </c>
      <c r="R728" s="53">
        <v>5</v>
      </c>
      <c r="S728" s="53">
        <v>0</v>
      </c>
      <c r="T728" s="53"/>
      <c r="V728" s="49" t="str">
        <f t="shared" si="112"/>
        <v>10</v>
      </c>
      <c r="W728" s="49" t="str">
        <f t="shared" si="113"/>
        <v>10</v>
      </c>
      <c r="X728" s="49" t="str">
        <f t="shared" si="114"/>
        <v>0</v>
      </c>
      <c r="Y728" s="49">
        <f t="shared" si="115"/>
        <v>0</v>
      </c>
      <c r="Z728" s="49">
        <f t="shared" si="116"/>
        <v>1</v>
      </c>
      <c r="AA728" s="49">
        <f t="shared" si="117"/>
        <v>0</v>
      </c>
      <c r="AB728" s="49" t="str">
        <f t="shared" si="120"/>
        <v>101</v>
      </c>
      <c r="AC728" s="49">
        <f t="shared" si="118"/>
        <v>0</v>
      </c>
      <c r="AD728" s="49">
        <v>0</v>
      </c>
      <c r="AE728" s="49" t="str">
        <f t="shared" si="119"/>
        <v>32A32</v>
      </c>
    </row>
    <row r="729" spans="1:31" s="327" customFormat="1" x14ac:dyDescent="0.15">
      <c r="A729" s="318" t="str">
        <f t="shared" si="111"/>
        <v>0</v>
      </c>
      <c r="B729" s="319">
        <v>727</v>
      </c>
      <c r="C729" s="328" t="s">
        <v>1503</v>
      </c>
      <c r="D729" s="329" t="s">
        <v>2687</v>
      </c>
      <c r="E729" s="330" t="s">
        <v>345</v>
      </c>
      <c r="F729" s="358" t="s">
        <v>2835</v>
      </c>
      <c r="G729" s="277">
        <v>0</v>
      </c>
      <c r="H729" s="331">
        <v>60000</v>
      </c>
      <c r="I729" s="328">
        <v>0</v>
      </c>
      <c r="J729" s="331">
        <v>0</v>
      </c>
      <c r="K729" s="331">
        <v>0</v>
      </c>
      <c r="L729" s="331" t="s">
        <v>861</v>
      </c>
      <c r="M729" s="331">
        <v>0.01</v>
      </c>
      <c r="N729" s="331" t="s">
        <v>1648</v>
      </c>
      <c r="O729" s="331">
        <v>0</v>
      </c>
      <c r="P729" s="328">
        <v>1</v>
      </c>
      <c r="Q729" s="331">
        <v>0</v>
      </c>
      <c r="R729" s="331">
        <v>5</v>
      </c>
      <c r="S729" s="331">
        <v>0</v>
      </c>
      <c r="T729" s="331"/>
      <c r="V729" s="327" t="str">
        <f t="shared" si="112"/>
        <v>10</v>
      </c>
      <c r="W729" s="327" t="str">
        <f t="shared" si="113"/>
        <v>10</v>
      </c>
      <c r="X729" s="327" t="str">
        <f t="shared" si="114"/>
        <v>0</v>
      </c>
      <c r="Y729" s="327">
        <f t="shared" si="115"/>
        <v>0</v>
      </c>
      <c r="Z729" s="327">
        <f t="shared" si="116"/>
        <v>1</v>
      </c>
      <c r="AA729" s="327">
        <f t="shared" si="117"/>
        <v>0</v>
      </c>
      <c r="AB729" s="327" t="str">
        <f t="shared" si="120"/>
        <v>101</v>
      </c>
      <c r="AC729" s="327">
        <f t="shared" si="118"/>
        <v>0</v>
      </c>
      <c r="AD729" s="327">
        <v>0</v>
      </c>
      <c r="AE729" s="327" t="str">
        <f t="shared" si="119"/>
        <v>32A32</v>
      </c>
    </row>
    <row r="730" spans="1:31" s="327" customFormat="1" ht="112.5" x14ac:dyDescent="0.15">
      <c r="A730" s="318" t="str">
        <f t="shared" si="111"/>
        <v>0</v>
      </c>
      <c r="B730" s="319">
        <v>728</v>
      </c>
      <c r="C730" s="328" t="s">
        <v>1504</v>
      </c>
      <c r="D730" s="329" t="s">
        <v>2848</v>
      </c>
      <c r="E730" s="330" t="s">
        <v>346</v>
      </c>
      <c r="F730" s="332" t="s">
        <v>347</v>
      </c>
      <c r="G730" s="277">
        <v>0</v>
      </c>
      <c r="H730" s="331">
        <v>22</v>
      </c>
      <c r="I730" s="328">
        <v>0</v>
      </c>
      <c r="J730" s="331">
        <v>0</v>
      </c>
      <c r="K730" s="331">
        <v>0</v>
      </c>
      <c r="L730" s="331" t="s">
        <v>861</v>
      </c>
      <c r="M730" s="331">
        <v>1</v>
      </c>
      <c r="N730" s="331" t="s">
        <v>1660</v>
      </c>
      <c r="O730" s="331">
        <v>1</v>
      </c>
      <c r="P730" s="328">
        <v>1</v>
      </c>
      <c r="Q730" s="331">
        <v>0</v>
      </c>
      <c r="R730" s="331">
        <v>2</v>
      </c>
      <c r="S730" s="331">
        <v>0</v>
      </c>
      <c r="T730" s="331" t="s">
        <v>1133</v>
      </c>
      <c r="V730" s="327" t="str">
        <f t="shared" si="112"/>
        <v>10</v>
      </c>
      <c r="W730" s="327" t="str">
        <f t="shared" si="113"/>
        <v>0</v>
      </c>
      <c r="X730" s="327" t="str">
        <f t="shared" si="114"/>
        <v>0</v>
      </c>
      <c r="Y730" s="327">
        <f t="shared" si="115"/>
        <v>1</v>
      </c>
      <c r="Z730" s="327">
        <f t="shared" si="116"/>
        <v>1</v>
      </c>
      <c r="AA730" s="327">
        <f t="shared" si="117"/>
        <v>0</v>
      </c>
      <c r="AB730" s="327" t="str">
        <f t="shared" si="120"/>
        <v>10</v>
      </c>
      <c r="AC730" s="327">
        <f t="shared" si="118"/>
        <v>0</v>
      </c>
      <c r="AD730" s="327">
        <v>0</v>
      </c>
      <c r="AE730" s="327" t="str">
        <f t="shared" si="119"/>
        <v>530A</v>
      </c>
    </row>
    <row r="731" spans="1:31" x14ac:dyDescent="0.15">
      <c r="A731" s="42" t="str">
        <f t="shared" si="111"/>
        <v>0</v>
      </c>
      <c r="B731" s="43">
        <v>729</v>
      </c>
      <c r="C731" s="38" t="s">
        <v>1505</v>
      </c>
      <c r="D731" s="50" t="s">
        <v>1134</v>
      </c>
      <c r="E731" s="51" t="s">
        <v>348</v>
      </c>
      <c r="F731" s="69" t="s">
        <v>1058</v>
      </c>
      <c r="G731" s="52">
        <v>0</v>
      </c>
      <c r="H731" s="53">
        <v>1000</v>
      </c>
      <c r="I731" s="38">
        <v>0</v>
      </c>
      <c r="J731" s="53">
        <v>0</v>
      </c>
      <c r="K731" s="53">
        <v>0</v>
      </c>
      <c r="L731" s="53" t="s">
        <v>861</v>
      </c>
      <c r="M731" s="53">
        <v>0.01</v>
      </c>
      <c r="N731" s="53" t="s">
        <v>1879</v>
      </c>
      <c r="O731" s="53">
        <v>0</v>
      </c>
      <c r="P731" s="38">
        <v>1</v>
      </c>
      <c r="Q731" s="53">
        <v>0</v>
      </c>
      <c r="R731" s="53">
        <v>4</v>
      </c>
      <c r="S731" s="53">
        <v>0</v>
      </c>
      <c r="T731" s="53"/>
      <c r="V731" s="49" t="str">
        <f t="shared" si="112"/>
        <v>10</v>
      </c>
      <c r="W731" s="49" t="str">
        <f t="shared" si="113"/>
        <v>10</v>
      </c>
      <c r="X731" s="49" t="str">
        <f t="shared" si="114"/>
        <v>0</v>
      </c>
      <c r="Y731" s="49">
        <f t="shared" si="115"/>
        <v>0</v>
      </c>
      <c r="Z731" s="49">
        <f t="shared" si="116"/>
        <v>1</v>
      </c>
      <c r="AA731" s="49">
        <f t="shared" si="117"/>
        <v>0</v>
      </c>
      <c r="AB731" s="49" t="str">
        <f t="shared" si="120"/>
        <v>100</v>
      </c>
      <c r="AC731" s="49">
        <f t="shared" si="118"/>
        <v>0</v>
      </c>
      <c r="AD731" s="49">
        <v>0</v>
      </c>
      <c r="AE731" s="49" t="str">
        <f t="shared" si="119"/>
        <v>32232</v>
      </c>
    </row>
    <row r="732" spans="1:31" x14ac:dyDescent="0.15">
      <c r="A732" s="42" t="str">
        <f t="shared" si="111"/>
        <v>0</v>
      </c>
      <c r="B732" s="43">
        <v>730</v>
      </c>
      <c r="C732" s="38" t="s">
        <v>1506</v>
      </c>
      <c r="D732" s="50" t="s">
        <v>1135</v>
      </c>
      <c r="E732" s="51" t="s">
        <v>1136</v>
      </c>
      <c r="F732" s="69" t="s">
        <v>1058</v>
      </c>
      <c r="G732" s="52">
        <v>0</v>
      </c>
      <c r="H732" s="53">
        <v>1000</v>
      </c>
      <c r="I732" s="38">
        <v>0</v>
      </c>
      <c r="J732" s="53">
        <v>0</v>
      </c>
      <c r="K732" s="53">
        <v>0</v>
      </c>
      <c r="L732" s="53" t="s">
        <v>861</v>
      </c>
      <c r="M732" s="53">
        <v>0.01</v>
      </c>
      <c r="N732" s="53" t="s">
        <v>1879</v>
      </c>
      <c r="O732" s="53">
        <v>0</v>
      </c>
      <c r="P732" s="38">
        <v>1</v>
      </c>
      <c r="Q732" s="53">
        <v>0</v>
      </c>
      <c r="R732" s="53">
        <v>4</v>
      </c>
      <c r="S732" s="53">
        <v>0</v>
      </c>
      <c r="T732" s="53"/>
      <c r="V732" s="49" t="str">
        <f t="shared" si="112"/>
        <v>10</v>
      </c>
      <c r="W732" s="49" t="str">
        <f t="shared" si="113"/>
        <v>10</v>
      </c>
      <c r="X732" s="49" t="str">
        <f t="shared" si="114"/>
        <v>0</v>
      </c>
      <c r="Y732" s="49">
        <f t="shared" si="115"/>
        <v>0</v>
      </c>
      <c r="Z732" s="49">
        <f t="shared" si="116"/>
        <v>1</v>
      </c>
      <c r="AA732" s="49">
        <f t="shared" si="117"/>
        <v>0</v>
      </c>
      <c r="AB732" s="49" t="str">
        <f t="shared" si="120"/>
        <v>100</v>
      </c>
      <c r="AC732" s="49">
        <f t="shared" si="118"/>
        <v>0</v>
      </c>
      <c r="AD732" s="49">
        <v>0</v>
      </c>
      <c r="AE732" s="49" t="str">
        <f t="shared" si="119"/>
        <v>32232</v>
      </c>
    </row>
    <row r="733" spans="1:31" s="387" customFormat="1" x14ac:dyDescent="0.15">
      <c r="A733" s="382" t="str">
        <f t="shared" si="111"/>
        <v>0</v>
      </c>
      <c r="B733" s="383">
        <v>731</v>
      </c>
      <c r="C733" s="384" t="s">
        <v>1507</v>
      </c>
      <c r="D733" s="312" t="s">
        <v>2873</v>
      </c>
      <c r="E733" s="262" t="s">
        <v>349</v>
      </c>
      <c r="F733" s="385" t="s">
        <v>2874</v>
      </c>
      <c r="G733" s="386">
        <v>0</v>
      </c>
      <c r="H733" s="313">
        <v>1000</v>
      </c>
      <c r="I733" s="384">
        <v>0</v>
      </c>
      <c r="J733" s="313">
        <v>0</v>
      </c>
      <c r="K733" s="313">
        <v>0</v>
      </c>
      <c r="L733" s="313" t="s">
        <v>861</v>
      </c>
      <c r="M733" s="313">
        <v>0.01</v>
      </c>
      <c r="N733" s="313" t="s">
        <v>1879</v>
      </c>
      <c r="O733" s="313">
        <v>0</v>
      </c>
      <c r="P733" s="384">
        <v>1</v>
      </c>
      <c r="Q733" s="313">
        <v>0</v>
      </c>
      <c r="R733" s="313">
        <v>4</v>
      </c>
      <c r="S733" s="313">
        <v>1</v>
      </c>
      <c r="T733" s="313"/>
      <c r="V733" s="387" t="str">
        <f t="shared" si="112"/>
        <v>10</v>
      </c>
      <c r="W733" s="387" t="str">
        <f t="shared" si="113"/>
        <v>10</v>
      </c>
      <c r="X733" s="387" t="str">
        <f t="shared" si="114"/>
        <v>0</v>
      </c>
      <c r="Y733" s="387">
        <f t="shared" si="115"/>
        <v>0</v>
      </c>
      <c r="Z733" s="387">
        <f t="shared" si="116"/>
        <v>1</v>
      </c>
      <c r="AA733" s="387">
        <f t="shared" si="117"/>
        <v>0</v>
      </c>
      <c r="AB733" s="387" t="str">
        <f t="shared" si="120"/>
        <v>100</v>
      </c>
      <c r="AC733" s="387">
        <f t="shared" si="118"/>
        <v>1</v>
      </c>
      <c r="AD733" s="387">
        <v>0</v>
      </c>
      <c r="AE733" s="387" t="str">
        <f t="shared" si="119"/>
        <v>36232</v>
      </c>
    </row>
    <row r="734" spans="1:31" s="327" customFormat="1" x14ac:dyDescent="0.15">
      <c r="A734" s="318" t="str">
        <f t="shared" si="111"/>
        <v>0</v>
      </c>
      <c r="B734" s="319">
        <v>732</v>
      </c>
      <c r="C734" s="328" t="s">
        <v>1508</v>
      </c>
      <c r="D734" s="329" t="s">
        <v>2687</v>
      </c>
      <c r="E734" s="330" t="s">
        <v>350</v>
      </c>
      <c r="F734" s="358" t="s">
        <v>2715</v>
      </c>
      <c r="G734" s="277">
        <v>0</v>
      </c>
      <c r="H734" s="331">
        <v>1000</v>
      </c>
      <c r="I734" s="328">
        <v>0</v>
      </c>
      <c r="J734" s="331">
        <v>0</v>
      </c>
      <c r="K734" s="331">
        <v>0</v>
      </c>
      <c r="L734" s="331" t="s">
        <v>861</v>
      </c>
      <c r="M734" s="331">
        <v>0.1</v>
      </c>
      <c r="N734" s="331" t="s">
        <v>1719</v>
      </c>
      <c r="O734" s="331">
        <v>0</v>
      </c>
      <c r="P734" s="328">
        <v>1</v>
      </c>
      <c r="Q734" s="331">
        <v>0</v>
      </c>
      <c r="R734" s="331">
        <v>4</v>
      </c>
      <c r="S734" s="331">
        <v>0</v>
      </c>
      <c r="T734" s="331"/>
      <c r="V734" s="327" t="str">
        <f t="shared" si="112"/>
        <v>10</v>
      </c>
      <c r="W734" s="327" t="str">
        <f t="shared" si="113"/>
        <v>1</v>
      </c>
      <c r="X734" s="327" t="e">
        <f t="shared" si="114"/>
        <v>#N/A</v>
      </c>
      <c r="Y734" s="327">
        <f t="shared" si="115"/>
        <v>0</v>
      </c>
      <c r="Z734" s="327">
        <f t="shared" si="116"/>
        <v>1</v>
      </c>
      <c r="AA734" s="327">
        <f t="shared" si="117"/>
        <v>0</v>
      </c>
      <c r="AB734" s="327" t="str">
        <f t="shared" si="120"/>
        <v>100</v>
      </c>
      <c r="AC734" s="327">
        <f t="shared" si="118"/>
        <v>0</v>
      </c>
      <c r="AD734" s="327">
        <v>0</v>
      </c>
      <c r="AE734" s="327" t="e">
        <f t="shared" si="119"/>
        <v>#N/A</v>
      </c>
    </row>
    <row r="735" spans="1:31" s="327" customFormat="1" ht="14.45" customHeight="1" x14ac:dyDescent="0.15">
      <c r="A735" s="318" t="str">
        <f t="shared" si="111"/>
        <v>0</v>
      </c>
      <c r="B735" s="319">
        <v>733</v>
      </c>
      <c r="C735" s="328" t="s">
        <v>1509</v>
      </c>
      <c r="D735" s="329" t="s">
        <v>2687</v>
      </c>
      <c r="E735" s="330" t="s">
        <v>351</v>
      </c>
      <c r="F735" s="358" t="s">
        <v>2715</v>
      </c>
      <c r="G735" s="277">
        <v>0</v>
      </c>
      <c r="H735" s="331">
        <v>1000</v>
      </c>
      <c r="I735" s="328">
        <v>0</v>
      </c>
      <c r="J735" s="331">
        <v>0</v>
      </c>
      <c r="K735" s="331">
        <v>0</v>
      </c>
      <c r="L735" s="331" t="s">
        <v>861</v>
      </c>
      <c r="M735" s="331">
        <v>0.1</v>
      </c>
      <c r="N735" s="331" t="s">
        <v>1719</v>
      </c>
      <c r="O735" s="331">
        <v>0</v>
      </c>
      <c r="P735" s="328">
        <v>1</v>
      </c>
      <c r="Q735" s="331">
        <v>0</v>
      </c>
      <c r="R735" s="331">
        <v>4</v>
      </c>
      <c r="S735" s="331">
        <v>0</v>
      </c>
      <c r="T735" s="331"/>
      <c r="V735" s="327" t="str">
        <f t="shared" si="112"/>
        <v>10</v>
      </c>
      <c r="W735" s="327" t="str">
        <f t="shared" si="113"/>
        <v>1</v>
      </c>
      <c r="X735" s="327" t="e">
        <f t="shared" si="114"/>
        <v>#N/A</v>
      </c>
      <c r="Y735" s="327">
        <f t="shared" si="115"/>
        <v>0</v>
      </c>
      <c r="Z735" s="327">
        <f t="shared" si="116"/>
        <v>1</v>
      </c>
      <c r="AA735" s="327">
        <f t="shared" si="117"/>
        <v>0</v>
      </c>
      <c r="AB735" s="327" t="str">
        <f t="shared" si="120"/>
        <v>100</v>
      </c>
      <c r="AC735" s="327">
        <f t="shared" si="118"/>
        <v>0</v>
      </c>
      <c r="AD735" s="327">
        <v>0</v>
      </c>
      <c r="AE735" s="327" t="e">
        <f t="shared" si="119"/>
        <v>#N/A</v>
      </c>
    </row>
    <row r="736" spans="1:31" s="327" customFormat="1" x14ac:dyDescent="0.15">
      <c r="A736" s="318" t="str">
        <f t="shared" si="111"/>
        <v>0</v>
      </c>
      <c r="B736" s="319">
        <v>734</v>
      </c>
      <c r="C736" s="328" t="s">
        <v>1510</v>
      </c>
      <c r="D736" s="329" t="s">
        <v>2688</v>
      </c>
      <c r="E736" s="330" t="s">
        <v>352</v>
      </c>
      <c r="F736" s="358" t="s">
        <v>2836</v>
      </c>
      <c r="G736" s="277">
        <v>0</v>
      </c>
      <c r="H736" s="331">
        <v>1000</v>
      </c>
      <c r="I736" s="328">
        <v>0</v>
      </c>
      <c r="J736" s="331">
        <v>0</v>
      </c>
      <c r="K736" s="331">
        <v>0</v>
      </c>
      <c r="L736" s="331" t="s">
        <v>861</v>
      </c>
      <c r="M736" s="331">
        <v>0.1</v>
      </c>
      <c r="N736" s="331" t="s">
        <v>1858</v>
      </c>
      <c r="O736" s="331">
        <v>0</v>
      </c>
      <c r="P736" s="328">
        <v>1</v>
      </c>
      <c r="Q736" s="331">
        <v>0</v>
      </c>
      <c r="R736" s="331">
        <v>4</v>
      </c>
      <c r="S736" s="331">
        <v>0</v>
      </c>
      <c r="T736" s="331"/>
      <c r="V736" s="327" t="str">
        <f t="shared" si="112"/>
        <v>10</v>
      </c>
      <c r="W736" s="327" t="str">
        <f t="shared" si="113"/>
        <v>1</v>
      </c>
      <c r="X736" s="327" t="str">
        <f t="shared" si="114"/>
        <v>0</v>
      </c>
      <c r="Y736" s="327">
        <f t="shared" si="115"/>
        <v>0</v>
      </c>
      <c r="Z736" s="327">
        <f t="shared" si="116"/>
        <v>1</v>
      </c>
      <c r="AA736" s="327">
        <f t="shared" si="117"/>
        <v>0</v>
      </c>
      <c r="AB736" s="327" t="str">
        <f t="shared" si="120"/>
        <v>100</v>
      </c>
      <c r="AC736" s="327">
        <f t="shared" si="118"/>
        <v>0</v>
      </c>
      <c r="AD736" s="327">
        <v>0</v>
      </c>
      <c r="AE736" s="327" t="str">
        <f t="shared" si="119"/>
        <v>3220E</v>
      </c>
    </row>
    <row r="737" spans="1:31" ht="123.75" x14ac:dyDescent="0.15">
      <c r="A737" s="42" t="str">
        <f t="shared" si="111"/>
        <v>0</v>
      </c>
      <c r="B737" s="43">
        <v>735</v>
      </c>
      <c r="C737" s="38" t="s">
        <v>1511</v>
      </c>
      <c r="D737" s="50" t="s">
        <v>1137</v>
      </c>
      <c r="E737" s="51" t="s">
        <v>353</v>
      </c>
      <c r="F737" s="54" t="s">
        <v>354</v>
      </c>
      <c r="G737" s="52">
        <v>0</v>
      </c>
      <c r="H737" s="53" t="s">
        <v>355</v>
      </c>
      <c r="I737" s="38">
        <v>0</v>
      </c>
      <c r="J737" s="53">
        <v>0</v>
      </c>
      <c r="K737" s="53">
        <v>0</v>
      </c>
      <c r="L737" s="53" t="s">
        <v>861</v>
      </c>
      <c r="M737" s="53">
        <v>1</v>
      </c>
      <c r="N737" s="53" t="s">
        <v>1660</v>
      </c>
      <c r="O737" s="53">
        <v>1</v>
      </c>
      <c r="P737" s="38">
        <v>1</v>
      </c>
      <c r="Q737" s="53">
        <v>0</v>
      </c>
      <c r="R737" s="53">
        <v>2</v>
      </c>
      <c r="S737" s="53">
        <v>0</v>
      </c>
      <c r="T737" s="53"/>
      <c r="V737" s="49" t="str">
        <f t="shared" si="112"/>
        <v>10</v>
      </c>
      <c r="W737" s="49" t="str">
        <f t="shared" si="113"/>
        <v>0</v>
      </c>
      <c r="X737" s="49" t="str">
        <f>DEC2BIN(15)</f>
        <v>1111</v>
      </c>
      <c r="Y737" s="49">
        <f t="shared" si="115"/>
        <v>1</v>
      </c>
      <c r="Z737" s="49">
        <f t="shared" si="116"/>
        <v>1</v>
      </c>
      <c r="AA737" s="49">
        <f t="shared" si="117"/>
        <v>0</v>
      </c>
      <c r="AB737" s="49" t="str">
        <f t="shared" si="120"/>
        <v>10</v>
      </c>
      <c r="AC737" s="49">
        <f t="shared" si="118"/>
        <v>0</v>
      </c>
      <c r="AD737" s="49">
        <v>0</v>
      </c>
      <c r="AE737" s="49" t="str">
        <f t="shared" si="119"/>
        <v>987A</v>
      </c>
    </row>
    <row r="738" spans="1:31" ht="123.75" x14ac:dyDescent="0.15">
      <c r="A738" s="42" t="str">
        <f t="shared" si="111"/>
        <v>0</v>
      </c>
      <c r="B738" s="43">
        <v>736</v>
      </c>
      <c r="C738" s="38" t="s">
        <v>1512</v>
      </c>
      <c r="D738" s="50" t="s">
        <v>1336</v>
      </c>
      <c r="E738" s="51" t="s">
        <v>356</v>
      </c>
      <c r="F738" s="54" t="s">
        <v>357</v>
      </c>
      <c r="G738" s="52">
        <v>0</v>
      </c>
      <c r="H738" s="53" t="s">
        <v>358</v>
      </c>
      <c r="I738" s="38">
        <v>0</v>
      </c>
      <c r="J738" s="53">
        <v>0</v>
      </c>
      <c r="K738" s="53">
        <v>0</v>
      </c>
      <c r="L738" s="53" t="s">
        <v>861</v>
      </c>
      <c r="M738" s="53">
        <v>1</v>
      </c>
      <c r="N738" s="53" t="s">
        <v>1660</v>
      </c>
      <c r="O738" s="53">
        <v>1</v>
      </c>
      <c r="P738" s="38">
        <v>1</v>
      </c>
      <c r="Q738" s="53">
        <v>0</v>
      </c>
      <c r="R738" s="53">
        <v>1</v>
      </c>
      <c r="S738" s="53">
        <v>0</v>
      </c>
      <c r="T738" s="53"/>
      <c r="V738" s="49" t="str">
        <f t="shared" si="112"/>
        <v>10</v>
      </c>
      <c r="W738" s="49" t="str">
        <f t="shared" si="113"/>
        <v>0</v>
      </c>
      <c r="X738" s="49" t="str">
        <f>DEC2BIN(15)</f>
        <v>1111</v>
      </c>
      <c r="Y738" s="49">
        <f t="shared" si="115"/>
        <v>1</v>
      </c>
      <c r="Z738" s="49">
        <f t="shared" si="116"/>
        <v>1</v>
      </c>
      <c r="AA738" s="49">
        <f t="shared" si="117"/>
        <v>0</v>
      </c>
      <c r="AB738" s="49" t="str">
        <f t="shared" si="120"/>
        <v>1</v>
      </c>
      <c r="AC738" s="49">
        <f t="shared" si="118"/>
        <v>0</v>
      </c>
      <c r="AD738" s="49">
        <v>0</v>
      </c>
      <c r="AE738" s="49" t="str">
        <f t="shared" si="119"/>
        <v>507A</v>
      </c>
    </row>
    <row r="739" spans="1:31" s="327" customFormat="1" x14ac:dyDescent="0.15">
      <c r="A739" s="318" t="str">
        <f t="shared" si="111"/>
        <v>0</v>
      </c>
      <c r="B739" s="319">
        <v>737</v>
      </c>
      <c r="C739" s="328" t="s">
        <v>1513</v>
      </c>
      <c r="D739" s="329" t="s">
        <v>2687</v>
      </c>
      <c r="E739" s="330" t="s">
        <v>359</v>
      </c>
      <c r="F739" s="358" t="s">
        <v>2715</v>
      </c>
      <c r="G739" s="277">
        <v>0</v>
      </c>
      <c r="H739" s="331">
        <v>1000</v>
      </c>
      <c r="I739" s="328">
        <v>0</v>
      </c>
      <c r="J739" s="331">
        <v>0</v>
      </c>
      <c r="K739" s="331">
        <v>0</v>
      </c>
      <c r="L739" s="331" t="s">
        <v>861</v>
      </c>
      <c r="M739" s="331">
        <v>0.1</v>
      </c>
      <c r="N739" s="331" t="s">
        <v>1719</v>
      </c>
      <c r="O739" s="331">
        <v>0</v>
      </c>
      <c r="P739" s="328">
        <v>1</v>
      </c>
      <c r="Q739" s="331">
        <v>0</v>
      </c>
      <c r="R739" s="331">
        <v>4</v>
      </c>
      <c r="S739" s="331">
        <v>0</v>
      </c>
      <c r="T739" s="331"/>
      <c r="V739" s="327" t="str">
        <f t="shared" si="112"/>
        <v>10</v>
      </c>
      <c r="W739" s="327" t="str">
        <f t="shared" si="113"/>
        <v>1</v>
      </c>
      <c r="X739" s="327" t="e">
        <f t="shared" si="114"/>
        <v>#N/A</v>
      </c>
      <c r="Y739" s="327">
        <f t="shared" si="115"/>
        <v>0</v>
      </c>
      <c r="Z739" s="327">
        <f t="shared" si="116"/>
        <v>1</v>
      </c>
      <c r="AA739" s="327">
        <f t="shared" si="117"/>
        <v>0</v>
      </c>
      <c r="AB739" s="327" t="str">
        <f t="shared" si="120"/>
        <v>100</v>
      </c>
      <c r="AC739" s="327">
        <f t="shared" si="118"/>
        <v>0</v>
      </c>
      <c r="AD739" s="327">
        <v>0</v>
      </c>
      <c r="AE739" s="327" t="e">
        <f t="shared" si="119"/>
        <v>#N/A</v>
      </c>
    </row>
    <row r="740" spans="1:31" s="327" customFormat="1" x14ac:dyDescent="0.15">
      <c r="A740" s="318" t="str">
        <f t="shared" si="111"/>
        <v>0</v>
      </c>
      <c r="B740" s="319">
        <v>738</v>
      </c>
      <c r="C740" s="328" t="s">
        <v>1514</v>
      </c>
      <c r="D740" s="329" t="s">
        <v>2687</v>
      </c>
      <c r="E740" s="330" t="s">
        <v>360</v>
      </c>
      <c r="F740" s="358" t="s">
        <v>2715</v>
      </c>
      <c r="G740" s="277">
        <v>0</v>
      </c>
      <c r="H740" s="331">
        <v>1000</v>
      </c>
      <c r="I740" s="328">
        <v>0</v>
      </c>
      <c r="J740" s="331">
        <v>0</v>
      </c>
      <c r="K740" s="331">
        <v>0</v>
      </c>
      <c r="L740" s="331" t="s">
        <v>861</v>
      </c>
      <c r="M740" s="331">
        <v>0.1</v>
      </c>
      <c r="N740" s="331" t="s">
        <v>1719</v>
      </c>
      <c r="O740" s="331">
        <v>0</v>
      </c>
      <c r="P740" s="328">
        <v>1</v>
      </c>
      <c r="Q740" s="331">
        <v>0</v>
      </c>
      <c r="R740" s="331">
        <v>4</v>
      </c>
      <c r="S740" s="331">
        <v>0</v>
      </c>
      <c r="T740" s="331"/>
      <c r="V740" s="327" t="str">
        <f t="shared" si="112"/>
        <v>10</v>
      </c>
      <c r="W740" s="327" t="str">
        <f t="shared" si="113"/>
        <v>1</v>
      </c>
      <c r="X740" s="327" t="e">
        <f t="shared" si="114"/>
        <v>#N/A</v>
      </c>
      <c r="Y740" s="327">
        <f t="shared" si="115"/>
        <v>0</v>
      </c>
      <c r="Z740" s="327">
        <f t="shared" si="116"/>
        <v>1</v>
      </c>
      <c r="AA740" s="327">
        <f t="shared" si="117"/>
        <v>0</v>
      </c>
      <c r="AB740" s="327" t="str">
        <f t="shared" si="120"/>
        <v>100</v>
      </c>
      <c r="AC740" s="327">
        <f t="shared" si="118"/>
        <v>0</v>
      </c>
      <c r="AD740" s="327">
        <v>0</v>
      </c>
      <c r="AE740" s="327" t="e">
        <f t="shared" si="119"/>
        <v>#N/A</v>
      </c>
    </row>
    <row r="741" spans="1:31" s="327" customFormat="1" x14ac:dyDescent="0.15">
      <c r="A741" s="318" t="str">
        <f t="shared" si="111"/>
        <v>0</v>
      </c>
      <c r="B741" s="319">
        <v>739</v>
      </c>
      <c r="C741" s="328" t="s">
        <v>1515</v>
      </c>
      <c r="D741" s="329" t="s">
        <v>2687</v>
      </c>
      <c r="E741" s="330" t="s">
        <v>361</v>
      </c>
      <c r="F741" s="364" t="s">
        <v>2837</v>
      </c>
      <c r="G741" s="277">
        <v>0</v>
      </c>
      <c r="H741" s="331">
        <v>1000</v>
      </c>
      <c r="I741" s="371" t="s">
        <v>362</v>
      </c>
      <c r="J741" s="331">
        <v>0</v>
      </c>
      <c r="K741" s="331">
        <v>0</v>
      </c>
      <c r="L741" s="331" t="s">
        <v>861</v>
      </c>
      <c r="M741" s="331">
        <v>0.1</v>
      </c>
      <c r="N741" s="331" t="s">
        <v>1719</v>
      </c>
      <c r="O741" s="331">
        <v>0</v>
      </c>
      <c r="P741" s="328">
        <v>1</v>
      </c>
      <c r="Q741" s="331">
        <v>0</v>
      </c>
      <c r="R741" s="331">
        <v>4</v>
      </c>
      <c r="S741" s="331">
        <v>1</v>
      </c>
      <c r="T741" s="331"/>
      <c r="V741" s="327" t="str">
        <f t="shared" si="112"/>
        <v>10</v>
      </c>
      <c r="W741" s="327" t="str">
        <f t="shared" si="113"/>
        <v>1</v>
      </c>
      <c r="X741" s="327" t="e">
        <f t="shared" si="114"/>
        <v>#N/A</v>
      </c>
      <c r="Y741" s="327">
        <f t="shared" si="115"/>
        <v>0</v>
      </c>
      <c r="Z741" s="327">
        <f t="shared" si="116"/>
        <v>1</v>
      </c>
      <c r="AA741" s="327">
        <f t="shared" si="117"/>
        <v>0</v>
      </c>
      <c r="AB741" s="327" t="str">
        <f t="shared" si="120"/>
        <v>100</v>
      </c>
      <c r="AC741" s="327">
        <f t="shared" si="118"/>
        <v>1</v>
      </c>
      <c r="AD741" s="327">
        <v>0</v>
      </c>
      <c r="AE741" s="327" t="e">
        <f t="shared" si="119"/>
        <v>#N/A</v>
      </c>
    </row>
    <row r="742" spans="1:31" s="327" customFormat="1" x14ac:dyDescent="0.15">
      <c r="A742" s="318" t="str">
        <f t="shared" si="111"/>
        <v>0</v>
      </c>
      <c r="B742" s="319">
        <v>740</v>
      </c>
      <c r="C742" s="328" t="s">
        <v>1516</v>
      </c>
      <c r="D742" s="329" t="s">
        <v>2687</v>
      </c>
      <c r="E742" s="330" t="s">
        <v>363</v>
      </c>
      <c r="F742" s="358" t="s">
        <v>2838</v>
      </c>
      <c r="G742" s="277">
        <v>0</v>
      </c>
      <c r="H742" s="331">
        <v>15</v>
      </c>
      <c r="I742" s="328">
        <v>0</v>
      </c>
      <c r="J742" s="331">
        <v>0</v>
      </c>
      <c r="K742" s="331">
        <v>0</v>
      </c>
      <c r="L742" s="331" t="s">
        <v>861</v>
      </c>
      <c r="M742" s="331">
        <v>1</v>
      </c>
      <c r="N742" s="331" t="s">
        <v>1660</v>
      </c>
      <c r="O742" s="331">
        <v>0</v>
      </c>
      <c r="P742" s="328">
        <v>1</v>
      </c>
      <c r="Q742" s="331">
        <v>0</v>
      </c>
      <c r="R742" s="331">
        <v>2</v>
      </c>
      <c r="S742" s="331">
        <v>0</v>
      </c>
      <c r="T742" s="331"/>
      <c r="V742" s="327" t="str">
        <f t="shared" si="112"/>
        <v>10</v>
      </c>
      <c r="W742" s="327" t="str">
        <f t="shared" si="113"/>
        <v>0</v>
      </c>
      <c r="X742" s="327" t="str">
        <f t="shared" si="114"/>
        <v>0</v>
      </c>
      <c r="Y742" s="327">
        <f t="shared" si="115"/>
        <v>0</v>
      </c>
      <c r="Z742" s="327">
        <f t="shared" si="116"/>
        <v>1</v>
      </c>
      <c r="AA742" s="327">
        <f t="shared" si="117"/>
        <v>0</v>
      </c>
      <c r="AB742" s="327" t="str">
        <f t="shared" si="120"/>
        <v>10</v>
      </c>
      <c r="AC742" s="327">
        <f t="shared" si="118"/>
        <v>0</v>
      </c>
      <c r="AD742" s="327">
        <v>0</v>
      </c>
      <c r="AE742" s="327" t="str">
        <f t="shared" si="119"/>
        <v>520A</v>
      </c>
    </row>
    <row r="743" spans="1:31" ht="23.25" customHeight="1" x14ac:dyDescent="0.15">
      <c r="A743" s="42" t="str">
        <f t="shared" si="111"/>
        <v>0</v>
      </c>
      <c r="B743" s="43">
        <v>741</v>
      </c>
      <c r="C743" s="38" t="s">
        <v>1517</v>
      </c>
      <c r="D743" s="50" t="s">
        <v>1138</v>
      </c>
      <c r="E743" s="51" t="s">
        <v>364</v>
      </c>
      <c r="F743" s="69" t="s">
        <v>365</v>
      </c>
      <c r="G743" s="52">
        <v>0</v>
      </c>
      <c r="H743" s="53">
        <v>1000</v>
      </c>
      <c r="I743" s="38">
        <v>0</v>
      </c>
      <c r="J743" s="53">
        <v>0</v>
      </c>
      <c r="K743" s="53">
        <v>0</v>
      </c>
      <c r="L743" s="53" t="s">
        <v>861</v>
      </c>
      <c r="M743" s="53">
        <v>0.1</v>
      </c>
      <c r="N743" s="53" t="s">
        <v>1719</v>
      </c>
      <c r="O743" s="53">
        <v>0</v>
      </c>
      <c r="P743" s="38">
        <v>1</v>
      </c>
      <c r="Q743" s="53">
        <v>0</v>
      </c>
      <c r="R743" s="53">
        <v>4</v>
      </c>
      <c r="S743" s="53">
        <v>0</v>
      </c>
      <c r="T743" s="53"/>
      <c r="V743" s="49" t="str">
        <f t="shared" si="112"/>
        <v>10</v>
      </c>
      <c r="W743" s="49" t="str">
        <f t="shared" si="113"/>
        <v>1</v>
      </c>
      <c r="X743" s="49" t="e">
        <f t="shared" si="114"/>
        <v>#N/A</v>
      </c>
      <c r="Y743" s="49">
        <f t="shared" si="115"/>
        <v>0</v>
      </c>
      <c r="Z743" s="49">
        <f t="shared" si="116"/>
        <v>1</v>
      </c>
      <c r="AA743" s="49">
        <f t="shared" si="117"/>
        <v>0</v>
      </c>
      <c r="AB743" s="49" t="str">
        <f t="shared" si="120"/>
        <v>100</v>
      </c>
      <c r="AC743" s="49">
        <f t="shared" si="118"/>
        <v>0</v>
      </c>
      <c r="AD743" s="49">
        <v>0</v>
      </c>
      <c r="AE743" s="49" t="e">
        <f t="shared" si="119"/>
        <v>#N/A</v>
      </c>
    </row>
    <row r="744" spans="1:31" ht="14.45" customHeight="1" x14ac:dyDescent="0.15">
      <c r="A744" s="42" t="str">
        <f t="shared" si="111"/>
        <v>0</v>
      </c>
      <c r="B744" s="43">
        <v>742</v>
      </c>
      <c r="C744" s="38" t="s">
        <v>1518</v>
      </c>
      <c r="D744" s="50" t="s">
        <v>1139</v>
      </c>
      <c r="E744" s="51" t="s">
        <v>366</v>
      </c>
      <c r="F744" s="69" t="s">
        <v>365</v>
      </c>
      <c r="G744" s="52">
        <v>0</v>
      </c>
      <c r="H744" s="53">
        <v>1000</v>
      </c>
      <c r="I744" s="38">
        <v>0</v>
      </c>
      <c r="J744" s="53">
        <v>0</v>
      </c>
      <c r="K744" s="53">
        <v>0</v>
      </c>
      <c r="L744" s="53" t="s">
        <v>861</v>
      </c>
      <c r="M744" s="53">
        <v>0.1</v>
      </c>
      <c r="N744" s="53" t="s">
        <v>1719</v>
      </c>
      <c r="O744" s="53">
        <v>0</v>
      </c>
      <c r="P744" s="38">
        <v>1</v>
      </c>
      <c r="Q744" s="53">
        <v>0</v>
      </c>
      <c r="R744" s="53">
        <v>4</v>
      </c>
      <c r="S744" s="53">
        <v>0</v>
      </c>
      <c r="T744" s="53"/>
      <c r="V744" s="49" t="str">
        <f t="shared" si="112"/>
        <v>10</v>
      </c>
      <c r="W744" s="49" t="str">
        <f t="shared" si="113"/>
        <v>1</v>
      </c>
      <c r="X744" s="49" t="e">
        <f t="shared" si="114"/>
        <v>#N/A</v>
      </c>
      <c r="Y744" s="49">
        <f t="shared" si="115"/>
        <v>0</v>
      </c>
      <c r="Z744" s="49">
        <f t="shared" si="116"/>
        <v>1</v>
      </c>
      <c r="AA744" s="49">
        <f t="shared" si="117"/>
        <v>0</v>
      </c>
      <c r="AB744" s="49" t="str">
        <f t="shared" si="120"/>
        <v>100</v>
      </c>
      <c r="AC744" s="49">
        <f t="shared" si="118"/>
        <v>0</v>
      </c>
      <c r="AD744" s="49">
        <v>0</v>
      </c>
      <c r="AE744" s="49" t="e">
        <f t="shared" si="119"/>
        <v>#N/A</v>
      </c>
    </row>
    <row r="745" spans="1:31" ht="14.45" customHeight="1" x14ac:dyDescent="0.15">
      <c r="A745" s="42" t="str">
        <f t="shared" si="111"/>
        <v>0</v>
      </c>
      <c r="B745" s="43">
        <v>743</v>
      </c>
      <c r="C745" s="38" t="s">
        <v>1519</v>
      </c>
      <c r="D745" s="144" t="s">
        <v>39</v>
      </c>
      <c r="E745" s="148" t="s">
        <v>40</v>
      </c>
      <c r="F745" s="149" t="s">
        <v>41</v>
      </c>
      <c r="G745" s="146">
        <v>0</v>
      </c>
      <c r="H745" s="147">
        <v>30000</v>
      </c>
      <c r="I745" s="143">
        <v>-30000</v>
      </c>
      <c r="J745" s="147">
        <v>0</v>
      </c>
      <c r="K745" s="147">
        <v>0</v>
      </c>
      <c r="L745" s="147" t="s">
        <v>861</v>
      </c>
      <c r="M745" s="147">
        <v>0.1</v>
      </c>
      <c r="N745" s="147" t="s">
        <v>42</v>
      </c>
      <c r="O745" s="147">
        <v>0</v>
      </c>
      <c r="P745" s="143">
        <v>1</v>
      </c>
      <c r="Q745" s="147">
        <v>0</v>
      </c>
      <c r="R745" s="147">
        <v>5</v>
      </c>
      <c r="S745" s="147">
        <v>1</v>
      </c>
      <c r="T745" s="53"/>
      <c r="V745" s="49" t="str">
        <f t="shared" si="112"/>
        <v>10</v>
      </c>
      <c r="W745" s="49" t="str">
        <f t="shared" si="113"/>
        <v>1</v>
      </c>
      <c r="X745" s="49" t="str">
        <f t="shared" si="114"/>
        <v>0</v>
      </c>
      <c r="Y745" s="49">
        <f t="shared" si="115"/>
        <v>0</v>
      </c>
      <c r="Z745" s="49">
        <f t="shared" si="116"/>
        <v>1</v>
      </c>
      <c r="AA745" s="49">
        <f t="shared" si="117"/>
        <v>0</v>
      </c>
      <c r="AB745" s="49" t="str">
        <f t="shared" si="120"/>
        <v>101</v>
      </c>
      <c r="AC745" s="49">
        <f t="shared" si="118"/>
        <v>1</v>
      </c>
      <c r="AD745" s="49">
        <v>0</v>
      </c>
      <c r="AE745" s="49" t="str">
        <f t="shared" si="119"/>
        <v>36A0E</v>
      </c>
    </row>
    <row r="746" spans="1:31" s="327" customFormat="1" x14ac:dyDescent="0.15">
      <c r="A746" s="318" t="str">
        <f t="shared" si="111"/>
        <v>0</v>
      </c>
      <c r="B746" s="319">
        <v>744</v>
      </c>
      <c r="C746" s="328" t="s">
        <v>1520</v>
      </c>
      <c r="D746" s="329" t="s">
        <v>2688</v>
      </c>
      <c r="E746" s="330" t="s">
        <v>2690</v>
      </c>
      <c r="F746" s="372" t="s">
        <v>2839</v>
      </c>
      <c r="G746" s="277">
        <v>0</v>
      </c>
      <c r="H746" s="331">
        <v>30000</v>
      </c>
      <c r="I746" s="328">
        <v>-30000</v>
      </c>
      <c r="J746" s="331">
        <v>0</v>
      </c>
      <c r="K746" s="331">
        <v>0</v>
      </c>
      <c r="L746" s="331" t="s">
        <v>861</v>
      </c>
      <c r="M746" s="331">
        <v>0.1</v>
      </c>
      <c r="N746" s="331" t="s">
        <v>42</v>
      </c>
      <c r="O746" s="331">
        <v>0</v>
      </c>
      <c r="P746" s="328">
        <v>1</v>
      </c>
      <c r="Q746" s="331">
        <v>0</v>
      </c>
      <c r="R746" s="331">
        <v>5</v>
      </c>
      <c r="S746" s="331">
        <v>1</v>
      </c>
      <c r="T746" s="331"/>
      <c r="V746" s="327" t="str">
        <f t="shared" si="112"/>
        <v>10</v>
      </c>
      <c r="W746" s="327" t="str">
        <f t="shared" si="113"/>
        <v>1</v>
      </c>
      <c r="X746" s="327" t="str">
        <f>DEC2BIN(15)</f>
        <v>1111</v>
      </c>
      <c r="Y746" s="327">
        <f t="shared" si="115"/>
        <v>0</v>
      </c>
      <c r="Z746" s="327">
        <f t="shared" si="116"/>
        <v>1</v>
      </c>
      <c r="AA746" s="327">
        <f t="shared" si="117"/>
        <v>0</v>
      </c>
      <c r="AB746" s="327" t="str">
        <f t="shared" si="120"/>
        <v>101</v>
      </c>
      <c r="AC746" s="327">
        <f t="shared" si="118"/>
        <v>1</v>
      </c>
      <c r="AD746" s="327">
        <v>0</v>
      </c>
      <c r="AE746" s="327" t="str">
        <f t="shared" si="119"/>
        <v>3AF7E</v>
      </c>
    </row>
    <row r="747" spans="1:31" ht="35.25" x14ac:dyDescent="0.15">
      <c r="A747" s="42" t="str">
        <f t="shared" si="111"/>
        <v>0</v>
      </c>
      <c r="B747" s="43">
        <v>745</v>
      </c>
      <c r="C747" s="38" t="s">
        <v>1521</v>
      </c>
      <c r="D747" s="144" t="s">
        <v>37</v>
      </c>
      <c r="E747" s="148" t="s">
        <v>43</v>
      </c>
      <c r="F747" s="145" t="s">
        <v>38</v>
      </c>
      <c r="G747" s="146">
        <v>0</v>
      </c>
      <c r="H747" s="147">
        <v>30000</v>
      </c>
      <c r="I747" s="143">
        <v>-30000</v>
      </c>
      <c r="J747" s="147">
        <v>0</v>
      </c>
      <c r="K747" s="147">
        <v>0</v>
      </c>
      <c r="L747" s="147" t="s">
        <v>861</v>
      </c>
      <c r="M747" s="147">
        <v>1</v>
      </c>
      <c r="N747" s="147" t="s">
        <v>44</v>
      </c>
      <c r="O747" s="147">
        <v>0</v>
      </c>
      <c r="P747" s="143">
        <v>1</v>
      </c>
      <c r="Q747" s="147">
        <v>0</v>
      </c>
      <c r="R747" s="147">
        <v>5</v>
      </c>
      <c r="S747" s="147">
        <v>1</v>
      </c>
      <c r="T747" s="53"/>
      <c r="V747" s="49" t="str">
        <f t="shared" si="112"/>
        <v>10</v>
      </c>
      <c r="W747" s="49" t="str">
        <f t="shared" si="113"/>
        <v>0</v>
      </c>
      <c r="X747" s="49" t="str">
        <f>DEC2BIN(15)</f>
        <v>1111</v>
      </c>
      <c r="Y747" s="49">
        <f t="shared" si="115"/>
        <v>0</v>
      </c>
      <c r="Z747" s="49">
        <f t="shared" si="116"/>
        <v>1</v>
      </c>
      <c r="AA747" s="49">
        <f t="shared" si="117"/>
        <v>0</v>
      </c>
      <c r="AB747" s="49" t="str">
        <f t="shared" si="120"/>
        <v>101</v>
      </c>
      <c r="AC747" s="49">
        <f t="shared" si="118"/>
        <v>1</v>
      </c>
      <c r="AD747" s="49">
        <v>0</v>
      </c>
      <c r="AE747" s="49" t="str">
        <f t="shared" si="119"/>
        <v>3AF7A</v>
      </c>
    </row>
    <row r="748" spans="1:31" x14ac:dyDescent="0.15">
      <c r="A748" s="42" t="str">
        <f t="shared" si="111"/>
        <v>0</v>
      </c>
      <c r="B748" s="43">
        <v>746</v>
      </c>
      <c r="C748" s="135" t="s">
        <v>30</v>
      </c>
      <c r="D748" s="144" t="s">
        <v>1140</v>
      </c>
      <c r="E748" s="148" t="s">
        <v>45</v>
      </c>
      <c r="F748" s="145" t="s">
        <v>46</v>
      </c>
      <c r="G748" s="146">
        <v>0</v>
      </c>
      <c r="H748" s="147">
        <v>3000</v>
      </c>
      <c r="I748" s="143">
        <v>-3000</v>
      </c>
      <c r="J748" s="147">
        <v>0</v>
      </c>
      <c r="K748" s="147">
        <v>0</v>
      </c>
      <c r="L748" s="147" t="s">
        <v>861</v>
      </c>
      <c r="M748" s="147">
        <v>0.1</v>
      </c>
      <c r="N748" s="147" t="s">
        <v>47</v>
      </c>
      <c r="O748" s="147">
        <v>0</v>
      </c>
      <c r="P748" s="143">
        <v>1</v>
      </c>
      <c r="Q748" s="147">
        <v>0</v>
      </c>
      <c r="R748" s="147">
        <v>4</v>
      </c>
      <c r="S748" s="147">
        <v>1</v>
      </c>
      <c r="T748" s="53"/>
      <c r="V748" s="49" t="str">
        <f t="shared" si="112"/>
        <v>10</v>
      </c>
      <c r="W748" s="49" t="str">
        <f t="shared" si="113"/>
        <v>1</v>
      </c>
      <c r="X748" s="49" t="e">
        <f t="shared" si="114"/>
        <v>#N/A</v>
      </c>
      <c r="Y748" s="49">
        <f t="shared" si="115"/>
        <v>0</v>
      </c>
      <c r="Z748" s="49">
        <f t="shared" si="116"/>
        <v>1</v>
      </c>
      <c r="AA748" s="49">
        <f t="shared" si="117"/>
        <v>0</v>
      </c>
      <c r="AB748" s="49" t="str">
        <f t="shared" si="120"/>
        <v>100</v>
      </c>
      <c r="AC748" s="49">
        <f t="shared" si="118"/>
        <v>1</v>
      </c>
      <c r="AD748" s="49">
        <v>0</v>
      </c>
      <c r="AE748" s="49" t="e">
        <f t="shared" si="119"/>
        <v>#N/A</v>
      </c>
    </row>
    <row r="749" spans="1:31" x14ac:dyDescent="0.15">
      <c r="A749" s="42" t="str">
        <f t="shared" si="111"/>
        <v>0</v>
      </c>
      <c r="B749" s="43">
        <v>747</v>
      </c>
      <c r="C749" s="38" t="s">
        <v>1522</v>
      </c>
      <c r="D749" s="144" t="s">
        <v>1141</v>
      </c>
      <c r="E749" s="148" t="s">
        <v>48</v>
      </c>
      <c r="F749" s="145" t="s">
        <v>1142</v>
      </c>
      <c r="G749" s="146">
        <v>0</v>
      </c>
      <c r="H749" s="147">
        <v>65535</v>
      </c>
      <c r="I749" s="143">
        <v>0</v>
      </c>
      <c r="J749" s="147">
        <v>0</v>
      </c>
      <c r="K749" s="147">
        <v>0</v>
      </c>
      <c r="L749" s="147" t="s">
        <v>861</v>
      </c>
      <c r="M749" s="147">
        <v>1</v>
      </c>
      <c r="N749" s="147" t="s">
        <v>49</v>
      </c>
      <c r="O749" s="147">
        <v>0</v>
      </c>
      <c r="P749" s="143">
        <v>1</v>
      </c>
      <c r="Q749" s="147">
        <v>0</v>
      </c>
      <c r="R749" s="147">
        <v>5</v>
      </c>
      <c r="S749" s="147">
        <v>0</v>
      </c>
      <c r="T749" s="53"/>
      <c r="V749" s="49" t="str">
        <f t="shared" si="112"/>
        <v>10</v>
      </c>
      <c r="W749" s="49" t="str">
        <f t="shared" si="113"/>
        <v>0</v>
      </c>
      <c r="X749" s="49" t="str">
        <f t="shared" si="114"/>
        <v>0</v>
      </c>
      <c r="Y749" s="49">
        <f t="shared" si="115"/>
        <v>0</v>
      </c>
      <c r="Z749" s="49">
        <f t="shared" si="116"/>
        <v>1</v>
      </c>
      <c r="AA749" s="49">
        <f t="shared" si="117"/>
        <v>0</v>
      </c>
      <c r="AB749" s="49" t="str">
        <f t="shared" si="120"/>
        <v>101</v>
      </c>
      <c r="AC749" s="49">
        <f t="shared" si="118"/>
        <v>0</v>
      </c>
      <c r="AD749" s="49">
        <v>0</v>
      </c>
      <c r="AE749" s="49" t="str">
        <f t="shared" si="119"/>
        <v>32A0A</v>
      </c>
    </row>
    <row r="750" spans="1:31" x14ac:dyDescent="0.15">
      <c r="A750" s="42" t="str">
        <f t="shared" si="111"/>
        <v>0</v>
      </c>
      <c r="B750" s="43">
        <v>748</v>
      </c>
      <c r="C750" s="38" t="s">
        <v>1523</v>
      </c>
      <c r="D750" s="50" t="s">
        <v>1143</v>
      </c>
      <c r="E750" s="51" t="s">
        <v>368</v>
      </c>
      <c r="F750" s="69" t="s">
        <v>1142</v>
      </c>
      <c r="G750" s="52">
        <v>0</v>
      </c>
      <c r="H750" s="53">
        <v>65535</v>
      </c>
      <c r="I750" s="38">
        <v>0</v>
      </c>
      <c r="J750" s="53">
        <v>0</v>
      </c>
      <c r="K750" s="53">
        <v>0</v>
      </c>
      <c r="L750" s="53" t="s">
        <v>861</v>
      </c>
      <c r="M750" s="53">
        <v>1</v>
      </c>
      <c r="N750" s="53" t="s">
        <v>367</v>
      </c>
      <c r="O750" s="53">
        <v>0</v>
      </c>
      <c r="P750" s="38">
        <v>1</v>
      </c>
      <c r="Q750" s="53">
        <v>0</v>
      </c>
      <c r="R750" s="53">
        <v>5</v>
      </c>
      <c r="S750" s="53">
        <v>0</v>
      </c>
      <c r="T750" s="53"/>
      <c r="V750" s="49" t="str">
        <f t="shared" si="112"/>
        <v>10</v>
      </c>
      <c r="W750" s="49" t="str">
        <f t="shared" si="113"/>
        <v>0</v>
      </c>
      <c r="X750" s="49" t="str">
        <f t="shared" si="114"/>
        <v>0</v>
      </c>
      <c r="Y750" s="49">
        <f t="shared" si="115"/>
        <v>0</v>
      </c>
      <c r="Z750" s="49">
        <f t="shared" si="116"/>
        <v>1</v>
      </c>
      <c r="AA750" s="49">
        <f t="shared" si="117"/>
        <v>0</v>
      </c>
      <c r="AB750" s="49" t="str">
        <f t="shared" si="120"/>
        <v>101</v>
      </c>
      <c r="AC750" s="49">
        <f t="shared" si="118"/>
        <v>0</v>
      </c>
      <c r="AD750" s="49">
        <v>0</v>
      </c>
      <c r="AE750" s="49" t="str">
        <f t="shared" si="119"/>
        <v>32A0A</v>
      </c>
    </row>
    <row r="751" spans="1:31" x14ac:dyDescent="0.15">
      <c r="A751" s="42" t="str">
        <f t="shared" si="111"/>
        <v>0</v>
      </c>
      <c r="B751" s="43">
        <v>749</v>
      </c>
      <c r="C751" s="38" t="s">
        <v>1524</v>
      </c>
      <c r="D751" s="312" t="s">
        <v>2664</v>
      </c>
      <c r="E751" s="262" t="s">
        <v>2662</v>
      </c>
      <c r="F751" s="80" t="s">
        <v>369</v>
      </c>
      <c r="G751" s="52">
        <v>0</v>
      </c>
      <c r="H751" s="53">
        <v>1000</v>
      </c>
      <c r="I751" s="79" t="s">
        <v>370</v>
      </c>
      <c r="J751" s="53">
        <v>0</v>
      </c>
      <c r="K751" s="53">
        <v>0</v>
      </c>
      <c r="L751" s="53" t="s">
        <v>861</v>
      </c>
      <c r="M751" s="53">
        <v>0.1</v>
      </c>
      <c r="N751" s="53" t="s">
        <v>863</v>
      </c>
      <c r="O751" s="53">
        <v>0</v>
      </c>
      <c r="P751" s="38">
        <v>1</v>
      </c>
      <c r="Q751" s="53">
        <v>0</v>
      </c>
      <c r="R751" s="53">
        <v>4</v>
      </c>
      <c r="S751" s="53">
        <v>1</v>
      </c>
      <c r="T751" s="53"/>
      <c r="V751" s="49" t="str">
        <f t="shared" si="112"/>
        <v>10</v>
      </c>
      <c r="W751" s="49" t="str">
        <f t="shared" si="113"/>
        <v>1</v>
      </c>
      <c r="X751" s="49" t="str">
        <f t="shared" si="114"/>
        <v>0</v>
      </c>
      <c r="Y751" s="49">
        <f t="shared" si="115"/>
        <v>0</v>
      </c>
      <c r="Z751" s="49">
        <f t="shared" si="116"/>
        <v>1</v>
      </c>
      <c r="AA751" s="49">
        <f t="shared" si="117"/>
        <v>0</v>
      </c>
      <c r="AB751" s="49" t="str">
        <f t="shared" si="120"/>
        <v>100</v>
      </c>
      <c r="AC751" s="49">
        <f t="shared" si="118"/>
        <v>1</v>
      </c>
      <c r="AD751" s="49">
        <v>0</v>
      </c>
      <c r="AE751" s="49" t="str">
        <f t="shared" si="119"/>
        <v>3620E</v>
      </c>
    </row>
    <row r="752" spans="1:31" x14ac:dyDescent="0.15">
      <c r="A752" s="42" t="str">
        <f t="shared" si="111"/>
        <v>0</v>
      </c>
      <c r="B752" s="43">
        <v>750</v>
      </c>
      <c r="C752" s="38" t="s">
        <v>1526</v>
      </c>
      <c r="D752" s="312" t="s">
        <v>2665</v>
      </c>
      <c r="E752" s="262" t="s">
        <v>2663</v>
      </c>
      <c r="F752" s="80" t="s">
        <v>369</v>
      </c>
      <c r="G752" s="52">
        <v>0</v>
      </c>
      <c r="H752" s="53">
        <v>1000</v>
      </c>
      <c r="I752" s="79" t="s">
        <v>370</v>
      </c>
      <c r="J752" s="53">
        <v>0</v>
      </c>
      <c r="K752" s="53">
        <v>0</v>
      </c>
      <c r="L752" s="53" t="s">
        <v>861</v>
      </c>
      <c r="M752" s="53">
        <v>0.1</v>
      </c>
      <c r="N752" s="53" t="s">
        <v>284</v>
      </c>
      <c r="O752" s="53">
        <v>0</v>
      </c>
      <c r="P752" s="38">
        <v>1</v>
      </c>
      <c r="Q752" s="53">
        <v>0</v>
      </c>
      <c r="R752" s="53">
        <v>4</v>
      </c>
      <c r="S752" s="53">
        <v>1</v>
      </c>
      <c r="T752" s="53"/>
      <c r="V752" s="49" t="str">
        <f t="shared" si="112"/>
        <v>10</v>
      </c>
      <c r="W752" s="49" t="str">
        <f t="shared" si="113"/>
        <v>1</v>
      </c>
      <c r="X752" s="49" t="str">
        <f t="shared" si="114"/>
        <v>0</v>
      </c>
      <c r="Y752" s="49">
        <f t="shared" si="115"/>
        <v>0</v>
      </c>
      <c r="Z752" s="49">
        <f t="shared" si="116"/>
        <v>1</v>
      </c>
      <c r="AA752" s="49">
        <f t="shared" si="117"/>
        <v>0</v>
      </c>
      <c r="AB752" s="49" t="str">
        <f t="shared" si="120"/>
        <v>100</v>
      </c>
      <c r="AC752" s="49">
        <f t="shared" si="118"/>
        <v>1</v>
      </c>
      <c r="AD752" s="49">
        <v>0</v>
      </c>
      <c r="AE752" s="49" t="str">
        <f t="shared" si="119"/>
        <v>3620E</v>
      </c>
    </row>
    <row r="753" spans="1:31" ht="67.5" x14ac:dyDescent="0.15">
      <c r="A753" s="42" t="str">
        <f t="shared" si="111"/>
        <v>0</v>
      </c>
      <c r="B753" s="43">
        <v>751</v>
      </c>
      <c r="C753" s="38" t="s">
        <v>1527</v>
      </c>
      <c r="D753" s="50" t="s">
        <v>371</v>
      </c>
      <c r="E753" s="51" t="s">
        <v>372</v>
      </c>
      <c r="F753" s="314" t="s">
        <v>2697</v>
      </c>
      <c r="G753" s="52">
        <v>0</v>
      </c>
      <c r="H753" s="53">
        <v>6</v>
      </c>
      <c r="I753" s="38">
        <v>0</v>
      </c>
      <c r="J753" s="53">
        <v>0</v>
      </c>
      <c r="K753" s="53">
        <v>0</v>
      </c>
      <c r="L753" s="53" t="s">
        <v>861</v>
      </c>
      <c r="M753" s="53">
        <v>1</v>
      </c>
      <c r="N753" s="53" t="s">
        <v>1660</v>
      </c>
      <c r="O753" s="53">
        <v>0</v>
      </c>
      <c r="P753" s="38">
        <v>1</v>
      </c>
      <c r="Q753" s="53">
        <v>0</v>
      </c>
      <c r="R753" s="53">
        <v>1</v>
      </c>
      <c r="S753" s="53">
        <v>0</v>
      </c>
      <c r="T753" s="53"/>
      <c r="V753" s="49" t="str">
        <f t="shared" si="112"/>
        <v>10</v>
      </c>
      <c r="W753" s="49" t="str">
        <f t="shared" si="113"/>
        <v>0</v>
      </c>
      <c r="X753" s="49" t="str">
        <f t="shared" si="114"/>
        <v>0</v>
      </c>
      <c r="Y753" s="49">
        <f t="shared" si="115"/>
        <v>0</v>
      </c>
      <c r="Z753" s="49">
        <f t="shared" si="116"/>
        <v>1</v>
      </c>
      <c r="AA753" s="49">
        <f t="shared" si="117"/>
        <v>0</v>
      </c>
      <c r="AB753" s="49" t="str">
        <f t="shared" si="120"/>
        <v>1</v>
      </c>
      <c r="AC753" s="49">
        <f t="shared" si="118"/>
        <v>0</v>
      </c>
      <c r="AD753" s="49">
        <v>0</v>
      </c>
      <c r="AE753" s="49" t="str">
        <f t="shared" si="119"/>
        <v>A0A</v>
      </c>
    </row>
    <row r="754" spans="1:31" s="327" customFormat="1" x14ac:dyDescent="0.15">
      <c r="A754" s="318" t="str">
        <f t="shared" si="111"/>
        <v>0</v>
      </c>
      <c r="B754" s="319">
        <v>752</v>
      </c>
      <c r="C754" s="328" t="s">
        <v>1528</v>
      </c>
      <c r="D754" s="329" t="s">
        <v>2845</v>
      </c>
      <c r="E754" s="330" t="s">
        <v>373</v>
      </c>
      <c r="F754" s="358" t="s">
        <v>1659</v>
      </c>
      <c r="G754" s="277">
        <v>0</v>
      </c>
      <c r="H754" s="331">
        <v>65535</v>
      </c>
      <c r="I754" s="328">
        <v>0</v>
      </c>
      <c r="J754" s="331">
        <v>0</v>
      </c>
      <c r="K754" s="331">
        <v>0</v>
      </c>
      <c r="L754" s="331" t="s">
        <v>861</v>
      </c>
      <c r="M754" s="331">
        <v>1</v>
      </c>
      <c r="N754" s="331" t="s">
        <v>1660</v>
      </c>
      <c r="O754" s="331">
        <v>0</v>
      </c>
      <c r="P754" s="328">
        <v>1</v>
      </c>
      <c r="Q754" s="331">
        <v>0</v>
      </c>
      <c r="R754" s="331">
        <v>5</v>
      </c>
      <c r="S754" s="331">
        <v>0</v>
      </c>
      <c r="T754" s="331"/>
      <c r="V754" s="327" t="str">
        <f t="shared" si="112"/>
        <v>10</v>
      </c>
      <c r="W754" s="327" t="str">
        <f t="shared" si="113"/>
        <v>0</v>
      </c>
      <c r="X754" s="327" t="str">
        <f t="shared" si="114"/>
        <v>0</v>
      </c>
      <c r="Y754" s="327">
        <f t="shared" si="115"/>
        <v>0</v>
      </c>
      <c r="Z754" s="327">
        <f t="shared" si="116"/>
        <v>1</v>
      </c>
      <c r="AA754" s="327">
        <f t="shared" si="117"/>
        <v>0</v>
      </c>
      <c r="AB754" s="327" t="str">
        <f t="shared" si="120"/>
        <v>101</v>
      </c>
      <c r="AC754" s="327">
        <f t="shared" si="118"/>
        <v>0</v>
      </c>
      <c r="AD754" s="327">
        <v>0</v>
      </c>
      <c r="AE754" s="327" t="str">
        <f t="shared" si="119"/>
        <v>32A0A</v>
      </c>
    </row>
    <row r="755" spans="1:31" s="327" customFormat="1" ht="14.45" customHeight="1" x14ac:dyDescent="0.15">
      <c r="A755" s="318" t="str">
        <f t="shared" si="111"/>
        <v>0</v>
      </c>
      <c r="B755" s="319">
        <v>753</v>
      </c>
      <c r="C755" s="328" t="s">
        <v>1529</v>
      </c>
      <c r="D755" s="329" t="s">
        <v>2845</v>
      </c>
      <c r="E755" s="330" t="s">
        <v>374</v>
      </c>
      <c r="F755" s="358" t="s">
        <v>375</v>
      </c>
      <c r="G755" s="277">
        <v>0</v>
      </c>
      <c r="H755" s="331">
        <v>1</v>
      </c>
      <c r="I755" s="328">
        <v>0</v>
      </c>
      <c r="J755" s="331">
        <v>0</v>
      </c>
      <c r="K755" s="331">
        <v>0</v>
      </c>
      <c r="L755" s="331" t="s">
        <v>861</v>
      </c>
      <c r="M755" s="331">
        <v>1</v>
      </c>
      <c r="N755" s="331" t="s">
        <v>1601</v>
      </c>
      <c r="O755" s="331">
        <v>0</v>
      </c>
      <c r="P755" s="328">
        <v>1</v>
      </c>
      <c r="Q755" s="331">
        <v>0</v>
      </c>
      <c r="R755" s="331">
        <v>1</v>
      </c>
      <c r="S755" s="331">
        <v>0</v>
      </c>
      <c r="T755" s="331"/>
      <c r="V755" s="327" t="str">
        <f t="shared" si="112"/>
        <v>10</v>
      </c>
      <c r="W755" s="327" t="str">
        <f t="shared" si="113"/>
        <v>0</v>
      </c>
      <c r="X755" s="327" t="str">
        <f>DEC2BIN(15)</f>
        <v>1111</v>
      </c>
      <c r="Y755" s="327">
        <f t="shared" si="115"/>
        <v>0</v>
      </c>
      <c r="Z755" s="327">
        <f t="shared" si="116"/>
        <v>1</v>
      </c>
      <c r="AA755" s="327">
        <f t="shared" si="117"/>
        <v>0</v>
      </c>
      <c r="AB755" s="327" t="str">
        <f t="shared" si="120"/>
        <v>1</v>
      </c>
      <c r="AC755" s="327">
        <f t="shared" si="118"/>
        <v>0</v>
      </c>
      <c r="AD755" s="327">
        <v>0</v>
      </c>
      <c r="AE755" s="327" t="str">
        <f t="shared" si="119"/>
        <v>4F7A</v>
      </c>
    </row>
    <row r="756" spans="1:31" s="327" customFormat="1" x14ac:dyDescent="0.15">
      <c r="A756" s="318" t="str">
        <f t="shared" si="111"/>
        <v>0</v>
      </c>
      <c r="B756" s="319">
        <v>754</v>
      </c>
      <c r="C756" s="328" t="s">
        <v>1530</v>
      </c>
      <c r="D756" s="329" t="s">
        <v>2845</v>
      </c>
      <c r="E756" s="330" t="s">
        <v>376</v>
      </c>
      <c r="F756" s="358" t="s">
        <v>377</v>
      </c>
      <c r="G756" s="277">
        <v>0</v>
      </c>
      <c r="H756" s="331">
        <v>100</v>
      </c>
      <c r="I756" s="328">
        <v>0</v>
      </c>
      <c r="J756" s="331">
        <v>0</v>
      </c>
      <c r="K756" s="331">
        <v>0</v>
      </c>
      <c r="L756" s="331" t="s">
        <v>861</v>
      </c>
      <c r="M756" s="331">
        <v>1</v>
      </c>
      <c r="N756" s="331" t="s">
        <v>1601</v>
      </c>
      <c r="O756" s="331">
        <v>0</v>
      </c>
      <c r="P756" s="328">
        <v>1</v>
      </c>
      <c r="Q756" s="331">
        <v>0</v>
      </c>
      <c r="R756" s="331">
        <v>3</v>
      </c>
      <c r="S756" s="331">
        <v>0</v>
      </c>
      <c r="T756" s="331"/>
      <c r="V756" s="327" t="str">
        <f t="shared" si="112"/>
        <v>10</v>
      </c>
      <c r="W756" s="327" t="str">
        <f t="shared" si="113"/>
        <v>0</v>
      </c>
      <c r="X756" s="327" t="str">
        <f>DEC2BIN(15)</f>
        <v>1111</v>
      </c>
      <c r="Y756" s="327">
        <f t="shared" si="115"/>
        <v>0</v>
      </c>
      <c r="Z756" s="327">
        <f t="shared" si="116"/>
        <v>1</v>
      </c>
      <c r="AA756" s="327">
        <f t="shared" si="117"/>
        <v>0</v>
      </c>
      <c r="AB756" s="327" t="str">
        <f t="shared" si="120"/>
        <v>11</v>
      </c>
      <c r="AC756" s="327">
        <f t="shared" si="118"/>
        <v>0</v>
      </c>
      <c r="AD756" s="327">
        <v>0</v>
      </c>
      <c r="AE756" s="327" t="str">
        <f t="shared" si="119"/>
        <v>9F7A</v>
      </c>
    </row>
    <row r="757" spans="1:31" x14ac:dyDescent="0.15">
      <c r="A757" s="42" t="str">
        <f t="shared" si="111"/>
        <v>0</v>
      </c>
      <c r="B757" s="43">
        <v>755</v>
      </c>
      <c r="C757" s="38" t="s">
        <v>1531</v>
      </c>
      <c r="D757" s="50" t="s">
        <v>378</v>
      </c>
      <c r="E757" s="51" t="s">
        <v>379</v>
      </c>
      <c r="F757" s="69" t="s">
        <v>380</v>
      </c>
      <c r="G757" s="52">
        <v>0</v>
      </c>
      <c r="H757" s="53">
        <v>65535</v>
      </c>
      <c r="I757" s="38">
        <v>0</v>
      </c>
      <c r="J757" s="53">
        <v>0</v>
      </c>
      <c r="K757" s="53">
        <v>0</v>
      </c>
      <c r="L757" s="53" t="s">
        <v>861</v>
      </c>
      <c r="M757" s="53">
        <v>0.1</v>
      </c>
      <c r="N757" s="53" t="s">
        <v>181</v>
      </c>
      <c r="O757" s="53">
        <v>0</v>
      </c>
      <c r="P757" s="38">
        <v>1</v>
      </c>
      <c r="Q757" s="53">
        <v>0</v>
      </c>
      <c r="R757" s="53">
        <v>5</v>
      </c>
      <c r="S757" s="53">
        <v>0</v>
      </c>
      <c r="T757" s="53"/>
      <c r="V757" s="49" t="str">
        <f t="shared" si="112"/>
        <v>10</v>
      </c>
      <c r="W757" s="49" t="str">
        <f t="shared" si="113"/>
        <v>1</v>
      </c>
      <c r="X757" s="49" t="str">
        <f t="shared" si="114"/>
        <v>0</v>
      </c>
      <c r="Y757" s="49">
        <f t="shared" si="115"/>
        <v>0</v>
      </c>
      <c r="Z757" s="49">
        <f t="shared" si="116"/>
        <v>1</v>
      </c>
      <c r="AA757" s="49">
        <f t="shared" si="117"/>
        <v>0</v>
      </c>
      <c r="AB757" s="49" t="str">
        <f t="shared" si="120"/>
        <v>101</v>
      </c>
      <c r="AC757" s="49">
        <f t="shared" si="118"/>
        <v>0</v>
      </c>
      <c r="AD757" s="49">
        <v>0</v>
      </c>
      <c r="AE757" s="49" t="str">
        <f t="shared" si="119"/>
        <v>32A0E</v>
      </c>
    </row>
    <row r="758" spans="1:31" ht="45" x14ac:dyDescent="0.15">
      <c r="A758" s="42" t="str">
        <f t="shared" si="111"/>
        <v>0</v>
      </c>
      <c r="B758" s="43">
        <v>756</v>
      </c>
      <c r="C758" s="38" t="s">
        <v>1532</v>
      </c>
      <c r="D758" s="50" t="s">
        <v>381</v>
      </c>
      <c r="E758" s="51" t="s">
        <v>382</v>
      </c>
      <c r="F758" s="314" t="s">
        <v>2858</v>
      </c>
      <c r="G758" s="52">
        <v>0</v>
      </c>
      <c r="H758" s="53">
        <v>3</v>
      </c>
      <c r="I758" s="38">
        <v>0</v>
      </c>
      <c r="J758" s="53">
        <v>0</v>
      </c>
      <c r="K758" s="53">
        <v>0</v>
      </c>
      <c r="L758" s="53" t="s">
        <v>861</v>
      </c>
      <c r="M758" s="53">
        <v>1</v>
      </c>
      <c r="N758" s="53" t="s">
        <v>1601</v>
      </c>
      <c r="O758" s="53">
        <v>0</v>
      </c>
      <c r="P758" s="38">
        <v>1</v>
      </c>
      <c r="Q758" s="53">
        <v>0</v>
      </c>
      <c r="R758" s="53">
        <v>1</v>
      </c>
      <c r="S758" s="53">
        <v>0</v>
      </c>
      <c r="T758" s="53"/>
      <c r="W758" s="49" t="str">
        <f t="shared" si="113"/>
        <v>0</v>
      </c>
    </row>
    <row r="759" spans="1:31" s="327" customFormat="1" x14ac:dyDescent="0.15">
      <c r="A759" s="318" t="str">
        <f t="shared" si="111"/>
        <v>0</v>
      </c>
      <c r="B759" s="319">
        <v>757</v>
      </c>
      <c r="C759" s="328" t="s">
        <v>1533</v>
      </c>
      <c r="D759" s="329" t="s">
        <v>2688</v>
      </c>
      <c r="E759" s="330" t="s">
        <v>383</v>
      </c>
      <c r="F759" s="330" t="s">
        <v>384</v>
      </c>
      <c r="G759" s="277">
        <v>0</v>
      </c>
      <c r="H759" s="331">
        <v>65</v>
      </c>
      <c r="I759" s="331">
        <v>0</v>
      </c>
      <c r="J759" s="331">
        <v>0</v>
      </c>
      <c r="K759" s="331">
        <v>0</v>
      </c>
      <c r="L759" s="331" t="s">
        <v>861</v>
      </c>
      <c r="M759" s="331">
        <v>1</v>
      </c>
      <c r="N759" s="331" t="s">
        <v>1601</v>
      </c>
      <c r="O759" s="331">
        <v>0</v>
      </c>
      <c r="P759" s="331">
        <v>0</v>
      </c>
      <c r="Q759" s="331">
        <v>1</v>
      </c>
      <c r="R759" s="331">
        <v>2</v>
      </c>
      <c r="S759" s="331">
        <v>0</v>
      </c>
      <c r="T759" s="331"/>
      <c r="W759" s="327" t="str">
        <f>IF(M759=1,DEC2BIN(0),IF(M759=0.1,DEC2BIN(1),IF(M759=0.01,DEC2BIN(2),DEC2BIN(3))))</f>
        <v>0</v>
      </c>
    </row>
    <row r="760" spans="1:31" s="327" customFormat="1" x14ac:dyDescent="0.15">
      <c r="A760" s="318" t="str">
        <f t="shared" si="111"/>
        <v>0</v>
      </c>
      <c r="B760" s="319">
        <v>758</v>
      </c>
      <c r="C760" s="328" t="s">
        <v>1534</v>
      </c>
      <c r="D760" s="329" t="s">
        <v>2688</v>
      </c>
      <c r="E760" s="330" t="s">
        <v>385</v>
      </c>
      <c r="F760" s="330" t="s">
        <v>285</v>
      </c>
      <c r="G760" s="277">
        <v>0</v>
      </c>
      <c r="H760" s="331">
        <v>65535</v>
      </c>
      <c r="I760" s="331">
        <v>0</v>
      </c>
      <c r="J760" s="331">
        <v>0</v>
      </c>
      <c r="K760" s="331">
        <v>0</v>
      </c>
      <c r="L760" s="331" t="s">
        <v>861</v>
      </c>
      <c r="M760" s="331">
        <v>1</v>
      </c>
      <c r="N760" s="331" t="s">
        <v>1601</v>
      </c>
      <c r="O760" s="331">
        <v>0</v>
      </c>
      <c r="P760" s="331">
        <v>0</v>
      </c>
      <c r="Q760" s="331">
        <v>1</v>
      </c>
      <c r="R760" s="331">
        <v>5</v>
      </c>
      <c r="S760" s="331">
        <v>0</v>
      </c>
      <c r="T760" s="331"/>
      <c r="V760" s="327" t="str">
        <f t="shared" si="112"/>
        <v>10</v>
      </c>
      <c r="W760" s="327" t="str">
        <f t="shared" si="113"/>
        <v>0</v>
      </c>
      <c r="X760" s="327" t="str">
        <f t="shared" si="114"/>
        <v>0</v>
      </c>
      <c r="Y760" s="327">
        <f t="shared" si="115"/>
        <v>0</v>
      </c>
      <c r="Z760" s="327">
        <f t="shared" si="116"/>
        <v>0</v>
      </c>
      <c r="AA760" s="327">
        <f t="shared" si="117"/>
        <v>1</v>
      </c>
      <c r="AB760" s="327" t="str">
        <f t="shared" si="120"/>
        <v>101</v>
      </c>
      <c r="AC760" s="327">
        <f t="shared" si="118"/>
        <v>0</v>
      </c>
      <c r="AD760" s="327">
        <v>0</v>
      </c>
      <c r="AE760" s="327" t="str">
        <f t="shared" si="119"/>
        <v>32C0A</v>
      </c>
    </row>
    <row r="761" spans="1:31" s="327" customFormat="1" x14ac:dyDescent="0.15">
      <c r="A761" s="318" t="str">
        <f t="shared" si="111"/>
        <v>0</v>
      </c>
      <c r="B761" s="319">
        <v>759</v>
      </c>
      <c r="C761" s="328" t="s">
        <v>1535</v>
      </c>
      <c r="D761" s="329" t="s">
        <v>2845</v>
      </c>
      <c r="E761" s="330" t="s">
        <v>386</v>
      </c>
      <c r="F761" s="358" t="s">
        <v>2840</v>
      </c>
      <c r="G761" s="277">
        <v>0</v>
      </c>
      <c r="H761" s="331">
        <v>1</v>
      </c>
      <c r="I761" s="328">
        <v>-1</v>
      </c>
      <c r="J761" s="331">
        <v>0</v>
      </c>
      <c r="K761" s="331">
        <v>0</v>
      </c>
      <c r="L761" s="331" t="s">
        <v>861</v>
      </c>
      <c r="M761" s="331">
        <v>1</v>
      </c>
      <c r="N761" s="331" t="s">
        <v>1601</v>
      </c>
      <c r="O761" s="331">
        <v>0</v>
      </c>
      <c r="P761" s="328">
        <v>1</v>
      </c>
      <c r="Q761" s="331">
        <v>0</v>
      </c>
      <c r="R761" s="331">
        <v>1</v>
      </c>
      <c r="S761" s="331">
        <v>1</v>
      </c>
      <c r="T761" s="331"/>
    </row>
    <row r="762" spans="1:31" s="327" customFormat="1" x14ac:dyDescent="0.15">
      <c r="A762" s="318" t="str">
        <f t="shared" si="111"/>
        <v>0</v>
      </c>
      <c r="B762" s="319">
        <v>760</v>
      </c>
      <c r="C762" s="328" t="s">
        <v>1536</v>
      </c>
      <c r="D762" s="329" t="s">
        <v>2845</v>
      </c>
      <c r="E762" s="330" t="s">
        <v>387</v>
      </c>
      <c r="F762" s="358" t="s">
        <v>2841</v>
      </c>
      <c r="G762" s="277">
        <v>0</v>
      </c>
      <c r="H762" s="331">
        <v>65535</v>
      </c>
      <c r="I762" s="328">
        <v>0</v>
      </c>
      <c r="J762" s="331">
        <v>0</v>
      </c>
      <c r="K762" s="331">
        <v>0</v>
      </c>
      <c r="L762" s="331" t="s">
        <v>861</v>
      </c>
      <c r="M762" s="331">
        <v>0.01</v>
      </c>
      <c r="N762" s="331" t="s">
        <v>1601</v>
      </c>
      <c r="O762" s="331">
        <v>0</v>
      </c>
      <c r="P762" s="328">
        <v>1</v>
      </c>
      <c r="Q762" s="331">
        <v>0</v>
      </c>
      <c r="R762" s="331">
        <v>5</v>
      </c>
      <c r="S762" s="331">
        <v>0</v>
      </c>
      <c r="T762" s="331"/>
    </row>
    <row r="763" spans="1:31" s="327" customFormat="1" x14ac:dyDescent="0.15">
      <c r="A763" s="318" t="str">
        <f t="shared" si="111"/>
        <v>0</v>
      </c>
      <c r="B763" s="319">
        <v>761</v>
      </c>
      <c r="C763" s="328" t="s">
        <v>1538</v>
      </c>
      <c r="D763" s="329" t="s">
        <v>2845</v>
      </c>
      <c r="E763" s="330" t="s">
        <v>388</v>
      </c>
      <c r="F763" s="358" t="s">
        <v>2840</v>
      </c>
      <c r="G763" s="277">
        <v>0</v>
      </c>
      <c r="H763" s="331">
        <v>1</v>
      </c>
      <c r="I763" s="328">
        <v>-1</v>
      </c>
      <c r="J763" s="331">
        <v>0</v>
      </c>
      <c r="K763" s="331">
        <v>0</v>
      </c>
      <c r="L763" s="331" t="s">
        <v>861</v>
      </c>
      <c r="M763" s="331">
        <v>1</v>
      </c>
      <c r="N763" s="331" t="s">
        <v>1601</v>
      </c>
      <c r="O763" s="331">
        <v>0</v>
      </c>
      <c r="P763" s="328">
        <v>1</v>
      </c>
      <c r="Q763" s="331">
        <v>0</v>
      </c>
      <c r="R763" s="331">
        <v>1</v>
      </c>
      <c r="S763" s="331">
        <v>1</v>
      </c>
      <c r="T763" s="331"/>
      <c r="V763" s="327" t="str">
        <f t="shared" si="112"/>
        <v>10</v>
      </c>
      <c r="W763" s="327" t="str">
        <f t="shared" si="113"/>
        <v>0</v>
      </c>
      <c r="X763" s="327" t="str">
        <f t="shared" si="114"/>
        <v>0</v>
      </c>
      <c r="Y763" s="327">
        <f t="shared" si="115"/>
        <v>0</v>
      </c>
      <c r="Z763" s="327">
        <f t="shared" si="116"/>
        <v>1</v>
      </c>
      <c r="AA763" s="327">
        <f t="shared" si="117"/>
        <v>0</v>
      </c>
      <c r="AB763" s="327" t="str">
        <f t="shared" si="120"/>
        <v>1</v>
      </c>
      <c r="AC763" s="327">
        <f t="shared" si="118"/>
        <v>1</v>
      </c>
      <c r="AD763" s="327">
        <v>0</v>
      </c>
      <c r="AE763" s="327" t="str">
        <f t="shared" si="119"/>
        <v>4A0A</v>
      </c>
    </row>
    <row r="764" spans="1:31" s="327" customFormat="1" ht="14.45" customHeight="1" x14ac:dyDescent="0.15">
      <c r="A764" s="318" t="str">
        <f t="shared" si="111"/>
        <v>0</v>
      </c>
      <c r="B764" s="319">
        <v>762</v>
      </c>
      <c r="C764" s="328" t="s">
        <v>1539</v>
      </c>
      <c r="D764" s="329" t="s">
        <v>2845</v>
      </c>
      <c r="E764" s="330" t="s">
        <v>389</v>
      </c>
      <c r="F764" s="358" t="s">
        <v>2842</v>
      </c>
      <c r="G764" s="277">
        <v>0</v>
      </c>
      <c r="H764" s="331">
        <v>65535</v>
      </c>
      <c r="I764" s="328">
        <v>0</v>
      </c>
      <c r="J764" s="331">
        <v>0</v>
      </c>
      <c r="K764" s="331">
        <v>0</v>
      </c>
      <c r="L764" s="331" t="s">
        <v>861</v>
      </c>
      <c r="M764" s="331">
        <v>0.01</v>
      </c>
      <c r="N764" s="331" t="s">
        <v>1601</v>
      </c>
      <c r="O764" s="331">
        <v>0</v>
      </c>
      <c r="P764" s="328">
        <v>1</v>
      </c>
      <c r="Q764" s="331">
        <v>0</v>
      </c>
      <c r="R764" s="331">
        <v>5</v>
      </c>
      <c r="S764" s="331">
        <v>0</v>
      </c>
      <c r="T764" s="331"/>
      <c r="V764" s="327" t="str">
        <f t="shared" si="112"/>
        <v>10</v>
      </c>
      <c r="W764" s="327" t="str">
        <f t="shared" si="113"/>
        <v>10</v>
      </c>
      <c r="X764" s="327" t="str">
        <f t="shared" si="114"/>
        <v>0</v>
      </c>
      <c r="Y764" s="327">
        <f t="shared" si="115"/>
        <v>0</v>
      </c>
      <c r="Z764" s="327">
        <f t="shared" si="116"/>
        <v>1</v>
      </c>
      <c r="AA764" s="327">
        <f t="shared" si="117"/>
        <v>0</v>
      </c>
      <c r="AB764" s="327" t="str">
        <f t="shared" si="120"/>
        <v>101</v>
      </c>
      <c r="AC764" s="327">
        <f t="shared" si="118"/>
        <v>0</v>
      </c>
      <c r="AD764" s="327">
        <v>0</v>
      </c>
      <c r="AE764" s="327" t="str">
        <f t="shared" si="119"/>
        <v>32A32</v>
      </c>
    </row>
    <row r="765" spans="1:31" s="327" customFormat="1" ht="14.45" customHeight="1" x14ac:dyDescent="0.15">
      <c r="A765" s="318" t="str">
        <f t="shared" si="111"/>
        <v>0</v>
      </c>
      <c r="B765" s="319">
        <v>763</v>
      </c>
      <c r="C765" s="328" t="s">
        <v>1540</v>
      </c>
      <c r="D765" s="329" t="s">
        <v>2687</v>
      </c>
      <c r="E765" s="330" t="s">
        <v>390</v>
      </c>
      <c r="F765" s="358" t="s">
        <v>2843</v>
      </c>
      <c r="G765" s="277">
        <v>0</v>
      </c>
      <c r="H765" s="331">
        <v>9999</v>
      </c>
      <c r="I765" s="328">
        <v>-9999</v>
      </c>
      <c r="J765" s="331">
        <v>0</v>
      </c>
      <c r="K765" s="331">
        <v>0</v>
      </c>
      <c r="L765" s="331" t="s">
        <v>861</v>
      </c>
      <c r="M765" s="331">
        <v>1</v>
      </c>
      <c r="N765" s="331" t="s">
        <v>1601</v>
      </c>
      <c r="O765" s="331">
        <v>0</v>
      </c>
      <c r="P765" s="328">
        <v>1</v>
      </c>
      <c r="Q765" s="331">
        <v>0</v>
      </c>
      <c r="R765" s="331">
        <v>4</v>
      </c>
      <c r="S765" s="331">
        <v>1</v>
      </c>
      <c r="T765" s="331"/>
      <c r="V765" s="327" t="str">
        <f t="shared" si="112"/>
        <v>10</v>
      </c>
      <c r="W765" s="327" t="str">
        <f t="shared" si="113"/>
        <v>0</v>
      </c>
      <c r="X765" s="327" t="str">
        <f t="shared" si="114"/>
        <v>0</v>
      </c>
      <c r="Y765" s="327">
        <f t="shared" si="115"/>
        <v>0</v>
      </c>
      <c r="Z765" s="327">
        <f t="shared" si="116"/>
        <v>1</v>
      </c>
      <c r="AA765" s="327">
        <f t="shared" si="117"/>
        <v>0</v>
      </c>
      <c r="AB765" s="327" t="str">
        <f t="shared" si="120"/>
        <v>100</v>
      </c>
      <c r="AC765" s="327">
        <f t="shared" si="118"/>
        <v>1</v>
      </c>
      <c r="AD765" s="327">
        <v>0</v>
      </c>
      <c r="AE765" s="327" t="str">
        <f t="shared" si="119"/>
        <v>3620A</v>
      </c>
    </row>
    <row r="766" spans="1:31" s="396" customFormat="1" ht="14.45" customHeight="1" x14ac:dyDescent="0.15">
      <c r="A766" s="388" t="str">
        <f t="shared" si="111"/>
        <v>0</v>
      </c>
      <c r="B766" s="389">
        <v>764</v>
      </c>
      <c r="C766" s="390" t="s">
        <v>2926</v>
      </c>
      <c r="D766" s="391" t="s">
        <v>2920</v>
      </c>
      <c r="E766" s="392" t="s">
        <v>2921</v>
      </c>
      <c r="F766" s="393" t="s">
        <v>2922</v>
      </c>
      <c r="G766" s="394">
        <v>0</v>
      </c>
      <c r="H766" s="395">
        <v>2000</v>
      </c>
      <c r="I766" s="390">
        <v>0</v>
      </c>
      <c r="J766" s="395">
        <v>0</v>
      </c>
      <c r="K766" s="395">
        <v>0</v>
      </c>
      <c r="L766" s="395" t="s">
        <v>861</v>
      </c>
      <c r="M766" s="395">
        <v>0.1</v>
      </c>
      <c r="N766" s="395" t="s">
        <v>1923</v>
      </c>
      <c r="O766" s="395">
        <v>0</v>
      </c>
      <c r="P766" s="390">
        <v>1</v>
      </c>
      <c r="Q766" s="395">
        <v>0</v>
      </c>
      <c r="R766" s="395">
        <v>4</v>
      </c>
      <c r="S766" s="395">
        <v>0</v>
      </c>
      <c r="T766" s="395"/>
      <c r="V766" s="396" t="str">
        <f t="shared" si="112"/>
        <v>10</v>
      </c>
      <c r="W766" s="396" t="str">
        <f t="shared" si="113"/>
        <v>1</v>
      </c>
      <c r="X766" s="396" t="str">
        <f t="shared" si="114"/>
        <v>0</v>
      </c>
      <c r="Y766" s="396">
        <f t="shared" si="115"/>
        <v>0</v>
      </c>
      <c r="Z766" s="396">
        <f t="shared" si="116"/>
        <v>1</v>
      </c>
      <c r="AA766" s="396">
        <f t="shared" si="117"/>
        <v>0</v>
      </c>
      <c r="AB766" s="396" t="str">
        <f t="shared" si="120"/>
        <v>100</v>
      </c>
      <c r="AC766" s="396">
        <f t="shared" si="118"/>
        <v>0</v>
      </c>
      <c r="AD766" s="396">
        <v>0</v>
      </c>
      <c r="AE766" s="396" t="str">
        <f t="shared" si="119"/>
        <v>3220E</v>
      </c>
    </row>
    <row r="767" spans="1:31" s="396" customFormat="1" ht="95.25" customHeight="1" x14ac:dyDescent="0.15">
      <c r="A767" s="388" t="str">
        <f t="shared" si="111"/>
        <v>0</v>
      </c>
      <c r="B767" s="389">
        <v>765</v>
      </c>
      <c r="C767" s="390" t="s">
        <v>1541</v>
      </c>
      <c r="D767" s="391" t="s">
        <v>2923</v>
      </c>
      <c r="E767" s="392" t="s">
        <v>2924</v>
      </c>
      <c r="F767" s="393" t="s">
        <v>2925</v>
      </c>
      <c r="G767" s="394">
        <v>0</v>
      </c>
      <c r="H767" s="395" t="s">
        <v>857</v>
      </c>
      <c r="I767" s="390">
        <v>0</v>
      </c>
      <c r="J767" s="395">
        <v>0</v>
      </c>
      <c r="K767" s="395">
        <v>0</v>
      </c>
      <c r="L767" s="395" t="s">
        <v>861</v>
      </c>
      <c r="M767" s="395">
        <v>1</v>
      </c>
      <c r="N767" s="395" t="s">
        <v>1910</v>
      </c>
      <c r="O767" s="395">
        <v>1</v>
      </c>
      <c r="P767" s="390">
        <v>1</v>
      </c>
      <c r="Q767" s="395">
        <v>0</v>
      </c>
      <c r="R767" s="395">
        <v>4</v>
      </c>
      <c r="S767" s="395">
        <v>0</v>
      </c>
      <c r="T767" s="395"/>
      <c r="V767" s="396" t="str">
        <f t="shared" si="112"/>
        <v>10</v>
      </c>
      <c r="W767" s="396" t="str">
        <f t="shared" si="113"/>
        <v>0</v>
      </c>
      <c r="X767" s="396" t="str">
        <f t="shared" si="114"/>
        <v>0</v>
      </c>
      <c r="Y767" s="396">
        <f t="shared" si="115"/>
        <v>1</v>
      </c>
      <c r="Z767" s="396">
        <f t="shared" si="116"/>
        <v>1</v>
      </c>
      <c r="AA767" s="396">
        <f t="shared" si="117"/>
        <v>0</v>
      </c>
      <c r="AB767" s="396" t="str">
        <f t="shared" si="120"/>
        <v>100</v>
      </c>
      <c r="AC767" s="396">
        <f t="shared" si="118"/>
        <v>0</v>
      </c>
      <c r="AD767" s="396">
        <v>0</v>
      </c>
      <c r="AE767" s="396" t="str">
        <f t="shared" si="119"/>
        <v>3230A</v>
      </c>
    </row>
    <row r="768" spans="1:31" s="396" customFormat="1" ht="14.45" customHeight="1" x14ac:dyDescent="0.15">
      <c r="A768" s="388" t="str">
        <f t="shared" si="111"/>
        <v>0</v>
      </c>
      <c r="B768" s="389">
        <v>766</v>
      </c>
      <c r="C768" s="390" t="s">
        <v>1542</v>
      </c>
      <c r="D768" s="391" t="s">
        <v>2902</v>
      </c>
      <c r="E768" s="392" t="s">
        <v>2903</v>
      </c>
      <c r="F768" s="393" t="s">
        <v>2904</v>
      </c>
      <c r="G768" s="394">
        <v>0</v>
      </c>
      <c r="H768" s="395">
        <v>65535</v>
      </c>
      <c r="I768" s="390">
        <v>0</v>
      </c>
      <c r="J768" s="395">
        <v>0</v>
      </c>
      <c r="K768" s="395">
        <v>0</v>
      </c>
      <c r="L768" s="395" t="s">
        <v>861</v>
      </c>
      <c r="M768" s="395">
        <v>1</v>
      </c>
      <c r="N768" s="395" t="s">
        <v>1910</v>
      </c>
      <c r="O768" s="395">
        <v>0</v>
      </c>
      <c r="P768" s="390">
        <v>0</v>
      </c>
      <c r="Q768" s="395">
        <v>1</v>
      </c>
      <c r="R768" s="395">
        <v>5</v>
      </c>
      <c r="S768" s="395">
        <v>0</v>
      </c>
      <c r="T768" s="395"/>
      <c r="V768" s="396" t="str">
        <f t="shared" si="112"/>
        <v>10</v>
      </c>
      <c r="W768" s="396" t="str">
        <f t="shared" si="113"/>
        <v>0</v>
      </c>
      <c r="X768" s="396" t="str">
        <f t="shared" si="114"/>
        <v>0</v>
      </c>
      <c r="Y768" s="396">
        <f t="shared" si="115"/>
        <v>0</v>
      </c>
      <c r="Z768" s="396">
        <f t="shared" si="116"/>
        <v>0</v>
      </c>
      <c r="AA768" s="396">
        <f t="shared" si="117"/>
        <v>1</v>
      </c>
      <c r="AB768" s="396" t="str">
        <f t="shared" si="120"/>
        <v>101</v>
      </c>
      <c r="AC768" s="396">
        <f t="shared" si="118"/>
        <v>0</v>
      </c>
      <c r="AD768" s="396">
        <v>0</v>
      </c>
      <c r="AE768" s="396" t="str">
        <f t="shared" si="119"/>
        <v>32C0A</v>
      </c>
    </row>
    <row r="769" spans="1:31" s="396" customFormat="1" ht="14.45" customHeight="1" x14ac:dyDescent="0.15">
      <c r="A769" s="388" t="str">
        <f t="shared" si="111"/>
        <v>0</v>
      </c>
      <c r="B769" s="389">
        <v>767</v>
      </c>
      <c r="C769" s="390" t="s">
        <v>1543</v>
      </c>
      <c r="D769" s="391" t="s">
        <v>2886</v>
      </c>
      <c r="E769" s="392" t="s">
        <v>2882</v>
      </c>
      <c r="F769" s="69" t="s">
        <v>1337</v>
      </c>
      <c r="G769" s="52">
        <v>0</v>
      </c>
      <c r="H769" s="53">
        <v>30000</v>
      </c>
      <c r="I769" s="38">
        <v>-30000</v>
      </c>
      <c r="J769" s="53">
        <v>0</v>
      </c>
      <c r="K769" s="53">
        <v>0</v>
      </c>
      <c r="L769" s="53" t="s">
        <v>861</v>
      </c>
      <c r="M769" s="53">
        <v>1</v>
      </c>
      <c r="N769" s="53" t="s">
        <v>4</v>
      </c>
      <c r="O769" s="53">
        <v>0</v>
      </c>
      <c r="P769" s="38">
        <v>1</v>
      </c>
      <c r="Q769" s="53">
        <v>0</v>
      </c>
      <c r="R769" s="53">
        <v>5</v>
      </c>
      <c r="S769" s="53">
        <v>1</v>
      </c>
      <c r="T769" s="53"/>
      <c r="V769" s="396" t="str">
        <f t="shared" si="112"/>
        <v>10</v>
      </c>
      <c r="W769" s="396" t="str">
        <f t="shared" si="113"/>
        <v>0</v>
      </c>
      <c r="X769" s="396" t="str">
        <f t="shared" si="114"/>
        <v>0</v>
      </c>
      <c r="Y769" s="396">
        <f t="shared" si="115"/>
        <v>0</v>
      </c>
      <c r="Z769" s="396">
        <f t="shared" si="116"/>
        <v>1</v>
      </c>
      <c r="AA769" s="396">
        <f t="shared" si="117"/>
        <v>0</v>
      </c>
      <c r="AB769" s="396" t="str">
        <f t="shared" si="120"/>
        <v>101</v>
      </c>
      <c r="AC769" s="396">
        <f t="shared" si="118"/>
        <v>1</v>
      </c>
      <c r="AD769" s="396">
        <v>0</v>
      </c>
      <c r="AE769" s="396" t="str">
        <f t="shared" si="119"/>
        <v>36A0A</v>
      </c>
    </row>
    <row r="770" spans="1:31" s="396" customFormat="1" x14ac:dyDescent="0.15">
      <c r="A770" s="388" t="str">
        <f t="shared" si="111"/>
        <v>0</v>
      </c>
      <c r="B770" s="389">
        <v>768</v>
      </c>
      <c r="C770" s="390" t="s">
        <v>1544</v>
      </c>
      <c r="D770" s="391" t="s">
        <v>2887</v>
      </c>
      <c r="E770" s="392" t="s">
        <v>2883</v>
      </c>
      <c r="F770" s="69" t="s">
        <v>1337</v>
      </c>
      <c r="G770" s="52">
        <v>0</v>
      </c>
      <c r="H770" s="53">
        <v>30000</v>
      </c>
      <c r="I770" s="38">
        <v>-30000</v>
      </c>
      <c r="J770" s="53">
        <v>0</v>
      </c>
      <c r="K770" s="53">
        <v>0</v>
      </c>
      <c r="L770" s="53" t="s">
        <v>861</v>
      </c>
      <c r="M770" s="53">
        <v>1</v>
      </c>
      <c r="N770" s="53" t="s">
        <v>4</v>
      </c>
      <c r="O770" s="53">
        <v>0</v>
      </c>
      <c r="P770" s="38">
        <v>1</v>
      </c>
      <c r="Q770" s="53">
        <v>0</v>
      </c>
      <c r="R770" s="53">
        <v>5</v>
      </c>
      <c r="S770" s="53">
        <v>1</v>
      </c>
      <c r="T770" s="53"/>
      <c r="V770" s="396" t="str">
        <f t="shared" si="112"/>
        <v>10</v>
      </c>
      <c r="W770" s="396" t="str">
        <f t="shared" si="113"/>
        <v>0</v>
      </c>
      <c r="X770" s="396" t="str">
        <f t="shared" si="114"/>
        <v>0</v>
      </c>
      <c r="Y770" s="396">
        <f t="shared" si="115"/>
        <v>0</v>
      </c>
      <c r="Z770" s="396">
        <f t="shared" si="116"/>
        <v>1</v>
      </c>
      <c r="AA770" s="396">
        <f t="shared" si="117"/>
        <v>0</v>
      </c>
      <c r="AB770" s="396" t="str">
        <f t="shared" si="120"/>
        <v>101</v>
      </c>
      <c r="AC770" s="396">
        <f t="shared" si="118"/>
        <v>1</v>
      </c>
      <c r="AD770" s="396">
        <v>0</v>
      </c>
      <c r="AE770" s="396" t="str">
        <f t="shared" si="119"/>
        <v>36A0A</v>
      </c>
    </row>
    <row r="771" spans="1:31" s="396" customFormat="1" x14ac:dyDescent="0.15">
      <c r="A771" s="388" t="str">
        <f t="shared" si="111"/>
        <v>0</v>
      </c>
      <c r="B771" s="389">
        <v>769</v>
      </c>
      <c r="C771" s="390" t="s">
        <v>1545</v>
      </c>
      <c r="D771" s="391" t="s">
        <v>2888</v>
      </c>
      <c r="E771" s="392" t="s">
        <v>2884</v>
      </c>
      <c r="F771" s="69" t="s">
        <v>1337</v>
      </c>
      <c r="G771" s="52">
        <v>0</v>
      </c>
      <c r="H771" s="53">
        <v>30000</v>
      </c>
      <c r="I771" s="38">
        <v>-30000</v>
      </c>
      <c r="J771" s="53">
        <v>0</v>
      </c>
      <c r="K771" s="53">
        <v>0</v>
      </c>
      <c r="L771" s="53" t="s">
        <v>861</v>
      </c>
      <c r="M771" s="53">
        <v>1</v>
      </c>
      <c r="N771" s="53" t="s">
        <v>4</v>
      </c>
      <c r="O771" s="53">
        <v>0</v>
      </c>
      <c r="P771" s="38">
        <v>1</v>
      </c>
      <c r="Q771" s="53">
        <v>0</v>
      </c>
      <c r="R771" s="53">
        <v>5</v>
      </c>
      <c r="S771" s="53">
        <v>1</v>
      </c>
      <c r="T771" s="53"/>
      <c r="V771" s="396" t="str">
        <f t="shared" si="112"/>
        <v>10</v>
      </c>
      <c r="W771" s="396" t="str">
        <f t="shared" si="113"/>
        <v>0</v>
      </c>
      <c r="X771" s="396" t="str">
        <f t="shared" si="114"/>
        <v>0</v>
      </c>
      <c r="Y771" s="396">
        <f t="shared" si="115"/>
        <v>0</v>
      </c>
      <c r="Z771" s="396">
        <f t="shared" si="116"/>
        <v>1</v>
      </c>
      <c r="AA771" s="396">
        <f t="shared" si="117"/>
        <v>0</v>
      </c>
      <c r="AB771" s="396" t="str">
        <f t="shared" si="120"/>
        <v>101</v>
      </c>
      <c r="AC771" s="396">
        <f t="shared" si="118"/>
        <v>1</v>
      </c>
      <c r="AD771" s="396">
        <v>0</v>
      </c>
      <c r="AE771" s="396" t="str">
        <f t="shared" si="119"/>
        <v>36A0A</v>
      </c>
    </row>
    <row r="772" spans="1:31" s="396" customFormat="1" x14ac:dyDescent="0.15">
      <c r="A772" s="388" t="str">
        <f t="shared" ref="A772:A835" si="121">DEC2HEX(AH772)</f>
        <v>0</v>
      </c>
      <c r="B772" s="389">
        <v>770</v>
      </c>
      <c r="C772" s="390" t="s">
        <v>1546</v>
      </c>
      <c r="D772" s="391" t="s">
        <v>2889</v>
      </c>
      <c r="E772" s="392" t="s">
        <v>2885</v>
      </c>
      <c r="F772" s="69" t="s">
        <v>1337</v>
      </c>
      <c r="G772" s="52">
        <v>0</v>
      </c>
      <c r="H772" s="53">
        <v>30000</v>
      </c>
      <c r="I772" s="38">
        <v>-30000</v>
      </c>
      <c r="J772" s="53">
        <v>0</v>
      </c>
      <c r="K772" s="53">
        <v>0</v>
      </c>
      <c r="L772" s="53" t="s">
        <v>861</v>
      </c>
      <c r="M772" s="53">
        <v>1</v>
      </c>
      <c r="N772" s="53" t="s">
        <v>4</v>
      </c>
      <c r="O772" s="53">
        <v>0</v>
      </c>
      <c r="P772" s="38">
        <v>1</v>
      </c>
      <c r="Q772" s="53">
        <v>0</v>
      </c>
      <c r="R772" s="53">
        <v>5</v>
      </c>
      <c r="S772" s="53">
        <v>1</v>
      </c>
      <c r="T772" s="53"/>
      <c r="V772" s="396" t="str">
        <f t="shared" si="112"/>
        <v>10</v>
      </c>
      <c r="W772" s="396" t="str">
        <f t="shared" si="113"/>
        <v>0</v>
      </c>
      <c r="X772" s="396" t="str">
        <f t="shared" si="114"/>
        <v>0</v>
      </c>
      <c r="Y772" s="396">
        <f t="shared" si="115"/>
        <v>0</v>
      </c>
      <c r="Z772" s="396">
        <f t="shared" si="116"/>
        <v>1</v>
      </c>
      <c r="AA772" s="396">
        <f t="shared" si="117"/>
        <v>0</v>
      </c>
      <c r="AB772" s="396" t="str">
        <f t="shared" si="120"/>
        <v>101</v>
      </c>
      <c r="AC772" s="396">
        <f t="shared" si="118"/>
        <v>1</v>
      </c>
      <c r="AD772" s="396">
        <v>0</v>
      </c>
      <c r="AE772" s="396" t="str">
        <f t="shared" si="119"/>
        <v>36A0A</v>
      </c>
    </row>
    <row r="773" spans="1:31" x14ac:dyDescent="0.15">
      <c r="A773" s="42" t="str">
        <f t="shared" si="121"/>
        <v>0</v>
      </c>
      <c r="B773" s="43">
        <v>771</v>
      </c>
      <c r="C773" s="38" t="s">
        <v>1547</v>
      </c>
      <c r="D773" s="144" t="s">
        <v>796</v>
      </c>
      <c r="E773" s="148" t="s">
        <v>795</v>
      </c>
      <c r="F773" s="145" t="s">
        <v>1022</v>
      </c>
      <c r="G773" s="146">
        <v>0</v>
      </c>
      <c r="H773" s="147">
        <v>60000</v>
      </c>
      <c r="I773" s="143">
        <v>0</v>
      </c>
      <c r="J773" s="147">
        <v>0</v>
      </c>
      <c r="K773" s="147">
        <v>0</v>
      </c>
      <c r="L773" s="147" t="s">
        <v>861</v>
      </c>
      <c r="M773" s="147">
        <v>0.01</v>
      </c>
      <c r="N773" s="147" t="s">
        <v>797</v>
      </c>
      <c r="O773" s="147">
        <v>0</v>
      </c>
      <c r="P773" s="143">
        <v>1</v>
      </c>
      <c r="Q773" s="147">
        <v>0</v>
      </c>
      <c r="R773" s="147">
        <v>5</v>
      </c>
      <c r="S773" s="147">
        <v>0</v>
      </c>
      <c r="T773" s="53"/>
      <c r="V773" s="49" t="str">
        <f t="shared" si="112"/>
        <v>10</v>
      </c>
      <c r="W773" s="49" t="str">
        <f t="shared" si="113"/>
        <v>10</v>
      </c>
      <c r="X773" s="49" t="str">
        <f t="shared" si="114"/>
        <v>0</v>
      </c>
      <c r="Y773" s="49">
        <f t="shared" si="115"/>
        <v>0</v>
      </c>
      <c r="Z773" s="49">
        <f t="shared" si="116"/>
        <v>1</v>
      </c>
      <c r="AA773" s="49">
        <f t="shared" si="117"/>
        <v>0</v>
      </c>
      <c r="AB773" s="49" t="str">
        <f t="shared" si="120"/>
        <v>101</v>
      </c>
      <c r="AC773" s="49">
        <f t="shared" si="118"/>
        <v>0</v>
      </c>
      <c r="AD773" s="49">
        <v>0</v>
      </c>
      <c r="AE773" s="49" t="str">
        <f t="shared" si="119"/>
        <v>32A32</v>
      </c>
    </row>
    <row r="774" spans="1:31" s="396" customFormat="1" x14ac:dyDescent="0.15">
      <c r="A774" s="388" t="str">
        <f t="shared" si="121"/>
        <v>0</v>
      </c>
      <c r="B774" s="389">
        <v>772</v>
      </c>
      <c r="C774" s="390" t="s">
        <v>1548</v>
      </c>
      <c r="D774" s="391" t="s">
        <v>2890</v>
      </c>
      <c r="E774" s="392" t="s">
        <v>2893</v>
      </c>
      <c r="F774" s="393" t="s">
        <v>2891</v>
      </c>
      <c r="G774" s="394">
        <v>0</v>
      </c>
      <c r="H774" s="395">
        <v>60000</v>
      </c>
      <c r="I774" s="390">
        <v>0</v>
      </c>
      <c r="J774" s="395">
        <v>0</v>
      </c>
      <c r="K774" s="395">
        <v>0</v>
      </c>
      <c r="L774" s="395" t="s">
        <v>861</v>
      </c>
      <c r="M774" s="395">
        <v>0.1</v>
      </c>
      <c r="N774" s="395" t="s">
        <v>2892</v>
      </c>
      <c r="O774" s="395">
        <v>0</v>
      </c>
      <c r="P774" s="390">
        <v>1</v>
      </c>
      <c r="Q774" s="395">
        <v>0</v>
      </c>
      <c r="R774" s="395">
        <v>5</v>
      </c>
      <c r="S774" s="395">
        <v>0</v>
      </c>
      <c r="T774" s="395"/>
      <c r="V774" s="396" t="str">
        <f t="shared" si="112"/>
        <v>10</v>
      </c>
      <c r="W774" s="396" t="str">
        <f t="shared" si="113"/>
        <v>1</v>
      </c>
      <c r="X774" s="396" t="str">
        <f t="shared" si="114"/>
        <v>0</v>
      </c>
      <c r="Y774" s="396">
        <f t="shared" si="115"/>
        <v>0</v>
      </c>
      <c r="Z774" s="396">
        <f t="shared" si="116"/>
        <v>1</v>
      </c>
      <c r="AA774" s="396">
        <f t="shared" si="117"/>
        <v>0</v>
      </c>
      <c r="AB774" s="396" t="str">
        <f t="shared" si="120"/>
        <v>101</v>
      </c>
      <c r="AC774" s="396">
        <f t="shared" si="118"/>
        <v>0</v>
      </c>
      <c r="AD774" s="396">
        <v>0</v>
      </c>
      <c r="AE774" s="396" t="str">
        <f t="shared" si="119"/>
        <v>32A0E</v>
      </c>
    </row>
    <row r="775" spans="1:31" x14ac:dyDescent="0.15">
      <c r="A775" s="42" t="str">
        <f t="shared" si="121"/>
        <v>0</v>
      </c>
      <c r="B775" s="43">
        <v>773</v>
      </c>
      <c r="C775" s="38" t="s">
        <v>1549</v>
      </c>
      <c r="D775" s="154" t="s">
        <v>1795</v>
      </c>
      <c r="E775" s="150" t="s">
        <v>1796</v>
      </c>
      <c r="F775" s="155" t="s">
        <v>1797</v>
      </c>
      <c r="G775" s="156">
        <v>0</v>
      </c>
      <c r="H775" s="157">
        <v>3000</v>
      </c>
      <c r="I775" s="158" t="s">
        <v>1798</v>
      </c>
      <c r="J775" s="157">
        <v>0</v>
      </c>
      <c r="K775" s="157">
        <v>0</v>
      </c>
      <c r="L775" s="157" t="s">
        <v>861</v>
      </c>
      <c r="M775" s="157">
        <v>0.1</v>
      </c>
      <c r="N775" s="157" t="s">
        <v>863</v>
      </c>
      <c r="O775" s="157">
        <v>0</v>
      </c>
      <c r="P775" s="159">
        <v>1</v>
      </c>
      <c r="Q775" s="157">
        <v>0</v>
      </c>
      <c r="R775" s="157">
        <v>4</v>
      </c>
      <c r="S775" s="157">
        <v>1</v>
      </c>
      <c r="T775" s="53"/>
      <c r="V775" s="49" t="str">
        <f t="shared" si="112"/>
        <v>10</v>
      </c>
      <c r="W775" s="49" t="str">
        <f t="shared" si="113"/>
        <v>1</v>
      </c>
      <c r="X775" s="49" t="str">
        <f>DEC2BIN(14)</f>
        <v>1110</v>
      </c>
      <c r="Y775" s="49">
        <f t="shared" si="115"/>
        <v>0</v>
      </c>
      <c r="Z775" s="49">
        <f t="shared" si="116"/>
        <v>1</v>
      </c>
      <c r="AA775" s="49">
        <f t="shared" si="117"/>
        <v>0</v>
      </c>
      <c r="AB775" s="49" t="str">
        <f t="shared" si="120"/>
        <v>100</v>
      </c>
      <c r="AC775" s="49">
        <f t="shared" si="118"/>
        <v>1</v>
      </c>
      <c r="AD775" s="49">
        <v>0</v>
      </c>
      <c r="AE775" s="49" t="str">
        <f t="shared" si="119"/>
        <v>3A76E</v>
      </c>
    </row>
    <row r="776" spans="1:31" x14ac:dyDescent="0.15">
      <c r="A776" s="42" t="str">
        <f t="shared" si="121"/>
        <v>0</v>
      </c>
      <c r="B776" s="43">
        <v>774</v>
      </c>
      <c r="C776" s="38" t="s">
        <v>1550</v>
      </c>
      <c r="D776" s="154" t="s">
        <v>56</v>
      </c>
      <c r="E776" s="150" t="s">
        <v>59</v>
      </c>
      <c r="F776" s="69" t="s">
        <v>1337</v>
      </c>
      <c r="G776" s="52">
        <v>0</v>
      </c>
      <c r="H776" s="53">
        <v>30000</v>
      </c>
      <c r="I776" s="38">
        <v>-30000</v>
      </c>
      <c r="J776" s="53">
        <v>0</v>
      </c>
      <c r="K776" s="53">
        <v>0</v>
      </c>
      <c r="L776" s="53" t="s">
        <v>861</v>
      </c>
      <c r="M776" s="53">
        <v>1</v>
      </c>
      <c r="N776" s="53" t="s">
        <v>1601</v>
      </c>
      <c r="O776" s="53">
        <v>0</v>
      </c>
      <c r="P776" s="38">
        <v>1</v>
      </c>
      <c r="Q776" s="53">
        <v>0</v>
      </c>
      <c r="R776" s="53">
        <v>5</v>
      </c>
      <c r="S776" s="53">
        <v>1</v>
      </c>
      <c r="T776" s="53"/>
      <c r="V776" s="49" t="str">
        <f t="shared" si="112"/>
        <v>10</v>
      </c>
      <c r="W776" s="49" t="str">
        <f t="shared" si="113"/>
        <v>0</v>
      </c>
      <c r="X776" s="49" t="str">
        <f>DEC2BIN(14)</f>
        <v>1110</v>
      </c>
      <c r="Y776" s="49">
        <f t="shared" si="115"/>
        <v>0</v>
      </c>
      <c r="Z776" s="49">
        <f t="shared" si="116"/>
        <v>1</v>
      </c>
      <c r="AA776" s="49">
        <f t="shared" si="117"/>
        <v>0</v>
      </c>
      <c r="AB776" s="49" t="str">
        <f t="shared" si="120"/>
        <v>101</v>
      </c>
      <c r="AC776" s="49">
        <f t="shared" si="118"/>
        <v>1</v>
      </c>
      <c r="AD776" s="49">
        <v>0</v>
      </c>
      <c r="AE776" s="49" t="str">
        <f t="shared" si="119"/>
        <v>3AF6A</v>
      </c>
    </row>
    <row r="777" spans="1:31" x14ac:dyDescent="0.15">
      <c r="A777" s="42" t="str">
        <f t="shared" si="121"/>
        <v>0</v>
      </c>
      <c r="B777" s="43">
        <v>775</v>
      </c>
      <c r="C777" s="38" t="s">
        <v>1551</v>
      </c>
      <c r="D777" s="154" t="s">
        <v>57</v>
      </c>
      <c r="E777" s="150" t="s">
        <v>58</v>
      </c>
      <c r="F777" s="69" t="s">
        <v>1337</v>
      </c>
      <c r="G777" s="52">
        <v>0</v>
      </c>
      <c r="H777" s="53">
        <v>30000</v>
      </c>
      <c r="I777" s="38">
        <v>-30000</v>
      </c>
      <c r="J777" s="53">
        <v>0</v>
      </c>
      <c r="K777" s="53">
        <v>0</v>
      </c>
      <c r="L777" s="53" t="s">
        <v>861</v>
      </c>
      <c r="M777" s="53">
        <v>1</v>
      </c>
      <c r="N777" s="53" t="s">
        <v>1601</v>
      </c>
      <c r="O777" s="53">
        <v>0</v>
      </c>
      <c r="P777" s="38">
        <v>1</v>
      </c>
      <c r="Q777" s="53">
        <v>0</v>
      </c>
      <c r="R777" s="53">
        <v>5</v>
      </c>
      <c r="S777" s="53">
        <v>1</v>
      </c>
      <c r="T777" s="53"/>
      <c r="V777" s="49" t="str">
        <f t="shared" si="112"/>
        <v>10</v>
      </c>
      <c r="W777" s="49" t="str">
        <f t="shared" si="113"/>
        <v>0</v>
      </c>
      <c r="X777" s="49" t="str">
        <f t="shared" si="114"/>
        <v>0</v>
      </c>
      <c r="Y777" s="49">
        <f t="shared" si="115"/>
        <v>0</v>
      </c>
      <c r="Z777" s="49">
        <f t="shared" si="116"/>
        <v>1</v>
      </c>
      <c r="AA777" s="49">
        <f t="shared" si="117"/>
        <v>0</v>
      </c>
      <c r="AB777" s="49" t="str">
        <f t="shared" si="120"/>
        <v>101</v>
      </c>
      <c r="AC777" s="49">
        <f t="shared" si="118"/>
        <v>1</v>
      </c>
      <c r="AD777" s="49">
        <v>0</v>
      </c>
      <c r="AE777" s="49" t="str">
        <f t="shared" si="119"/>
        <v>36A0A</v>
      </c>
    </row>
    <row r="778" spans="1:31" x14ac:dyDescent="0.15">
      <c r="A778" s="42" t="str">
        <f t="shared" si="121"/>
        <v>0</v>
      </c>
      <c r="B778" s="43">
        <v>776</v>
      </c>
      <c r="C778" s="38" t="s">
        <v>1552</v>
      </c>
      <c r="D778" s="154" t="s">
        <v>62</v>
      </c>
      <c r="E778" s="150" t="s">
        <v>63</v>
      </c>
      <c r="F778" s="155" t="s">
        <v>64</v>
      </c>
      <c r="G778" s="156">
        <v>0</v>
      </c>
      <c r="H778" s="157">
        <v>3000</v>
      </c>
      <c r="I778" s="158" t="s">
        <v>65</v>
      </c>
      <c r="J778" s="157">
        <v>0</v>
      </c>
      <c r="K778" s="157">
        <v>0</v>
      </c>
      <c r="L778" s="157" t="s">
        <v>861</v>
      </c>
      <c r="M778" s="157">
        <v>0.1</v>
      </c>
      <c r="N778" s="157" t="s">
        <v>863</v>
      </c>
      <c r="O778" s="157">
        <v>0</v>
      </c>
      <c r="P778" s="159">
        <v>1</v>
      </c>
      <c r="Q778" s="157">
        <v>0</v>
      </c>
      <c r="R778" s="157">
        <v>4</v>
      </c>
      <c r="S778" s="157">
        <v>1</v>
      </c>
      <c r="T778" s="53"/>
      <c r="V778" s="49" t="str">
        <f t="shared" si="112"/>
        <v>10</v>
      </c>
      <c r="W778" s="49" t="str">
        <f t="shared" si="113"/>
        <v>1</v>
      </c>
      <c r="X778" s="49" t="str">
        <f t="shared" si="114"/>
        <v>0</v>
      </c>
      <c r="Y778" s="49">
        <f t="shared" si="115"/>
        <v>0</v>
      </c>
      <c r="Z778" s="49">
        <f t="shared" si="116"/>
        <v>1</v>
      </c>
      <c r="AA778" s="49">
        <f t="shared" si="117"/>
        <v>0</v>
      </c>
      <c r="AB778" s="49" t="str">
        <f t="shared" si="120"/>
        <v>100</v>
      </c>
      <c r="AC778" s="49">
        <f t="shared" si="118"/>
        <v>1</v>
      </c>
      <c r="AD778" s="49">
        <v>0</v>
      </c>
      <c r="AE778" s="49" t="str">
        <f t="shared" si="119"/>
        <v>3620E</v>
      </c>
    </row>
    <row r="779" spans="1:31" x14ac:dyDescent="0.15">
      <c r="A779" s="42" t="str">
        <f t="shared" si="121"/>
        <v>0</v>
      </c>
      <c r="B779" s="43">
        <v>777</v>
      </c>
      <c r="C779" s="38" t="s">
        <v>1553</v>
      </c>
      <c r="D779" s="178" t="s">
        <v>1918</v>
      </c>
      <c r="E779" s="179" t="s">
        <v>1919</v>
      </c>
      <c r="F779" s="180" t="s">
        <v>856</v>
      </c>
      <c r="G779" s="180">
        <v>0</v>
      </c>
      <c r="H779" s="181">
        <v>65535</v>
      </c>
      <c r="I779" s="181">
        <v>0</v>
      </c>
      <c r="J779" s="181">
        <v>0</v>
      </c>
      <c r="K779" s="181">
        <v>0</v>
      </c>
      <c r="L779" s="182" t="s">
        <v>861</v>
      </c>
      <c r="M779" s="181">
        <v>1</v>
      </c>
      <c r="N779" s="181" t="s">
        <v>1910</v>
      </c>
      <c r="O779" s="181">
        <v>0</v>
      </c>
      <c r="P779" s="181">
        <v>0</v>
      </c>
      <c r="Q779" s="181">
        <v>0</v>
      </c>
      <c r="R779" s="181">
        <v>5</v>
      </c>
      <c r="S779" s="181">
        <v>0</v>
      </c>
      <c r="T779" s="53"/>
      <c r="V779" s="49" t="str">
        <f t="shared" si="112"/>
        <v>10</v>
      </c>
      <c r="W779" s="49" t="str">
        <f t="shared" si="113"/>
        <v>0</v>
      </c>
      <c r="X779" s="49" t="str">
        <f t="shared" si="114"/>
        <v>0</v>
      </c>
      <c r="Y779" s="49">
        <f t="shared" si="115"/>
        <v>0</v>
      </c>
      <c r="Z779" s="49">
        <f t="shared" si="116"/>
        <v>0</v>
      </c>
      <c r="AA779" s="49">
        <f t="shared" si="117"/>
        <v>0</v>
      </c>
      <c r="AB779" s="49" t="str">
        <f t="shared" si="120"/>
        <v>101</v>
      </c>
      <c r="AC779" s="49">
        <f t="shared" si="118"/>
        <v>0</v>
      </c>
      <c r="AD779" s="49">
        <v>0</v>
      </c>
      <c r="AE779" s="49" t="str">
        <f t="shared" si="119"/>
        <v>3280A</v>
      </c>
    </row>
    <row r="780" spans="1:31" x14ac:dyDescent="0.15">
      <c r="A780" s="42" t="str">
        <f t="shared" si="121"/>
        <v>0</v>
      </c>
      <c r="B780" s="43">
        <v>778</v>
      </c>
      <c r="C780" s="38" t="s">
        <v>1554</v>
      </c>
      <c r="D780" s="312" t="s">
        <v>2666</v>
      </c>
      <c r="E780" s="262" t="s">
        <v>2667</v>
      </c>
      <c r="F780" s="80" t="s">
        <v>369</v>
      </c>
      <c r="G780" s="52">
        <v>0</v>
      </c>
      <c r="H780" s="53">
        <v>1000</v>
      </c>
      <c r="I780" s="79" t="s">
        <v>370</v>
      </c>
      <c r="J780" s="53">
        <v>0</v>
      </c>
      <c r="K780" s="53">
        <v>0</v>
      </c>
      <c r="L780" s="53" t="s">
        <v>861</v>
      </c>
      <c r="M780" s="53">
        <v>0.1</v>
      </c>
      <c r="N780" s="53" t="s">
        <v>284</v>
      </c>
      <c r="O780" s="53">
        <v>0</v>
      </c>
      <c r="P780" s="38">
        <v>1</v>
      </c>
      <c r="Q780" s="53">
        <v>0</v>
      </c>
      <c r="R780" s="53">
        <v>4</v>
      </c>
      <c r="S780" s="53">
        <v>1</v>
      </c>
      <c r="T780" s="53"/>
      <c r="V780" s="49" t="str">
        <f t="shared" si="112"/>
        <v>10</v>
      </c>
      <c r="W780" s="49" t="str">
        <f t="shared" si="113"/>
        <v>1</v>
      </c>
      <c r="X780" s="49" t="str">
        <f t="shared" si="114"/>
        <v>0</v>
      </c>
      <c r="Y780" s="49">
        <f t="shared" si="115"/>
        <v>0</v>
      </c>
      <c r="Z780" s="49">
        <f t="shared" si="116"/>
        <v>1</v>
      </c>
      <c r="AA780" s="49">
        <f t="shared" si="117"/>
        <v>0</v>
      </c>
      <c r="AB780" s="49" t="str">
        <f t="shared" si="120"/>
        <v>100</v>
      </c>
      <c r="AC780" s="49">
        <f t="shared" si="118"/>
        <v>1</v>
      </c>
      <c r="AD780" s="49">
        <v>0</v>
      </c>
      <c r="AE780" s="49" t="str">
        <f t="shared" si="119"/>
        <v>3620E</v>
      </c>
    </row>
    <row r="781" spans="1:31" x14ac:dyDescent="0.15">
      <c r="A781" s="42" t="str">
        <f t="shared" si="121"/>
        <v>0</v>
      </c>
      <c r="B781" s="43">
        <v>779</v>
      </c>
      <c r="C781" s="38" t="s">
        <v>1555</v>
      </c>
      <c r="D781" s="218" t="s">
        <v>2670</v>
      </c>
      <c r="E781" s="219" t="s">
        <v>2669</v>
      </c>
      <c r="F781" s="223" t="s">
        <v>856</v>
      </c>
      <c r="G781" s="220">
        <v>0</v>
      </c>
      <c r="H781" s="221">
        <v>65535</v>
      </c>
      <c r="I781" s="212">
        <v>0</v>
      </c>
      <c r="J781" s="221">
        <v>0</v>
      </c>
      <c r="K781" s="221">
        <v>0</v>
      </c>
      <c r="L781" s="53" t="s">
        <v>861</v>
      </c>
      <c r="M781" s="53">
        <v>0.1</v>
      </c>
      <c r="N781" s="313" t="s">
        <v>1009</v>
      </c>
      <c r="O781" s="53">
        <v>0</v>
      </c>
      <c r="P781" s="38">
        <v>1</v>
      </c>
      <c r="Q781" s="53">
        <v>0</v>
      </c>
      <c r="R781" s="53">
        <v>5</v>
      </c>
      <c r="S781" s="53">
        <v>0</v>
      </c>
      <c r="T781" s="53"/>
      <c r="V781" s="49" t="str">
        <f t="shared" si="112"/>
        <v>10</v>
      </c>
      <c r="W781" s="49" t="str">
        <f t="shared" si="113"/>
        <v>1</v>
      </c>
      <c r="X781" s="49" t="str">
        <f t="shared" si="114"/>
        <v>0</v>
      </c>
      <c r="Y781" s="49">
        <f t="shared" si="115"/>
        <v>0</v>
      </c>
      <c r="Z781" s="49">
        <f t="shared" si="116"/>
        <v>1</v>
      </c>
      <c r="AA781" s="49">
        <f t="shared" si="117"/>
        <v>0</v>
      </c>
      <c r="AB781" s="49" t="str">
        <f t="shared" si="120"/>
        <v>101</v>
      </c>
      <c r="AC781" s="49">
        <f t="shared" si="118"/>
        <v>0</v>
      </c>
      <c r="AD781" s="49">
        <v>0</v>
      </c>
      <c r="AE781" s="49" t="str">
        <f t="shared" si="119"/>
        <v>32A0E</v>
      </c>
    </row>
    <row r="782" spans="1:31" x14ac:dyDescent="0.15">
      <c r="A782" s="42" t="str">
        <f t="shared" si="121"/>
        <v>0</v>
      </c>
      <c r="B782" s="43">
        <v>780</v>
      </c>
      <c r="C782" s="38" t="s">
        <v>1556</v>
      </c>
      <c r="D782" s="218" t="s">
        <v>2880</v>
      </c>
      <c r="E782" s="219" t="s">
        <v>2881</v>
      </c>
      <c r="F782" s="223" t="s">
        <v>856</v>
      </c>
      <c r="G782" s="220">
        <v>0</v>
      </c>
      <c r="H782" s="53">
        <v>9999</v>
      </c>
      <c r="I782" s="212">
        <v>-9999</v>
      </c>
      <c r="J782" s="221">
        <v>0</v>
      </c>
      <c r="K782" s="221">
        <v>0</v>
      </c>
      <c r="L782" s="53" t="s">
        <v>861</v>
      </c>
      <c r="M782" s="53">
        <v>0.1</v>
      </c>
      <c r="N782" s="313" t="s">
        <v>1937</v>
      </c>
      <c r="O782" s="53">
        <v>0</v>
      </c>
      <c r="P782" s="38">
        <v>1</v>
      </c>
      <c r="Q782" s="53">
        <v>0</v>
      </c>
      <c r="R782" s="53">
        <v>4</v>
      </c>
      <c r="S782" s="53">
        <v>1</v>
      </c>
      <c r="T782" s="53"/>
      <c r="V782" s="49" t="str">
        <f>IF(L782="△",DEC2BIN(0),IF(L782="×",DEC2BIN(1),IF(L782="◎",DEC2BIN(2),DEC2BIN(3))))</f>
        <v>10</v>
      </c>
      <c r="W782" s="49" t="str">
        <f>IF(M782=1,DEC2BIN(0),IF(M782=0.1,DEC2BIN(1),IF(M782=0.01,DEC2BIN(2),DEC2BIN(3))))</f>
        <v>1</v>
      </c>
      <c r="X782" s="49" t="str">
        <f>LOOKUP(N782,$AG$2:$AG$17,$AH$2:$AH$17)</f>
        <v>0</v>
      </c>
      <c r="Y782" s="49">
        <f>O782</f>
        <v>0</v>
      </c>
      <c r="Z782" s="49">
        <f>P782</f>
        <v>1</v>
      </c>
      <c r="AA782" s="49">
        <f>Q782</f>
        <v>0</v>
      </c>
      <c r="AB782" s="49" t="str">
        <f>DEC2BIN(R782)</f>
        <v>100</v>
      </c>
      <c r="AC782" s="49">
        <f>S782</f>
        <v>1</v>
      </c>
      <c r="AD782" s="49">
        <v>0</v>
      </c>
      <c r="AE782" s="49" t="str">
        <f>DEC2HEX(V782+W782*4+X782*16+Y782*256+Z782*512+AA782*1024+AB782*2048+AC782*16384)</f>
        <v>3620E</v>
      </c>
    </row>
    <row r="783" spans="1:31" x14ac:dyDescent="0.15">
      <c r="A783" s="42" t="str">
        <f t="shared" si="121"/>
        <v>0</v>
      </c>
      <c r="B783" s="43">
        <v>781</v>
      </c>
      <c r="C783" s="38" t="s">
        <v>1557</v>
      </c>
      <c r="D783" s="50" t="s">
        <v>1612</v>
      </c>
      <c r="E783" s="262" t="s">
        <v>2857</v>
      </c>
      <c r="F783" s="69" t="s">
        <v>1337</v>
      </c>
      <c r="G783" s="52">
        <v>0</v>
      </c>
      <c r="H783" s="53">
        <v>65535</v>
      </c>
      <c r="I783" s="38">
        <v>0</v>
      </c>
      <c r="J783" s="53">
        <v>0</v>
      </c>
      <c r="K783" s="53">
        <v>0</v>
      </c>
      <c r="L783" s="53" t="s">
        <v>861</v>
      </c>
      <c r="M783" s="53">
        <v>1</v>
      </c>
      <c r="N783" s="53" t="s">
        <v>1601</v>
      </c>
      <c r="O783" s="53">
        <v>0</v>
      </c>
      <c r="P783" s="38">
        <v>1</v>
      </c>
      <c r="Q783" s="53">
        <v>0</v>
      </c>
      <c r="R783" s="53">
        <v>5</v>
      </c>
      <c r="S783" s="53">
        <v>0</v>
      </c>
      <c r="T783" s="53"/>
      <c r="V783" s="49" t="str">
        <f t="shared" ref="V783:V789" si="122">IF(L783="△",DEC2BIN(0),IF(L783="×",DEC2BIN(1),IF(L783="◎",DEC2BIN(2),DEC2BIN(3))))</f>
        <v>10</v>
      </c>
      <c r="W783" s="49" t="str">
        <f t="shared" ref="W783:W789" si="123">IF(M783=1,DEC2BIN(0),IF(M783=0.1,DEC2BIN(1),IF(M783=0.01,DEC2BIN(2),DEC2BIN(3))))</f>
        <v>0</v>
      </c>
      <c r="X783" s="49" t="str">
        <f t="shared" ref="X783:X789" si="124">LOOKUP(N783,$AG$2:$AG$17,$AH$2:$AH$17)</f>
        <v>0</v>
      </c>
      <c r="Y783" s="49">
        <f t="shared" ref="Y783:Z789" si="125">O783</f>
        <v>0</v>
      </c>
      <c r="Z783" s="49">
        <f t="shared" si="125"/>
        <v>1</v>
      </c>
      <c r="AA783" s="49">
        <f t="shared" ref="AA783:AA789" si="126">Q783</f>
        <v>0</v>
      </c>
      <c r="AB783" s="49" t="str">
        <f t="shared" ref="AB783:AB789" si="127">DEC2BIN(R783)</f>
        <v>101</v>
      </c>
      <c r="AC783" s="49">
        <f t="shared" ref="AC783:AC789" si="128">S783</f>
        <v>0</v>
      </c>
      <c r="AD783" s="49">
        <v>0</v>
      </c>
      <c r="AE783" s="49" t="str">
        <f t="shared" ref="AE783:AE789" si="129">DEC2HEX(V783+W783*4+X783*16+Y783*256+Z783*512+AA783*1024+AB783*2048+AC783*16384)</f>
        <v>32A0A</v>
      </c>
    </row>
    <row r="784" spans="1:31" ht="14.45" customHeight="1" x14ac:dyDescent="0.15">
      <c r="A784" s="42" t="str">
        <f t="shared" si="121"/>
        <v>0</v>
      </c>
      <c r="B784" s="43">
        <v>782</v>
      </c>
      <c r="C784" s="38" t="s">
        <v>1338</v>
      </c>
      <c r="D784" s="50" t="s">
        <v>1612</v>
      </c>
      <c r="E784" s="262" t="s">
        <v>2856</v>
      </c>
      <c r="F784" s="69" t="s">
        <v>391</v>
      </c>
      <c r="G784" s="52">
        <v>0</v>
      </c>
      <c r="H784" s="53">
        <v>65535</v>
      </c>
      <c r="I784" s="38">
        <v>0</v>
      </c>
      <c r="J784" s="53">
        <v>0</v>
      </c>
      <c r="K784" s="53">
        <v>0</v>
      </c>
      <c r="L784" s="53" t="s">
        <v>861</v>
      </c>
      <c r="M784" s="53">
        <v>1</v>
      </c>
      <c r="N784" s="53" t="s">
        <v>1601</v>
      </c>
      <c r="O784" s="53">
        <v>0</v>
      </c>
      <c r="P784" s="38">
        <v>1</v>
      </c>
      <c r="Q784" s="53">
        <v>0</v>
      </c>
      <c r="R784" s="53">
        <v>5</v>
      </c>
      <c r="S784" s="53">
        <v>0</v>
      </c>
      <c r="T784" s="53"/>
      <c r="V784" s="49" t="str">
        <f t="shared" si="122"/>
        <v>10</v>
      </c>
      <c r="W784" s="49" t="str">
        <f t="shared" si="123"/>
        <v>0</v>
      </c>
      <c r="X784" s="49" t="str">
        <f t="shared" si="124"/>
        <v>0</v>
      </c>
      <c r="Y784" s="49">
        <f t="shared" si="125"/>
        <v>0</v>
      </c>
      <c r="Z784" s="49">
        <f t="shared" si="125"/>
        <v>1</v>
      </c>
      <c r="AA784" s="49">
        <f t="shared" si="126"/>
        <v>0</v>
      </c>
      <c r="AB784" s="49" t="str">
        <f t="shared" si="127"/>
        <v>101</v>
      </c>
      <c r="AC784" s="49">
        <f t="shared" si="128"/>
        <v>0</v>
      </c>
      <c r="AD784" s="49">
        <v>0</v>
      </c>
      <c r="AE784" s="49" t="str">
        <f t="shared" si="129"/>
        <v>32A0A</v>
      </c>
    </row>
    <row r="785" spans="1:31" ht="14.45" customHeight="1" x14ac:dyDescent="0.15">
      <c r="A785" s="42" t="str">
        <f t="shared" si="121"/>
        <v>0</v>
      </c>
      <c r="B785" s="43">
        <v>783</v>
      </c>
      <c r="C785" s="44" t="s">
        <v>392</v>
      </c>
      <c r="D785" s="25" t="s">
        <v>845</v>
      </c>
      <c r="E785" s="45" t="s">
        <v>393</v>
      </c>
      <c r="F785" s="100" t="s">
        <v>0</v>
      </c>
      <c r="G785" s="47">
        <v>0</v>
      </c>
      <c r="H785" s="48">
        <v>99</v>
      </c>
      <c r="I785" s="44">
        <v>0</v>
      </c>
      <c r="J785" s="48">
        <v>0</v>
      </c>
      <c r="K785" s="48">
        <v>0</v>
      </c>
      <c r="L785" s="48" t="s">
        <v>861</v>
      </c>
      <c r="M785" s="48">
        <v>1</v>
      </c>
      <c r="N785" s="48" t="s">
        <v>1601</v>
      </c>
      <c r="O785" s="48">
        <v>0</v>
      </c>
      <c r="P785" s="44">
        <v>1</v>
      </c>
      <c r="Q785" s="48">
        <v>0</v>
      </c>
      <c r="R785" s="48">
        <v>2</v>
      </c>
      <c r="S785" s="48">
        <v>0</v>
      </c>
      <c r="T785" s="48"/>
      <c r="V785" s="49" t="str">
        <f t="shared" si="122"/>
        <v>10</v>
      </c>
      <c r="W785" s="49" t="str">
        <f t="shared" si="123"/>
        <v>0</v>
      </c>
      <c r="X785" s="49" t="str">
        <f t="shared" si="124"/>
        <v>0</v>
      </c>
      <c r="Y785" s="49">
        <f t="shared" si="125"/>
        <v>0</v>
      </c>
      <c r="Z785" s="49">
        <f t="shared" si="125"/>
        <v>1</v>
      </c>
      <c r="AA785" s="49">
        <f t="shared" si="126"/>
        <v>0</v>
      </c>
      <c r="AB785" s="49" t="str">
        <f t="shared" si="127"/>
        <v>10</v>
      </c>
      <c r="AC785" s="49">
        <f t="shared" si="128"/>
        <v>0</v>
      </c>
      <c r="AD785" s="49">
        <v>0</v>
      </c>
      <c r="AE785" s="49" t="str">
        <f t="shared" si="129"/>
        <v>520A</v>
      </c>
    </row>
    <row r="786" spans="1:31" ht="14.45" customHeight="1" x14ac:dyDescent="0.15">
      <c r="A786" s="42" t="str">
        <f t="shared" si="121"/>
        <v>0</v>
      </c>
      <c r="B786" s="43">
        <v>784</v>
      </c>
      <c r="C786" s="44" t="s">
        <v>710</v>
      </c>
      <c r="D786" s="25" t="s">
        <v>846</v>
      </c>
      <c r="E786" s="45" t="s">
        <v>711</v>
      </c>
      <c r="F786" s="46" t="s">
        <v>1022</v>
      </c>
      <c r="G786" s="47">
        <v>0</v>
      </c>
      <c r="H786" s="48">
        <v>60000</v>
      </c>
      <c r="I786" s="44">
        <v>0</v>
      </c>
      <c r="J786" s="48">
        <v>0</v>
      </c>
      <c r="K786" s="48">
        <v>0</v>
      </c>
      <c r="L786" s="48" t="s">
        <v>861</v>
      </c>
      <c r="M786" s="48">
        <v>0.01</v>
      </c>
      <c r="N786" s="48" t="s">
        <v>1628</v>
      </c>
      <c r="O786" s="48">
        <v>0</v>
      </c>
      <c r="P786" s="44">
        <v>1</v>
      </c>
      <c r="Q786" s="48">
        <v>0</v>
      </c>
      <c r="R786" s="48">
        <v>5</v>
      </c>
      <c r="S786" s="48">
        <v>0</v>
      </c>
      <c r="T786" s="48"/>
      <c r="V786" s="49" t="str">
        <f t="shared" si="122"/>
        <v>10</v>
      </c>
      <c r="W786" s="49" t="str">
        <f t="shared" si="123"/>
        <v>10</v>
      </c>
      <c r="X786" s="49" t="str">
        <f t="shared" si="124"/>
        <v>0</v>
      </c>
      <c r="Y786" s="49">
        <f t="shared" si="125"/>
        <v>0</v>
      </c>
      <c r="Z786" s="49">
        <f t="shared" si="125"/>
        <v>1</v>
      </c>
      <c r="AA786" s="49">
        <f t="shared" si="126"/>
        <v>0</v>
      </c>
      <c r="AB786" s="49" t="str">
        <f t="shared" si="127"/>
        <v>101</v>
      </c>
      <c r="AC786" s="49">
        <f t="shared" si="128"/>
        <v>0</v>
      </c>
      <c r="AD786" s="49">
        <v>0</v>
      </c>
      <c r="AE786" s="49" t="str">
        <f t="shared" si="129"/>
        <v>32A32</v>
      </c>
    </row>
    <row r="787" spans="1:31" ht="14.45" customHeight="1" x14ac:dyDescent="0.15">
      <c r="A787" s="42" t="str">
        <f t="shared" si="121"/>
        <v>0</v>
      </c>
      <c r="B787" s="43">
        <v>785</v>
      </c>
      <c r="C787" s="44" t="s">
        <v>1558</v>
      </c>
      <c r="D787" s="25" t="s">
        <v>847</v>
      </c>
      <c r="E787" s="45" t="s">
        <v>712</v>
      </c>
      <c r="F787" s="46" t="s">
        <v>1052</v>
      </c>
      <c r="G787" s="47">
        <v>0</v>
      </c>
      <c r="H787" s="48">
        <v>65535</v>
      </c>
      <c r="I787" s="44">
        <v>0</v>
      </c>
      <c r="J787" s="48">
        <v>0</v>
      </c>
      <c r="K787" s="48">
        <v>0</v>
      </c>
      <c r="L787" s="48" t="s">
        <v>861</v>
      </c>
      <c r="M787" s="48">
        <v>0.1</v>
      </c>
      <c r="N787" s="48" t="s">
        <v>1602</v>
      </c>
      <c r="O787" s="48">
        <v>0</v>
      </c>
      <c r="P787" s="44">
        <v>1</v>
      </c>
      <c r="Q787" s="48">
        <v>0</v>
      </c>
      <c r="R787" s="48">
        <v>5</v>
      </c>
      <c r="S787" s="48">
        <v>0</v>
      </c>
      <c r="T787" s="48"/>
      <c r="V787" s="49" t="str">
        <f t="shared" si="122"/>
        <v>10</v>
      </c>
      <c r="W787" s="49" t="str">
        <f t="shared" si="123"/>
        <v>1</v>
      </c>
      <c r="X787" s="49" t="str">
        <f t="shared" si="124"/>
        <v>0</v>
      </c>
      <c r="Y787" s="49">
        <f t="shared" si="125"/>
        <v>0</v>
      </c>
      <c r="Z787" s="49">
        <f t="shared" si="125"/>
        <v>1</v>
      </c>
      <c r="AA787" s="49">
        <f t="shared" si="126"/>
        <v>0</v>
      </c>
      <c r="AB787" s="49" t="str">
        <f t="shared" si="127"/>
        <v>101</v>
      </c>
      <c r="AC787" s="49">
        <f t="shared" si="128"/>
        <v>0</v>
      </c>
      <c r="AD787" s="49">
        <v>0</v>
      </c>
      <c r="AE787" s="49" t="str">
        <f t="shared" si="129"/>
        <v>32A0E</v>
      </c>
    </row>
    <row r="788" spans="1:31" ht="14.45" customHeight="1" x14ac:dyDescent="0.15">
      <c r="A788" s="42" t="str">
        <f t="shared" si="121"/>
        <v>0</v>
      </c>
      <c r="B788" s="43">
        <v>786</v>
      </c>
      <c r="C788" s="44" t="s">
        <v>1559</v>
      </c>
      <c r="D788" s="25" t="s">
        <v>848</v>
      </c>
      <c r="E788" s="45" t="s">
        <v>713</v>
      </c>
      <c r="F788" s="46" t="s">
        <v>1146</v>
      </c>
      <c r="G788" s="47">
        <v>0</v>
      </c>
      <c r="H788" s="48">
        <v>10000</v>
      </c>
      <c r="I788" s="44">
        <v>0</v>
      </c>
      <c r="J788" s="48">
        <v>0</v>
      </c>
      <c r="K788" s="48">
        <v>0</v>
      </c>
      <c r="L788" s="48" t="s">
        <v>861</v>
      </c>
      <c r="M788" s="48">
        <v>1</v>
      </c>
      <c r="N788" s="48" t="s">
        <v>1688</v>
      </c>
      <c r="O788" s="48">
        <v>0</v>
      </c>
      <c r="P788" s="44">
        <v>1</v>
      </c>
      <c r="Q788" s="48">
        <v>0</v>
      </c>
      <c r="R788" s="48">
        <v>5</v>
      </c>
      <c r="S788" s="48">
        <v>0</v>
      </c>
      <c r="T788" s="48"/>
      <c r="V788" s="49" t="str">
        <f t="shared" si="122"/>
        <v>10</v>
      </c>
      <c r="W788" s="49" t="str">
        <f t="shared" si="123"/>
        <v>0</v>
      </c>
      <c r="X788" s="49" t="str">
        <f t="shared" si="124"/>
        <v>0</v>
      </c>
      <c r="Y788" s="49">
        <f t="shared" si="125"/>
        <v>0</v>
      </c>
      <c r="Z788" s="49">
        <f t="shared" si="125"/>
        <v>1</v>
      </c>
      <c r="AA788" s="49">
        <f t="shared" si="126"/>
        <v>0</v>
      </c>
      <c r="AB788" s="49" t="str">
        <f t="shared" si="127"/>
        <v>101</v>
      </c>
      <c r="AC788" s="49">
        <f t="shared" si="128"/>
        <v>0</v>
      </c>
      <c r="AD788" s="49">
        <v>0</v>
      </c>
      <c r="AE788" s="49" t="str">
        <f t="shared" si="129"/>
        <v>32A0A</v>
      </c>
    </row>
    <row r="789" spans="1:31" ht="14.45" customHeight="1" x14ac:dyDescent="0.15">
      <c r="A789" s="42" t="str">
        <f t="shared" si="121"/>
        <v>0</v>
      </c>
      <c r="B789" s="43">
        <v>787</v>
      </c>
      <c r="C789" s="44" t="s">
        <v>1560</v>
      </c>
      <c r="D789" s="25" t="s">
        <v>849</v>
      </c>
      <c r="E789" s="45" t="s">
        <v>714</v>
      </c>
      <c r="F789" s="81" t="s">
        <v>715</v>
      </c>
      <c r="G789" s="47">
        <v>0</v>
      </c>
      <c r="H789" s="48">
        <v>1000</v>
      </c>
      <c r="I789" s="82" t="s">
        <v>716</v>
      </c>
      <c r="J789" s="48">
        <v>0</v>
      </c>
      <c r="K789" s="48">
        <v>0</v>
      </c>
      <c r="L789" s="48" t="s">
        <v>861</v>
      </c>
      <c r="M789" s="48">
        <v>0.1</v>
      </c>
      <c r="N789" s="48" t="s">
        <v>863</v>
      </c>
      <c r="O789" s="48">
        <v>0</v>
      </c>
      <c r="P789" s="44">
        <v>1</v>
      </c>
      <c r="Q789" s="48">
        <v>0</v>
      </c>
      <c r="R789" s="48">
        <v>4</v>
      </c>
      <c r="S789" s="48">
        <v>1</v>
      </c>
      <c r="T789" s="48"/>
      <c r="V789" s="49" t="str">
        <f t="shared" si="122"/>
        <v>10</v>
      </c>
      <c r="W789" s="49" t="str">
        <f t="shared" si="123"/>
        <v>1</v>
      </c>
      <c r="X789" s="49" t="str">
        <f t="shared" si="124"/>
        <v>0</v>
      </c>
      <c r="Y789" s="49">
        <f t="shared" si="125"/>
        <v>0</v>
      </c>
      <c r="Z789" s="49">
        <f t="shared" si="125"/>
        <v>1</v>
      </c>
      <c r="AA789" s="49">
        <f t="shared" si="126"/>
        <v>0</v>
      </c>
      <c r="AB789" s="49" t="str">
        <f t="shared" si="127"/>
        <v>100</v>
      </c>
      <c r="AC789" s="49">
        <f t="shared" si="128"/>
        <v>1</v>
      </c>
      <c r="AD789" s="49">
        <v>0</v>
      </c>
      <c r="AE789" s="49" t="str">
        <f t="shared" si="129"/>
        <v>3620E</v>
      </c>
    </row>
    <row r="790" spans="1:31" ht="14.45" customHeight="1" x14ac:dyDescent="0.15">
      <c r="A790" s="42" t="str">
        <f t="shared" si="121"/>
        <v>0</v>
      </c>
      <c r="B790" s="43">
        <v>788</v>
      </c>
      <c r="C790" s="44" t="s">
        <v>1561</v>
      </c>
      <c r="D790" s="25" t="s">
        <v>850</v>
      </c>
      <c r="E790" s="45" t="s">
        <v>1245</v>
      </c>
      <c r="F790" s="81" t="s">
        <v>717</v>
      </c>
      <c r="G790" s="47">
        <v>0</v>
      </c>
      <c r="H790" s="48">
        <v>1000</v>
      </c>
      <c r="I790" s="82" t="s">
        <v>1525</v>
      </c>
      <c r="J790" s="48">
        <v>0</v>
      </c>
      <c r="K790" s="48">
        <v>0</v>
      </c>
      <c r="L790" s="48" t="s">
        <v>861</v>
      </c>
      <c r="M790" s="48">
        <v>0.1</v>
      </c>
      <c r="N790" s="48" t="s">
        <v>863</v>
      </c>
      <c r="O790" s="48">
        <v>0</v>
      </c>
      <c r="P790" s="44">
        <v>1</v>
      </c>
      <c r="Q790" s="48">
        <v>0</v>
      </c>
      <c r="R790" s="48">
        <v>4</v>
      </c>
      <c r="S790" s="48">
        <v>1</v>
      </c>
      <c r="T790" s="48"/>
    </row>
    <row r="791" spans="1:31" ht="14.45" customHeight="1" x14ac:dyDescent="0.15">
      <c r="A791" s="42" t="str">
        <f t="shared" si="121"/>
        <v>0</v>
      </c>
      <c r="B791" s="43">
        <v>789</v>
      </c>
      <c r="C791" s="44" t="s">
        <v>1562</v>
      </c>
      <c r="D791" s="25" t="s">
        <v>851</v>
      </c>
      <c r="E791" s="45" t="s">
        <v>1246</v>
      </c>
      <c r="F791" s="46" t="s">
        <v>1147</v>
      </c>
      <c r="G791" s="47">
        <v>0</v>
      </c>
      <c r="H791" s="48" t="s">
        <v>1002</v>
      </c>
      <c r="I791" s="44">
        <v>0</v>
      </c>
      <c r="J791" s="48">
        <v>0</v>
      </c>
      <c r="K791" s="48">
        <v>0</v>
      </c>
      <c r="L791" s="48" t="s">
        <v>861</v>
      </c>
      <c r="M791" s="48">
        <v>1</v>
      </c>
      <c r="N791" s="48" t="s">
        <v>1004</v>
      </c>
      <c r="O791" s="48">
        <v>1</v>
      </c>
      <c r="P791" s="44">
        <v>1</v>
      </c>
      <c r="Q791" s="48">
        <v>0</v>
      </c>
      <c r="R791" s="48">
        <v>4</v>
      </c>
      <c r="S791" s="48">
        <v>0</v>
      </c>
      <c r="T791" s="48"/>
    </row>
    <row r="792" spans="1:31" ht="24" x14ac:dyDescent="0.15">
      <c r="A792" s="42" t="str">
        <f t="shared" si="121"/>
        <v>0</v>
      </c>
      <c r="B792" s="43">
        <v>790</v>
      </c>
      <c r="C792" s="44" t="s">
        <v>1563</v>
      </c>
      <c r="D792" s="25" t="s">
        <v>852</v>
      </c>
      <c r="E792" s="45" t="s">
        <v>1247</v>
      </c>
      <c r="F792" s="46" t="s">
        <v>1147</v>
      </c>
      <c r="G792" s="47">
        <v>0</v>
      </c>
      <c r="H792" s="48" t="s">
        <v>1002</v>
      </c>
      <c r="I792" s="44">
        <v>0</v>
      </c>
      <c r="J792" s="48">
        <v>0</v>
      </c>
      <c r="K792" s="48">
        <v>0</v>
      </c>
      <c r="L792" s="48" t="s">
        <v>861</v>
      </c>
      <c r="M792" s="48">
        <v>1</v>
      </c>
      <c r="N792" s="48" t="s">
        <v>1004</v>
      </c>
      <c r="O792" s="48">
        <v>1</v>
      </c>
      <c r="P792" s="44">
        <v>1</v>
      </c>
      <c r="Q792" s="48">
        <v>0</v>
      </c>
      <c r="R792" s="48">
        <v>4</v>
      </c>
      <c r="S792" s="48">
        <v>0</v>
      </c>
      <c r="T792" s="48"/>
    </row>
    <row r="793" spans="1:31" ht="14.45" customHeight="1" x14ac:dyDescent="0.15">
      <c r="A793" s="42" t="str">
        <f t="shared" si="121"/>
        <v>0</v>
      </c>
      <c r="B793" s="43">
        <v>791</v>
      </c>
      <c r="C793" s="44" t="s">
        <v>1564</v>
      </c>
      <c r="D793" s="25" t="s">
        <v>853</v>
      </c>
      <c r="E793" s="45" t="s">
        <v>1248</v>
      </c>
      <c r="F793" s="46" t="s">
        <v>1142</v>
      </c>
      <c r="G793" s="47">
        <v>0</v>
      </c>
      <c r="H793" s="48">
        <v>65535</v>
      </c>
      <c r="I793" s="44">
        <v>0</v>
      </c>
      <c r="J793" s="48">
        <v>0</v>
      </c>
      <c r="K793" s="48">
        <v>0</v>
      </c>
      <c r="L793" s="48" t="s">
        <v>861</v>
      </c>
      <c r="M793" s="48">
        <v>1</v>
      </c>
      <c r="N793" s="48" t="s">
        <v>1007</v>
      </c>
      <c r="O793" s="48">
        <v>0</v>
      </c>
      <c r="P793" s="44">
        <v>1</v>
      </c>
      <c r="Q793" s="48">
        <v>0</v>
      </c>
      <c r="R793" s="48">
        <v>5</v>
      </c>
      <c r="S793" s="48">
        <v>0</v>
      </c>
      <c r="T793" s="48"/>
    </row>
    <row r="794" spans="1:31" ht="14.45" customHeight="1" x14ac:dyDescent="0.15">
      <c r="A794" s="42" t="str">
        <f t="shared" si="121"/>
        <v>0</v>
      </c>
      <c r="B794" s="43">
        <v>792</v>
      </c>
      <c r="C794" s="44" t="s">
        <v>1565</v>
      </c>
      <c r="D794" s="25" t="s">
        <v>1148</v>
      </c>
      <c r="E794" s="45" t="s">
        <v>1249</v>
      </c>
      <c r="F794" s="46" t="s">
        <v>1149</v>
      </c>
      <c r="G794" s="47">
        <v>0</v>
      </c>
      <c r="H794" s="48">
        <v>99</v>
      </c>
      <c r="I794" s="44">
        <v>0</v>
      </c>
      <c r="J794" s="48">
        <v>0</v>
      </c>
      <c r="K794" s="48">
        <v>0</v>
      </c>
      <c r="L794" s="48" t="s">
        <v>861</v>
      </c>
      <c r="M794" s="48">
        <v>1</v>
      </c>
      <c r="N794" s="48" t="s">
        <v>1004</v>
      </c>
      <c r="O794" s="48">
        <v>0</v>
      </c>
      <c r="P794" s="44">
        <v>1</v>
      </c>
      <c r="Q794" s="48">
        <v>0</v>
      </c>
      <c r="R794" s="48">
        <v>2</v>
      </c>
      <c r="S794" s="48">
        <v>0</v>
      </c>
      <c r="T794" s="48"/>
    </row>
    <row r="795" spans="1:31" ht="14.45" customHeight="1" x14ac:dyDescent="0.15">
      <c r="A795" s="42" t="str">
        <f t="shared" si="121"/>
        <v>0</v>
      </c>
      <c r="B795" s="43">
        <v>793</v>
      </c>
      <c r="C795" s="44" t="s">
        <v>1566</v>
      </c>
      <c r="D795" s="25" t="s">
        <v>1150</v>
      </c>
      <c r="E795" s="45" t="s">
        <v>1250</v>
      </c>
      <c r="F795" s="46" t="s">
        <v>1022</v>
      </c>
      <c r="G795" s="47">
        <v>0</v>
      </c>
      <c r="H795" s="48">
        <v>60000</v>
      </c>
      <c r="I795" s="44">
        <v>0</v>
      </c>
      <c r="J795" s="48">
        <v>0</v>
      </c>
      <c r="K795" s="48">
        <v>0</v>
      </c>
      <c r="L795" s="48" t="s">
        <v>861</v>
      </c>
      <c r="M795" s="48">
        <v>0.01</v>
      </c>
      <c r="N795" s="48" t="s">
        <v>1006</v>
      </c>
      <c r="O795" s="48">
        <v>0</v>
      </c>
      <c r="P795" s="44">
        <v>1</v>
      </c>
      <c r="Q795" s="48">
        <v>0</v>
      </c>
      <c r="R795" s="48">
        <v>5</v>
      </c>
      <c r="S795" s="48">
        <v>0</v>
      </c>
      <c r="T795" s="48"/>
    </row>
    <row r="796" spans="1:31" ht="14.45" customHeight="1" x14ac:dyDescent="0.15">
      <c r="A796" s="42" t="str">
        <f t="shared" si="121"/>
        <v>0</v>
      </c>
      <c r="B796" s="43">
        <v>794</v>
      </c>
      <c r="C796" s="44" t="s">
        <v>1567</v>
      </c>
      <c r="D796" s="25" t="s">
        <v>1151</v>
      </c>
      <c r="E796" s="45" t="s">
        <v>1251</v>
      </c>
      <c r="F796" s="46" t="s">
        <v>1052</v>
      </c>
      <c r="G796" s="47">
        <v>0</v>
      </c>
      <c r="H796" s="48">
        <v>65535</v>
      </c>
      <c r="I796" s="44">
        <v>0</v>
      </c>
      <c r="J796" s="48">
        <v>0</v>
      </c>
      <c r="K796" s="48">
        <v>0</v>
      </c>
      <c r="L796" s="48" t="s">
        <v>861</v>
      </c>
      <c r="M796" s="48">
        <v>0.1</v>
      </c>
      <c r="N796" s="48" t="s">
        <v>1005</v>
      </c>
      <c r="O796" s="48">
        <v>0</v>
      </c>
      <c r="P796" s="44">
        <v>1</v>
      </c>
      <c r="Q796" s="48">
        <v>0</v>
      </c>
      <c r="R796" s="48">
        <v>5</v>
      </c>
      <c r="S796" s="48">
        <v>0</v>
      </c>
      <c r="T796" s="48"/>
    </row>
    <row r="797" spans="1:31" ht="14.45" customHeight="1" x14ac:dyDescent="0.15">
      <c r="A797" s="42" t="str">
        <f t="shared" si="121"/>
        <v>0</v>
      </c>
      <c r="B797" s="43">
        <v>795</v>
      </c>
      <c r="C797" s="44" t="s">
        <v>1568</v>
      </c>
      <c r="D797" s="25" t="s">
        <v>1152</v>
      </c>
      <c r="E797" s="45" t="s">
        <v>1252</v>
      </c>
      <c r="F797" s="46" t="s">
        <v>1146</v>
      </c>
      <c r="G797" s="47">
        <v>0</v>
      </c>
      <c r="H797" s="48">
        <v>10000</v>
      </c>
      <c r="I797" s="44">
        <v>0</v>
      </c>
      <c r="J797" s="48">
        <v>0</v>
      </c>
      <c r="K797" s="48">
        <v>0</v>
      </c>
      <c r="L797" s="48" t="s">
        <v>861</v>
      </c>
      <c r="M797" s="48">
        <v>1</v>
      </c>
      <c r="N797" s="48" t="s">
        <v>1009</v>
      </c>
      <c r="O797" s="48">
        <v>0</v>
      </c>
      <c r="P797" s="44">
        <v>1</v>
      </c>
      <c r="Q797" s="48">
        <v>0</v>
      </c>
      <c r="R797" s="48">
        <v>5</v>
      </c>
      <c r="S797" s="48">
        <v>0</v>
      </c>
      <c r="T797" s="48"/>
    </row>
    <row r="798" spans="1:31" ht="14.45" customHeight="1" x14ac:dyDescent="0.15">
      <c r="A798" s="42" t="str">
        <f t="shared" si="121"/>
        <v>0</v>
      </c>
      <c r="B798" s="43">
        <v>796</v>
      </c>
      <c r="C798" s="44" t="s">
        <v>1569</v>
      </c>
      <c r="D798" s="25" t="s">
        <v>1153</v>
      </c>
      <c r="E798" s="45" t="s">
        <v>1253</v>
      </c>
      <c r="F798" s="81" t="s">
        <v>717</v>
      </c>
      <c r="G798" s="47">
        <v>0</v>
      </c>
      <c r="H798" s="48">
        <v>1000</v>
      </c>
      <c r="I798" s="82" t="s">
        <v>1525</v>
      </c>
      <c r="J798" s="48">
        <v>0</v>
      </c>
      <c r="K798" s="48">
        <v>0</v>
      </c>
      <c r="L798" s="48" t="s">
        <v>861</v>
      </c>
      <c r="M798" s="48">
        <v>0.1</v>
      </c>
      <c r="N798" s="48" t="s">
        <v>863</v>
      </c>
      <c r="O798" s="48">
        <v>0</v>
      </c>
      <c r="P798" s="44">
        <v>1</v>
      </c>
      <c r="Q798" s="48">
        <v>0</v>
      </c>
      <c r="R798" s="48">
        <v>4</v>
      </c>
      <c r="S798" s="48">
        <v>1</v>
      </c>
      <c r="T798" s="48"/>
    </row>
    <row r="799" spans="1:31" ht="14.45" customHeight="1" x14ac:dyDescent="0.15">
      <c r="A799" s="42" t="str">
        <f t="shared" si="121"/>
        <v>0</v>
      </c>
      <c r="B799" s="43">
        <v>797</v>
      </c>
      <c r="C799" s="44" t="s">
        <v>1570</v>
      </c>
      <c r="D799" s="25" t="s">
        <v>1154</v>
      </c>
      <c r="E799" s="45" t="s">
        <v>1254</v>
      </c>
      <c r="F799" s="81" t="s">
        <v>717</v>
      </c>
      <c r="G799" s="47">
        <v>0</v>
      </c>
      <c r="H799" s="48">
        <v>1000</v>
      </c>
      <c r="I799" s="82" t="s">
        <v>1525</v>
      </c>
      <c r="J799" s="48">
        <v>0</v>
      </c>
      <c r="K799" s="48">
        <v>0</v>
      </c>
      <c r="L799" s="48" t="s">
        <v>861</v>
      </c>
      <c r="M799" s="48">
        <v>0.1</v>
      </c>
      <c r="N799" s="48" t="s">
        <v>863</v>
      </c>
      <c r="O799" s="48">
        <v>0</v>
      </c>
      <c r="P799" s="44">
        <v>1</v>
      </c>
      <c r="Q799" s="48">
        <v>0</v>
      </c>
      <c r="R799" s="48">
        <v>4</v>
      </c>
      <c r="S799" s="48">
        <v>1</v>
      </c>
      <c r="T799" s="48"/>
    </row>
    <row r="800" spans="1:31" ht="14.45" customHeight="1" x14ac:dyDescent="0.15">
      <c r="A800" s="42" t="str">
        <f t="shared" si="121"/>
        <v>0</v>
      </c>
      <c r="B800" s="43">
        <v>798</v>
      </c>
      <c r="C800" s="44" t="s">
        <v>1571</v>
      </c>
      <c r="D800" s="25" t="s">
        <v>1155</v>
      </c>
      <c r="E800" s="45" t="s">
        <v>1255</v>
      </c>
      <c r="F800" s="46" t="s">
        <v>1147</v>
      </c>
      <c r="G800" s="47">
        <v>0</v>
      </c>
      <c r="H800" s="48" t="s">
        <v>1002</v>
      </c>
      <c r="I800" s="44">
        <v>0</v>
      </c>
      <c r="J800" s="48">
        <v>0</v>
      </c>
      <c r="K800" s="48">
        <v>0</v>
      </c>
      <c r="L800" s="48" t="s">
        <v>861</v>
      </c>
      <c r="M800" s="48">
        <v>1</v>
      </c>
      <c r="N800" s="48" t="s">
        <v>1004</v>
      </c>
      <c r="O800" s="48">
        <v>1</v>
      </c>
      <c r="P800" s="44">
        <v>1</v>
      </c>
      <c r="Q800" s="48">
        <v>0</v>
      </c>
      <c r="R800" s="48">
        <v>4</v>
      </c>
      <c r="S800" s="48">
        <v>0</v>
      </c>
      <c r="T800" s="48"/>
    </row>
    <row r="801" spans="1:20" x14ac:dyDescent="0.15">
      <c r="A801" s="42" t="str">
        <f t="shared" si="121"/>
        <v>0</v>
      </c>
      <c r="B801" s="43">
        <v>799</v>
      </c>
      <c r="C801" s="44" t="s">
        <v>1572</v>
      </c>
      <c r="D801" s="25" t="s">
        <v>1156</v>
      </c>
      <c r="E801" s="45" t="s">
        <v>1256</v>
      </c>
      <c r="F801" s="46" t="s">
        <v>1147</v>
      </c>
      <c r="G801" s="47">
        <v>0</v>
      </c>
      <c r="H801" s="48" t="s">
        <v>1002</v>
      </c>
      <c r="I801" s="44">
        <v>0</v>
      </c>
      <c r="J801" s="48">
        <v>0</v>
      </c>
      <c r="K801" s="48">
        <v>0</v>
      </c>
      <c r="L801" s="48" t="s">
        <v>861</v>
      </c>
      <c r="M801" s="48">
        <v>1</v>
      </c>
      <c r="N801" s="48" t="s">
        <v>1004</v>
      </c>
      <c r="O801" s="48">
        <v>1</v>
      </c>
      <c r="P801" s="44">
        <v>1</v>
      </c>
      <c r="Q801" s="48">
        <v>0</v>
      </c>
      <c r="R801" s="48">
        <v>4</v>
      </c>
      <c r="S801" s="48">
        <v>0</v>
      </c>
      <c r="T801" s="48"/>
    </row>
    <row r="802" spans="1:20" ht="14.45" customHeight="1" x14ac:dyDescent="0.15">
      <c r="A802" s="42" t="str">
        <f t="shared" si="121"/>
        <v>0</v>
      </c>
      <c r="B802" s="43">
        <v>800</v>
      </c>
      <c r="C802" s="44" t="s">
        <v>1573</v>
      </c>
      <c r="D802" s="25" t="s">
        <v>1157</v>
      </c>
      <c r="E802" s="45" t="s">
        <v>1257</v>
      </c>
      <c r="F802" s="46" t="s">
        <v>1142</v>
      </c>
      <c r="G802" s="47">
        <v>0</v>
      </c>
      <c r="H802" s="48">
        <v>65535</v>
      </c>
      <c r="I802" s="44">
        <v>0</v>
      </c>
      <c r="J802" s="48">
        <v>0</v>
      </c>
      <c r="K802" s="48">
        <v>0</v>
      </c>
      <c r="L802" s="48" t="s">
        <v>861</v>
      </c>
      <c r="M802" s="48">
        <v>1</v>
      </c>
      <c r="N802" s="48" t="s">
        <v>1007</v>
      </c>
      <c r="O802" s="48">
        <v>0</v>
      </c>
      <c r="P802" s="44">
        <v>1</v>
      </c>
      <c r="Q802" s="48">
        <v>0</v>
      </c>
      <c r="R802" s="48">
        <v>5</v>
      </c>
      <c r="S802" s="48">
        <v>0</v>
      </c>
      <c r="T802" s="48"/>
    </row>
    <row r="803" spans="1:20" ht="14.45" customHeight="1" x14ac:dyDescent="0.15">
      <c r="A803" s="42" t="str">
        <f t="shared" si="121"/>
        <v>0</v>
      </c>
      <c r="B803" s="43">
        <v>801</v>
      </c>
      <c r="C803" s="44" t="s">
        <v>1574</v>
      </c>
      <c r="D803" s="25" t="s">
        <v>1158</v>
      </c>
      <c r="E803" s="45" t="s">
        <v>1258</v>
      </c>
      <c r="F803" s="46" t="s">
        <v>1149</v>
      </c>
      <c r="G803" s="47">
        <v>0</v>
      </c>
      <c r="H803" s="48">
        <v>99</v>
      </c>
      <c r="I803" s="44">
        <v>0</v>
      </c>
      <c r="J803" s="48">
        <v>0</v>
      </c>
      <c r="K803" s="48">
        <v>0</v>
      </c>
      <c r="L803" s="48" t="s">
        <v>861</v>
      </c>
      <c r="M803" s="48">
        <v>1</v>
      </c>
      <c r="N803" s="48" t="s">
        <v>1004</v>
      </c>
      <c r="O803" s="48">
        <v>0</v>
      </c>
      <c r="P803" s="44">
        <v>1</v>
      </c>
      <c r="Q803" s="48">
        <v>0</v>
      </c>
      <c r="R803" s="48">
        <v>2</v>
      </c>
      <c r="S803" s="48">
        <v>0</v>
      </c>
      <c r="T803" s="48"/>
    </row>
    <row r="804" spans="1:20" ht="14.45" customHeight="1" x14ac:dyDescent="0.15">
      <c r="A804" s="42" t="str">
        <f t="shared" si="121"/>
        <v>0</v>
      </c>
      <c r="B804" s="43">
        <v>802</v>
      </c>
      <c r="C804" s="44" t="s">
        <v>1575</v>
      </c>
      <c r="D804" s="25" t="s">
        <v>1159</v>
      </c>
      <c r="E804" s="45" t="s">
        <v>1259</v>
      </c>
      <c r="F804" s="46" t="s">
        <v>1022</v>
      </c>
      <c r="G804" s="47">
        <v>0</v>
      </c>
      <c r="H804" s="48">
        <v>60000</v>
      </c>
      <c r="I804" s="44">
        <v>0</v>
      </c>
      <c r="J804" s="48">
        <v>0</v>
      </c>
      <c r="K804" s="48">
        <v>0</v>
      </c>
      <c r="L804" s="48" t="s">
        <v>861</v>
      </c>
      <c r="M804" s="48">
        <v>0.01</v>
      </c>
      <c r="N804" s="48" t="s">
        <v>1006</v>
      </c>
      <c r="O804" s="48">
        <v>0</v>
      </c>
      <c r="P804" s="44">
        <v>1</v>
      </c>
      <c r="Q804" s="48">
        <v>0</v>
      </c>
      <c r="R804" s="48">
        <v>5</v>
      </c>
      <c r="S804" s="48">
        <v>0</v>
      </c>
      <c r="T804" s="48"/>
    </row>
    <row r="805" spans="1:20" ht="14.45" customHeight="1" x14ac:dyDescent="0.15">
      <c r="A805" s="42" t="str">
        <f t="shared" si="121"/>
        <v>0</v>
      </c>
      <c r="B805" s="43">
        <v>803</v>
      </c>
      <c r="C805" s="44" t="s">
        <v>1576</v>
      </c>
      <c r="D805" s="25" t="s">
        <v>1160</v>
      </c>
      <c r="E805" s="45" t="s">
        <v>1260</v>
      </c>
      <c r="F805" s="46" t="s">
        <v>1052</v>
      </c>
      <c r="G805" s="47">
        <v>0</v>
      </c>
      <c r="H805" s="48">
        <v>65535</v>
      </c>
      <c r="I805" s="44">
        <v>0</v>
      </c>
      <c r="J805" s="48">
        <v>0</v>
      </c>
      <c r="K805" s="48">
        <v>0</v>
      </c>
      <c r="L805" s="48" t="s">
        <v>861</v>
      </c>
      <c r="M805" s="48">
        <v>0.1</v>
      </c>
      <c r="N805" s="48" t="s">
        <v>1005</v>
      </c>
      <c r="O805" s="48">
        <v>0</v>
      </c>
      <c r="P805" s="44">
        <v>1</v>
      </c>
      <c r="Q805" s="48">
        <v>0</v>
      </c>
      <c r="R805" s="48">
        <v>5</v>
      </c>
      <c r="S805" s="48">
        <v>0</v>
      </c>
      <c r="T805" s="48"/>
    </row>
    <row r="806" spans="1:20" ht="14.45" customHeight="1" x14ac:dyDescent="0.15">
      <c r="A806" s="42" t="str">
        <f t="shared" si="121"/>
        <v>0</v>
      </c>
      <c r="B806" s="43">
        <v>804</v>
      </c>
      <c r="C806" s="44" t="s">
        <v>1577</v>
      </c>
      <c r="D806" s="25" t="s">
        <v>1161</v>
      </c>
      <c r="E806" s="45" t="s">
        <v>1261</v>
      </c>
      <c r="F806" s="46" t="s">
        <v>1146</v>
      </c>
      <c r="G806" s="47">
        <v>0</v>
      </c>
      <c r="H806" s="48">
        <v>10000</v>
      </c>
      <c r="I806" s="44">
        <v>0</v>
      </c>
      <c r="J806" s="48">
        <v>0</v>
      </c>
      <c r="K806" s="48">
        <v>0</v>
      </c>
      <c r="L806" s="48" t="s">
        <v>861</v>
      </c>
      <c r="M806" s="48">
        <v>1</v>
      </c>
      <c r="N806" s="48" t="s">
        <v>1009</v>
      </c>
      <c r="O806" s="48">
        <v>0</v>
      </c>
      <c r="P806" s="44">
        <v>1</v>
      </c>
      <c r="Q806" s="48">
        <v>0</v>
      </c>
      <c r="R806" s="48">
        <v>5</v>
      </c>
      <c r="S806" s="48">
        <v>0</v>
      </c>
      <c r="T806" s="48"/>
    </row>
    <row r="807" spans="1:20" ht="14.45" customHeight="1" x14ac:dyDescent="0.15">
      <c r="A807" s="42" t="str">
        <f t="shared" si="121"/>
        <v>0</v>
      </c>
      <c r="B807" s="43">
        <v>805</v>
      </c>
      <c r="C807" s="44" t="s">
        <v>1578</v>
      </c>
      <c r="D807" s="25" t="s">
        <v>1162</v>
      </c>
      <c r="E807" s="45" t="s">
        <v>1262</v>
      </c>
      <c r="F807" s="81" t="s">
        <v>717</v>
      </c>
      <c r="G807" s="47">
        <v>0</v>
      </c>
      <c r="H807" s="48">
        <v>1000</v>
      </c>
      <c r="I807" s="82" t="s">
        <v>1525</v>
      </c>
      <c r="J807" s="48">
        <v>0</v>
      </c>
      <c r="K807" s="48">
        <v>0</v>
      </c>
      <c r="L807" s="48" t="s">
        <v>861</v>
      </c>
      <c r="M807" s="48">
        <v>0.1</v>
      </c>
      <c r="N807" s="48" t="s">
        <v>863</v>
      </c>
      <c r="O807" s="48">
        <v>0</v>
      </c>
      <c r="P807" s="44">
        <v>1</v>
      </c>
      <c r="Q807" s="48">
        <v>0</v>
      </c>
      <c r="R807" s="48">
        <v>4</v>
      </c>
      <c r="S807" s="48">
        <v>1</v>
      </c>
      <c r="T807" s="48"/>
    </row>
    <row r="808" spans="1:20" ht="14.45" customHeight="1" x14ac:dyDescent="0.15">
      <c r="A808" s="42" t="str">
        <f t="shared" si="121"/>
        <v>0</v>
      </c>
      <c r="B808" s="43">
        <v>806</v>
      </c>
      <c r="C808" s="44" t="s">
        <v>1579</v>
      </c>
      <c r="D808" s="25" t="s">
        <v>1163</v>
      </c>
      <c r="E808" s="45" t="s">
        <v>1263</v>
      </c>
      <c r="F808" s="81" t="s">
        <v>717</v>
      </c>
      <c r="G808" s="47">
        <v>0</v>
      </c>
      <c r="H808" s="48">
        <v>1000</v>
      </c>
      <c r="I808" s="82" t="s">
        <v>1525</v>
      </c>
      <c r="J808" s="48">
        <v>0</v>
      </c>
      <c r="K808" s="48">
        <v>0</v>
      </c>
      <c r="L808" s="48" t="s">
        <v>861</v>
      </c>
      <c r="M808" s="48">
        <v>0.1</v>
      </c>
      <c r="N808" s="48" t="s">
        <v>863</v>
      </c>
      <c r="O808" s="48">
        <v>0</v>
      </c>
      <c r="P808" s="44">
        <v>1</v>
      </c>
      <c r="Q808" s="48">
        <v>0</v>
      </c>
      <c r="R808" s="48">
        <v>4</v>
      </c>
      <c r="S808" s="48">
        <v>1</v>
      </c>
      <c r="T808" s="48"/>
    </row>
    <row r="809" spans="1:20" ht="14.45" customHeight="1" x14ac:dyDescent="0.15">
      <c r="A809" s="42" t="str">
        <f t="shared" si="121"/>
        <v>0</v>
      </c>
      <c r="B809" s="43">
        <v>807</v>
      </c>
      <c r="C809" s="44" t="s">
        <v>1580</v>
      </c>
      <c r="D809" s="25" t="s">
        <v>1164</v>
      </c>
      <c r="E809" s="45" t="s">
        <v>1264</v>
      </c>
      <c r="F809" s="46" t="s">
        <v>1147</v>
      </c>
      <c r="G809" s="47">
        <v>0</v>
      </c>
      <c r="H809" s="48" t="s">
        <v>1002</v>
      </c>
      <c r="I809" s="44">
        <v>0</v>
      </c>
      <c r="J809" s="48">
        <v>0</v>
      </c>
      <c r="K809" s="48">
        <v>0</v>
      </c>
      <c r="L809" s="48" t="s">
        <v>861</v>
      </c>
      <c r="M809" s="48">
        <v>1</v>
      </c>
      <c r="N809" s="48" t="s">
        <v>1004</v>
      </c>
      <c r="O809" s="48">
        <v>1</v>
      </c>
      <c r="P809" s="44">
        <v>1</v>
      </c>
      <c r="Q809" s="48">
        <v>0</v>
      </c>
      <c r="R809" s="48">
        <v>4</v>
      </c>
      <c r="S809" s="48">
        <v>0</v>
      </c>
      <c r="T809" s="48"/>
    </row>
    <row r="810" spans="1:20" x14ac:dyDescent="0.15">
      <c r="A810" s="42" t="str">
        <f t="shared" si="121"/>
        <v>0</v>
      </c>
      <c r="B810" s="43">
        <v>808</v>
      </c>
      <c r="C810" s="44" t="s">
        <v>1581</v>
      </c>
      <c r="D810" s="25" t="s">
        <v>1165</v>
      </c>
      <c r="E810" s="45" t="s">
        <v>1265</v>
      </c>
      <c r="F810" s="46" t="s">
        <v>1147</v>
      </c>
      <c r="G810" s="47">
        <v>0</v>
      </c>
      <c r="H810" s="48" t="s">
        <v>1002</v>
      </c>
      <c r="I810" s="44">
        <v>0</v>
      </c>
      <c r="J810" s="48">
        <v>0</v>
      </c>
      <c r="K810" s="48">
        <v>0</v>
      </c>
      <c r="L810" s="48" t="s">
        <v>861</v>
      </c>
      <c r="M810" s="48">
        <v>1</v>
      </c>
      <c r="N810" s="48" t="s">
        <v>1004</v>
      </c>
      <c r="O810" s="48">
        <v>1</v>
      </c>
      <c r="P810" s="44">
        <v>1</v>
      </c>
      <c r="Q810" s="48">
        <v>0</v>
      </c>
      <c r="R810" s="48">
        <v>4</v>
      </c>
      <c r="S810" s="48">
        <v>0</v>
      </c>
      <c r="T810" s="48"/>
    </row>
    <row r="811" spans="1:20" x14ac:dyDescent="0.15">
      <c r="A811" s="42" t="str">
        <f t="shared" si="121"/>
        <v>0</v>
      </c>
      <c r="B811" s="43">
        <v>809</v>
      </c>
      <c r="C811" s="44" t="s">
        <v>1582</v>
      </c>
      <c r="D811" s="25" t="s">
        <v>1166</v>
      </c>
      <c r="E811" s="45" t="s">
        <v>1167</v>
      </c>
      <c r="F811" s="46" t="s">
        <v>1142</v>
      </c>
      <c r="G811" s="47">
        <v>0</v>
      </c>
      <c r="H811" s="48">
        <v>65535</v>
      </c>
      <c r="I811" s="44">
        <v>0</v>
      </c>
      <c r="J811" s="48">
        <v>0</v>
      </c>
      <c r="K811" s="48">
        <v>0</v>
      </c>
      <c r="L811" s="48" t="s">
        <v>861</v>
      </c>
      <c r="M811" s="48">
        <v>1</v>
      </c>
      <c r="N811" s="48" t="s">
        <v>1007</v>
      </c>
      <c r="O811" s="48">
        <v>0</v>
      </c>
      <c r="P811" s="44">
        <v>1</v>
      </c>
      <c r="Q811" s="48">
        <v>0</v>
      </c>
      <c r="R811" s="48">
        <v>5</v>
      </c>
      <c r="S811" s="48">
        <v>0</v>
      </c>
      <c r="T811" s="48"/>
    </row>
    <row r="812" spans="1:20" ht="14.45" customHeight="1" x14ac:dyDescent="0.15">
      <c r="A812" s="42" t="str">
        <f t="shared" si="121"/>
        <v>0</v>
      </c>
      <c r="B812" s="43">
        <v>810</v>
      </c>
      <c r="C812" s="38" t="s">
        <v>1583</v>
      </c>
      <c r="D812" s="50" t="s">
        <v>1168</v>
      </c>
      <c r="E812" s="51" t="s">
        <v>1169</v>
      </c>
      <c r="F812" s="69" t="s">
        <v>1144</v>
      </c>
      <c r="G812" s="232" t="s">
        <v>2661</v>
      </c>
      <c r="H812" s="53" t="s">
        <v>1002</v>
      </c>
      <c r="I812" s="38">
        <v>0</v>
      </c>
      <c r="J812" s="53">
        <v>0</v>
      </c>
      <c r="K812" s="53">
        <v>0</v>
      </c>
      <c r="L812" s="53" t="s">
        <v>861</v>
      </c>
      <c r="M812" s="53">
        <v>1</v>
      </c>
      <c r="N812" s="53" t="s">
        <v>1004</v>
      </c>
      <c r="O812" s="53">
        <v>1</v>
      </c>
      <c r="P812" s="38">
        <v>1</v>
      </c>
      <c r="Q812" s="53">
        <v>0</v>
      </c>
      <c r="R812" s="53">
        <v>4</v>
      </c>
      <c r="S812" s="53">
        <v>0</v>
      </c>
      <c r="T812" s="53"/>
    </row>
    <row r="813" spans="1:20" ht="14.45" customHeight="1" x14ac:dyDescent="0.15">
      <c r="A813" s="42" t="str">
        <f t="shared" si="121"/>
        <v>0</v>
      </c>
      <c r="B813" s="43">
        <v>811</v>
      </c>
      <c r="C813" s="38" t="s">
        <v>1584</v>
      </c>
      <c r="D813" s="50" t="s">
        <v>1170</v>
      </c>
      <c r="E813" s="51" t="s">
        <v>1171</v>
      </c>
      <c r="F813" s="69" t="s">
        <v>1172</v>
      </c>
      <c r="G813" s="134">
        <v>100</v>
      </c>
      <c r="H813" s="53" t="s">
        <v>1354</v>
      </c>
      <c r="I813" s="38">
        <v>0</v>
      </c>
      <c r="J813" s="53">
        <v>0</v>
      </c>
      <c r="K813" s="53">
        <v>0</v>
      </c>
      <c r="L813" s="53" t="s">
        <v>861</v>
      </c>
      <c r="M813" s="53">
        <v>1</v>
      </c>
      <c r="N813" s="53" t="s">
        <v>1004</v>
      </c>
      <c r="O813" s="53">
        <v>1</v>
      </c>
      <c r="P813" s="38">
        <v>1</v>
      </c>
      <c r="Q813" s="53">
        <v>0</v>
      </c>
      <c r="R813" s="53">
        <v>3</v>
      </c>
      <c r="S813" s="53">
        <v>0</v>
      </c>
      <c r="T813" s="53"/>
    </row>
    <row r="814" spans="1:20" x14ac:dyDescent="0.15">
      <c r="A814" s="42" t="str">
        <f t="shared" si="121"/>
        <v>0</v>
      </c>
      <c r="B814" s="43">
        <v>812</v>
      </c>
      <c r="C814" s="38" t="s">
        <v>1585</v>
      </c>
      <c r="D814" s="50" t="s">
        <v>1173</v>
      </c>
      <c r="E814" s="51" t="s">
        <v>1174</v>
      </c>
      <c r="F814" s="69" t="s">
        <v>1172</v>
      </c>
      <c r="G814" s="278" t="s">
        <v>2936</v>
      </c>
      <c r="H814" s="157" t="s">
        <v>60</v>
      </c>
      <c r="I814" s="38">
        <v>0</v>
      </c>
      <c r="J814" s="53">
        <v>0</v>
      </c>
      <c r="K814" s="53">
        <v>0</v>
      </c>
      <c r="L814" s="53" t="s">
        <v>861</v>
      </c>
      <c r="M814" s="53">
        <v>1</v>
      </c>
      <c r="N814" s="53" t="s">
        <v>1004</v>
      </c>
      <c r="O814" s="53">
        <v>1</v>
      </c>
      <c r="P814" s="38">
        <v>1</v>
      </c>
      <c r="Q814" s="53">
        <v>0</v>
      </c>
      <c r="R814" s="53">
        <v>3</v>
      </c>
      <c r="S814" s="53">
        <v>0</v>
      </c>
      <c r="T814" s="53"/>
    </row>
    <row r="815" spans="1:20" ht="14.45" customHeight="1" x14ac:dyDescent="0.15">
      <c r="A815" s="42" t="str">
        <f t="shared" si="121"/>
        <v>0</v>
      </c>
      <c r="B815" s="43">
        <v>813</v>
      </c>
      <c r="C815" s="38" t="s">
        <v>1586</v>
      </c>
      <c r="D815" s="50" t="s">
        <v>1175</v>
      </c>
      <c r="E815" s="51" t="s">
        <v>1176</v>
      </c>
      <c r="F815" s="69" t="s">
        <v>1172</v>
      </c>
      <c r="G815" s="52" t="s">
        <v>1355</v>
      </c>
      <c r="H815" s="53" t="s">
        <v>1002</v>
      </c>
      <c r="I815" s="38">
        <v>0</v>
      </c>
      <c r="J815" s="53">
        <v>0</v>
      </c>
      <c r="K815" s="53">
        <v>0</v>
      </c>
      <c r="L815" s="53" t="s">
        <v>861</v>
      </c>
      <c r="M815" s="53">
        <v>1</v>
      </c>
      <c r="N815" s="53" t="s">
        <v>1004</v>
      </c>
      <c r="O815" s="53">
        <v>1</v>
      </c>
      <c r="P815" s="38">
        <v>1</v>
      </c>
      <c r="Q815" s="53">
        <v>0</v>
      </c>
      <c r="R815" s="53">
        <v>4</v>
      </c>
      <c r="S815" s="53">
        <v>0</v>
      </c>
      <c r="T815" s="53"/>
    </row>
    <row r="816" spans="1:20" ht="14.45" customHeight="1" x14ac:dyDescent="0.15">
      <c r="A816" s="42" t="str">
        <f t="shared" si="121"/>
        <v>0</v>
      </c>
      <c r="B816" s="43">
        <v>814</v>
      </c>
      <c r="C816" s="38" t="s">
        <v>1587</v>
      </c>
      <c r="D816" s="50" t="s">
        <v>1224</v>
      </c>
      <c r="E816" s="51" t="s">
        <v>1225</v>
      </c>
      <c r="F816" s="69" t="s">
        <v>1537</v>
      </c>
      <c r="G816" s="52" t="s">
        <v>1357</v>
      </c>
      <c r="H816" s="53" t="s">
        <v>1354</v>
      </c>
      <c r="I816" s="38">
        <v>0</v>
      </c>
      <c r="J816" s="53">
        <v>0</v>
      </c>
      <c r="K816" s="53">
        <v>0</v>
      </c>
      <c r="L816" s="53" t="s">
        <v>861</v>
      </c>
      <c r="M816" s="53">
        <v>1</v>
      </c>
      <c r="N816" s="53" t="s">
        <v>1004</v>
      </c>
      <c r="O816" s="53">
        <v>1</v>
      </c>
      <c r="P816" s="38">
        <v>1</v>
      </c>
      <c r="Q816" s="53">
        <v>0</v>
      </c>
      <c r="R816" s="53">
        <v>3</v>
      </c>
      <c r="S816" s="53">
        <v>0</v>
      </c>
      <c r="T816" s="53"/>
    </row>
    <row r="817" spans="1:20" x14ac:dyDescent="0.15">
      <c r="A817" s="42" t="str">
        <f t="shared" si="121"/>
        <v>0</v>
      </c>
      <c r="B817" s="43">
        <v>815</v>
      </c>
      <c r="C817" s="38" t="s">
        <v>1588</v>
      </c>
      <c r="D817" s="50" t="s">
        <v>1358</v>
      </c>
      <c r="E817" s="51" t="s">
        <v>1359</v>
      </c>
      <c r="F817" s="69" t="s">
        <v>1100</v>
      </c>
      <c r="G817" s="52">
        <v>0</v>
      </c>
      <c r="H817" s="53">
        <v>65535</v>
      </c>
      <c r="I817" s="38">
        <v>0</v>
      </c>
      <c r="J817" s="53">
        <v>0</v>
      </c>
      <c r="K817" s="53">
        <v>0</v>
      </c>
      <c r="L817" s="53" t="s">
        <v>861</v>
      </c>
      <c r="M817" s="53">
        <v>0.01</v>
      </c>
      <c r="N817" s="53" t="s">
        <v>1004</v>
      </c>
      <c r="O817" s="53">
        <v>0</v>
      </c>
      <c r="P817" s="38">
        <v>1</v>
      </c>
      <c r="Q817" s="53">
        <v>0</v>
      </c>
      <c r="R817" s="53">
        <v>4</v>
      </c>
      <c r="S817" s="53">
        <v>0</v>
      </c>
      <c r="T817" s="53"/>
    </row>
    <row r="818" spans="1:20" x14ac:dyDescent="0.15">
      <c r="A818" s="42" t="str">
        <f t="shared" si="121"/>
        <v>0</v>
      </c>
      <c r="B818" s="43">
        <v>816</v>
      </c>
      <c r="C818" s="38" t="s">
        <v>1589</v>
      </c>
      <c r="D818" s="50" t="s">
        <v>1360</v>
      </c>
      <c r="E818" s="51" t="s">
        <v>1361</v>
      </c>
      <c r="F818" s="69" t="s">
        <v>1144</v>
      </c>
      <c r="G818" s="52">
        <v>0</v>
      </c>
      <c r="H818" s="53">
        <v>65535</v>
      </c>
      <c r="I818" s="38">
        <v>0</v>
      </c>
      <c r="J818" s="53">
        <v>0</v>
      </c>
      <c r="K818" s="53">
        <v>0</v>
      </c>
      <c r="L818" s="53" t="s">
        <v>861</v>
      </c>
      <c r="M818" s="53">
        <v>1</v>
      </c>
      <c r="N818" s="53" t="s">
        <v>1004</v>
      </c>
      <c r="O818" s="53">
        <v>0</v>
      </c>
      <c r="P818" s="38">
        <v>1</v>
      </c>
      <c r="Q818" s="53">
        <v>0</v>
      </c>
      <c r="R818" s="53">
        <v>4</v>
      </c>
      <c r="S818" s="53">
        <v>0</v>
      </c>
      <c r="T818" s="53"/>
    </row>
    <row r="819" spans="1:20" x14ac:dyDescent="0.15">
      <c r="A819" s="42" t="str">
        <f t="shared" si="121"/>
        <v>0</v>
      </c>
      <c r="B819" s="43">
        <v>817</v>
      </c>
      <c r="C819" s="38" t="s">
        <v>1590</v>
      </c>
      <c r="D819" s="50" t="s">
        <v>1362</v>
      </c>
      <c r="E819" s="51" t="s">
        <v>1363</v>
      </c>
      <c r="F819" s="69" t="s">
        <v>1145</v>
      </c>
      <c r="G819" s="52">
        <v>0</v>
      </c>
      <c r="H819" s="53">
        <v>65535</v>
      </c>
      <c r="I819" s="38">
        <v>0</v>
      </c>
      <c r="J819" s="53">
        <v>0</v>
      </c>
      <c r="K819" s="53">
        <v>0</v>
      </c>
      <c r="L819" s="53" t="s">
        <v>861</v>
      </c>
      <c r="M819" s="53">
        <v>1</v>
      </c>
      <c r="N819" s="53" t="s">
        <v>1004</v>
      </c>
      <c r="O819" s="53">
        <v>0</v>
      </c>
      <c r="P819" s="38">
        <v>1</v>
      </c>
      <c r="Q819" s="53">
        <v>0</v>
      </c>
      <c r="R819" s="53">
        <v>4</v>
      </c>
      <c r="S819" s="53">
        <v>0</v>
      </c>
      <c r="T819" s="53"/>
    </row>
    <row r="820" spans="1:20" x14ac:dyDescent="0.15">
      <c r="A820" s="42" t="str">
        <f t="shared" si="121"/>
        <v>0</v>
      </c>
      <c r="B820" s="43">
        <v>818</v>
      </c>
      <c r="C820" s="38" t="s">
        <v>1591</v>
      </c>
      <c r="D820" s="50" t="s">
        <v>1364</v>
      </c>
      <c r="E820" s="51" t="s">
        <v>1365</v>
      </c>
      <c r="F820" s="69" t="s">
        <v>1337</v>
      </c>
      <c r="G820" s="52">
        <v>0</v>
      </c>
      <c r="H820" s="53">
        <v>65535</v>
      </c>
      <c r="I820" s="38">
        <v>0</v>
      </c>
      <c r="J820" s="53">
        <v>0</v>
      </c>
      <c r="K820" s="53">
        <v>0</v>
      </c>
      <c r="L820" s="53" t="s">
        <v>861</v>
      </c>
      <c r="M820" s="53">
        <v>1</v>
      </c>
      <c r="N820" s="53" t="s">
        <v>1004</v>
      </c>
      <c r="O820" s="53">
        <v>0</v>
      </c>
      <c r="P820" s="38">
        <v>1</v>
      </c>
      <c r="Q820" s="53">
        <v>0</v>
      </c>
      <c r="R820" s="53">
        <v>3</v>
      </c>
      <c r="S820" s="53">
        <v>0</v>
      </c>
      <c r="T820" s="53"/>
    </row>
    <row r="821" spans="1:20" x14ac:dyDescent="0.15">
      <c r="A821" s="42" t="str">
        <f t="shared" si="121"/>
        <v>0</v>
      </c>
      <c r="B821" s="43">
        <v>819</v>
      </c>
      <c r="C821" s="38" t="s">
        <v>1592</v>
      </c>
      <c r="D821" s="50" t="s">
        <v>1366</v>
      </c>
      <c r="E821" s="51" t="s">
        <v>1367</v>
      </c>
      <c r="F821" s="69" t="s">
        <v>1337</v>
      </c>
      <c r="G821" s="52">
        <v>0</v>
      </c>
      <c r="H821" s="53">
        <v>65535</v>
      </c>
      <c r="I821" s="38">
        <v>0</v>
      </c>
      <c r="J821" s="53">
        <v>0</v>
      </c>
      <c r="K821" s="53">
        <v>0</v>
      </c>
      <c r="L821" s="53" t="s">
        <v>861</v>
      </c>
      <c r="M821" s="53">
        <v>1</v>
      </c>
      <c r="N821" s="53" t="s">
        <v>1004</v>
      </c>
      <c r="O821" s="53">
        <v>0</v>
      </c>
      <c r="P821" s="38">
        <v>1</v>
      </c>
      <c r="Q821" s="53">
        <v>0</v>
      </c>
      <c r="R821" s="53">
        <v>4</v>
      </c>
      <c r="S821" s="53">
        <v>0</v>
      </c>
      <c r="T821" s="53"/>
    </row>
    <row r="822" spans="1:20" x14ac:dyDescent="0.15">
      <c r="A822" s="42" t="str">
        <f t="shared" si="121"/>
        <v>0</v>
      </c>
      <c r="B822" s="43">
        <v>820</v>
      </c>
      <c r="C822" s="38" t="s">
        <v>1593</v>
      </c>
      <c r="D822" s="50" t="s">
        <v>1226</v>
      </c>
      <c r="E822" s="51" t="s">
        <v>1356</v>
      </c>
      <c r="F822" s="69" t="s">
        <v>1337</v>
      </c>
      <c r="G822" s="52">
        <v>0</v>
      </c>
      <c r="H822" s="53" t="s">
        <v>1002</v>
      </c>
      <c r="I822" s="38">
        <v>0</v>
      </c>
      <c r="J822" s="53">
        <v>0</v>
      </c>
      <c r="K822" s="53">
        <v>0</v>
      </c>
      <c r="L822" s="53" t="s">
        <v>861</v>
      </c>
      <c r="M822" s="53">
        <v>1</v>
      </c>
      <c r="N822" s="53" t="s">
        <v>1004</v>
      </c>
      <c r="O822" s="53">
        <v>1</v>
      </c>
      <c r="P822" s="38">
        <v>1</v>
      </c>
      <c r="Q822" s="53">
        <v>0</v>
      </c>
      <c r="R822" s="53">
        <v>4</v>
      </c>
      <c r="S822" s="53">
        <v>0</v>
      </c>
      <c r="T822" s="53"/>
    </row>
    <row r="823" spans="1:20" ht="14.45" customHeight="1" x14ac:dyDescent="0.15">
      <c r="A823" s="42" t="str">
        <f t="shared" si="121"/>
        <v>0</v>
      </c>
      <c r="B823" s="43">
        <v>821</v>
      </c>
      <c r="C823" s="191" t="s">
        <v>810</v>
      </c>
      <c r="D823" s="188" t="s">
        <v>1339</v>
      </c>
      <c r="E823" s="189" t="s">
        <v>1929</v>
      </c>
      <c r="F823" s="186" t="s">
        <v>1930</v>
      </c>
      <c r="G823" s="190">
        <v>0</v>
      </c>
      <c r="H823" s="192" t="s">
        <v>857</v>
      </c>
      <c r="I823" s="191">
        <v>0</v>
      </c>
      <c r="J823" s="193" t="s">
        <v>858</v>
      </c>
      <c r="K823" s="187">
        <v>0</v>
      </c>
      <c r="L823" s="187" t="s">
        <v>862</v>
      </c>
      <c r="M823" s="187">
        <v>1</v>
      </c>
      <c r="N823" s="187" t="s">
        <v>1910</v>
      </c>
      <c r="O823" s="192">
        <v>1</v>
      </c>
      <c r="P823" s="191">
        <v>1</v>
      </c>
      <c r="Q823" s="187">
        <v>0</v>
      </c>
      <c r="R823" s="187">
        <v>4</v>
      </c>
      <c r="S823" s="187">
        <v>0</v>
      </c>
      <c r="T823" s="48"/>
    </row>
    <row r="824" spans="1:20" x14ac:dyDescent="0.15">
      <c r="A824" s="42" t="str">
        <f t="shared" si="121"/>
        <v>0</v>
      </c>
      <c r="B824" s="43">
        <v>822</v>
      </c>
      <c r="C824" s="303" t="s">
        <v>811</v>
      </c>
      <c r="D824" s="302" t="s">
        <v>1267</v>
      </c>
      <c r="E824" s="304" t="s">
        <v>1931</v>
      </c>
      <c r="F824" s="305" t="s">
        <v>1268</v>
      </c>
      <c r="G824" s="309">
        <v>24</v>
      </c>
      <c r="H824" s="307">
        <v>32</v>
      </c>
      <c r="I824" s="303">
        <v>6</v>
      </c>
      <c r="J824" s="308" t="s">
        <v>858</v>
      </c>
      <c r="K824" s="307">
        <v>0</v>
      </c>
      <c r="L824" s="307" t="s">
        <v>860</v>
      </c>
      <c r="M824" s="307">
        <v>1</v>
      </c>
      <c r="N824" s="307" t="s">
        <v>1910</v>
      </c>
      <c r="O824" s="307">
        <v>0</v>
      </c>
      <c r="P824" s="303">
        <v>1</v>
      </c>
      <c r="Q824" s="307">
        <v>0</v>
      </c>
      <c r="R824" s="307">
        <v>2</v>
      </c>
      <c r="S824" s="307">
        <v>0</v>
      </c>
      <c r="T824" s="48"/>
    </row>
    <row r="825" spans="1:20" x14ac:dyDescent="0.15">
      <c r="A825" s="42" t="str">
        <f t="shared" si="121"/>
        <v>0</v>
      </c>
      <c r="B825" s="43">
        <v>823</v>
      </c>
      <c r="C825" s="303" t="s">
        <v>812</v>
      </c>
      <c r="D825" s="302" t="s">
        <v>1932</v>
      </c>
      <c r="E825" s="304" t="s">
        <v>2657</v>
      </c>
      <c r="F825" s="305" t="s">
        <v>1933</v>
      </c>
      <c r="G825" s="309">
        <v>50</v>
      </c>
      <c r="H825" s="307">
        <v>300</v>
      </c>
      <c r="I825" s="303">
        <v>0</v>
      </c>
      <c r="J825" s="308" t="s">
        <v>858</v>
      </c>
      <c r="K825" s="307">
        <v>0</v>
      </c>
      <c r="L825" s="307" t="s">
        <v>2660</v>
      </c>
      <c r="M825" s="307">
        <v>0.1</v>
      </c>
      <c r="N825" s="307" t="s">
        <v>1910</v>
      </c>
      <c r="O825" s="307">
        <v>0</v>
      </c>
      <c r="P825" s="303">
        <v>1</v>
      </c>
      <c r="Q825" s="307">
        <v>0</v>
      </c>
      <c r="R825" s="307">
        <v>3</v>
      </c>
      <c r="S825" s="307">
        <v>0</v>
      </c>
      <c r="T825" s="48"/>
    </row>
    <row r="826" spans="1:20" x14ac:dyDescent="0.15">
      <c r="A826" s="42" t="str">
        <f t="shared" si="121"/>
        <v>0</v>
      </c>
      <c r="B826" s="43">
        <v>824</v>
      </c>
      <c r="C826" s="303" t="s">
        <v>813</v>
      </c>
      <c r="D826" s="302" t="s">
        <v>1177</v>
      </c>
      <c r="E826" s="304" t="s">
        <v>1934</v>
      </c>
      <c r="F826" s="305" t="s">
        <v>1178</v>
      </c>
      <c r="G826" s="309">
        <v>1600</v>
      </c>
      <c r="H826" s="307">
        <v>65535</v>
      </c>
      <c r="I826" s="303">
        <v>0</v>
      </c>
      <c r="J826" s="308" t="s">
        <v>858</v>
      </c>
      <c r="K826" s="307">
        <v>0</v>
      </c>
      <c r="L826" s="307" t="s">
        <v>860</v>
      </c>
      <c r="M826" s="307">
        <v>0.1</v>
      </c>
      <c r="N826" s="307" t="s">
        <v>1910</v>
      </c>
      <c r="O826" s="307">
        <v>0</v>
      </c>
      <c r="P826" s="303">
        <v>1</v>
      </c>
      <c r="Q826" s="307">
        <v>0</v>
      </c>
      <c r="R826" s="307">
        <v>5</v>
      </c>
      <c r="S826" s="307">
        <v>0</v>
      </c>
      <c r="T826" s="48"/>
    </row>
    <row r="827" spans="1:20" x14ac:dyDescent="0.15">
      <c r="A827" s="42" t="str">
        <f t="shared" si="121"/>
        <v>0</v>
      </c>
      <c r="B827" s="43">
        <v>825</v>
      </c>
      <c r="C827" s="303" t="s">
        <v>814</v>
      </c>
      <c r="D827" s="302" t="s">
        <v>1179</v>
      </c>
      <c r="E827" s="304" t="s">
        <v>1935</v>
      </c>
      <c r="F827" s="305" t="s">
        <v>1130</v>
      </c>
      <c r="G827" s="309">
        <v>380</v>
      </c>
      <c r="H827" s="307">
        <v>65535</v>
      </c>
      <c r="I827" s="303">
        <v>0</v>
      </c>
      <c r="J827" s="308" t="s">
        <v>858</v>
      </c>
      <c r="K827" s="307">
        <v>0</v>
      </c>
      <c r="L827" s="307" t="s">
        <v>860</v>
      </c>
      <c r="M827" s="307">
        <v>1</v>
      </c>
      <c r="N827" s="307" t="s">
        <v>1923</v>
      </c>
      <c r="O827" s="307">
        <v>0</v>
      </c>
      <c r="P827" s="303">
        <v>1</v>
      </c>
      <c r="Q827" s="307">
        <v>0</v>
      </c>
      <c r="R827" s="307">
        <v>5</v>
      </c>
      <c r="S827" s="307">
        <v>0</v>
      </c>
      <c r="T827" s="48"/>
    </row>
    <row r="828" spans="1:20" x14ac:dyDescent="0.15">
      <c r="A828" s="42" t="str">
        <f t="shared" si="121"/>
        <v>0</v>
      </c>
      <c r="B828" s="43">
        <v>826</v>
      </c>
      <c r="C828" s="303" t="s">
        <v>815</v>
      </c>
      <c r="D828" s="302" t="s">
        <v>1180</v>
      </c>
      <c r="E828" s="304" t="s">
        <v>1936</v>
      </c>
      <c r="F828" s="305" t="s">
        <v>1052</v>
      </c>
      <c r="G828" s="309">
        <v>3800</v>
      </c>
      <c r="H828" s="307">
        <v>65535</v>
      </c>
      <c r="I828" s="303">
        <v>0</v>
      </c>
      <c r="J828" s="308" t="s">
        <v>858</v>
      </c>
      <c r="K828" s="307">
        <v>0</v>
      </c>
      <c r="L828" s="307" t="s">
        <v>860</v>
      </c>
      <c r="M828" s="307">
        <v>0.1</v>
      </c>
      <c r="N828" s="307" t="s">
        <v>1937</v>
      </c>
      <c r="O828" s="307">
        <v>0</v>
      </c>
      <c r="P828" s="303">
        <v>1</v>
      </c>
      <c r="Q828" s="307">
        <v>0</v>
      </c>
      <c r="R828" s="307">
        <v>5</v>
      </c>
      <c r="S828" s="307">
        <v>0</v>
      </c>
      <c r="T828" s="48"/>
    </row>
    <row r="829" spans="1:20" ht="14.45" customHeight="1" x14ac:dyDescent="0.15">
      <c r="A829" s="42" t="str">
        <f t="shared" si="121"/>
        <v>0</v>
      </c>
      <c r="B829" s="43">
        <v>827</v>
      </c>
      <c r="C829" s="303" t="s">
        <v>816</v>
      </c>
      <c r="D829" s="302" t="s">
        <v>1181</v>
      </c>
      <c r="E829" s="304" t="s">
        <v>1938</v>
      </c>
      <c r="F829" s="305" t="s">
        <v>2658</v>
      </c>
      <c r="G829" s="306">
        <v>1000</v>
      </c>
      <c r="H829" s="307">
        <v>1100</v>
      </c>
      <c r="I829" s="303">
        <v>900</v>
      </c>
      <c r="J829" s="308" t="s">
        <v>858</v>
      </c>
      <c r="K829" s="307">
        <v>0</v>
      </c>
      <c r="L829" s="307" t="s">
        <v>859</v>
      </c>
      <c r="M829" s="307">
        <v>0.1</v>
      </c>
      <c r="N829" s="307" t="s">
        <v>1907</v>
      </c>
      <c r="O829" s="307">
        <v>0</v>
      </c>
      <c r="P829" s="303">
        <v>1</v>
      </c>
      <c r="Q829" s="307">
        <v>0</v>
      </c>
      <c r="R829" s="307">
        <v>4</v>
      </c>
      <c r="S829" s="307">
        <v>0</v>
      </c>
      <c r="T829" s="48"/>
    </row>
    <row r="830" spans="1:20" ht="14.45" customHeight="1" x14ac:dyDescent="0.15">
      <c r="A830" s="42" t="str">
        <f t="shared" si="121"/>
        <v>0</v>
      </c>
      <c r="B830" s="43">
        <v>828</v>
      </c>
      <c r="C830" s="303" t="s">
        <v>817</v>
      </c>
      <c r="D830" s="302" t="s">
        <v>1182</v>
      </c>
      <c r="E830" s="304" t="s">
        <v>1939</v>
      </c>
      <c r="F830" s="305" t="s">
        <v>1107</v>
      </c>
      <c r="G830" s="306">
        <v>10000</v>
      </c>
      <c r="H830" s="307">
        <v>11000</v>
      </c>
      <c r="I830" s="303">
        <v>9000</v>
      </c>
      <c r="J830" s="308" t="s">
        <v>858</v>
      </c>
      <c r="K830" s="307">
        <v>0</v>
      </c>
      <c r="L830" s="307" t="s">
        <v>859</v>
      </c>
      <c r="M830" s="307">
        <v>0.01</v>
      </c>
      <c r="N830" s="307" t="s">
        <v>1907</v>
      </c>
      <c r="O830" s="307">
        <v>0</v>
      </c>
      <c r="P830" s="303">
        <v>1</v>
      </c>
      <c r="Q830" s="307">
        <v>0</v>
      </c>
      <c r="R830" s="307">
        <v>5</v>
      </c>
      <c r="S830" s="307">
        <v>0</v>
      </c>
      <c r="T830" s="48"/>
    </row>
    <row r="831" spans="1:20" x14ac:dyDescent="0.15">
      <c r="A831" s="42" t="str">
        <f t="shared" si="121"/>
        <v>0</v>
      </c>
      <c r="B831" s="43">
        <v>829</v>
      </c>
      <c r="C831" s="303" t="s">
        <v>818</v>
      </c>
      <c r="D831" s="302" t="s">
        <v>1183</v>
      </c>
      <c r="E831" s="304" t="s">
        <v>1940</v>
      </c>
      <c r="F831" s="305" t="s">
        <v>1130</v>
      </c>
      <c r="G831" s="311">
        <v>720</v>
      </c>
      <c r="H831" s="307">
        <v>65535</v>
      </c>
      <c r="I831" s="303">
        <v>0</v>
      </c>
      <c r="J831" s="308" t="s">
        <v>858</v>
      </c>
      <c r="K831" s="307">
        <v>0</v>
      </c>
      <c r="L831" s="307" t="s">
        <v>860</v>
      </c>
      <c r="M831" s="307">
        <v>1</v>
      </c>
      <c r="N831" s="307" t="s">
        <v>1923</v>
      </c>
      <c r="O831" s="307">
        <v>0</v>
      </c>
      <c r="P831" s="303">
        <v>1</v>
      </c>
      <c r="Q831" s="307">
        <v>0</v>
      </c>
      <c r="R831" s="307">
        <v>5</v>
      </c>
      <c r="S831" s="307">
        <v>0</v>
      </c>
      <c r="T831" s="48"/>
    </row>
    <row r="832" spans="1:20" x14ac:dyDescent="0.15">
      <c r="A832" s="42" t="str">
        <f t="shared" si="121"/>
        <v>0</v>
      </c>
      <c r="B832" s="43">
        <v>830</v>
      </c>
      <c r="C832" s="303" t="s">
        <v>819</v>
      </c>
      <c r="D832" s="302" t="s">
        <v>1184</v>
      </c>
      <c r="E832" s="304" t="s">
        <v>1941</v>
      </c>
      <c r="F832" s="305" t="s">
        <v>2659</v>
      </c>
      <c r="G832" s="310">
        <v>220</v>
      </c>
      <c r="H832" s="307">
        <v>65535</v>
      </c>
      <c r="I832" s="303">
        <v>0</v>
      </c>
      <c r="J832" s="308" t="s">
        <v>818</v>
      </c>
      <c r="K832" s="307">
        <v>0</v>
      </c>
      <c r="L832" s="307" t="s">
        <v>860</v>
      </c>
      <c r="M832" s="307">
        <v>1</v>
      </c>
      <c r="N832" s="307" t="s">
        <v>1923</v>
      </c>
      <c r="O832" s="307">
        <v>0</v>
      </c>
      <c r="P832" s="303">
        <v>1</v>
      </c>
      <c r="Q832" s="307">
        <v>0</v>
      </c>
      <c r="R832" s="307">
        <v>5</v>
      </c>
      <c r="S832" s="307">
        <v>0</v>
      </c>
      <c r="T832" s="48"/>
    </row>
    <row r="833" spans="1:20" ht="14.45" customHeight="1" x14ac:dyDescent="0.15">
      <c r="A833" s="42" t="str">
        <f t="shared" si="121"/>
        <v>0</v>
      </c>
      <c r="B833" s="43">
        <v>831</v>
      </c>
      <c r="C833" s="303" t="s">
        <v>820</v>
      </c>
      <c r="D833" s="302" t="s">
        <v>1185</v>
      </c>
      <c r="E833" s="304" t="s">
        <v>1942</v>
      </c>
      <c r="F833" s="305" t="s">
        <v>1052</v>
      </c>
      <c r="G833" s="310">
        <v>5728</v>
      </c>
      <c r="H833" s="307">
        <v>65535</v>
      </c>
      <c r="I833" s="303">
        <v>0</v>
      </c>
      <c r="J833" s="308" t="s">
        <v>858</v>
      </c>
      <c r="K833" s="307">
        <v>0</v>
      </c>
      <c r="L833" s="307" t="s">
        <v>860</v>
      </c>
      <c r="M833" s="307">
        <v>0.1</v>
      </c>
      <c r="N833" s="307" t="s">
        <v>1937</v>
      </c>
      <c r="O833" s="307">
        <v>0</v>
      </c>
      <c r="P833" s="303">
        <v>1</v>
      </c>
      <c r="Q833" s="307">
        <v>0</v>
      </c>
      <c r="R833" s="307">
        <v>5</v>
      </c>
      <c r="S833" s="307">
        <v>0</v>
      </c>
      <c r="T833" s="48"/>
    </row>
    <row r="834" spans="1:20" ht="14.45" customHeight="1" x14ac:dyDescent="0.15">
      <c r="A834" s="42" t="str">
        <f t="shared" si="121"/>
        <v>0</v>
      </c>
      <c r="B834" s="43">
        <v>832</v>
      </c>
      <c r="C834" s="303" t="s">
        <v>821</v>
      </c>
      <c r="D834" s="302" t="s">
        <v>1943</v>
      </c>
      <c r="E834" s="304" t="s">
        <v>1944</v>
      </c>
      <c r="F834" s="305" t="s">
        <v>1130</v>
      </c>
      <c r="G834" s="306">
        <v>780</v>
      </c>
      <c r="H834" s="307">
        <v>65535</v>
      </c>
      <c r="I834" s="303">
        <v>0</v>
      </c>
      <c r="J834" s="308" t="s">
        <v>858</v>
      </c>
      <c r="K834" s="307">
        <v>0</v>
      </c>
      <c r="L834" s="307" t="s">
        <v>861</v>
      </c>
      <c r="M834" s="307">
        <v>1</v>
      </c>
      <c r="N834" s="307" t="s">
        <v>1923</v>
      </c>
      <c r="O834" s="307">
        <v>0</v>
      </c>
      <c r="P834" s="303">
        <v>1</v>
      </c>
      <c r="Q834" s="307">
        <v>0</v>
      </c>
      <c r="R834" s="307">
        <v>5</v>
      </c>
      <c r="S834" s="307">
        <v>0</v>
      </c>
      <c r="T834" s="48"/>
    </row>
    <row r="835" spans="1:20" ht="14.45" customHeight="1" x14ac:dyDescent="0.15">
      <c r="A835" s="42" t="str">
        <f t="shared" si="121"/>
        <v>0</v>
      </c>
      <c r="B835" s="43">
        <v>833</v>
      </c>
      <c r="C835" s="44" t="s">
        <v>822</v>
      </c>
      <c r="D835" s="317" t="s">
        <v>2849</v>
      </c>
      <c r="E835" s="45" t="s">
        <v>1186</v>
      </c>
      <c r="F835" s="46" t="s">
        <v>1144</v>
      </c>
      <c r="G835" s="47">
        <v>0</v>
      </c>
      <c r="H835" s="48">
        <v>65535</v>
      </c>
      <c r="I835" s="44">
        <v>0</v>
      </c>
      <c r="J835" s="83" t="s">
        <v>858</v>
      </c>
      <c r="K835" s="48">
        <v>0</v>
      </c>
      <c r="L835" s="48" t="s">
        <v>859</v>
      </c>
      <c r="M835" s="48">
        <v>1</v>
      </c>
      <c r="N835" s="48" t="s">
        <v>1004</v>
      </c>
      <c r="O835" s="48">
        <v>0</v>
      </c>
      <c r="P835" s="44">
        <v>1</v>
      </c>
      <c r="Q835" s="48">
        <v>0</v>
      </c>
      <c r="R835" s="48">
        <v>5</v>
      </c>
      <c r="S835" s="48">
        <v>0</v>
      </c>
      <c r="T835" s="48"/>
    </row>
    <row r="836" spans="1:20" ht="14.45" customHeight="1" x14ac:dyDescent="0.15">
      <c r="A836" s="42" t="str">
        <f t="shared" ref="A836:A854" si="130">DEC2HEX(AH836)</f>
        <v>0</v>
      </c>
      <c r="B836" s="43">
        <v>834</v>
      </c>
      <c r="C836" s="44" t="s">
        <v>823</v>
      </c>
      <c r="D836" s="317" t="s">
        <v>2850</v>
      </c>
      <c r="E836" s="45" t="s">
        <v>1340</v>
      </c>
      <c r="F836" s="46" t="s">
        <v>1144</v>
      </c>
      <c r="G836" s="47">
        <v>0</v>
      </c>
      <c r="H836" s="48">
        <v>65535</v>
      </c>
      <c r="I836" s="44">
        <v>0</v>
      </c>
      <c r="J836" s="83" t="s">
        <v>858</v>
      </c>
      <c r="K836" s="48">
        <v>0</v>
      </c>
      <c r="L836" s="48" t="s">
        <v>859</v>
      </c>
      <c r="M836" s="48">
        <v>1</v>
      </c>
      <c r="N836" s="48" t="s">
        <v>1004</v>
      </c>
      <c r="O836" s="48">
        <v>0</v>
      </c>
      <c r="P836" s="44">
        <v>1</v>
      </c>
      <c r="Q836" s="48">
        <v>0</v>
      </c>
      <c r="R836" s="48">
        <v>5</v>
      </c>
      <c r="S836" s="48">
        <v>0</v>
      </c>
      <c r="T836" s="48"/>
    </row>
    <row r="837" spans="1:20" ht="14.45" customHeight="1" x14ac:dyDescent="0.15">
      <c r="A837" s="42" t="str">
        <f t="shared" si="130"/>
        <v>0</v>
      </c>
      <c r="B837" s="43">
        <v>835</v>
      </c>
      <c r="C837" s="44" t="s">
        <v>824</v>
      </c>
      <c r="D837" s="317" t="s">
        <v>2851</v>
      </c>
      <c r="E837" s="45" t="s">
        <v>1341</v>
      </c>
      <c r="F837" s="46" t="s">
        <v>1144</v>
      </c>
      <c r="G837" s="47">
        <v>0</v>
      </c>
      <c r="H837" s="48">
        <v>65535</v>
      </c>
      <c r="I837" s="44">
        <v>0</v>
      </c>
      <c r="J837" s="83" t="s">
        <v>858</v>
      </c>
      <c r="K837" s="48">
        <v>0</v>
      </c>
      <c r="L837" s="48" t="s">
        <v>861</v>
      </c>
      <c r="M837" s="48">
        <v>1</v>
      </c>
      <c r="N837" s="48" t="s">
        <v>1004</v>
      </c>
      <c r="O837" s="48">
        <v>0</v>
      </c>
      <c r="P837" s="44">
        <v>1</v>
      </c>
      <c r="Q837" s="48">
        <v>0</v>
      </c>
      <c r="R837" s="48">
        <v>5</v>
      </c>
      <c r="S837" s="48">
        <v>0</v>
      </c>
      <c r="T837" s="48"/>
    </row>
    <row r="838" spans="1:20" ht="14.45" customHeight="1" x14ac:dyDescent="0.15">
      <c r="A838" s="42" t="str">
        <f t="shared" si="130"/>
        <v>0</v>
      </c>
      <c r="B838" s="43">
        <v>836</v>
      </c>
      <c r="C838" s="44" t="s">
        <v>825</v>
      </c>
      <c r="D838" s="317" t="s">
        <v>2852</v>
      </c>
      <c r="E838" s="45" t="s">
        <v>1342</v>
      </c>
      <c r="F838" s="46" t="s">
        <v>1144</v>
      </c>
      <c r="G838" s="47">
        <v>0</v>
      </c>
      <c r="H838" s="48">
        <v>65535</v>
      </c>
      <c r="I838" s="44">
        <v>0</v>
      </c>
      <c r="J838" s="83" t="s">
        <v>858</v>
      </c>
      <c r="K838" s="48">
        <v>0</v>
      </c>
      <c r="L838" s="48" t="s">
        <v>859</v>
      </c>
      <c r="M838" s="48">
        <v>1</v>
      </c>
      <c r="N838" s="48" t="s">
        <v>1004</v>
      </c>
      <c r="O838" s="48">
        <v>0</v>
      </c>
      <c r="P838" s="44">
        <v>1</v>
      </c>
      <c r="Q838" s="48">
        <v>0</v>
      </c>
      <c r="R838" s="48">
        <v>5</v>
      </c>
      <c r="S838" s="48">
        <v>0</v>
      </c>
      <c r="T838" s="48"/>
    </row>
    <row r="839" spans="1:20" x14ac:dyDescent="0.15">
      <c r="A839" s="42" t="str">
        <f t="shared" si="130"/>
        <v>0</v>
      </c>
      <c r="B839" s="43">
        <v>837</v>
      </c>
      <c r="C839" s="44" t="s">
        <v>908</v>
      </c>
      <c r="D839" s="317" t="s">
        <v>2853</v>
      </c>
      <c r="E839" s="109" t="s">
        <v>727</v>
      </c>
      <c r="F839" s="46" t="s">
        <v>1144</v>
      </c>
      <c r="G839" s="47">
        <v>0</v>
      </c>
      <c r="H839" s="48">
        <v>65535</v>
      </c>
      <c r="I839" s="44">
        <v>0</v>
      </c>
      <c r="J839" s="83" t="s">
        <v>858</v>
      </c>
      <c r="K839" s="48">
        <v>0</v>
      </c>
      <c r="L839" s="48" t="s">
        <v>859</v>
      </c>
      <c r="M839" s="48">
        <v>1</v>
      </c>
      <c r="N839" s="48" t="s">
        <v>1004</v>
      </c>
      <c r="O839" s="48">
        <v>0</v>
      </c>
      <c r="P839" s="44">
        <v>1</v>
      </c>
      <c r="Q839" s="48">
        <v>0</v>
      </c>
      <c r="R839" s="48">
        <v>5</v>
      </c>
      <c r="S839" s="48">
        <v>0</v>
      </c>
      <c r="T839" s="48"/>
    </row>
    <row r="840" spans="1:20" x14ac:dyDescent="0.15">
      <c r="A840" s="42" t="str">
        <f t="shared" si="130"/>
        <v>0</v>
      </c>
      <c r="B840" s="43">
        <v>838</v>
      </c>
      <c r="C840" s="44" t="s">
        <v>1187</v>
      </c>
      <c r="D840" s="317" t="s">
        <v>2854</v>
      </c>
      <c r="E840" s="45" t="s">
        <v>1343</v>
      </c>
      <c r="F840" s="46" t="s">
        <v>1144</v>
      </c>
      <c r="G840" s="47">
        <v>0</v>
      </c>
      <c r="H840" s="48">
        <v>65535</v>
      </c>
      <c r="I840" s="44">
        <v>0</v>
      </c>
      <c r="J840" s="83" t="s">
        <v>858</v>
      </c>
      <c r="K840" s="48">
        <v>0</v>
      </c>
      <c r="L840" s="48" t="s">
        <v>861</v>
      </c>
      <c r="M840" s="48">
        <v>1</v>
      </c>
      <c r="N840" s="48" t="s">
        <v>1004</v>
      </c>
      <c r="O840" s="48">
        <v>0</v>
      </c>
      <c r="P840" s="44">
        <v>1</v>
      </c>
      <c r="Q840" s="48">
        <v>0</v>
      </c>
      <c r="R840" s="48">
        <v>5</v>
      </c>
      <c r="S840" s="48">
        <v>0</v>
      </c>
      <c r="T840" s="48"/>
    </row>
    <row r="841" spans="1:20" x14ac:dyDescent="0.15">
      <c r="A841" s="42" t="str">
        <f t="shared" si="130"/>
        <v>0</v>
      </c>
      <c r="B841" s="43">
        <v>839</v>
      </c>
      <c r="C841" s="44" t="s">
        <v>1344</v>
      </c>
      <c r="D841" s="98" t="s">
        <v>719</v>
      </c>
      <c r="E841" s="93" t="s">
        <v>1234</v>
      </c>
      <c r="F841" s="100" t="s">
        <v>756</v>
      </c>
      <c r="G841" s="47">
        <v>0</v>
      </c>
      <c r="H841" s="48">
        <v>65535</v>
      </c>
      <c r="I841" s="44">
        <v>0</v>
      </c>
      <c r="J841" s="48">
        <v>0</v>
      </c>
      <c r="K841" s="48">
        <v>0</v>
      </c>
      <c r="L841" s="48" t="s">
        <v>859</v>
      </c>
      <c r="M841" s="48">
        <v>1</v>
      </c>
      <c r="N841" s="48" t="s">
        <v>1004</v>
      </c>
      <c r="O841" s="48">
        <v>0</v>
      </c>
      <c r="P841" s="44">
        <v>0</v>
      </c>
      <c r="Q841" s="48">
        <v>1</v>
      </c>
      <c r="R841" s="48">
        <v>5</v>
      </c>
      <c r="S841" s="48">
        <v>0</v>
      </c>
      <c r="T841" s="48"/>
    </row>
    <row r="842" spans="1:20" x14ac:dyDescent="0.15">
      <c r="A842" s="42" t="str">
        <f t="shared" si="130"/>
        <v>0</v>
      </c>
      <c r="B842" s="43">
        <v>840</v>
      </c>
      <c r="C842" s="44" t="s">
        <v>1345</v>
      </c>
      <c r="D842" s="93" t="s">
        <v>730</v>
      </c>
      <c r="E842" s="93" t="s">
        <v>728</v>
      </c>
      <c r="F842" s="100" t="s">
        <v>732</v>
      </c>
      <c r="G842" s="47">
        <v>1500</v>
      </c>
      <c r="H842" s="48">
        <v>65535</v>
      </c>
      <c r="I842" s="44">
        <v>0</v>
      </c>
      <c r="J842" s="48">
        <v>0</v>
      </c>
      <c r="K842" s="48">
        <v>0</v>
      </c>
      <c r="L842" s="48" t="s">
        <v>859</v>
      </c>
      <c r="M842" s="48">
        <v>1</v>
      </c>
      <c r="N842" s="48" t="s">
        <v>1004</v>
      </c>
      <c r="O842" s="48">
        <v>0</v>
      </c>
      <c r="P842" s="44">
        <v>0</v>
      </c>
      <c r="Q842" s="48">
        <v>1</v>
      </c>
      <c r="R842" s="48">
        <v>5</v>
      </c>
      <c r="S842" s="48">
        <v>0</v>
      </c>
      <c r="T842" s="48"/>
    </row>
    <row r="843" spans="1:20" ht="14.45" customHeight="1" x14ac:dyDescent="0.15">
      <c r="A843" s="42" t="str">
        <f t="shared" si="130"/>
        <v>0</v>
      </c>
      <c r="B843" s="43">
        <v>841</v>
      </c>
      <c r="C843" s="44" t="s">
        <v>1346</v>
      </c>
      <c r="D843" s="93" t="s">
        <v>729</v>
      </c>
      <c r="E843" s="93" t="s">
        <v>1235</v>
      </c>
      <c r="F843" s="128" t="s">
        <v>798</v>
      </c>
      <c r="G843" s="47">
        <v>0</v>
      </c>
      <c r="H843" s="48">
        <v>65535</v>
      </c>
      <c r="I843" s="44">
        <v>0</v>
      </c>
      <c r="J843" s="48">
        <v>0</v>
      </c>
      <c r="K843" s="48">
        <v>0</v>
      </c>
      <c r="L843" s="48" t="s">
        <v>859</v>
      </c>
      <c r="M843" s="48">
        <v>1</v>
      </c>
      <c r="N843" s="48" t="s">
        <v>1004</v>
      </c>
      <c r="O843" s="48">
        <v>0</v>
      </c>
      <c r="P843" s="44">
        <v>0</v>
      </c>
      <c r="Q843" s="48">
        <v>1</v>
      </c>
      <c r="R843" s="48">
        <v>5</v>
      </c>
      <c r="S843" s="48">
        <v>0</v>
      </c>
      <c r="T843" s="48"/>
    </row>
    <row r="844" spans="1:20" x14ac:dyDescent="0.15">
      <c r="A844" s="42" t="str">
        <f t="shared" si="130"/>
        <v>0</v>
      </c>
      <c r="B844" s="43">
        <v>842</v>
      </c>
      <c r="C844" s="167" t="s">
        <v>1347</v>
      </c>
      <c r="D844" s="168" t="s">
        <v>731</v>
      </c>
      <c r="E844" s="169" t="s">
        <v>1236</v>
      </c>
      <c r="F844" s="170" t="s">
        <v>732</v>
      </c>
      <c r="G844" s="171">
        <v>1</v>
      </c>
      <c r="H844" s="172">
        <v>65535</v>
      </c>
      <c r="I844" s="167">
        <v>1</v>
      </c>
      <c r="J844" s="172">
        <v>0</v>
      </c>
      <c r="K844" s="172">
        <v>0</v>
      </c>
      <c r="L844" s="48" t="s">
        <v>859</v>
      </c>
      <c r="M844" s="48">
        <v>1</v>
      </c>
      <c r="N844" s="48" t="s">
        <v>1004</v>
      </c>
      <c r="O844" s="48">
        <v>0</v>
      </c>
      <c r="P844" s="44">
        <v>0</v>
      </c>
      <c r="Q844" s="48">
        <v>1</v>
      </c>
      <c r="R844" s="48">
        <v>5</v>
      </c>
      <c r="S844" s="48">
        <v>0</v>
      </c>
      <c r="T844" s="48"/>
    </row>
    <row r="845" spans="1:20" ht="45" x14ac:dyDescent="0.15">
      <c r="A845" s="42" t="str">
        <f t="shared" si="130"/>
        <v>0</v>
      </c>
      <c r="B845" s="43">
        <v>843</v>
      </c>
      <c r="C845" s="44" t="s">
        <v>1348</v>
      </c>
      <c r="D845" s="93" t="s">
        <v>720</v>
      </c>
      <c r="E845" s="93" t="s">
        <v>1237</v>
      </c>
      <c r="F845" s="129" t="s">
        <v>31</v>
      </c>
      <c r="G845" s="47">
        <v>10</v>
      </c>
      <c r="H845" s="48">
        <v>65535</v>
      </c>
      <c r="I845" s="44">
        <v>0</v>
      </c>
      <c r="J845" s="48">
        <v>0</v>
      </c>
      <c r="K845" s="48">
        <v>0</v>
      </c>
      <c r="L845" s="48" t="s">
        <v>859</v>
      </c>
      <c r="M845" s="48">
        <v>1E-3</v>
      </c>
      <c r="N845" s="48" t="s">
        <v>1004</v>
      </c>
      <c r="O845" s="48">
        <v>0</v>
      </c>
      <c r="P845" s="44">
        <v>0</v>
      </c>
      <c r="Q845" s="48">
        <v>1</v>
      </c>
      <c r="R845" s="48">
        <v>5</v>
      </c>
      <c r="S845" s="48">
        <v>0</v>
      </c>
      <c r="T845" s="48"/>
    </row>
    <row r="846" spans="1:20" x14ac:dyDescent="0.15">
      <c r="A846" s="42" t="str">
        <f t="shared" si="130"/>
        <v>0</v>
      </c>
      <c r="B846" s="43">
        <v>844</v>
      </c>
      <c r="C846" s="44" t="s">
        <v>1349</v>
      </c>
      <c r="D846" s="93" t="s">
        <v>721</v>
      </c>
      <c r="E846" s="25" t="s">
        <v>1238</v>
      </c>
      <c r="F846" s="66" t="s">
        <v>1239</v>
      </c>
      <c r="G846" s="47">
        <v>600</v>
      </c>
      <c r="H846" s="48">
        <v>1200</v>
      </c>
      <c r="I846" s="44">
        <v>0</v>
      </c>
      <c r="J846" s="48">
        <v>0</v>
      </c>
      <c r="K846" s="48">
        <v>0</v>
      </c>
      <c r="L846" s="48" t="s">
        <v>859</v>
      </c>
      <c r="M846" s="48">
        <v>0.1</v>
      </c>
      <c r="N846" s="48" t="s">
        <v>1004</v>
      </c>
      <c r="O846" s="48">
        <v>0</v>
      </c>
      <c r="P846" s="44">
        <v>0</v>
      </c>
      <c r="Q846" s="48">
        <v>1</v>
      </c>
      <c r="R846" s="48">
        <v>4</v>
      </c>
      <c r="S846" s="48">
        <v>0</v>
      </c>
      <c r="T846" s="48"/>
    </row>
    <row r="847" spans="1:20" x14ac:dyDescent="0.15">
      <c r="A847" s="42" t="str">
        <f t="shared" si="130"/>
        <v>0</v>
      </c>
      <c r="B847" s="43">
        <v>845</v>
      </c>
      <c r="C847" s="44" t="s">
        <v>1350</v>
      </c>
      <c r="D847" s="93" t="s">
        <v>722</v>
      </c>
      <c r="E847" s="25" t="s">
        <v>1240</v>
      </c>
      <c r="F847" s="66" t="s">
        <v>1241</v>
      </c>
      <c r="G847" s="47">
        <v>1200</v>
      </c>
      <c r="H847" s="48">
        <v>6000</v>
      </c>
      <c r="I847" s="44">
        <v>0</v>
      </c>
      <c r="J847" s="48">
        <v>0</v>
      </c>
      <c r="K847" s="48">
        <v>0</v>
      </c>
      <c r="L847" s="48" t="s">
        <v>859</v>
      </c>
      <c r="M847" s="48">
        <v>1</v>
      </c>
      <c r="N847" s="48" t="s">
        <v>1004</v>
      </c>
      <c r="O847" s="48">
        <v>0</v>
      </c>
      <c r="P847" s="44">
        <v>0</v>
      </c>
      <c r="Q847" s="48">
        <v>1</v>
      </c>
      <c r="R847" s="48">
        <v>4</v>
      </c>
      <c r="S847" s="48">
        <v>0</v>
      </c>
      <c r="T847" s="48"/>
    </row>
    <row r="848" spans="1:20" x14ac:dyDescent="0.15">
      <c r="A848" s="42" t="str">
        <f t="shared" si="130"/>
        <v>0</v>
      </c>
      <c r="B848" s="43">
        <v>846</v>
      </c>
      <c r="C848" s="44" t="s">
        <v>1351</v>
      </c>
      <c r="D848" s="93" t="s">
        <v>723</v>
      </c>
      <c r="E848" s="25" t="s">
        <v>1242</v>
      </c>
      <c r="F848" s="66" t="s">
        <v>1241</v>
      </c>
      <c r="G848" s="47">
        <v>600</v>
      </c>
      <c r="H848" s="48">
        <v>6000</v>
      </c>
      <c r="I848" s="44">
        <v>0</v>
      </c>
      <c r="J848" s="48">
        <v>0</v>
      </c>
      <c r="K848" s="48">
        <v>0</v>
      </c>
      <c r="L848" s="48" t="s">
        <v>859</v>
      </c>
      <c r="M848" s="48">
        <v>1</v>
      </c>
      <c r="N848" s="48" t="s">
        <v>1004</v>
      </c>
      <c r="O848" s="48">
        <v>0</v>
      </c>
      <c r="P848" s="44">
        <v>0</v>
      </c>
      <c r="Q848" s="48">
        <v>1</v>
      </c>
      <c r="R848" s="48">
        <v>4</v>
      </c>
      <c r="S848" s="48">
        <v>0</v>
      </c>
      <c r="T848" s="48"/>
    </row>
    <row r="849" spans="1:20" x14ac:dyDescent="0.15">
      <c r="A849" s="42" t="str">
        <f t="shared" si="130"/>
        <v>0</v>
      </c>
      <c r="B849" s="43">
        <v>847</v>
      </c>
      <c r="C849" s="44" t="s">
        <v>1352</v>
      </c>
      <c r="D849" s="93" t="s">
        <v>724</v>
      </c>
      <c r="E849" s="25" t="s">
        <v>1243</v>
      </c>
      <c r="F849" s="66" t="s">
        <v>1244</v>
      </c>
      <c r="G849" s="47">
        <v>1</v>
      </c>
      <c r="H849" s="48">
        <v>5</v>
      </c>
      <c r="I849" s="44">
        <v>1</v>
      </c>
      <c r="J849" s="48">
        <v>0</v>
      </c>
      <c r="K849" s="48">
        <v>0</v>
      </c>
      <c r="L849" s="48" t="s">
        <v>859</v>
      </c>
      <c r="M849" s="48">
        <v>1</v>
      </c>
      <c r="N849" s="48" t="s">
        <v>1004</v>
      </c>
      <c r="O849" s="48">
        <v>0</v>
      </c>
      <c r="P849" s="44">
        <v>0</v>
      </c>
      <c r="Q849" s="48">
        <v>1</v>
      </c>
      <c r="R849" s="48">
        <v>1</v>
      </c>
      <c r="S849" s="48">
        <v>0</v>
      </c>
      <c r="T849" s="48"/>
    </row>
    <row r="850" spans="1:20" x14ac:dyDescent="0.15">
      <c r="A850" s="42" t="str">
        <f t="shared" si="130"/>
        <v>0</v>
      </c>
      <c r="B850" s="43">
        <v>848</v>
      </c>
      <c r="C850" s="38" t="s">
        <v>826</v>
      </c>
      <c r="D850" s="50" t="s">
        <v>1269</v>
      </c>
      <c r="E850" s="51" t="s">
        <v>1188</v>
      </c>
      <c r="F850" s="54" t="s">
        <v>1111</v>
      </c>
      <c r="G850" s="52">
        <v>0</v>
      </c>
      <c r="H850" s="53" t="s">
        <v>1002</v>
      </c>
      <c r="I850" s="38">
        <v>0</v>
      </c>
      <c r="J850" s="53">
        <v>0</v>
      </c>
      <c r="K850" s="53">
        <v>0</v>
      </c>
      <c r="L850" s="53" t="s">
        <v>862</v>
      </c>
      <c r="M850" s="53">
        <v>1</v>
      </c>
      <c r="N850" s="53" t="s">
        <v>1004</v>
      </c>
      <c r="O850" s="53">
        <v>1</v>
      </c>
      <c r="P850" s="38">
        <v>1</v>
      </c>
      <c r="Q850" s="53">
        <v>0</v>
      </c>
      <c r="R850" s="53">
        <v>4</v>
      </c>
      <c r="S850" s="53">
        <v>0</v>
      </c>
      <c r="T850" s="53"/>
    </row>
    <row r="851" spans="1:20" ht="45" x14ac:dyDescent="0.15">
      <c r="A851" s="42" t="str">
        <f t="shared" si="130"/>
        <v>0</v>
      </c>
      <c r="B851" s="43">
        <v>849</v>
      </c>
      <c r="C851" s="38" t="s">
        <v>827</v>
      </c>
      <c r="D851" s="50" t="s">
        <v>1189</v>
      </c>
      <c r="E851" s="51" t="s">
        <v>1190</v>
      </c>
      <c r="F851" s="54" t="s">
        <v>1191</v>
      </c>
      <c r="G851" s="52">
        <v>0</v>
      </c>
      <c r="H851" s="53">
        <v>65535</v>
      </c>
      <c r="I851" s="38">
        <v>0</v>
      </c>
      <c r="J851" s="53">
        <v>0</v>
      </c>
      <c r="K851" s="53">
        <v>0</v>
      </c>
      <c r="L851" s="53" t="s">
        <v>860</v>
      </c>
      <c r="M851" s="53">
        <v>1</v>
      </c>
      <c r="N851" s="53" t="s">
        <v>1007</v>
      </c>
      <c r="O851" s="53">
        <v>0</v>
      </c>
      <c r="P851" s="38">
        <v>1</v>
      </c>
      <c r="Q851" s="53">
        <v>0</v>
      </c>
      <c r="R851" s="53">
        <v>5</v>
      </c>
      <c r="S851" s="53">
        <v>0</v>
      </c>
      <c r="T851" s="53"/>
    </row>
    <row r="852" spans="1:20" x14ac:dyDescent="0.15">
      <c r="A852" s="42" t="str">
        <f t="shared" si="130"/>
        <v>0</v>
      </c>
      <c r="B852" s="43">
        <v>850</v>
      </c>
      <c r="C852" s="38" t="s">
        <v>828</v>
      </c>
      <c r="D852" s="50" t="s">
        <v>1192</v>
      </c>
      <c r="E852" s="51" t="s">
        <v>1193</v>
      </c>
      <c r="F852" s="69" t="s">
        <v>1194</v>
      </c>
      <c r="G852" s="52">
        <v>0</v>
      </c>
      <c r="H852" s="53">
        <v>65535</v>
      </c>
      <c r="I852" s="38">
        <v>0</v>
      </c>
      <c r="J852" s="53">
        <v>0</v>
      </c>
      <c r="K852" s="53">
        <v>0</v>
      </c>
      <c r="L852" s="53" t="s">
        <v>861</v>
      </c>
      <c r="M852" s="53">
        <v>1</v>
      </c>
      <c r="N852" s="53" t="s">
        <v>1007</v>
      </c>
      <c r="O852" s="53">
        <v>0</v>
      </c>
      <c r="P852" s="38">
        <v>1</v>
      </c>
      <c r="Q852" s="53">
        <v>0</v>
      </c>
      <c r="R852" s="53">
        <v>5</v>
      </c>
      <c r="S852" s="53">
        <v>0</v>
      </c>
      <c r="T852" s="53"/>
    </row>
    <row r="853" spans="1:20" x14ac:dyDescent="0.15">
      <c r="A853" s="42" t="str">
        <f t="shared" si="130"/>
        <v>0</v>
      </c>
      <c r="B853" s="43">
        <v>851</v>
      </c>
      <c r="C853" s="38" t="s">
        <v>829</v>
      </c>
      <c r="D853" s="50" t="s">
        <v>1195</v>
      </c>
      <c r="E853" s="51" t="s">
        <v>1196</v>
      </c>
      <c r="F853" s="69" t="s">
        <v>1144</v>
      </c>
      <c r="G853" s="52">
        <v>0</v>
      </c>
      <c r="H853" s="53">
        <v>65535</v>
      </c>
      <c r="I853" s="38">
        <v>0</v>
      </c>
      <c r="J853" s="53">
        <v>0</v>
      </c>
      <c r="K853" s="53">
        <v>0</v>
      </c>
      <c r="L853" s="53" t="s">
        <v>860</v>
      </c>
      <c r="M853" s="53">
        <v>1</v>
      </c>
      <c r="N853" s="53" t="s">
        <v>1004</v>
      </c>
      <c r="O853" s="53">
        <v>0</v>
      </c>
      <c r="P853" s="38">
        <v>1</v>
      </c>
      <c r="Q853" s="53">
        <v>0</v>
      </c>
      <c r="R853" s="53">
        <v>5</v>
      </c>
      <c r="S853" s="53">
        <v>0</v>
      </c>
      <c r="T853" s="53"/>
    </row>
    <row r="854" spans="1:20" x14ac:dyDescent="0.15">
      <c r="A854" s="42" t="str">
        <f t="shared" si="130"/>
        <v>0</v>
      </c>
      <c r="B854" s="43">
        <v>852</v>
      </c>
      <c r="C854" s="38" t="s">
        <v>830</v>
      </c>
      <c r="D854" s="50" t="s">
        <v>718</v>
      </c>
      <c r="E854" s="51" t="s">
        <v>1197</v>
      </c>
      <c r="F854" s="69" t="s">
        <v>1144</v>
      </c>
      <c r="G854" s="52">
        <v>0</v>
      </c>
      <c r="H854" s="53" t="s">
        <v>1002</v>
      </c>
      <c r="I854" s="38">
        <v>0</v>
      </c>
      <c r="J854" s="53">
        <v>0</v>
      </c>
      <c r="K854" s="53">
        <v>0</v>
      </c>
      <c r="L854" s="53" t="s">
        <v>1302</v>
      </c>
      <c r="M854" s="53">
        <v>1</v>
      </c>
      <c r="N854" s="53" t="s">
        <v>1004</v>
      </c>
      <c r="O854" s="53">
        <v>1</v>
      </c>
      <c r="P854" s="38">
        <v>1</v>
      </c>
      <c r="Q854" s="53">
        <v>0</v>
      </c>
      <c r="R854" s="53">
        <v>4</v>
      </c>
      <c r="S854" s="53">
        <v>0</v>
      </c>
      <c r="T854" s="53"/>
    </row>
  </sheetData>
  <autoFilter ref="F1:F843"/>
  <mergeCells count="1">
    <mergeCell ref="F13:F32"/>
  </mergeCells>
  <phoneticPr fontId="20" type="noConversion"/>
  <hyperlinks>
    <hyperlink ref="F103" location="输入输出端子功能!A1" display="见数字输入端子功能定义列表"/>
    <hyperlink ref="F104:F109" location="输入输出端子功能!A1" display="见数字输入端子功能定义列表"/>
    <hyperlink ref="F110" location="输入输出端子功能!A1" display="见数字输入端子功能定义列表"/>
    <hyperlink ref="F111:F112" location="输入输出端子功能!A1" display="见数字输入端子功能定义列表"/>
    <hyperlink ref="F125" location="输入输出端子功能!A1" display="详见数字输出端子功能定义列表"/>
    <hyperlink ref="F126:F127" location="输入输出端子功能!A1" display="详见数字输出端子功能定义列表"/>
    <hyperlink ref="F172" location="输入输出端子功能!A1" display="详见模拟量脉冲输出功能定义列表"/>
    <hyperlink ref="F173:F174" location="输入输出端子功能!A1" display="详见模拟量脉冲输出功能定义列表"/>
    <hyperlink ref="F128" location="输入输出端子功能!A1" display="详见数字输出端子功能定义列表"/>
  </hyperlinks>
  <pageMargins left="0.75" right="0.75" top="1" bottom="1" header="0.5" footer="0.5"/>
  <pageSetup paperSize="9" orientation="portrait" horizontalDpi="1200" verticalDpi="1200" r:id="rId1"/>
  <headerFooter alignWithMargins="0"/>
  <drawing r:id="rId2"/>
  <legacyDrawing r:id="rId3"/>
  <controls>
    <mc:AlternateContent xmlns:mc="http://schemas.openxmlformats.org/markup-compatibility/2006">
      <mc:Choice Requires="x14">
        <control shapeId="1036" r:id="rId4" name="TextBox1">
          <controlPr defaultSize="0" autoLine="0" autoPict="0" r:id="rId5">
            <anchor moveWithCells="1">
              <from>
                <xdr:col>20</xdr:col>
                <xdr:colOff>28575</xdr:colOff>
                <xdr:row>141</xdr:row>
                <xdr:rowOff>0</xdr:rowOff>
              </from>
              <to>
                <xdr:col>20</xdr:col>
                <xdr:colOff>657225</xdr:colOff>
                <xdr:row>141</xdr:row>
                <xdr:rowOff>228600</xdr:rowOff>
              </to>
            </anchor>
          </controlPr>
        </control>
      </mc:Choice>
      <mc:Fallback>
        <control shapeId="1036" r:id="rId4" name="TextBox1"/>
      </mc:Fallback>
    </mc:AlternateContent>
    <mc:AlternateContent xmlns:mc="http://schemas.openxmlformats.org/markup-compatibility/2006">
      <mc:Choice Requires="x14">
        <control shapeId="1033" r:id="rId6" name="Button 9">
          <controlPr defaultSize="0" print="0" autoFill="0" autoPict="0" macro="[0]!CreateFiles">
            <anchor moveWithCells="1" sizeWithCells="1">
              <from>
                <xdr:col>2</xdr:col>
                <xdr:colOff>28575</xdr:colOff>
                <xdr:row>0</xdr:row>
                <xdr:rowOff>628650</xdr:rowOff>
              </from>
              <to>
                <xdr:col>3</xdr:col>
                <xdr:colOff>0</xdr:colOff>
                <xdr:row>1</xdr:row>
                <xdr:rowOff>0</xdr:rowOff>
              </to>
            </anchor>
          </controlPr>
        </control>
      </mc:Choice>
    </mc:AlternateContent>
    <mc:AlternateContent xmlns:mc="http://schemas.openxmlformats.org/markup-compatibility/2006">
      <mc:Choice Requires="x14">
        <control shapeId="1037" r:id="rId7" name="Label 13">
          <controlPr defaultSize="0" autoFill="0" autoLine="0" autoPict="0">
            <anchor moveWithCells="1" sizeWithCells="1">
              <from>
                <xdr:col>20</xdr:col>
                <xdr:colOff>38100</xdr:colOff>
                <xdr:row>2</xdr:row>
                <xdr:rowOff>57150</xdr:rowOff>
              </from>
              <to>
                <xdr:col>20</xdr:col>
                <xdr:colOff>657225</xdr:colOff>
                <xdr:row>2</xdr:row>
                <xdr:rowOff>466725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101"/>
  <sheetViews>
    <sheetView workbookViewId="0">
      <pane ySplit="1" topLeftCell="A2" activePane="bottomLeft" state="frozen"/>
      <selection pane="bottomLeft" activeCell="D36" sqref="D36"/>
    </sheetView>
  </sheetViews>
  <sheetFormatPr defaultRowHeight="14.25" x14ac:dyDescent="0.15"/>
  <cols>
    <col min="1" max="1" width="9" style="6" customWidth="1"/>
    <col min="2" max="2" width="33.125" style="16" customWidth="1"/>
    <col min="3" max="3" width="9" style="17"/>
    <col min="4" max="4" width="27.625" customWidth="1"/>
    <col min="5" max="5" width="9" style="7"/>
    <col min="6" max="6" width="41.625" customWidth="1"/>
  </cols>
  <sheetData>
    <row r="1" spans="1:6" s="14" customFormat="1" x14ac:dyDescent="0.15">
      <c r="A1" s="8" t="s">
        <v>1202</v>
      </c>
      <c r="B1" s="9" t="s">
        <v>1203</v>
      </c>
      <c r="C1" s="10" t="s">
        <v>1202</v>
      </c>
      <c r="D1" s="11" t="s">
        <v>1204</v>
      </c>
      <c r="E1" s="12" t="s">
        <v>1202</v>
      </c>
      <c r="F1" s="13" t="s">
        <v>1205</v>
      </c>
    </row>
    <row r="2" spans="1:6" x14ac:dyDescent="0.15">
      <c r="A2" s="18">
        <v>0</v>
      </c>
      <c r="B2" s="19" t="s">
        <v>1206</v>
      </c>
      <c r="C2" s="18">
        <v>0</v>
      </c>
      <c r="D2" s="19" t="s">
        <v>1207</v>
      </c>
      <c r="E2" s="20">
        <v>0</v>
      </c>
      <c r="F2" s="19" t="s">
        <v>1368</v>
      </c>
    </row>
    <row r="3" spans="1:6" s="15" customFormat="1" ht="12" x14ac:dyDescent="0.15">
      <c r="A3" s="20">
        <v>1</v>
      </c>
      <c r="B3" s="19" t="s">
        <v>1378</v>
      </c>
      <c r="C3" s="20">
        <v>1</v>
      </c>
      <c r="D3" s="19" t="s">
        <v>1379</v>
      </c>
      <c r="E3" s="20">
        <v>1</v>
      </c>
      <c r="F3" s="19" t="s">
        <v>1380</v>
      </c>
    </row>
    <row r="4" spans="1:6" s="15" customFormat="1" ht="12" x14ac:dyDescent="0.15">
      <c r="A4" s="20">
        <v>2</v>
      </c>
      <c r="B4" s="19" t="s">
        <v>1381</v>
      </c>
      <c r="C4" s="18">
        <v>2</v>
      </c>
      <c r="D4" s="19" t="s">
        <v>1382</v>
      </c>
      <c r="E4" s="20">
        <v>2</v>
      </c>
      <c r="F4" s="19" t="s">
        <v>1383</v>
      </c>
    </row>
    <row r="5" spans="1:6" s="15" customFormat="1" ht="12" x14ac:dyDescent="0.15">
      <c r="A5" s="20">
        <v>3</v>
      </c>
      <c r="B5" s="19" t="s">
        <v>1384</v>
      </c>
      <c r="C5" s="20">
        <v>3</v>
      </c>
      <c r="D5" s="19" t="s">
        <v>1208</v>
      </c>
      <c r="E5" s="20">
        <v>3</v>
      </c>
      <c r="F5" s="19" t="s">
        <v>1385</v>
      </c>
    </row>
    <row r="6" spans="1:6" s="15" customFormat="1" ht="12" x14ac:dyDescent="0.15">
      <c r="A6" s="20">
        <v>4</v>
      </c>
      <c r="B6" s="19" t="s">
        <v>1386</v>
      </c>
      <c r="C6" s="18">
        <v>4</v>
      </c>
      <c r="D6" s="19" t="s">
        <v>1387</v>
      </c>
      <c r="E6" s="20">
        <v>4</v>
      </c>
      <c r="F6" s="19" t="s">
        <v>1388</v>
      </c>
    </row>
    <row r="7" spans="1:6" s="15" customFormat="1" ht="12" x14ac:dyDescent="0.15">
      <c r="A7" s="20">
        <v>5</v>
      </c>
      <c r="B7" s="19" t="s">
        <v>1389</v>
      </c>
      <c r="C7" s="20">
        <v>5</v>
      </c>
      <c r="D7" s="19" t="s">
        <v>1390</v>
      </c>
      <c r="E7" s="20">
        <v>5</v>
      </c>
      <c r="F7" s="19" t="s">
        <v>1391</v>
      </c>
    </row>
    <row r="8" spans="1:6" s="15" customFormat="1" ht="12" x14ac:dyDescent="0.15">
      <c r="A8" s="20">
        <v>6</v>
      </c>
      <c r="B8" s="19" t="s">
        <v>1392</v>
      </c>
      <c r="C8" s="18">
        <v>6</v>
      </c>
      <c r="D8" s="19" t="s">
        <v>1393</v>
      </c>
      <c r="E8" s="20">
        <v>6</v>
      </c>
      <c r="F8" s="19" t="s">
        <v>1394</v>
      </c>
    </row>
    <row r="9" spans="1:6" s="15" customFormat="1" ht="12" x14ac:dyDescent="0.15">
      <c r="A9" s="20">
        <v>7</v>
      </c>
      <c r="B9" s="19" t="s">
        <v>1395</v>
      </c>
      <c r="C9" s="20">
        <v>7</v>
      </c>
      <c r="D9" s="19" t="s">
        <v>1396</v>
      </c>
      <c r="E9" s="20">
        <v>7</v>
      </c>
      <c r="F9" s="19" t="s">
        <v>1397</v>
      </c>
    </row>
    <row r="10" spans="1:6" s="15" customFormat="1" ht="12" x14ac:dyDescent="0.15">
      <c r="A10" s="20">
        <v>8</v>
      </c>
      <c r="B10" s="19" t="s">
        <v>1398</v>
      </c>
      <c r="C10" s="18">
        <v>8</v>
      </c>
      <c r="D10" s="19" t="s">
        <v>1399</v>
      </c>
      <c r="E10" s="20">
        <v>8</v>
      </c>
      <c r="F10" s="19" t="s">
        <v>1400</v>
      </c>
    </row>
    <row r="11" spans="1:6" s="15" customFormat="1" ht="12" x14ac:dyDescent="0.15">
      <c r="A11" s="20">
        <v>9</v>
      </c>
      <c r="B11" s="19" t="s">
        <v>1401</v>
      </c>
      <c r="C11" s="20">
        <v>9</v>
      </c>
      <c r="D11" s="19" t="s">
        <v>1402</v>
      </c>
      <c r="E11" s="20">
        <v>9</v>
      </c>
      <c r="F11" s="19" t="s">
        <v>1403</v>
      </c>
    </row>
    <row r="12" spans="1:6" s="15" customFormat="1" ht="12" x14ac:dyDescent="0.15">
      <c r="A12" s="20">
        <v>10</v>
      </c>
      <c r="B12" s="19" t="s">
        <v>1404</v>
      </c>
      <c r="C12" s="18">
        <v>10</v>
      </c>
      <c r="D12" s="19" t="s">
        <v>1405</v>
      </c>
      <c r="E12" s="20">
        <v>10</v>
      </c>
      <c r="F12" s="19" t="s">
        <v>1406</v>
      </c>
    </row>
    <row r="13" spans="1:6" s="15" customFormat="1" ht="12" x14ac:dyDescent="0.15">
      <c r="A13" s="20">
        <v>11</v>
      </c>
      <c r="B13" s="19" t="s">
        <v>1407</v>
      </c>
      <c r="C13" s="20">
        <v>11</v>
      </c>
      <c r="D13" s="19" t="s">
        <v>1408</v>
      </c>
      <c r="E13" s="20">
        <v>11</v>
      </c>
      <c r="F13" s="19" t="s">
        <v>1209</v>
      </c>
    </row>
    <row r="14" spans="1:6" s="15" customFormat="1" ht="12" x14ac:dyDescent="0.15">
      <c r="A14" s="20">
        <v>12</v>
      </c>
      <c r="B14" s="19" t="s">
        <v>1369</v>
      </c>
      <c r="C14" s="18">
        <v>12</v>
      </c>
      <c r="D14" s="19" t="s">
        <v>1370</v>
      </c>
      <c r="E14" s="20">
        <v>12</v>
      </c>
      <c r="F14" s="19" t="s">
        <v>1210</v>
      </c>
    </row>
    <row r="15" spans="1:6" s="15" customFormat="1" ht="12" x14ac:dyDescent="0.15">
      <c r="A15" s="20">
        <v>13</v>
      </c>
      <c r="B15" s="19" t="s">
        <v>1371</v>
      </c>
      <c r="C15" s="20">
        <v>13</v>
      </c>
      <c r="D15" s="19" t="s">
        <v>1372</v>
      </c>
      <c r="E15" s="20">
        <v>13</v>
      </c>
      <c r="F15" s="19" t="s">
        <v>1211</v>
      </c>
    </row>
    <row r="16" spans="1:6" s="15" customFormat="1" ht="12" x14ac:dyDescent="0.15">
      <c r="A16" s="20">
        <v>14</v>
      </c>
      <c r="B16" s="19" t="s">
        <v>1373</v>
      </c>
      <c r="C16" s="18">
        <v>14</v>
      </c>
      <c r="D16" s="19" t="s">
        <v>1374</v>
      </c>
      <c r="E16" s="20">
        <v>14</v>
      </c>
      <c r="F16" s="19" t="s">
        <v>1375</v>
      </c>
    </row>
    <row r="17" spans="1:6" s="15" customFormat="1" ht="12" x14ac:dyDescent="0.15">
      <c r="A17" s="20">
        <v>15</v>
      </c>
      <c r="B17" s="19" t="s">
        <v>1376</v>
      </c>
      <c r="C17" s="20">
        <v>15</v>
      </c>
      <c r="D17" s="19" t="s">
        <v>1377</v>
      </c>
      <c r="E17" s="20">
        <v>15</v>
      </c>
      <c r="F17" s="19" t="s">
        <v>1212</v>
      </c>
    </row>
    <row r="18" spans="1:6" s="15" customFormat="1" ht="12" x14ac:dyDescent="0.15">
      <c r="A18" s="20">
        <v>16</v>
      </c>
      <c r="B18" s="19" t="s">
        <v>1409</v>
      </c>
      <c r="C18" s="18">
        <v>16</v>
      </c>
      <c r="D18" s="19" t="s">
        <v>1410</v>
      </c>
      <c r="E18" s="20">
        <v>16</v>
      </c>
      <c r="F18" s="19" t="s">
        <v>1213</v>
      </c>
    </row>
    <row r="19" spans="1:6" s="15" customFormat="1" ht="12" x14ac:dyDescent="0.15">
      <c r="A19" s="20">
        <v>17</v>
      </c>
      <c r="B19" s="19" t="s">
        <v>1411</v>
      </c>
      <c r="C19" s="20">
        <v>17</v>
      </c>
      <c r="D19" s="19" t="s">
        <v>1412</v>
      </c>
      <c r="E19" s="20">
        <v>17</v>
      </c>
      <c r="F19" s="19" t="s">
        <v>1353</v>
      </c>
    </row>
    <row r="20" spans="1:6" s="15" customFormat="1" ht="12" x14ac:dyDescent="0.15">
      <c r="A20" s="20">
        <v>18</v>
      </c>
      <c r="B20" s="19" t="s">
        <v>1413</v>
      </c>
      <c r="C20" s="18">
        <v>18</v>
      </c>
      <c r="D20" s="19" t="s">
        <v>1214</v>
      </c>
      <c r="E20" s="20">
        <v>18</v>
      </c>
      <c r="F20" s="19" t="s">
        <v>1414</v>
      </c>
    </row>
    <row r="21" spans="1:6" s="15" customFormat="1" ht="12" x14ac:dyDescent="0.15">
      <c r="A21" s="20">
        <v>19</v>
      </c>
      <c r="B21" s="19" t="s">
        <v>1415</v>
      </c>
      <c r="C21" s="20">
        <v>19</v>
      </c>
      <c r="D21" s="19" t="s">
        <v>1215</v>
      </c>
      <c r="E21" s="20">
        <v>19</v>
      </c>
      <c r="F21" s="19" t="s">
        <v>1414</v>
      </c>
    </row>
    <row r="22" spans="1:6" s="15" customFormat="1" ht="12" x14ac:dyDescent="0.15">
      <c r="A22" s="20">
        <v>20</v>
      </c>
      <c r="B22" s="19" t="s">
        <v>1416</v>
      </c>
      <c r="C22" s="18">
        <v>20</v>
      </c>
      <c r="D22" s="19" t="s">
        <v>1216</v>
      </c>
      <c r="E22" s="20">
        <v>20</v>
      </c>
      <c r="F22" s="19" t="s">
        <v>1414</v>
      </c>
    </row>
    <row r="23" spans="1:6" s="15" customFormat="1" ht="12" x14ac:dyDescent="0.15">
      <c r="A23" s="20">
        <v>21</v>
      </c>
      <c r="B23" s="19" t="s">
        <v>1417</v>
      </c>
      <c r="C23" s="20">
        <v>21</v>
      </c>
      <c r="D23" s="19" t="s">
        <v>1217</v>
      </c>
      <c r="E23" s="20">
        <v>21</v>
      </c>
      <c r="F23" s="19" t="s">
        <v>1414</v>
      </c>
    </row>
    <row r="24" spans="1:6" s="15" customFormat="1" ht="12" x14ac:dyDescent="0.15">
      <c r="A24" s="20">
        <v>22</v>
      </c>
      <c r="B24" s="19" t="s">
        <v>1418</v>
      </c>
      <c r="C24" s="18">
        <v>22</v>
      </c>
      <c r="D24" s="19" t="s">
        <v>1419</v>
      </c>
      <c r="E24" s="20">
        <v>22</v>
      </c>
      <c r="F24" s="19" t="s">
        <v>1414</v>
      </c>
    </row>
    <row r="25" spans="1:6" s="15" customFormat="1" ht="12" x14ac:dyDescent="0.15">
      <c r="A25" s="20">
        <v>23</v>
      </c>
      <c r="B25" s="19" t="s">
        <v>1420</v>
      </c>
      <c r="C25" s="20">
        <v>23</v>
      </c>
      <c r="D25" s="19" t="s">
        <v>1218</v>
      </c>
      <c r="E25" s="20">
        <v>23</v>
      </c>
      <c r="F25" s="19" t="s">
        <v>1414</v>
      </c>
    </row>
    <row r="26" spans="1:6" s="15" customFormat="1" ht="12" x14ac:dyDescent="0.15">
      <c r="A26" s="20">
        <v>24</v>
      </c>
      <c r="B26" s="19" t="s">
        <v>1421</v>
      </c>
      <c r="C26" s="18">
        <v>24</v>
      </c>
      <c r="D26" s="19" t="s">
        <v>1422</v>
      </c>
      <c r="E26" s="20">
        <v>24</v>
      </c>
      <c r="F26" s="19" t="s">
        <v>1414</v>
      </c>
    </row>
    <row r="27" spans="1:6" s="15" customFormat="1" ht="12" x14ac:dyDescent="0.15">
      <c r="A27" s="20">
        <v>25</v>
      </c>
      <c r="B27" s="19" t="s">
        <v>1423</v>
      </c>
      <c r="C27" s="20">
        <v>25</v>
      </c>
      <c r="D27" s="19" t="s">
        <v>1219</v>
      </c>
      <c r="E27" s="20">
        <v>25</v>
      </c>
      <c r="F27" s="19" t="s">
        <v>1414</v>
      </c>
    </row>
    <row r="28" spans="1:6" s="15" customFormat="1" ht="12" x14ac:dyDescent="0.15">
      <c r="A28" s="20">
        <v>26</v>
      </c>
      <c r="B28" s="19" t="s">
        <v>1424</v>
      </c>
      <c r="C28" s="18">
        <v>26</v>
      </c>
      <c r="D28" s="19" t="s">
        <v>1220</v>
      </c>
      <c r="E28" s="20">
        <v>26</v>
      </c>
      <c r="F28" s="19" t="s">
        <v>1414</v>
      </c>
    </row>
    <row r="29" spans="1:6" s="15" customFormat="1" ht="12" x14ac:dyDescent="0.15">
      <c r="A29" s="20">
        <v>27</v>
      </c>
      <c r="B29" s="19" t="s">
        <v>1425</v>
      </c>
      <c r="C29" s="20">
        <v>27</v>
      </c>
      <c r="D29" s="19" t="s">
        <v>1426</v>
      </c>
      <c r="E29" s="20">
        <v>27</v>
      </c>
      <c r="F29" s="19" t="s">
        <v>1414</v>
      </c>
    </row>
    <row r="30" spans="1:6" s="15" customFormat="1" ht="12" x14ac:dyDescent="0.15">
      <c r="A30" s="20">
        <v>28</v>
      </c>
      <c r="B30" s="19" t="s">
        <v>1427</v>
      </c>
      <c r="C30" s="18">
        <v>28</v>
      </c>
      <c r="D30" s="19" t="s">
        <v>1221</v>
      </c>
      <c r="E30" s="20">
        <v>28</v>
      </c>
      <c r="F30" s="19" t="s">
        <v>1414</v>
      </c>
    </row>
    <row r="31" spans="1:6" s="15" customFormat="1" ht="12" x14ac:dyDescent="0.15">
      <c r="A31" s="20">
        <v>29</v>
      </c>
      <c r="B31" s="19" t="s">
        <v>1428</v>
      </c>
      <c r="C31" s="20">
        <v>29</v>
      </c>
      <c r="D31" s="19" t="s">
        <v>1222</v>
      </c>
      <c r="E31" s="20">
        <v>29</v>
      </c>
      <c r="F31" s="19" t="s">
        <v>1414</v>
      </c>
    </row>
    <row r="32" spans="1:6" s="15" customFormat="1" ht="12" x14ac:dyDescent="0.15">
      <c r="A32" s="20">
        <v>30</v>
      </c>
      <c r="B32" s="19" t="s">
        <v>1429</v>
      </c>
      <c r="C32" s="18">
        <v>30</v>
      </c>
      <c r="D32" s="21" t="s">
        <v>1430</v>
      </c>
      <c r="E32" s="20">
        <v>30</v>
      </c>
      <c r="F32" s="19" t="s">
        <v>1414</v>
      </c>
    </row>
    <row r="33" spans="1:6" s="15" customFormat="1" ht="12" x14ac:dyDescent="0.15">
      <c r="A33" s="20">
        <v>31</v>
      </c>
      <c r="B33" s="19" t="s">
        <v>1431</v>
      </c>
      <c r="C33" s="20">
        <v>31</v>
      </c>
      <c r="D33" s="21" t="s">
        <v>1432</v>
      </c>
      <c r="E33" s="20">
        <v>31</v>
      </c>
      <c r="F33" s="19" t="s">
        <v>1414</v>
      </c>
    </row>
    <row r="34" spans="1:6" s="15" customFormat="1" ht="12" x14ac:dyDescent="0.15">
      <c r="A34" s="20">
        <v>32</v>
      </c>
      <c r="B34" s="19" t="s">
        <v>1433</v>
      </c>
      <c r="C34" s="18">
        <v>32</v>
      </c>
      <c r="D34" s="21" t="s">
        <v>1434</v>
      </c>
      <c r="E34" s="20">
        <v>32</v>
      </c>
      <c r="F34" s="19" t="s">
        <v>1414</v>
      </c>
    </row>
    <row r="35" spans="1:6" s="15" customFormat="1" ht="12" x14ac:dyDescent="0.15">
      <c r="A35" s="20">
        <v>33</v>
      </c>
      <c r="B35" s="19" t="s">
        <v>1435</v>
      </c>
      <c r="C35" s="20">
        <v>33</v>
      </c>
      <c r="D35" s="19" t="s">
        <v>1414</v>
      </c>
      <c r="E35" s="20">
        <v>33</v>
      </c>
      <c r="F35" s="19" t="s">
        <v>1414</v>
      </c>
    </row>
    <row r="36" spans="1:6" s="15" customFormat="1" ht="12" x14ac:dyDescent="0.15">
      <c r="A36" s="20">
        <v>34</v>
      </c>
      <c r="B36" s="19" t="s">
        <v>1436</v>
      </c>
      <c r="C36" s="18">
        <v>34</v>
      </c>
      <c r="D36" s="19" t="s">
        <v>50</v>
      </c>
      <c r="E36" s="20">
        <v>34</v>
      </c>
      <c r="F36" s="19" t="s">
        <v>1414</v>
      </c>
    </row>
    <row r="37" spans="1:6" s="15" customFormat="1" ht="12" x14ac:dyDescent="0.15">
      <c r="A37" s="20">
        <v>35</v>
      </c>
      <c r="B37" s="19" t="s">
        <v>1437</v>
      </c>
      <c r="C37" s="20">
        <v>35</v>
      </c>
      <c r="D37" s="19" t="s">
        <v>51</v>
      </c>
      <c r="E37" s="20">
        <v>35</v>
      </c>
      <c r="F37" s="19" t="s">
        <v>1414</v>
      </c>
    </row>
    <row r="38" spans="1:6" s="15" customFormat="1" ht="12" x14ac:dyDescent="0.15">
      <c r="A38" s="20">
        <v>36</v>
      </c>
      <c r="B38" s="19" t="s">
        <v>1438</v>
      </c>
      <c r="C38" s="18">
        <v>36</v>
      </c>
      <c r="D38" s="19" t="s">
        <v>1414</v>
      </c>
      <c r="E38" s="20">
        <v>36</v>
      </c>
      <c r="F38" s="19" t="s">
        <v>1414</v>
      </c>
    </row>
    <row r="39" spans="1:6" s="15" customFormat="1" ht="12" x14ac:dyDescent="0.15">
      <c r="A39" s="20">
        <v>37</v>
      </c>
      <c r="B39" s="19" t="s">
        <v>1439</v>
      </c>
      <c r="C39" s="20">
        <v>37</v>
      </c>
      <c r="D39" s="19" t="s">
        <v>1414</v>
      </c>
      <c r="E39" s="20">
        <v>37</v>
      </c>
      <c r="F39" s="19" t="s">
        <v>1414</v>
      </c>
    </row>
    <row r="40" spans="1:6" s="15" customFormat="1" ht="12" x14ac:dyDescent="0.15">
      <c r="A40" s="20">
        <v>38</v>
      </c>
      <c r="B40" s="19" t="s">
        <v>1440</v>
      </c>
      <c r="C40" s="18">
        <v>38</v>
      </c>
      <c r="D40" s="19" t="s">
        <v>1414</v>
      </c>
      <c r="E40" s="20">
        <v>38</v>
      </c>
      <c r="F40" s="19" t="s">
        <v>1414</v>
      </c>
    </row>
    <row r="41" spans="1:6" s="15" customFormat="1" ht="12" x14ac:dyDescent="0.15">
      <c r="A41" s="20">
        <v>39</v>
      </c>
      <c r="B41" s="19" t="s">
        <v>1441</v>
      </c>
      <c r="C41" s="20">
        <v>39</v>
      </c>
      <c r="D41" s="19" t="s">
        <v>1414</v>
      </c>
      <c r="E41" s="20">
        <v>39</v>
      </c>
      <c r="F41" s="19" t="s">
        <v>1414</v>
      </c>
    </row>
    <row r="42" spans="1:6" s="15" customFormat="1" ht="12" x14ac:dyDescent="0.15">
      <c r="A42" s="20">
        <v>40</v>
      </c>
      <c r="B42" s="19" t="s">
        <v>1442</v>
      </c>
      <c r="C42" s="18">
        <v>40</v>
      </c>
      <c r="D42" s="19" t="s">
        <v>1414</v>
      </c>
      <c r="E42" s="20">
        <v>40</v>
      </c>
      <c r="F42" s="19" t="s">
        <v>1414</v>
      </c>
    </row>
    <row r="43" spans="1:6" s="15" customFormat="1" ht="12" x14ac:dyDescent="0.15">
      <c r="A43" s="20">
        <v>41</v>
      </c>
      <c r="B43" s="19" t="s">
        <v>1443</v>
      </c>
      <c r="C43" s="20">
        <v>41</v>
      </c>
      <c r="D43" s="19" t="s">
        <v>1414</v>
      </c>
      <c r="E43" s="20">
        <v>41</v>
      </c>
      <c r="F43" s="19" t="s">
        <v>1414</v>
      </c>
    </row>
    <row r="44" spans="1:6" s="15" customFormat="1" ht="12" x14ac:dyDescent="0.15">
      <c r="A44" s="20">
        <v>42</v>
      </c>
      <c r="B44" s="19" t="s">
        <v>1444</v>
      </c>
      <c r="C44" s="18">
        <v>42</v>
      </c>
      <c r="D44" s="19" t="s">
        <v>1414</v>
      </c>
      <c r="E44" s="20">
        <v>42</v>
      </c>
      <c r="F44" s="19" t="s">
        <v>1414</v>
      </c>
    </row>
    <row r="45" spans="1:6" s="15" customFormat="1" ht="12" x14ac:dyDescent="0.15">
      <c r="A45" s="20">
        <v>43</v>
      </c>
      <c r="B45" s="19" t="s">
        <v>1445</v>
      </c>
      <c r="C45" s="20">
        <v>43</v>
      </c>
      <c r="D45" s="19" t="s">
        <v>1414</v>
      </c>
      <c r="E45" s="20">
        <v>43</v>
      </c>
      <c r="F45" s="19" t="s">
        <v>1414</v>
      </c>
    </row>
    <row r="46" spans="1:6" s="15" customFormat="1" ht="12" x14ac:dyDescent="0.15">
      <c r="A46" s="20">
        <v>44</v>
      </c>
      <c r="B46" s="19" t="s">
        <v>1446</v>
      </c>
      <c r="C46" s="18">
        <v>44</v>
      </c>
      <c r="D46" s="19" t="s">
        <v>1414</v>
      </c>
      <c r="E46" s="20">
        <v>44</v>
      </c>
      <c r="F46" s="19" t="s">
        <v>1414</v>
      </c>
    </row>
    <row r="47" spans="1:6" s="15" customFormat="1" ht="12" x14ac:dyDescent="0.15">
      <c r="A47" s="20">
        <v>45</v>
      </c>
      <c r="B47" s="19" t="s">
        <v>1447</v>
      </c>
      <c r="C47" s="20">
        <v>45</v>
      </c>
      <c r="D47" s="19" t="s">
        <v>1414</v>
      </c>
      <c r="E47" s="20">
        <v>45</v>
      </c>
      <c r="F47" s="19" t="s">
        <v>1414</v>
      </c>
    </row>
    <row r="48" spans="1:6" s="15" customFormat="1" ht="12" x14ac:dyDescent="0.15">
      <c r="A48" s="20">
        <v>46</v>
      </c>
      <c r="B48" s="19" t="s">
        <v>1448</v>
      </c>
      <c r="C48" s="18">
        <v>46</v>
      </c>
      <c r="D48" s="19" t="s">
        <v>1414</v>
      </c>
      <c r="E48" s="20">
        <v>46</v>
      </c>
      <c r="F48" s="19" t="s">
        <v>1414</v>
      </c>
    </row>
    <row r="49" spans="1:6" s="15" customFormat="1" ht="12" x14ac:dyDescent="0.15">
      <c r="A49" s="20">
        <v>47</v>
      </c>
      <c r="B49" s="19" t="s">
        <v>1449</v>
      </c>
      <c r="C49" s="20">
        <v>47</v>
      </c>
      <c r="D49" s="19" t="s">
        <v>1414</v>
      </c>
      <c r="E49" s="20">
        <v>47</v>
      </c>
      <c r="F49" s="19" t="s">
        <v>1414</v>
      </c>
    </row>
    <row r="50" spans="1:6" s="15" customFormat="1" ht="12" x14ac:dyDescent="0.15">
      <c r="A50" s="20">
        <v>48</v>
      </c>
      <c r="B50" s="19" t="s">
        <v>1450</v>
      </c>
      <c r="C50" s="18">
        <v>48</v>
      </c>
      <c r="D50" s="19" t="s">
        <v>1414</v>
      </c>
      <c r="E50" s="20">
        <v>48</v>
      </c>
      <c r="F50" s="19" t="s">
        <v>1414</v>
      </c>
    </row>
    <row r="51" spans="1:6" s="15" customFormat="1" ht="12" x14ac:dyDescent="0.15">
      <c r="A51" s="20">
        <v>49</v>
      </c>
      <c r="B51" s="19" t="s">
        <v>1451</v>
      </c>
      <c r="C51" s="20">
        <v>49</v>
      </c>
      <c r="D51" s="19" t="s">
        <v>1414</v>
      </c>
      <c r="E51" s="20">
        <v>49</v>
      </c>
      <c r="F51" s="19" t="s">
        <v>1414</v>
      </c>
    </row>
    <row r="52" spans="1:6" s="15" customFormat="1" ht="12" x14ac:dyDescent="0.15">
      <c r="A52" s="20">
        <v>50</v>
      </c>
      <c r="B52" s="19" t="s">
        <v>1452</v>
      </c>
      <c r="C52" s="18">
        <v>50</v>
      </c>
      <c r="D52" s="19" t="s">
        <v>1414</v>
      </c>
      <c r="E52" s="20">
        <v>50</v>
      </c>
      <c r="F52" s="19" t="s">
        <v>1414</v>
      </c>
    </row>
    <row r="53" spans="1:6" s="15" customFormat="1" ht="12" x14ac:dyDescent="0.15">
      <c r="A53" s="20">
        <v>51</v>
      </c>
      <c r="B53" s="19" t="s">
        <v>1453</v>
      </c>
      <c r="C53" s="20">
        <v>51</v>
      </c>
      <c r="D53" s="19" t="s">
        <v>1414</v>
      </c>
      <c r="E53" s="20">
        <v>51</v>
      </c>
      <c r="F53" s="19" t="s">
        <v>1414</v>
      </c>
    </row>
    <row r="54" spans="1:6" s="15" customFormat="1" ht="12" x14ac:dyDescent="0.15">
      <c r="A54" s="20">
        <v>52</v>
      </c>
      <c r="B54" s="19" t="s">
        <v>1454</v>
      </c>
      <c r="C54" s="18">
        <v>52</v>
      </c>
      <c r="D54" s="19" t="s">
        <v>1414</v>
      </c>
      <c r="E54" s="20">
        <v>52</v>
      </c>
      <c r="F54" s="19" t="s">
        <v>1414</v>
      </c>
    </row>
    <row r="55" spans="1:6" s="15" customFormat="1" ht="12" x14ac:dyDescent="0.15">
      <c r="A55" s="20">
        <v>53</v>
      </c>
      <c r="B55" s="19" t="s">
        <v>1455</v>
      </c>
      <c r="C55" s="20">
        <v>53</v>
      </c>
      <c r="D55" s="19" t="s">
        <v>1414</v>
      </c>
      <c r="E55" s="20">
        <v>53</v>
      </c>
      <c r="F55" s="19" t="s">
        <v>1414</v>
      </c>
    </row>
    <row r="56" spans="1:6" s="15" customFormat="1" ht="12" x14ac:dyDescent="0.15">
      <c r="A56" s="20">
        <v>54</v>
      </c>
      <c r="B56" s="19" t="s">
        <v>1456</v>
      </c>
      <c r="C56" s="18">
        <v>54</v>
      </c>
      <c r="D56" s="19" t="s">
        <v>1414</v>
      </c>
      <c r="E56" s="20">
        <v>54</v>
      </c>
      <c r="F56" s="19" t="s">
        <v>1414</v>
      </c>
    </row>
    <row r="57" spans="1:6" s="15" customFormat="1" ht="12" x14ac:dyDescent="0.15">
      <c r="A57" s="20">
        <v>55</v>
      </c>
      <c r="B57" s="19" t="s">
        <v>1457</v>
      </c>
      <c r="C57" s="20">
        <v>55</v>
      </c>
      <c r="D57" s="19" t="s">
        <v>1414</v>
      </c>
      <c r="E57" s="20">
        <v>55</v>
      </c>
      <c r="F57" s="19" t="s">
        <v>1414</v>
      </c>
    </row>
    <row r="58" spans="1:6" s="15" customFormat="1" ht="12" x14ac:dyDescent="0.15">
      <c r="A58" s="20">
        <v>56</v>
      </c>
      <c r="B58" s="111" t="s">
        <v>792</v>
      </c>
      <c r="C58" s="18">
        <v>56</v>
      </c>
      <c r="D58" s="19" t="s">
        <v>1414</v>
      </c>
      <c r="E58" s="20">
        <v>56</v>
      </c>
      <c r="F58" s="19" t="s">
        <v>1414</v>
      </c>
    </row>
    <row r="59" spans="1:6" s="15" customFormat="1" ht="12" x14ac:dyDescent="0.15">
      <c r="A59" s="20">
        <v>57</v>
      </c>
      <c r="B59" s="111" t="s">
        <v>793</v>
      </c>
      <c r="C59" s="20">
        <v>57</v>
      </c>
      <c r="D59" s="19" t="s">
        <v>1414</v>
      </c>
      <c r="E59" s="20">
        <v>57</v>
      </c>
      <c r="F59" s="19" t="s">
        <v>1414</v>
      </c>
    </row>
    <row r="60" spans="1:6" s="15" customFormat="1" ht="12" x14ac:dyDescent="0.15">
      <c r="A60" s="20">
        <v>58</v>
      </c>
      <c r="B60" s="111" t="s">
        <v>794</v>
      </c>
      <c r="C60" s="18">
        <v>58</v>
      </c>
      <c r="D60" s="19" t="s">
        <v>1414</v>
      </c>
      <c r="E60" s="20">
        <v>58</v>
      </c>
      <c r="F60" s="19" t="s">
        <v>1414</v>
      </c>
    </row>
    <row r="61" spans="1:6" s="15" customFormat="1" ht="12" x14ac:dyDescent="0.15">
      <c r="A61" s="20">
        <v>59</v>
      </c>
      <c r="B61" s="111" t="s">
        <v>32</v>
      </c>
      <c r="C61" s="20">
        <v>59</v>
      </c>
      <c r="D61" s="19" t="s">
        <v>1414</v>
      </c>
      <c r="E61" s="20">
        <v>59</v>
      </c>
      <c r="F61" s="19" t="s">
        <v>1414</v>
      </c>
    </row>
    <row r="62" spans="1:6" s="15" customFormat="1" ht="12" x14ac:dyDescent="0.15">
      <c r="A62" s="20">
        <v>60</v>
      </c>
      <c r="B62" s="19" t="s">
        <v>1414</v>
      </c>
      <c r="C62" s="18">
        <v>60</v>
      </c>
      <c r="D62" s="19" t="s">
        <v>1414</v>
      </c>
      <c r="E62" s="20">
        <v>60</v>
      </c>
      <c r="F62" s="19" t="s">
        <v>1414</v>
      </c>
    </row>
    <row r="63" spans="1:6" s="15" customFormat="1" ht="12" x14ac:dyDescent="0.15">
      <c r="A63" s="20">
        <v>61</v>
      </c>
      <c r="B63" s="19" t="s">
        <v>1414</v>
      </c>
      <c r="C63" s="20">
        <v>61</v>
      </c>
      <c r="D63" s="19" t="s">
        <v>1414</v>
      </c>
      <c r="E63" s="20">
        <v>61</v>
      </c>
      <c r="F63" s="19" t="s">
        <v>1414</v>
      </c>
    </row>
    <row r="64" spans="1:6" s="15" customFormat="1" ht="12" x14ac:dyDescent="0.15">
      <c r="A64" s="20">
        <v>62</v>
      </c>
      <c r="B64" s="19" t="s">
        <v>1414</v>
      </c>
      <c r="C64" s="18">
        <v>62</v>
      </c>
      <c r="D64" s="19" t="s">
        <v>1414</v>
      </c>
      <c r="E64" s="20">
        <v>62</v>
      </c>
      <c r="F64" s="19" t="s">
        <v>1414</v>
      </c>
    </row>
    <row r="65" spans="1:6" s="15" customFormat="1" ht="12" x14ac:dyDescent="0.15">
      <c r="A65" s="20">
        <v>63</v>
      </c>
      <c r="B65" s="19" t="s">
        <v>1458</v>
      </c>
      <c r="C65" s="20">
        <v>63</v>
      </c>
      <c r="D65" s="19" t="s">
        <v>1414</v>
      </c>
      <c r="E65" s="20">
        <v>63</v>
      </c>
      <c r="F65" s="19" t="s">
        <v>1414</v>
      </c>
    </row>
    <row r="66" spans="1:6" s="15" customFormat="1" ht="12" x14ac:dyDescent="0.15">
      <c r="A66" s="20">
        <v>64</v>
      </c>
      <c r="B66" s="19" t="s">
        <v>1459</v>
      </c>
      <c r="C66" s="18">
        <v>64</v>
      </c>
      <c r="D66" s="19" t="s">
        <v>1414</v>
      </c>
      <c r="E66" s="20">
        <v>64</v>
      </c>
      <c r="F66" s="19" t="s">
        <v>1414</v>
      </c>
    </row>
    <row r="67" spans="1:6" s="15" customFormat="1" ht="12" x14ac:dyDescent="0.15">
      <c r="A67" s="20">
        <v>65</v>
      </c>
      <c r="B67" s="19" t="s">
        <v>1460</v>
      </c>
      <c r="C67" s="20">
        <v>65</v>
      </c>
      <c r="D67" s="19" t="s">
        <v>1414</v>
      </c>
      <c r="E67" s="20">
        <v>65</v>
      </c>
      <c r="F67" s="19" t="s">
        <v>1414</v>
      </c>
    </row>
    <row r="68" spans="1:6" s="15" customFormat="1" ht="12" x14ac:dyDescent="0.15">
      <c r="A68" s="20">
        <v>66</v>
      </c>
      <c r="B68" s="19" t="s">
        <v>1461</v>
      </c>
      <c r="C68" s="18">
        <v>66</v>
      </c>
      <c r="D68" s="19" t="s">
        <v>1414</v>
      </c>
      <c r="E68" s="20">
        <v>66</v>
      </c>
      <c r="F68" s="19" t="s">
        <v>1414</v>
      </c>
    </row>
    <row r="69" spans="1:6" s="15" customFormat="1" ht="12" x14ac:dyDescent="0.15">
      <c r="A69" s="20">
        <v>67</v>
      </c>
      <c r="B69" s="19" t="s">
        <v>1462</v>
      </c>
      <c r="C69" s="20">
        <v>67</v>
      </c>
      <c r="D69" s="19" t="s">
        <v>1414</v>
      </c>
      <c r="E69" s="20">
        <v>67</v>
      </c>
      <c r="F69" s="19" t="s">
        <v>1414</v>
      </c>
    </row>
    <row r="70" spans="1:6" s="15" customFormat="1" ht="12" x14ac:dyDescent="0.15">
      <c r="A70" s="20">
        <v>68</v>
      </c>
      <c r="B70" s="19" t="s">
        <v>1463</v>
      </c>
      <c r="C70" s="18">
        <v>68</v>
      </c>
      <c r="D70" s="19" t="s">
        <v>1414</v>
      </c>
      <c r="E70" s="20">
        <v>68</v>
      </c>
      <c r="F70" s="19" t="s">
        <v>1414</v>
      </c>
    </row>
    <row r="71" spans="1:6" s="15" customFormat="1" ht="12" x14ac:dyDescent="0.15">
      <c r="A71" s="20">
        <v>69</v>
      </c>
      <c r="B71" s="19" t="s">
        <v>1464</v>
      </c>
      <c r="C71" s="20">
        <v>69</v>
      </c>
      <c r="D71" s="19" t="s">
        <v>1414</v>
      </c>
      <c r="E71" s="20">
        <v>69</v>
      </c>
      <c r="F71" s="19" t="s">
        <v>1414</v>
      </c>
    </row>
    <row r="72" spans="1:6" s="15" customFormat="1" ht="12" x14ac:dyDescent="0.15">
      <c r="A72" s="95">
        <v>70</v>
      </c>
      <c r="B72" s="96" t="s">
        <v>1466</v>
      </c>
      <c r="C72" s="18">
        <v>70</v>
      </c>
      <c r="D72" s="19" t="s">
        <v>1414</v>
      </c>
      <c r="E72" s="20">
        <v>70</v>
      </c>
      <c r="F72" s="19" t="s">
        <v>1414</v>
      </c>
    </row>
    <row r="73" spans="1:6" s="126" customFormat="1" ht="12" x14ac:dyDescent="0.15">
      <c r="A73" s="125">
        <v>71</v>
      </c>
      <c r="B73" s="126" t="s">
        <v>726</v>
      </c>
      <c r="C73" s="125">
        <v>71</v>
      </c>
      <c r="D73" s="126" t="s">
        <v>1414</v>
      </c>
      <c r="E73" s="125">
        <v>71</v>
      </c>
      <c r="F73" s="126" t="s">
        <v>1414</v>
      </c>
    </row>
    <row r="74" spans="1:6" s="126" customFormat="1" ht="12" x14ac:dyDescent="0.15">
      <c r="A74" s="125">
        <v>72</v>
      </c>
      <c r="B74" s="126" t="s">
        <v>725</v>
      </c>
      <c r="C74" s="127">
        <v>72</v>
      </c>
      <c r="D74" s="126" t="s">
        <v>1414</v>
      </c>
      <c r="E74" s="125">
        <v>72</v>
      </c>
      <c r="F74" s="126" t="s">
        <v>1414</v>
      </c>
    </row>
    <row r="75" spans="1:6" s="126" customFormat="1" ht="12" x14ac:dyDescent="0.15">
      <c r="A75" s="125">
        <v>73</v>
      </c>
      <c r="B75" s="126" t="s">
        <v>733</v>
      </c>
      <c r="C75" s="125">
        <v>73</v>
      </c>
      <c r="D75" s="126" t="s">
        <v>1414</v>
      </c>
      <c r="E75" s="125">
        <v>73</v>
      </c>
      <c r="F75" s="126" t="s">
        <v>1414</v>
      </c>
    </row>
    <row r="76" spans="1:6" s="15" customFormat="1" ht="12" x14ac:dyDescent="0.15">
      <c r="A76" s="20">
        <v>74</v>
      </c>
      <c r="B76" s="19" t="s">
        <v>1414</v>
      </c>
      <c r="C76" s="18">
        <v>74</v>
      </c>
      <c r="D76" s="19" t="s">
        <v>1414</v>
      </c>
      <c r="E76" s="20">
        <v>74</v>
      </c>
      <c r="F76" s="19" t="s">
        <v>1414</v>
      </c>
    </row>
    <row r="77" spans="1:6" s="15" customFormat="1" ht="12" x14ac:dyDescent="0.15">
      <c r="A77" s="20">
        <v>75</v>
      </c>
      <c r="B77" s="19" t="s">
        <v>1414</v>
      </c>
      <c r="C77" s="20">
        <v>75</v>
      </c>
      <c r="D77" s="19" t="s">
        <v>1414</v>
      </c>
      <c r="E77" s="20">
        <v>75</v>
      </c>
      <c r="F77" s="19" t="s">
        <v>1414</v>
      </c>
    </row>
    <row r="78" spans="1:6" s="15" customFormat="1" ht="12" x14ac:dyDescent="0.15">
      <c r="A78" s="20">
        <v>76</v>
      </c>
      <c r="B78" s="19" t="s">
        <v>1414</v>
      </c>
      <c r="C78" s="18">
        <v>76</v>
      </c>
      <c r="D78" s="19" t="s">
        <v>1414</v>
      </c>
      <c r="E78" s="20">
        <v>76</v>
      </c>
      <c r="F78" s="19" t="s">
        <v>1414</v>
      </c>
    </row>
    <row r="79" spans="1:6" s="15" customFormat="1" ht="12" x14ac:dyDescent="0.15">
      <c r="A79" s="20">
        <v>77</v>
      </c>
      <c r="B79" s="19" t="s">
        <v>1414</v>
      </c>
      <c r="C79" s="20">
        <v>77</v>
      </c>
      <c r="D79" s="19" t="s">
        <v>1414</v>
      </c>
      <c r="E79" s="20">
        <v>77</v>
      </c>
      <c r="F79" s="19" t="s">
        <v>1414</v>
      </c>
    </row>
    <row r="80" spans="1:6" s="15" customFormat="1" ht="12" x14ac:dyDescent="0.15">
      <c r="A80" s="20">
        <v>78</v>
      </c>
      <c r="B80" s="19" t="s">
        <v>1414</v>
      </c>
      <c r="C80" s="18">
        <v>78</v>
      </c>
      <c r="D80" s="19" t="s">
        <v>1414</v>
      </c>
      <c r="E80" s="20">
        <v>78</v>
      </c>
      <c r="F80" s="19" t="s">
        <v>1414</v>
      </c>
    </row>
    <row r="81" spans="1:6" s="15" customFormat="1" ht="12" x14ac:dyDescent="0.15">
      <c r="A81" s="20">
        <v>79</v>
      </c>
      <c r="B81" s="19" t="s">
        <v>1414</v>
      </c>
      <c r="C81" s="20">
        <v>79</v>
      </c>
      <c r="D81" s="19" t="s">
        <v>1414</v>
      </c>
      <c r="E81" s="20">
        <v>79</v>
      </c>
      <c r="F81" s="19" t="s">
        <v>1414</v>
      </c>
    </row>
    <row r="82" spans="1:6" s="15" customFormat="1" ht="12" x14ac:dyDescent="0.15">
      <c r="A82" s="20">
        <v>80</v>
      </c>
      <c r="B82" s="19" t="s">
        <v>1414</v>
      </c>
      <c r="C82" s="18">
        <v>80</v>
      </c>
      <c r="D82" s="19" t="s">
        <v>1414</v>
      </c>
      <c r="E82" s="20">
        <v>80</v>
      </c>
      <c r="F82" s="19" t="s">
        <v>1414</v>
      </c>
    </row>
    <row r="83" spans="1:6" s="15" customFormat="1" ht="12" x14ac:dyDescent="0.15">
      <c r="A83" s="20">
        <v>81</v>
      </c>
      <c r="B83" s="19" t="s">
        <v>1414</v>
      </c>
      <c r="C83" s="20">
        <v>81</v>
      </c>
      <c r="D83" s="19" t="s">
        <v>1414</v>
      </c>
      <c r="E83" s="20">
        <v>81</v>
      </c>
      <c r="F83" s="19" t="s">
        <v>1414</v>
      </c>
    </row>
    <row r="84" spans="1:6" s="15" customFormat="1" ht="12" x14ac:dyDescent="0.15">
      <c r="A84" s="20">
        <v>82</v>
      </c>
      <c r="B84" s="19" t="s">
        <v>1414</v>
      </c>
      <c r="C84" s="18">
        <v>82</v>
      </c>
      <c r="D84" s="19" t="s">
        <v>1414</v>
      </c>
      <c r="E84" s="20">
        <v>82</v>
      </c>
      <c r="F84" s="19" t="s">
        <v>1414</v>
      </c>
    </row>
    <row r="85" spans="1:6" s="15" customFormat="1" ht="12" x14ac:dyDescent="0.15">
      <c r="A85" s="20">
        <v>83</v>
      </c>
      <c r="B85" s="19" t="s">
        <v>1414</v>
      </c>
      <c r="C85" s="20">
        <v>83</v>
      </c>
      <c r="D85" s="19" t="s">
        <v>1414</v>
      </c>
      <c r="E85" s="20">
        <v>83</v>
      </c>
      <c r="F85" s="19" t="s">
        <v>1414</v>
      </c>
    </row>
    <row r="86" spans="1:6" s="15" customFormat="1" ht="12" x14ac:dyDescent="0.15">
      <c r="A86" s="20">
        <v>84</v>
      </c>
      <c r="B86" s="19" t="s">
        <v>1414</v>
      </c>
      <c r="C86" s="18">
        <v>84</v>
      </c>
      <c r="D86" s="19" t="s">
        <v>1414</v>
      </c>
      <c r="E86" s="20">
        <v>84</v>
      </c>
      <c r="F86" s="19" t="s">
        <v>1414</v>
      </c>
    </row>
    <row r="87" spans="1:6" s="15" customFormat="1" ht="12" x14ac:dyDescent="0.15">
      <c r="A87" s="20">
        <v>85</v>
      </c>
      <c r="B87" s="19" t="s">
        <v>1414</v>
      </c>
      <c r="C87" s="20">
        <v>85</v>
      </c>
      <c r="D87" s="19" t="s">
        <v>1414</v>
      </c>
      <c r="E87" s="20">
        <v>85</v>
      </c>
      <c r="F87" s="19" t="s">
        <v>1414</v>
      </c>
    </row>
    <row r="88" spans="1:6" s="15" customFormat="1" ht="12" x14ac:dyDescent="0.15">
      <c r="A88" s="20">
        <v>86</v>
      </c>
      <c r="B88" s="19" t="s">
        <v>1414</v>
      </c>
      <c r="C88" s="18">
        <v>86</v>
      </c>
      <c r="D88" s="19" t="s">
        <v>1414</v>
      </c>
      <c r="E88" s="20">
        <v>86</v>
      </c>
      <c r="F88" s="19" t="s">
        <v>1414</v>
      </c>
    </row>
    <row r="89" spans="1:6" s="15" customFormat="1" ht="12" x14ac:dyDescent="0.15">
      <c r="A89" s="20">
        <v>87</v>
      </c>
      <c r="B89" s="19" t="s">
        <v>1414</v>
      </c>
      <c r="C89" s="20">
        <v>87</v>
      </c>
      <c r="D89" s="19" t="s">
        <v>1414</v>
      </c>
      <c r="E89" s="20">
        <v>87</v>
      </c>
      <c r="F89" s="19" t="s">
        <v>1414</v>
      </c>
    </row>
    <row r="90" spans="1:6" s="15" customFormat="1" ht="12" x14ac:dyDescent="0.15">
      <c r="A90" s="20">
        <v>88</v>
      </c>
      <c r="B90" s="19" t="s">
        <v>1414</v>
      </c>
      <c r="C90" s="18">
        <v>88</v>
      </c>
      <c r="D90" s="19" t="s">
        <v>1414</v>
      </c>
      <c r="E90" s="20">
        <v>88</v>
      </c>
      <c r="F90" s="19" t="s">
        <v>1414</v>
      </c>
    </row>
    <row r="91" spans="1:6" s="15" customFormat="1" ht="12" x14ac:dyDescent="0.15">
      <c r="A91" s="20">
        <v>89</v>
      </c>
      <c r="B91" s="19" t="s">
        <v>1414</v>
      </c>
      <c r="C91" s="20">
        <v>89</v>
      </c>
      <c r="D91" s="19" t="s">
        <v>1414</v>
      </c>
      <c r="E91" s="20">
        <v>89</v>
      </c>
      <c r="F91" s="19" t="s">
        <v>1414</v>
      </c>
    </row>
    <row r="92" spans="1:6" s="15" customFormat="1" ht="12" x14ac:dyDescent="0.15">
      <c r="A92" s="20">
        <v>90</v>
      </c>
      <c r="B92" s="19" t="s">
        <v>1414</v>
      </c>
      <c r="C92" s="18">
        <v>90</v>
      </c>
      <c r="D92" s="19" t="s">
        <v>1414</v>
      </c>
      <c r="E92" s="20">
        <v>90</v>
      </c>
      <c r="F92" s="19" t="s">
        <v>1414</v>
      </c>
    </row>
    <row r="93" spans="1:6" s="15" customFormat="1" ht="12" x14ac:dyDescent="0.15">
      <c r="A93" s="20">
        <v>91</v>
      </c>
      <c r="B93" s="19" t="s">
        <v>1414</v>
      </c>
      <c r="C93" s="20">
        <v>91</v>
      </c>
      <c r="D93" s="19" t="s">
        <v>1414</v>
      </c>
      <c r="E93" s="20">
        <v>91</v>
      </c>
      <c r="F93" s="19" t="s">
        <v>1414</v>
      </c>
    </row>
    <row r="94" spans="1:6" s="15" customFormat="1" ht="12" x14ac:dyDescent="0.15">
      <c r="A94" s="20">
        <v>92</v>
      </c>
      <c r="B94" s="19" t="s">
        <v>1414</v>
      </c>
      <c r="C94" s="18">
        <v>92</v>
      </c>
      <c r="D94" s="19" t="s">
        <v>1414</v>
      </c>
      <c r="E94" s="20">
        <v>92</v>
      </c>
      <c r="F94" s="19" t="s">
        <v>1414</v>
      </c>
    </row>
    <row r="95" spans="1:6" s="15" customFormat="1" ht="12" x14ac:dyDescent="0.15">
      <c r="A95" s="20">
        <v>93</v>
      </c>
      <c r="B95" s="19" t="s">
        <v>1414</v>
      </c>
      <c r="C95" s="20">
        <v>93</v>
      </c>
      <c r="D95" s="19" t="s">
        <v>1414</v>
      </c>
      <c r="E95" s="20">
        <v>93</v>
      </c>
      <c r="F95" s="19" t="s">
        <v>1414</v>
      </c>
    </row>
    <row r="96" spans="1:6" s="15" customFormat="1" ht="12" x14ac:dyDescent="0.15">
      <c r="A96" s="20">
        <v>94</v>
      </c>
      <c r="B96" s="19" t="s">
        <v>1414</v>
      </c>
      <c r="C96" s="18">
        <v>94</v>
      </c>
      <c r="D96" s="19" t="s">
        <v>1414</v>
      </c>
      <c r="E96" s="20">
        <v>94</v>
      </c>
      <c r="F96" s="19" t="s">
        <v>1414</v>
      </c>
    </row>
    <row r="97" spans="1:6" s="15" customFormat="1" ht="12" x14ac:dyDescent="0.15">
      <c r="A97" s="20">
        <v>95</v>
      </c>
      <c r="B97" s="19" t="s">
        <v>1414</v>
      </c>
      <c r="C97" s="20">
        <v>95</v>
      </c>
      <c r="D97" s="19" t="s">
        <v>1414</v>
      </c>
      <c r="E97" s="20">
        <v>95</v>
      </c>
      <c r="F97" s="19" t="s">
        <v>1414</v>
      </c>
    </row>
    <row r="98" spans="1:6" s="15" customFormat="1" ht="12" x14ac:dyDescent="0.15">
      <c r="A98" s="20">
        <v>96</v>
      </c>
      <c r="B98" s="19" t="s">
        <v>1414</v>
      </c>
      <c r="C98" s="18">
        <v>96</v>
      </c>
      <c r="D98" s="19" t="s">
        <v>1414</v>
      </c>
      <c r="E98" s="20">
        <v>96</v>
      </c>
      <c r="F98" s="19" t="s">
        <v>1414</v>
      </c>
    </row>
    <row r="99" spans="1:6" s="15" customFormat="1" ht="12" x14ac:dyDescent="0.15">
      <c r="A99" s="20">
        <v>97</v>
      </c>
      <c r="B99" s="19" t="s">
        <v>1414</v>
      </c>
      <c r="C99" s="20">
        <v>97</v>
      </c>
      <c r="D99" s="19" t="s">
        <v>1414</v>
      </c>
      <c r="E99" s="20">
        <v>97</v>
      </c>
      <c r="F99" s="19" t="s">
        <v>1414</v>
      </c>
    </row>
    <row r="100" spans="1:6" s="15" customFormat="1" ht="12" x14ac:dyDescent="0.15">
      <c r="A100" s="20">
        <v>98</v>
      </c>
      <c r="B100" s="19" t="s">
        <v>1414</v>
      </c>
      <c r="C100" s="18">
        <v>98</v>
      </c>
      <c r="D100" s="19" t="s">
        <v>1414</v>
      </c>
      <c r="E100" s="20">
        <v>98</v>
      </c>
      <c r="F100" s="22" t="s">
        <v>1223</v>
      </c>
    </row>
    <row r="101" spans="1:6" x14ac:dyDescent="0.15">
      <c r="A101" s="20">
        <v>99</v>
      </c>
      <c r="B101" s="19" t="s">
        <v>1414</v>
      </c>
      <c r="C101" s="20">
        <v>99</v>
      </c>
      <c r="D101" s="19" t="s">
        <v>1414</v>
      </c>
      <c r="E101" s="20">
        <v>99</v>
      </c>
      <c r="F101" s="22" t="s">
        <v>1465</v>
      </c>
    </row>
  </sheetData>
  <phoneticPr fontId="20" type="noConversion"/>
  <pageMargins left="0.7" right="0.7" top="0.75" bottom="0.75" header="0.3" footer="0.3"/>
  <pageSetup paperSize="9" orientation="portrait"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37"/>
  <sheetViews>
    <sheetView workbookViewId="0">
      <selection activeCell="C11" sqref="C11"/>
    </sheetView>
  </sheetViews>
  <sheetFormatPr defaultRowHeight="14.25" x14ac:dyDescent="0.15"/>
  <cols>
    <col min="1" max="1" width="24.875" customWidth="1"/>
    <col min="2" max="2" width="23.125" customWidth="1"/>
    <col min="3" max="3" width="36" customWidth="1"/>
  </cols>
  <sheetData>
    <row r="1" spans="1:4" ht="15" thickBot="1" x14ac:dyDescent="0.2">
      <c r="A1" s="1" t="s">
        <v>914</v>
      </c>
      <c r="B1" s="2" t="s">
        <v>987</v>
      </c>
      <c r="C1" s="5" t="s">
        <v>988</v>
      </c>
      <c r="D1" s="5"/>
    </row>
    <row r="2" spans="1:4" ht="15" thickBot="1" x14ac:dyDescent="0.2">
      <c r="A2" s="3" t="s">
        <v>918</v>
      </c>
      <c r="B2" s="4" t="s">
        <v>954</v>
      </c>
      <c r="C2" s="5" t="s">
        <v>990</v>
      </c>
    </row>
    <row r="3" spans="1:4" ht="15" thickBot="1" x14ac:dyDescent="0.2">
      <c r="A3" s="3" t="s">
        <v>919</v>
      </c>
      <c r="B3" s="4" t="s">
        <v>955</v>
      </c>
      <c r="C3" s="5" t="s">
        <v>990</v>
      </c>
    </row>
    <row r="4" spans="1:4" ht="15" thickBot="1" x14ac:dyDescent="0.2">
      <c r="A4" s="3" t="s">
        <v>920</v>
      </c>
      <c r="B4" s="4" t="s">
        <v>956</v>
      </c>
      <c r="C4" s="5" t="s">
        <v>989</v>
      </c>
    </row>
    <row r="5" spans="1:4" ht="15" thickBot="1" x14ac:dyDescent="0.2">
      <c r="A5" s="3" t="s">
        <v>921</v>
      </c>
      <c r="B5" s="4" t="s">
        <v>957</v>
      </c>
      <c r="C5" s="5" t="s">
        <v>989</v>
      </c>
    </row>
    <row r="6" spans="1:4" ht="15" thickBot="1" x14ac:dyDescent="0.2">
      <c r="A6" s="3" t="s">
        <v>922</v>
      </c>
      <c r="B6" s="4" t="s">
        <v>958</v>
      </c>
      <c r="C6" s="5" t="s">
        <v>989</v>
      </c>
    </row>
    <row r="7" spans="1:4" ht="15" thickBot="1" x14ac:dyDescent="0.2">
      <c r="A7" s="3" t="s">
        <v>923</v>
      </c>
      <c r="B7" s="4" t="s">
        <v>959</v>
      </c>
      <c r="C7" s="5" t="s">
        <v>989</v>
      </c>
    </row>
    <row r="8" spans="1:4" ht="15" thickBot="1" x14ac:dyDescent="0.2">
      <c r="A8" s="3" t="s">
        <v>924</v>
      </c>
      <c r="B8" s="4" t="s">
        <v>960</v>
      </c>
      <c r="C8" s="5" t="s">
        <v>989</v>
      </c>
    </row>
    <row r="9" spans="1:4" ht="15" thickBot="1" x14ac:dyDescent="0.2">
      <c r="A9" s="3" t="s">
        <v>925</v>
      </c>
      <c r="B9" s="4" t="s">
        <v>961</v>
      </c>
      <c r="C9" s="5" t="s">
        <v>989</v>
      </c>
    </row>
    <row r="10" spans="1:4" ht="15" thickBot="1" x14ac:dyDescent="0.2">
      <c r="A10" s="3" t="s">
        <v>926</v>
      </c>
      <c r="B10" s="4" t="s">
        <v>962</v>
      </c>
      <c r="C10" s="5" t="s">
        <v>989</v>
      </c>
    </row>
    <row r="11" spans="1:4" ht="15" thickBot="1" x14ac:dyDescent="0.2">
      <c r="A11" s="3" t="s">
        <v>927</v>
      </c>
      <c r="B11" s="4" t="s">
        <v>963</v>
      </c>
      <c r="C11" s="5" t="s">
        <v>989</v>
      </c>
    </row>
    <row r="12" spans="1:4" ht="15" thickBot="1" x14ac:dyDescent="0.2">
      <c r="A12" s="3" t="s">
        <v>928</v>
      </c>
      <c r="B12" s="4" t="s">
        <v>971</v>
      </c>
      <c r="C12" s="5" t="s">
        <v>989</v>
      </c>
    </row>
    <row r="13" spans="1:4" ht="15" thickBot="1" x14ac:dyDescent="0.2">
      <c r="A13" s="3" t="s">
        <v>929</v>
      </c>
      <c r="B13" s="4" t="s">
        <v>972</v>
      </c>
      <c r="C13" s="5" t="s">
        <v>989</v>
      </c>
    </row>
    <row r="14" spans="1:4" ht="15" thickBot="1" x14ac:dyDescent="0.2">
      <c r="A14" s="3" t="s">
        <v>930</v>
      </c>
      <c r="B14" s="4" t="s">
        <v>973</v>
      </c>
      <c r="C14" s="5" t="s">
        <v>989</v>
      </c>
    </row>
    <row r="15" spans="1:4" ht="15" thickBot="1" x14ac:dyDescent="0.2">
      <c r="A15" s="3" t="s">
        <v>931</v>
      </c>
      <c r="B15" s="4" t="s">
        <v>974</v>
      </c>
      <c r="C15" s="5" t="s">
        <v>989</v>
      </c>
    </row>
    <row r="16" spans="1:4" ht="15" thickBot="1" x14ac:dyDescent="0.2">
      <c r="A16" s="3" t="s">
        <v>932</v>
      </c>
      <c r="B16" s="4" t="s">
        <v>975</v>
      </c>
      <c r="C16" s="5" t="s">
        <v>989</v>
      </c>
    </row>
    <row r="17" spans="1:3" ht="15" thickBot="1" x14ac:dyDescent="0.2">
      <c r="A17" s="3" t="s">
        <v>933</v>
      </c>
      <c r="B17" s="4" t="s">
        <v>976</v>
      </c>
      <c r="C17" s="5" t="s">
        <v>989</v>
      </c>
    </row>
    <row r="18" spans="1:3" ht="15" thickBot="1" x14ac:dyDescent="0.2">
      <c r="A18" s="3" t="s">
        <v>934</v>
      </c>
      <c r="B18" s="4" t="s">
        <v>977</v>
      </c>
      <c r="C18" s="5" t="s">
        <v>989</v>
      </c>
    </row>
    <row r="19" spans="1:3" ht="15" thickBot="1" x14ac:dyDescent="0.2">
      <c r="A19" s="3" t="s">
        <v>935</v>
      </c>
      <c r="B19" s="4" t="s">
        <v>978</v>
      </c>
      <c r="C19" s="5" t="s">
        <v>989</v>
      </c>
    </row>
    <row r="20" spans="1:3" ht="15" thickBot="1" x14ac:dyDescent="0.2">
      <c r="A20" s="3" t="s">
        <v>936</v>
      </c>
      <c r="B20" s="4" t="s">
        <v>915</v>
      </c>
      <c r="C20" s="5" t="s">
        <v>989</v>
      </c>
    </row>
    <row r="21" spans="1:3" ht="15" thickBot="1" x14ac:dyDescent="0.2">
      <c r="A21" s="3" t="s">
        <v>937</v>
      </c>
      <c r="B21" s="4" t="s">
        <v>916</v>
      </c>
      <c r="C21" s="5" t="s">
        <v>989</v>
      </c>
    </row>
    <row r="22" spans="1:3" ht="15" thickBot="1" x14ac:dyDescent="0.2">
      <c r="A22" s="3" t="s">
        <v>938</v>
      </c>
      <c r="B22" s="4" t="s">
        <v>917</v>
      </c>
      <c r="C22" s="5" t="s">
        <v>989</v>
      </c>
    </row>
    <row r="23" spans="1:3" ht="15" thickBot="1" x14ac:dyDescent="0.2">
      <c r="A23" s="3" t="s">
        <v>939</v>
      </c>
      <c r="B23" s="4" t="s">
        <v>964</v>
      </c>
      <c r="C23" s="5" t="s">
        <v>989</v>
      </c>
    </row>
    <row r="24" spans="1:3" ht="15" thickBot="1" x14ac:dyDescent="0.2">
      <c r="A24" s="3" t="s">
        <v>940</v>
      </c>
      <c r="B24" s="4" t="s">
        <v>965</v>
      </c>
      <c r="C24" s="5" t="s">
        <v>989</v>
      </c>
    </row>
    <row r="25" spans="1:3" ht="15" thickBot="1" x14ac:dyDescent="0.2">
      <c r="A25" s="3" t="s">
        <v>941</v>
      </c>
      <c r="B25" s="4" t="s">
        <v>966</v>
      </c>
      <c r="C25" s="5" t="s">
        <v>989</v>
      </c>
    </row>
    <row r="26" spans="1:3" ht="15" thickBot="1" x14ac:dyDescent="0.2">
      <c r="A26" s="3" t="s">
        <v>942</v>
      </c>
      <c r="B26" s="4" t="s">
        <v>967</v>
      </c>
      <c r="C26" s="5" t="s">
        <v>989</v>
      </c>
    </row>
    <row r="27" spans="1:3" ht="15" thickBot="1" x14ac:dyDescent="0.2">
      <c r="A27" s="3" t="s">
        <v>943</v>
      </c>
      <c r="B27" s="4" t="s">
        <v>968</v>
      </c>
      <c r="C27" s="5" t="s">
        <v>989</v>
      </c>
    </row>
    <row r="28" spans="1:3" ht="15" thickBot="1" x14ac:dyDescent="0.2">
      <c r="A28" s="3" t="s">
        <v>944</v>
      </c>
      <c r="B28" s="4" t="s">
        <v>979</v>
      </c>
      <c r="C28" s="5" t="s">
        <v>989</v>
      </c>
    </row>
    <row r="29" spans="1:3" ht="15" thickBot="1" x14ac:dyDescent="0.2">
      <c r="A29" s="3" t="s">
        <v>945</v>
      </c>
      <c r="B29" s="4" t="s">
        <v>980</v>
      </c>
      <c r="C29" s="5" t="s">
        <v>989</v>
      </c>
    </row>
    <row r="30" spans="1:3" ht="15" thickBot="1" x14ac:dyDescent="0.2">
      <c r="A30" s="3" t="s">
        <v>946</v>
      </c>
      <c r="B30" s="4" t="s">
        <v>981</v>
      </c>
      <c r="C30" s="5" t="s">
        <v>989</v>
      </c>
    </row>
    <row r="31" spans="1:3" ht="15" thickBot="1" x14ac:dyDescent="0.2">
      <c r="A31" s="3" t="s">
        <v>947</v>
      </c>
      <c r="B31" s="4" t="s">
        <v>982</v>
      </c>
      <c r="C31" s="5" t="s">
        <v>989</v>
      </c>
    </row>
    <row r="32" spans="1:3" ht="15" thickBot="1" x14ac:dyDescent="0.2">
      <c r="A32" s="3" t="s">
        <v>948</v>
      </c>
      <c r="B32" s="4" t="s">
        <v>983</v>
      </c>
      <c r="C32" s="5" t="s">
        <v>989</v>
      </c>
    </row>
    <row r="33" spans="1:3" ht="15" thickBot="1" x14ac:dyDescent="0.2">
      <c r="A33" s="3" t="s">
        <v>949</v>
      </c>
      <c r="B33" s="4" t="s">
        <v>984</v>
      </c>
      <c r="C33" s="5" t="s">
        <v>989</v>
      </c>
    </row>
    <row r="34" spans="1:3" ht="15" thickBot="1" x14ac:dyDescent="0.2">
      <c r="A34" s="3" t="s">
        <v>950</v>
      </c>
      <c r="B34" s="4" t="s">
        <v>985</v>
      </c>
      <c r="C34" s="5" t="s">
        <v>989</v>
      </c>
    </row>
    <row r="35" spans="1:3" ht="15" thickBot="1" x14ac:dyDescent="0.2">
      <c r="A35" s="3" t="s">
        <v>951</v>
      </c>
      <c r="B35" s="4" t="s">
        <v>986</v>
      </c>
      <c r="C35" s="5" t="s">
        <v>989</v>
      </c>
    </row>
    <row r="36" spans="1:3" ht="15" thickBot="1" x14ac:dyDescent="0.2">
      <c r="A36" s="3" t="s">
        <v>952</v>
      </c>
      <c r="B36" s="4" t="s">
        <v>969</v>
      </c>
      <c r="C36" s="5" t="s">
        <v>989</v>
      </c>
    </row>
    <row r="37" spans="1:3" ht="15" thickBot="1" x14ac:dyDescent="0.2">
      <c r="A37" s="3" t="s">
        <v>953</v>
      </c>
      <c r="B37" s="4" t="s">
        <v>970</v>
      </c>
      <c r="C37" s="5" t="s">
        <v>989</v>
      </c>
    </row>
  </sheetData>
  <phoneticPr fontId="23" type="noConversion"/>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9"/>
  <sheetViews>
    <sheetView workbookViewId="0">
      <selection activeCell="A2" sqref="A2:C9"/>
    </sheetView>
  </sheetViews>
  <sheetFormatPr defaultRowHeight="14.25" x14ac:dyDescent="0.15"/>
  <cols>
    <col min="1" max="1" width="9" customWidth="1"/>
  </cols>
  <sheetData>
    <row r="1" spans="1:1" x14ac:dyDescent="0.15">
      <c r="A1" t="s">
        <v>1308</v>
      </c>
    </row>
    <row r="2" spans="1:1" x14ac:dyDescent="0.15">
      <c r="A2" t="s">
        <v>1309</v>
      </c>
    </row>
    <row r="3" spans="1:1" x14ac:dyDescent="0.15">
      <c r="A3" t="s">
        <v>1310</v>
      </c>
    </row>
    <row r="4" spans="1:1" x14ac:dyDescent="0.15">
      <c r="A4" t="s">
        <v>1311</v>
      </c>
    </row>
    <row r="5" spans="1:1" x14ac:dyDescent="0.15">
      <c r="A5" t="s">
        <v>1312</v>
      </c>
    </row>
    <row r="6" spans="1:1" x14ac:dyDescent="0.15">
      <c r="A6" t="s">
        <v>1313</v>
      </c>
    </row>
    <row r="7" spans="1:1" x14ac:dyDescent="0.15">
      <c r="A7" t="s">
        <v>1314</v>
      </c>
    </row>
    <row r="8" spans="1:1" x14ac:dyDescent="0.15">
      <c r="A8" t="s">
        <v>1315</v>
      </c>
    </row>
    <row r="9" spans="1:1" x14ac:dyDescent="0.15">
      <c r="A9" t="s">
        <v>1316</v>
      </c>
    </row>
  </sheetData>
  <phoneticPr fontId="20"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4</vt:i4>
      </vt:variant>
      <vt:variant>
        <vt:lpstr>命名范围</vt:lpstr>
      </vt:variant>
      <vt:variant>
        <vt:i4>1</vt:i4>
      </vt:variant>
    </vt:vector>
  </HeadingPairs>
  <TitlesOfParts>
    <vt:vector size="5" baseType="lpstr">
      <vt:lpstr>功能码</vt:lpstr>
      <vt:lpstr>输入输出端子功能 </vt:lpstr>
      <vt:lpstr>功能码地址分配</vt:lpstr>
      <vt:lpstr>功能码单位</vt:lpstr>
      <vt:lpstr>功能码!OLE_LINK3</vt:lpstr>
    </vt:vector>
  </TitlesOfParts>
  <Company>www.ftpdown.com</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FtpDown</dc:creator>
  <cp:lastModifiedBy>y.m.</cp:lastModifiedBy>
  <dcterms:created xsi:type="dcterms:W3CDTF">2010-07-28T03:06:57Z</dcterms:created>
  <dcterms:modified xsi:type="dcterms:W3CDTF">2018-02-23T01:13:29Z</dcterms:modified>
</cp:coreProperties>
</file>